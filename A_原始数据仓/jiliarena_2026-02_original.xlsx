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渠道充值成功率-统整" sheetId="1" r:id="rId5"/>
    <sheet state="hidden" name="渠道充值成功率_底稿" sheetId="2" r:id="rId6"/>
    <sheet state="hidden" name="jiliarena-每日报告" sheetId="3" r:id="rId7"/>
    <sheet state="hidden" name="jiliarena_日报_底稿" sheetId="4" r:id="rId8"/>
    <sheet state="visible" name="jiliarena" sheetId="5" r:id="rId9"/>
    <sheet state="visible" name="jiliarena_活动分析-日" sheetId="6" r:id="rId10"/>
    <sheet state="visible" name="jiliarena_活动总表-整月" sheetId="7" r:id="rId11"/>
    <sheet state="visible" name="jiliarena_活动分析数据_底稿" sheetId="8" r:id="rId12"/>
    <sheet state="visible" name="jiliarena_代理数据每日人数分析" sheetId="9" r:id="rId13"/>
    <sheet state="hidden" name="jiliarena_代理数据_底稿" sheetId="10" r:id="rId14"/>
  </sheets>
  <definedNames/>
  <calcPr/>
  <pivotCaches>
    <pivotCache cacheId="0" r:id="rId15"/>
    <pivotCache cacheId="1" r:id="rId16"/>
  </pivotCaches>
</workbook>
</file>

<file path=xl/sharedStrings.xml><?xml version="1.0" encoding="utf-8"?>
<sst xmlns="http://schemas.openxmlformats.org/spreadsheetml/2006/main" count="2616" uniqueCount="586">
  <si>
    <t>Date</t>
  </si>
  <si>
    <t>jiliarena</t>
  </si>
  <si>
    <t>GCash</t>
  </si>
  <si>
    <t>QRPH</t>
  </si>
  <si>
    <t>GCashQR</t>
  </si>
  <si>
    <t>Maya</t>
  </si>
  <si>
    <t>GRABPAY</t>
  </si>
  <si>
    <t>Online Banking</t>
  </si>
  <si>
    <t>USDT</t>
  </si>
  <si>
    <t>GOTYME</t>
  </si>
  <si>
    <t>GCASHPAY</t>
  </si>
  <si>
    <t>申请笔数</t>
  </si>
  <si>
    <t>到账笔数</t>
  </si>
  <si>
    <t>笔数成功率</t>
  </si>
  <si>
    <t>申请金额</t>
  </si>
  <si>
    <t>到账金额</t>
  </si>
  <si>
    <t>金额成功率</t>
  </si>
  <si>
    <t>时间</t>
  </si>
  <si>
    <t>充值方式</t>
  </si>
  <si>
    <t>申请人数</t>
  </si>
  <si>
    <t>到账人数</t>
  </si>
  <si>
    <t>首存人数</t>
  </si>
  <si>
    <t>首存金额</t>
  </si>
  <si>
    <t>成功率 (%)</t>
  </si>
  <si>
    <t>到账金额占比 (%)</t>
  </si>
  <si>
    <t>平均到账时间</t>
  </si>
  <si>
    <t>100.00 %</t>
  </si>
  <si>
    <t>0.78 %</t>
  </si>
  <si>
    <t>93.33 %</t>
  </si>
  <si>
    <t>17.88 %</t>
  </si>
  <si>
    <t>78.57 %</t>
  </si>
  <si>
    <t>68.97 %</t>
  </si>
  <si>
    <t>85.71 %</t>
  </si>
  <si>
    <t>1.18 %</t>
  </si>
  <si>
    <t>78.94 %</t>
  </si>
  <si>
    <t>11.17 %</t>
  </si>
  <si>
    <t>94.11 %</t>
  </si>
  <si>
    <t>0.70 %</t>
  </si>
  <si>
    <t>85.79 %</t>
  </si>
  <si>
    <t>6.39 %</t>
  </si>
  <si>
    <t>75.46 %</t>
  </si>
  <si>
    <t>71.78 %</t>
  </si>
  <si>
    <t>55.46 %</t>
  </si>
  <si>
    <t>4.76 %</t>
  </si>
  <si>
    <t>79.96 %</t>
  </si>
  <si>
    <t>16.34 %</t>
  </si>
  <si>
    <t>83.84 %</t>
  </si>
  <si>
    <t>64.08 %</t>
  </si>
  <si>
    <t>89.42 %</t>
  </si>
  <si>
    <t>10.11 %</t>
  </si>
  <si>
    <t>96.87 %</t>
  </si>
  <si>
    <t>4.83 %</t>
  </si>
  <si>
    <t>70.29 %</t>
  </si>
  <si>
    <t>2.93 %</t>
  </si>
  <si>
    <t>85.10 %</t>
  </si>
  <si>
    <t>18.02 %</t>
  </si>
  <si>
    <t>79.12 %</t>
  </si>
  <si>
    <t>82.07 %</t>
  </si>
  <si>
    <t>75.00 %</t>
  </si>
  <si>
    <t>1.32 %</t>
  </si>
  <si>
    <t>66.66 %</t>
  </si>
  <si>
    <t>1.66 %</t>
  </si>
  <si>
    <t>84.74 %</t>
  </si>
  <si>
    <t>9.22 %</t>
  </si>
  <si>
    <t>47.58 %</t>
  </si>
  <si>
    <t>5.69 %</t>
  </si>
  <si>
    <t>73.62 %</t>
  </si>
  <si>
    <t>85.21 %</t>
  </si>
  <si>
    <t>38.09 %</t>
  </si>
  <si>
    <t>1.87 %</t>
  </si>
  <si>
    <t>0.49 %</t>
  </si>
  <si>
    <t>74.69 %</t>
  </si>
  <si>
    <t>9.32 %</t>
  </si>
  <si>
    <t>50.00 %</t>
  </si>
  <si>
    <t>3.09 %</t>
  </si>
  <si>
    <t>58.62 %</t>
  </si>
  <si>
    <t>7.84 %</t>
  </si>
  <si>
    <t>92.00 %</t>
  </si>
  <si>
    <t>78.71 %</t>
  </si>
  <si>
    <t>72.11 %</t>
  </si>
  <si>
    <t>58.00 %</t>
  </si>
  <si>
    <t>5.20 %</t>
  </si>
  <si>
    <t>72.85 %</t>
  </si>
  <si>
    <t>8.43 %</t>
  </si>
  <si>
    <t>3.26 %</t>
  </si>
  <si>
    <t>76.66 %</t>
  </si>
  <si>
    <t>3.52 %</t>
  </si>
  <si>
    <t>76.44 %</t>
  </si>
  <si>
    <t>80.11 %</t>
  </si>
  <si>
    <t>50.74 %</t>
  </si>
  <si>
    <t>4.54 %</t>
  </si>
  <si>
    <t>68.49 %</t>
  </si>
  <si>
    <t>8.54 %</t>
  </si>
  <si>
    <t>0.14 %</t>
  </si>
  <si>
    <t>82.60 %</t>
  </si>
  <si>
    <t>6.54 %</t>
  </si>
  <si>
    <t>76.19 %</t>
  </si>
  <si>
    <t>80.42 %</t>
  </si>
  <si>
    <t>63.63 %</t>
  </si>
  <si>
    <t>5.79 %</t>
  </si>
  <si>
    <t>79.27 %</t>
  </si>
  <si>
    <t>7.08 %</t>
  </si>
  <si>
    <t>40.00 %</t>
  </si>
  <si>
    <t>2.65 %</t>
  </si>
  <si>
    <t>68.96 %</t>
  </si>
  <si>
    <t>8.71 %</t>
  </si>
  <si>
    <t>72.21 %</t>
  </si>
  <si>
    <t>76.87 %</t>
  </si>
  <si>
    <t>50.90 %</t>
  </si>
  <si>
    <t>3.25 %</t>
  </si>
  <si>
    <t>78.21 %</t>
  </si>
  <si>
    <t>8.50 %</t>
  </si>
  <si>
    <t>25.00 %</t>
  </si>
  <si>
    <t>0.40 %</t>
  </si>
  <si>
    <t>88.88 %</t>
  </si>
  <si>
    <t>1.89 %</t>
  </si>
  <si>
    <t>82.57 %</t>
  </si>
  <si>
    <t>86.44 %</t>
  </si>
  <si>
    <t>81.39 %</t>
  </si>
  <si>
    <t>4.09 %</t>
  </si>
  <si>
    <t>74.11 %</t>
  </si>
  <si>
    <t>7.15 %</t>
  </si>
  <si>
    <t>1.73 %</t>
  </si>
  <si>
    <t>0.92 %</t>
  </si>
  <si>
    <t>66.30 %</t>
  </si>
  <si>
    <t>85.49 %</t>
  </si>
  <si>
    <t>3.46 %</t>
  </si>
  <si>
    <t>67.36 %</t>
  </si>
  <si>
    <t>8.38 %</t>
  </si>
  <si>
    <t>0.12 %</t>
  </si>
  <si>
    <t>70.37 %</t>
  </si>
  <si>
    <t>3.88 %</t>
  </si>
  <si>
    <t>81.18 %</t>
  </si>
  <si>
    <t>84.18 %</t>
  </si>
  <si>
    <t>58.49 %</t>
  </si>
  <si>
    <t>4.05 %</t>
  </si>
  <si>
    <t>67.77 %</t>
  </si>
  <si>
    <t>7.76 %</t>
  </si>
  <si>
    <t>0.32 %</t>
  </si>
  <si>
    <t>60.71 %</t>
  </si>
  <si>
    <t>2.85 %</t>
  </si>
  <si>
    <t>72.92 %</t>
  </si>
  <si>
    <t>88.60 %</t>
  </si>
  <si>
    <t>39.02 %</t>
  </si>
  <si>
    <t>1.77 %</t>
  </si>
  <si>
    <t>62.76 %</t>
  </si>
  <si>
    <t>6.43 %</t>
  </si>
  <si>
    <t>0.20 %</t>
  </si>
  <si>
    <t>47.05 %</t>
  </si>
  <si>
    <t>4.23 %</t>
  </si>
  <si>
    <t>67.22 %</t>
  </si>
  <si>
    <t>80.99 %</t>
  </si>
  <si>
    <t>46.51 %</t>
  </si>
  <si>
    <t>77.47 %</t>
  </si>
  <si>
    <t>11.62 %</t>
  </si>
  <si>
    <t>0.10 %</t>
  </si>
  <si>
    <t>10.48 %</t>
  </si>
  <si>
    <t>79.58 %</t>
  </si>
  <si>
    <t>77.19 %</t>
  </si>
  <si>
    <t>64.44 %</t>
  </si>
  <si>
    <t>6.63 %</t>
  </si>
  <si>
    <t>78.78 %</t>
  </si>
  <si>
    <t>5.58 %</t>
  </si>
  <si>
    <t>90.24 %</t>
  </si>
  <si>
    <t>10.31 %</t>
  </si>
  <si>
    <t>42.86 %</t>
  </si>
  <si>
    <t>74.93 %</t>
  </si>
  <si>
    <t>14.50 %</t>
  </si>
  <si>
    <t>3.68 %</t>
  </si>
  <si>
    <t>77.60 %</t>
  </si>
  <si>
    <t>11.06 %</t>
  </si>
  <si>
    <t>日期：</t>
  </si>
  <si>
    <t>加总</t>
  </si>
  <si>
    <t>差额</t>
  </si>
  <si>
    <t>序号</t>
  </si>
  <si>
    <t>活动名称</t>
  </si>
  <si>
    <t>活动类型</t>
  </si>
  <si>
    <t>笔数</t>
  </si>
  <si>
    <t>人数</t>
  </si>
  <si>
    <t>充值金額</t>
  </si>
  <si>
    <t>总充值占比</t>
  </si>
  <si>
    <t>活动金额</t>
  </si>
  <si>
    <t>活动占比</t>
  </si>
  <si>
    <t>活动/投注 %</t>
  </si>
  <si>
    <t>活动/充值 %</t>
  </si>
  <si>
    <t>活动/亏损 %</t>
  </si>
  <si>
    <t>活动细项</t>
  </si>
  <si>
    <t>玩家返水</t>
  </si>
  <si>
    <t>返水</t>
  </si>
  <si>
    <t>RNG Rebate</t>
  </si>
  <si>
    <t>LIVE Rebate</t>
  </si>
  <si>
    <t>PVP Rebate</t>
  </si>
  <si>
    <t>FISH Rebate</t>
  </si>
  <si>
    <t>E-LOTTO Rebate</t>
  </si>
  <si>
    <t>SPORTS Rebate</t>
  </si>
  <si>
    <t>3% DEPOSIT BONUS</t>
  </si>
  <si>
    <t>6% DEPOSIT BONUS</t>
  </si>
  <si>
    <t>笔笔存送</t>
  </si>
  <si>
    <t>4% DEPOSIT BONUS</t>
  </si>
  <si>
    <t>存款奖金</t>
  </si>
  <si>
    <t>GOTYME 5% DEPOSIT BONUS</t>
  </si>
  <si>
    <t>Daily Deposit 1000 Get 50</t>
  </si>
  <si>
    <t>Daily Deposit 10000 Get 800</t>
  </si>
  <si>
    <t>Daily Deposit 3000 Get 150</t>
  </si>
  <si>
    <t>每日存款返利</t>
  </si>
  <si>
    <t>Daily Deposit 500 Get 20</t>
  </si>
  <si>
    <t>Daily Deposit 5000 Get 300</t>
  </si>
  <si>
    <t>10% JL&amp;PG SLOT Bonus</t>
  </si>
  <si>
    <t>50% SATURDAY&amp;SUNDAY DEPOSIT BONUS 2/7-2/8</t>
  </si>
  <si>
    <t>签到奖励</t>
  </si>
  <si>
    <t>老虎机奖金</t>
  </si>
  <si>
    <t>升级奖励</t>
  </si>
  <si>
    <t>TG Lucky Balance Bonus</t>
  </si>
  <si>
    <t>TG Daily Top-Up Leaderboard</t>
  </si>
  <si>
    <t>TG rewards ranking</t>
  </si>
  <si>
    <t>TG Share Withdrawal screenshots</t>
  </si>
  <si>
    <t>手动红利</t>
  </si>
  <si>
    <t>TG幸运余额奖励</t>
  </si>
  <si>
    <t>TG每日储值排行榜</t>
  </si>
  <si>
    <t>TG奖励排名</t>
  </si>
  <si>
    <t>TG提现截图</t>
  </si>
  <si>
    <t>NEW MEMBER 1ST DEPOSIT BONUS</t>
  </si>
  <si>
    <t>NEW MEMBER 2ND DEPOSIT BONUS</t>
  </si>
  <si>
    <t>NEW MEMBER 3RD DEPOSIT BONUS</t>
  </si>
  <si>
    <t>优惠码</t>
  </si>
  <si>
    <t>首存</t>
  </si>
  <si>
    <t>任务排行榜</t>
  </si>
  <si>
    <t>二次存送</t>
  </si>
  <si>
    <t>登录任务</t>
  </si>
  <si>
    <t>三次存送</t>
  </si>
  <si>
    <t>邀请返佣</t>
  </si>
  <si>
    <t>存款达标奖励</t>
  </si>
  <si>
    <t>3% DAILY CASHBACK</t>
  </si>
  <si>
    <t>新手任务奖励</t>
  </si>
  <si>
    <t>推薦好友</t>
  </si>
  <si>
    <t>存款達標</t>
  </si>
  <si>
    <t>关怀援助金</t>
  </si>
  <si>
    <t>总计</t>
  </si>
  <si>
    <t>活动金额前三名：</t>
  </si>
  <si>
    <t>活动人数前三名：</t>
  </si>
  <si>
    <t>活动笔数前三名：</t>
  </si>
  <si>
    <t>异常手动写</t>
  </si>
  <si>
    <t>日期</t>
  </si>
  <si>
    <t>winp001</t>
  </si>
  <si>
    <t>eli168</t>
  </si>
  <si>
    <t>wpluseli168</t>
  </si>
  <si>
    <t>mkttestgame</t>
  </si>
  <si>
    <t>winningxtt</t>
  </si>
  <si>
    <t>blackmarket</t>
  </si>
  <si>
    <t>jasonbathan</t>
  </si>
  <si>
    <t>seo168</t>
  </si>
  <si>
    <t>zzz168</t>
  </si>
  <si>
    <t>bewin2023</t>
  </si>
  <si>
    <t>ahb566</t>
  </si>
  <si>
    <t>wilson168</t>
  </si>
  <si>
    <t>daitou168</t>
  </si>
  <si>
    <t>fbbot001</t>
  </si>
  <si>
    <t>finixio</t>
  </si>
  <si>
    <t>gaussie168</t>
  </si>
  <si>
    <t>ryan168</t>
  </si>
  <si>
    <t>pablosgroll</t>
  </si>
  <si>
    <t>casper888</t>
  </si>
  <si>
    <t>game168</t>
  </si>
  <si>
    <t>win1888</t>
  </si>
  <si>
    <t>tcgtest00</t>
  </si>
  <si>
    <t>wpdxag01</t>
  </si>
  <si>
    <t>wpopdwh1</t>
  </si>
  <si>
    <t>tgbomb168</t>
  </si>
  <si>
    <t>wpads002</t>
  </si>
  <si>
    <t>seowp001</t>
  </si>
  <si>
    <t>wpads001</t>
  </si>
  <si>
    <t>wpmetads001</t>
  </si>
  <si>
    <t>lstreaming1</t>
  </si>
  <si>
    <t>代理代号</t>
  </si>
  <si>
    <t xml:space="preserve"> </t>
  </si>
  <si>
    <t>WP</t>
  </si>
  <si>
    <t>报表管理-活跃用户分析</t>
  </si>
  <si>
    <t>报表管理-平台损益</t>
  </si>
  <si>
    <t>总账号</t>
  </si>
  <si>
    <t>登录人数</t>
  </si>
  <si>
    <t>投注人数</t>
  </si>
  <si>
    <t>存款人数</t>
  </si>
  <si>
    <t>提款人数</t>
  </si>
  <si>
    <t>注册人数</t>
  </si>
  <si>
    <t>首投人数</t>
  </si>
  <si>
    <t>首充人数</t>
  </si>
  <si>
    <t>首提人数</t>
  </si>
  <si>
    <t>彩金领取人数</t>
  </si>
  <si>
    <t>充提差</t>
  </si>
  <si>
    <t>日充值</t>
  </si>
  <si>
    <t>ARPU</t>
  </si>
  <si>
    <t>平台毛利</t>
  </si>
  <si>
    <t>充值</t>
  </si>
  <si>
    <t>提款金额</t>
  </si>
  <si>
    <t>充值人数</t>
  </si>
  <si>
    <t>提现人数</t>
  </si>
  <si>
    <t>玩家充值手续费</t>
  </si>
  <si>
    <t>玩家提款手续费</t>
  </si>
  <si>
    <t>渠道手续费</t>
  </si>
  <si>
    <t>手续费</t>
  </si>
  <si>
    <t>电子投注</t>
  </si>
  <si>
    <t>电子有效投注</t>
  </si>
  <si>
    <t>电子中奖</t>
  </si>
  <si>
    <t>电子红利</t>
  </si>
  <si>
    <t>电子返水</t>
  </si>
  <si>
    <t>电子邀请返佣</t>
  </si>
  <si>
    <t>电子代理返点</t>
  </si>
  <si>
    <t>电子代理日工资</t>
  </si>
  <si>
    <t>电子代理佣金</t>
  </si>
  <si>
    <t>电子代理分红</t>
  </si>
  <si>
    <t>电子盈亏</t>
  </si>
  <si>
    <t>真人投注</t>
  </si>
  <si>
    <t>真人有效投注</t>
  </si>
  <si>
    <t>真人中奖</t>
  </si>
  <si>
    <t>真人红利</t>
  </si>
  <si>
    <t>真人返水</t>
  </si>
  <si>
    <t>真人邀请返佣</t>
  </si>
  <si>
    <t>真人代理返点</t>
  </si>
  <si>
    <t>真人代理日工资</t>
  </si>
  <si>
    <t>真人代理佣金</t>
  </si>
  <si>
    <t>真人代理分红</t>
  </si>
  <si>
    <t>真人盈亏</t>
  </si>
  <si>
    <t>彩票投注</t>
  </si>
  <si>
    <t>彩票有效投注</t>
  </si>
  <si>
    <t>彩票中奖</t>
  </si>
  <si>
    <t>彩票红利</t>
  </si>
  <si>
    <t>彩票返水</t>
  </si>
  <si>
    <t>彩票邀请返佣</t>
  </si>
  <si>
    <t>彩票代理返点</t>
  </si>
  <si>
    <t>平台佣金</t>
  </si>
  <si>
    <t>彩票代理日工资</t>
  </si>
  <si>
    <t>彩票代理佣金</t>
  </si>
  <si>
    <t>彩票代理分红</t>
  </si>
  <si>
    <t>彩票盈亏</t>
  </si>
  <si>
    <t>棋牌输额</t>
  </si>
  <si>
    <t>棋牌有效投注</t>
  </si>
  <si>
    <t>棋牌赢额</t>
  </si>
  <si>
    <t>棋牌红利</t>
  </si>
  <si>
    <t>棋牌返水</t>
  </si>
  <si>
    <t>棋牌邀请返佣</t>
  </si>
  <si>
    <t>棋牌代理返点</t>
  </si>
  <si>
    <t>棋牌代理日工资</t>
  </si>
  <si>
    <t>棋牌代理佣金</t>
  </si>
  <si>
    <t>棋牌代理分红</t>
  </si>
  <si>
    <t>棋牌盈亏</t>
  </si>
  <si>
    <t>捕鱼投注</t>
  </si>
  <si>
    <t>捕鱼有效投注</t>
  </si>
  <si>
    <t>捕鱼中奖</t>
  </si>
  <si>
    <t>捕鱼红利</t>
  </si>
  <si>
    <t>捕鱼玩家返水</t>
  </si>
  <si>
    <t>捕鱼邀请返佣</t>
  </si>
  <si>
    <t>捕鱼代理返点</t>
  </si>
  <si>
    <t>捕鱼代理日工资</t>
  </si>
  <si>
    <t>捕鱼代理佣金</t>
  </si>
  <si>
    <t>捕鱼代理分红</t>
  </si>
  <si>
    <t>捕鱼盈亏</t>
  </si>
  <si>
    <t>体育投注</t>
  </si>
  <si>
    <t>体育有效投注</t>
  </si>
  <si>
    <t>体育中奖</t>
  </si>
  <si>
    <t>体育红利</t>
  </si>
  <si>
    <t>体育玩家返水</t>
  </si>
  <si>
    <t>体育邀请返佣</t>
  </si>
  <si>
    <t>体育代理返点</t>
  </si>
  <si>
    <t>体育代理日工资</t>
  </si>
  <si>
    <t>体育代理佣金</t>
  </si>
  <si>
    <t>体育代理分红</t>
  </si>
  <si>
    <t>体育盈亏</t>
  </si>
  <si>
    <t>盘口彩票投注</t>
  </si>
  <si>
    <t>盘口彩票有效投注</t>
  </si>
  <si>
    <t>盘口彩票中奖</t>
  </si>
  <si>
    <t>盘口彩票红利</t>
  </si>
  <si>
    <t>盘口彩票玩家返水</t>
  </si>
  <si>
    <t>盘口彩邀请返佣</t>
  </si>
  <si>
    <t>盘口彩票代理返点</t>
  </si>
  <si>
    <t>盘口彩票代理日工资</t>
  </si>
  <si>
    <t>盘口彩票代理佣金</t>
  </si>
  <si>
    <t>盘口彩票代理分红</t>
  </si>
  <si>
    <t>盘口彩票盈亏</t>
  </si>
  <si>
    <t>开分</t>
  </si>
  <si>
    <t>洗分</t>
  </si>
  <si>
    <t>中心钱包红利</t>
  </si>
  <si>
    <t>综合性分红</t>
  </si>
  <si>
    <t>综合佣金</t>
  </si>
  <si>
    <t>综合日工资</t>
  </si>
  <si>
    <t>直播送礼</t>
  </si>
  <si>
    <t>邀请奖励</t>
  </si>
  <si>
    <t>成就奖励</t>
  </si>
  <si>
    <t>充值返佣</t>
  </si>
  <si>
    <t>手续费返还</t>
  </si>
  <si>
    <t>其他</t>
  </si>
  <si>
    <t>中心开始馀额</t>
  </si>
  <si>
    <t>中心开始浮动余额</t>
  </si>
  <si>
    <t>开始余额</t>
  </si>
  <si>
    <t>中心结算馀额</t>
  </si>
  <si>
    <t>中心结算浮动余额</t>
  </si>
  <si>
    <t>结算余额</t>
  </si>
  <si>
    <t>净输/投注</t>
  </si>
  <si>
    <t>净赢/中奖</t>
  </si>
  <si>
    <t>8月</t>
  </si>
  <si>
    <t>手续费费率</t>
  </si>
  <si>
    <t>报表管理-平台损益总表</t>
  </si>
  <si>
    <t>报表管理-留存用户分析</t>
  </si>
  <si>
    <t>报表管理-平台损益-充值</t>
  </si>
  <si>
    <t>报表管理-游戏玩家分析</t>
  </si>
  <si>
    <t>GAME_REBATE</t>
  </si>
  <si>
    <t>APP_DOWNLOAD</t>
  </si>
  <si>
    <t>DEPOSIT</t>
  </si>
  <si>
    <t>LOGIN</t>
  </si>
  <si>
    <t>UPGRADE_BONUS</t>
  </si>
  <si>
    <t>MANUAL</t>
  </si>
  <si>
    <t>PROMO_CODE</t>
  </si>
  <si>
    <t>LOGIN_TASK</t>
  </si>
  <si>
    <t>DEPOSIT_BET_BONUS</t>
  </si>
  <si>
    <t>SAVIOR</t>
  </si>
  <si>
    <t>MISSION</t>
  </si>
  <si>
    <t>RANK_SALARY</t>
  </si>
  <si>
    <t>SECOND_DEPOSIT</t>
  </si>
  <si>
    <t>THIRD_DEPOSIT</t>
  </si>
  <si>
    <t>FIRST_DEPOSIT</t>
  </si>
  <si>
    <t>报表管理-平台损益-手续费</t>
  </si>
  <si>
    <t>报表管理-平台损益-平台毛利</t>
  </si>
  <si>
    <t>存款次数</t>
  </si>
  <si>
    <t>出款笔数</t>
  </si>
  <si>
    <t>总首存</t>
  </si>
  <si>
    <t>公式</t>
  </si>
  <si>
    <t>投注</t>
  </si>
  <si>
    <t>有效投注</t>
  </si>
  <si>
    <t>公司输赢</t>
  </si>
  <si>
    <t>派彩</t>
  </si>
  <si>
    <t>APP下载</t>
  </si>
  <si>
    <t>红利扣除</t>
  </si>
  <si>
    <t>VIP俸禄</t>
  </si>
  <si>
    <t>注册奖励</t>
  </si>
  <si>
    <t>四次存送</t>
  </si>
  <si>
    <t>五次存送</t>
  </si>
  <si>
    <t>总优惠</t>
  </si>
  <si>
    <t>返点</t>
  </si>
  <si>
    <t>代理贡献层级</t>
  </si>
  <si>
    <t>玩家提现手续费</t>
  </si>
  <si>
    <t>代理佣金（周）</t>
  </si>
  <si>
    <t>代理佣金（月</t>
  </si>
  <si>
    <t>时间
 Date</t>
  </si>
  <si>
    <t>平台新注册人数
 Total New Users</t>
  </si>
  <si>
    <t>总首充人数
 first depositor / no of first time depositors</t>
  </si>
  <si>
    <t>总登录人数
 Login 
 Head Count</t>
  </si>
  <si>
    <t>续存人数
 Number of survivors</t>
  </si>
  <si>
    <t>总存款人数
 no of total depositors</t>
  </si>
  <si>
    <t>总存款次数
 deposit times / total deposit counts</t>
  </si>
  <si>
    <t>总取款人数
 no of total withdrawer</t>
  </si>
  <si>
    <t>总取款次数
 withdrawal times / total withdrawal counts</t>
  </si>
  <si>
    <t>总投注人数
 no of bettors / No of bet</t>
  </si>
  <si>
    <t>首存金额
 First deposit amount</t>
  </si>
  <si>
    <t>总存款额度
 total deposit amount</t>
  </si>
  <si>
    <t>总取款额度
 total withdrawal amount</t>
  </si>
  <si>
    <t>平台转化率
 Conversion rate</t>
  </si>
  <si>
    <t>人均首存金额</t>
  </si>
  <si>
    <t>首存比例存款
 First deposit ratio
 total deposit</t>
  </si>
  <si>
    <t>人均次数
 Per capita times</t>
  </si>
  <si>
    <t>人均入款 
 Per capita deposit</t>
  </si>
  <si>
    <t>單次人均入款</t>
  </si>
  <si>
    <t>續存/首存 比</t>
  </si>
  <si>
    <t>人均提款
 Withdrawal per capita</t>
  </si>
  <si>
    <t>存提差
 Deposit/withdrawal difference</t>
  </si>
  <si>
    <t>投注
 Betting</t>
  </si>
  <si>
    <t>有效投注额
 Valid bet</t>
  </si>
  <si>
    <t>公司输赢
 Win or lose</t>
  </si>
  <si>
    <t>派彩
 Payouts</t>
  </si>
  <si>
    <t>杀率
 kill rate</t>
  </si>
  <si>
    <t>棋牌投注
 PVP Bet</t>
  </si>
  <si>
    <t>棋牌赢额
 PVP Win</t>
  </si>
  <si>
    <t>棋牌杀率
 PVP kill rate</t>
  </si>
  <si>
    <t>電子投注
 RNG Bet</t>
  </si>
  <si>
    <t>電子中獎
 RNG Win</t>
  </si>
  <si>
    <t>電子杀率
 RNG kill rate</t>
  </si>
  <si>
    <t>真人投注
 LIVE Bet</t>
  </si>
  <si>
    <t>真人中獎
 LIVE Win</t>
  </si>
  <si>
    <t>真人杀率
 LIVE kill rate</t>
  </si>
  <si>
    <t>捕魚投注
 FISH Bet</t>
  </si>
  <si>
    <t>捕魚中獎
 FISH Win</t>
  </si>
  <si>
    <t>捕魚杀率
 FISH kill rate</t>
  </si>
  <si>
    <t>體育投注
 SPORTS Bet</t>
  </si>
  <si>
    <t>體育中獎
 SPORTS Win</t>
  </si>
  <si>
    <t>體育杀率
 SPORTS kill rate</t>
  </si>
  <si>
    <t>盘口彩票投注
 ELOTT Bet</t>
  </si>
  <si>
    <t>盘口彩票中獎
 ELOTT Win</t>
  </si>
  <si>
    <t>盘口彩票 
 ELOTT kill rate</t>
  </si>
  <si>
    <t>其他奖励
 Other Bonus</t>
  </si>
  <si>
    <t>总优惠
 （Z+...+AH）
 Total Bonus</t>
  </si>
  <si>
    <t>返点
 Rebates</t>
  </si>
  <si>
    <t>邀请返佣
 Referral rebates</t>
  </si>
  <si>
    <t>优惠占比投注
Preferential ratio
bet</t>
  </si>
  <si>
    <t>优惠占比充值
Bonus
rebates</t>
  </si>
  <si>
    <t>优惠占比游戏亏损
Preferential
astio loss</t>
  </si>
  <si>
    <t>公司净利
 company net profit</t>
  </si>
  <si>
    <t>優惠/ 淨利</t>
  </si>
  <si>
    <t>存款手续费
 Deposit fees</t>
  </si>
  <si>
    <t>提款手续费
 Withdrawal fees</t>
  </si>
  <si>
    <t>支付手续费
 service fees (Payment Channel Fee)</t>
  </si>
  <si>
    <t>预估平台费9%
 Estimate
 platform fee</t>
  </si>
  <si>
    <t>支付費用/淨利</t>
  </si>
  <si>
    <t>代理佣金（周）
 Affiliate Commission (Weekly)</t>
  </si>
  <si>
    <t>代理佣金（月）
 Affiliate Commission (Monthly)</t>
  </si>
  <si>
    <t>開分
 Credit 
 Adjustment</t>
  </si>
  <si>
    <t>洗分
 Debit 
 Adjustment</t>
  </si>
  <si>
    <t>平台余额
 Platform balance</t>
  </si>
  <si>
    <t>平台毛利 3
 GP3</t>
  </si>
  <si>
    <t>月份</t>
  </si>
  <si>
    <t>SUB total</t>
  </si>
  <si>
    <t>2月合计</t>
  </si>
  <si>
    <t>2月平均</t>
  </si>
  <si>
    <t>每月5号给上月手续费比例</t>
  </si>
  <si>
    <t>20% Daily Slots Deposit Bonus</t>
  </si>
  <si>
    <t>老虎机存款20%</t>
  </si>
  <si>
    <t>3% TOP UP BONUS EVERY TIME</t>
  </si>
  <si>
    <t>充值 3%奖利</t>
  </si>
  <si>
    <t>Surprise Super Bonus test</t>
  </si>
  <si>
    <t>惊喜超级奖金测试</t>
  </si>
  <si>
    <t>NEW MEMBER 4TH DEPOSIT BONUS</t>
  </si>
  <si>
    <t>NEW MEMBER 5TH DEPOSIT BONUS</t>
  </si>
  <si>
    <t>2 月20 日 jiliarena 活动红利分析</t>
  </si>
  <si>
    <t>2 月19 日 jiliarena 活动红利分析</t>
  </si>
  <si>
    <t>2 月18 日 jiliarena 活动红利分析</t>
  </si>
  <si>
    <t>2 月17 日 jiliarena 活动红利分析</t>
  </si>
  <si>
    <t>2 月16 日 jiliarena 活动红利分析</t>
  </si>
  <si>
    <t>2 月15 日 jiliarena 活动红利分析</t>
  </si>
  <si>
    <t>2 月14 日 jiliarena 活动红利分析</t>
  </si>
  <si>
    <t>2 月13 日 jiliarena 活动红利分析</t>
  </si>
  <si>
    <t>2 月12 日 jiliarena 活动红利分析</t>
  </si>
  <si>
    <t>2 月11 日 jiliarena 活动红利分析</t>
  </si>
  <si>
    <t>2 月10 日 jiliarena 活动红利分析</t>
  </si>
  <si>
    <t/>
  </si>
  <si>
    <t>中文</t>
  </si>
  <si>
    <t>用于“笔数”的 SUM</t>
  </si>
  <si>
    <t>用于“人数”的 SUM</t>
  </si>
  <si>
    <t>用于“活动金额”的 SUM</t>
  </si>
  <si>
    <t>用于“兑换票券金额”的 SUM</t>
  </si>
  <si>
    <t>用于“兑换票券数”的 SUM</t>
  </si>
  <si>
    <t>大标</t>
  </si>
  <si>
    <t>充值金额</t>
  </si>
  <si>
    <t>人数占比</t>
  </si>
  <si>
    <t>兑换票券金额</t>
  </si>
  <si>
    <t>兑换票券数</t>
  </si>
  <si>
    <t>金额占比</t>
  </si>
  <si>
    <t>120% first deposit bonus</t>
  </si>
  <si>
    <t>50% first deposit bonus</t>
  </si>
  <si>
    <t>50% second deposit bonus</t>
  </si>
  <si>
    <t>投注返佣</t>
  </si>
  <si>
    <t>DAILY LOGIN TASK BONUS</t>
  </si>
  <si>
    <t>Download App &amp; Get ₱5–20</t>
  </si>
  <si>
    <t>Free daily check-in rewards</t>
  </si>
  <si>
    <t>JILI ARENA REWARD CLUB</t>
  </si>
  <si>
    <t>New Player Bonus: Get ₱8</t>
  </si>
  <si>
    <t>Spin the Lucky Wheel</t>
  </si>
  <si>
    <t>NEW REGISTER GET 20P FREE BONUS</t>
  </si>
  <si>
    <t>FOURTH_DEPOSIT</t>
  </si>
  <si>
    <t>用于“存值金额”的 SUM</t>
  </si>
  <si>
    <t>金额相加F+G</t>
  </si>
  <si>
    <t>C</t>
  </si>
  <si>
    <t>L</t>
  </si>
  <si>
    <t>存值金额</t>
  </si>
  <si>
    <t>免费转券</t>
  </si>
  <si>
    <t>代理 / 每日存款</t>
  </si>
  <si>
    <t>boss888</t>
  </si>
  <si>
    <t>jiliarena01</t>
  </si>
  <si>
    <t>jiliseo18</t>
  </si>
  <si>
    <t>ph12388</t>
  </si>
  <si>
    <t>win168</t>
  </si>
  <si>
    <t>兩日存款對比</t>
  </si>
  <si>
    <t>代理 / 日期</t>
  </si>
  <si>
    <t>人數</t>
  </si>
  <si>
    <t>合计</t>
  </si>
  <si>
    <t>差</t>
  </si>
  <si>
    <t>兩日人數對比</t>
  </si>
  <si>
    <t>total</t>
  </si>
  <si>
    <t>报表管理-代理市场分析</t>
  </si>
  <si>
    <t>贴档过来，记打打卡小数点</t>
  </si>
  <si>
    <t>代理账号</t>
  </si>
  <si>
    <t>代理层级</t>
  </si>
  <si>
    <t>登入人数</t>
  </si>
  <si>
    <t>首充金额</t>
  </si>
  <si>
    <t>充值次数</t>
  </si>
  <si>
    <t>提现</t>
  </si>
  <si>
    <t>提现次数</t>
  </si>
  <si>
    <t>红利</t>
  </si>
  <si>
    <t>中奖</t>
  </si>
  <si>
    <t>盈亏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</si>
</sst>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2">
    <numFmt numFmtId="164" formatCode="m/d"/>
    <numFmt numFmtId="165" formatCode="yyyy-M-d"/>
    <numFmt numFmtId="166" formatCode="hh:mm:ss"/>
    <numFmt numFmtId="167" formatCode="yyyy-m-d"/>
    <numFmt numFmtId="168" formatCode="m&quot;/&quot;d"/>
    <numFmt numFmtId="169" formatCode=" #,##0_);-[Red]#,##0"/>
    <numFmt numFmtId="170" formatCode=" #,##0.00_);-[Red]#,##0.00"/>
    <numFmt numFmtId="171" formatCode="  #,##0.00_);-[Red]#,##0.00"/>
    <numFmt numFmtId="172" formatCode="yyyy/m/d"/>
    <numFmt numFmtId="173" formatCode="  #,##0_);-[Red]#,##0"/>
    <numFmt numFmtId="174" formatCode=" #,##0.000_);-[Red]#,##0.000"/>
    <numFmt numFmtId="175" formatCode="#,##0.00_);[Red]-#,##0.00"/>
  </numFmts>
  <fonts count="47">
    <font>
      <sz val="10.0"/>
      <color rgb="FF000000"/>
      <name val="Arial"/>
      <scheme val="minor"/>
    </font>
    <font>
      <b/>
      <sz val="12.0"/>
      <color rgb="FF000000"/>
      <name val="Arial"/>
      <scheme val="minor"/>
    </font>
    <font>
      <b/>
      <sz val="14.0"/>
      <color rgb="FFFFFFFF"/>
      <name val="Arial"/>
      <scheme val="minor"/>
    </font>
    <font>
      <color rgb="FF000000"/>
      <name val="Arial"/>
      <scheme val="minor"/>
    </font>
    <font>
      <b/>
      <color rgb="FF000000"/>
      <name val="Arial"/>
    </font>
    <font/>
    <font>
      <sz val="19.0"/>
      <color theme="1"/>
      <name val="Arial"/>
      <scheme val="minor"/>
    </font>
    <font>
      <sz val="12.0"/>
      <color rgb="FF000000"/>
      <name val="新細明體"/>
    </font>
    <font>
      <sz val="12.0"/>
      <color theme="1"/>
      <name val="Arial"/>
    </font>
    <font>
      <color rgb="FF000000"/>
      <name val="&quot;Open Sans&quot;"/>
    </font>
    <font>
      <color theme="1"/>
      <name val="Arial"/>
      <scheme val="minor"/>
    </font>
    <font>
      <color rgb="FFFFFFFF"/>
      <name val="Arial"/>
      <scheme val="minor"/>
    </font>
    <font>
      <b/>
      <color theme="1"/>
      <name val="Arial"/>
      <scheme val="minor"/>
    </font>
    <font>
      <sz val="12.0"/>
      <color theme="1"/>
      <name val="Arial"/>
      <scheme val="minor"/>
    </font>
    <font>
      <color theme="1"/>
      <name val="KaiTi"/>
    </font>
    <font>
      <b/>
      <sz val="12.0"/>
      <color theme="1"/>
      <name val="Arial"/>
    </font>
    <font>
      <sz val="13.0"/>
      <color theme="1"/>
      <name val="Arial"/>
    </font>
    <font>
      <color theme="1"/>
      <name val="Arial"/>
    </font>
    <font>
      <b/>
      <color theme="1"/>
      <name val="Arial"/>
    </font>
    <font>
      <b/>
      <sz val="19.0"/>
      <color theme="1"/>
      <name val="Arial"/>
      <scheme val="minor"/>
    </font>
    <font>
      <sz val="15.0"/>
      <color theme="1"/>
      <name val="Arial"/>
      <scheme val="minor"/>
    </font>
    <font>
      <sz val="11.0"/>
      <color rgb="FF000000"/>
      <name val="新細明體"/>
    </font>
    <font>
      <sz val="10.0"/>
      <color theme="1"/>
      <name val="Arial"/>
      <scheme val="minor"/>
    </font>
    <font>
      <b/>
      <sz val="15.0"/>
      <color rgb="FFFFFFFF"/>
      <name val="新細明體"/>
    </font>
    <font>
      <b/>
      <color theme="1"/>
      <name val="新細明體"/>
    </font>
    <font>
      <b/>
      <sz val="7.0"/>
      <color rgb="FFFFFFFF"/>
      <name val="新細明體"/>
    </font>
    <font>
      <sz val="7.0"/>
      <color rgb="FF000000"/>
      <name val="新細明體"/>
    </font>
    <font>
      <b/>
      <sz val="7.0"/>
      <color theme="1"/>
      <name val="新細明體"/>
    </font>
    <font>
      <sz val="11.0"/>
      <color theme="1"/>
      <name val="新細明體"/>
    </font>
    <font>
      <color theme="1"/>
      <name val="新細明體"/>
    </font>
    <font>
      <b/>
      <color rgb="FF0C17F0"/>
      <name val="新細明體"/>
    </font>
    <font>
      <b/>
      <color rgb="FF000000"/>
      <name val="新細明體"/>
    </font>
    <font>
      <b/>
      <color rgb="FF0000FF"/>
      <name val="新細明體"/>
    </font>
    <font>
      <color rgb="FF0000FF"/>
      <name val="Arial"/>
    </font>
    <font>
      <color rgb="FF9C0006"/>
      <name val="Arial"/>
    </font>
    <font>
      <sz val="11.0"/>
      <color rgb="FF151FF1"/>
      <name val="Arial"/>
    </font>
    <font>
      <sz val="11.0"/>
      <color theme="1"/>
      <name val="Arial"/>
    </font>
    <font>
      <b/>
      <color rgb="FFE04343"/>
      <name val="新細明體"/>
    </font>
    <font>
      <b/>
      <color rgb="FF000000"/>
      <name val="Arial"/>
      <scheme val="minor"/>
    </font>
    <font>
      <b/>
      <color rgb="FF0000FF"/>
      <name val="Arial"/>
      <scheme val="minor"/>
    </font>
    <font>
      <b/>
      <sz val="13.0"/>
      <color theme="1"/>
      <name val="Arial"/>
    </font>
    <font>
      <b/>
      <sz val="14.0"/>
      <color theme="1"/>
      <name val="Arial"/>
    </font>
    <font>
      <sz val="14.0"/>
      <color theme="1"/>
      <name val="Arial"/>
      <scheme val="minor"/>
    </font>
    <font>
      <sz val="14.0"/>
      <color rgb="FF000000"/>
      <name val="新細明體"/>
    </font>
    <font>
      <sz val="13.0"/>
      <color theme="1"/>
      <name val="SimHei"/>
    </font>
    <font>
      <b/>
      <color rgb="FFFFFFFF"/>
      <name val="Arial"/>
    </font>
    <font>
      <b/>
      <sz val="12.0"/>
      <color rgb="FFFF0000"/>
      <name val="新細明體"/>
    </font>
  </fonts>
  <fills count="33">
    <fill>
      <patternFill patternType="none"/>
    </fill>
    <fill>
      <patternFill patternType="lightGray"/>
    </fill>
    <fill>
      <patternFill patternType="solid">
        <fgColor rgb="FF70E096"/>
        <bgColor rgb="FF70E096"/>
      </patternFill>
    </fill>
    <fill>
      <patternFill patternType="solid">
        <fgColor rgb="FF000000"/>
        <bgColor rgb="FF000000"/>
      </patternFill>
    </fill>
    <fill>
      <patternFill patternType="solid">
        <fgColor rgb="FFCCE6FF"/>
        <bgColor rgb="FFCCE6FF"/>
      </patternFill>
    </fill>
    <fill>
      <patternFill patternType="solid">
        <fgColor rgb="FFFFF001"/>
        <bgColor rgb="FFFFF001"/>
      </patternFill>
    </fill>
    <fill>
      <patternFill patternType="solid">
        <fgColor rgb="FFFFD966"/>
        <bgColor rgb="FFFFD966"/>
      </patternFill>
    </fill>
    <fill>
      <patternFill patternType="solid">
        <fgColor rgb="FFFFFFFF"/>
        <bgColor rgb="FFFFFFFF"/>
      </patternFill>
    </fill>
    <fill>
      <patternFill patternType="solid">
        <fgColor rgb="FFF7F7F7"/>
        <bgColor rgb="FFF7F7F7"/>
      </patternFill>
    </fill>
    <fill>
      <patternFill patternType="solid">
        <fgColor rgb="FFFFFF00"/>
        <bgColor rgb="FFFFFF00"/>
      </patternFill>
    </fill>
    <fill>
      <patternFill patternType="solid">
        <fgColor rgb="FFFAFAFA"/>
        <bgColor rgb="FFFAFAFA"/>
      </patternFill>
    </fill>
    <fill>
      <patternFill patternType="solid">
        <fgColor rgb="FFFFD9B2"/>
        <bgColor rgb="FFFFD9B2"/>
      </patternFill>
    </fill>
    <fill>
      <patternFill patternType="solid">
        <fgColor rgb="FFFFF2CC"/>
        <bgColor rgb="FFFFF2CC"/>
      </patternFill>
    </fill>
    <fill>
      <patternFill patternType="solid">
        <fgColor rgb="FFFFB973"/>
        <bgColor rgb="FFFFB973"/>
      </patternFill>
    </fill>
    <fill>
      <patternFill patternType="solid">
        <fgColor rgb="FFFF0000"/>
        <bgColor rgb="FFFF0000"/>
      </patternFill>
    </fill>
    <fill>
      <patternFill patternType="solid">
        <fgColor rgb="FFFF9900"/>
        <bgColor rgb="FFFF9900"/>
      </patternFill>
    </fill>
    <fill>
      <patternFill patternType="solid">
        <fgColor rgb="FF99CEFF"/>
        <bgColor rgb="FF99CEFF"/>
      </patternFill>
    </fill>
    <fill>
      <patternFill patternType="solid">
        <fgColor rgb="FFE2D9FF"/>
        <bgColor rgb="FFE2D9FF"/>
      </patternFill>
    </fill>
    <fill>
      <patternFill patternType="solid">
        <fgColor rgb="FFC9DAF8"/>
        <bgColor rgb="FFC9DAF8"/>
      </patternFill>
    </fill>
    <fill>
      <patternFill patternType="solid">
        <fgColor rgb="FFA39FBE"/>
        <bgColor rgb="FFA39FBE"/>
      </patternFill>
    </fill>
    <fill>
      <patternFill patternType="solid">
        <fgColor rgb="FFFCD5B4"/>
        <bgColor rgb="FFFCD5B4"/>
      </patternFill>
    </fill>
    <fill>
      <patternFill patternType="solid">
        <fgColor rgb="FFC4BD97"/>
        <bgColor rgb="FFC4BD97"/>
      </patternFill>
    </fill>
    <fill>
      <patternFill patternType="solid">
        <fgColor rgb="FFE6EBF0"/>
        <bgColor rgb="FFE6EBF0"/>
      </patternFill>
    </fill>
    <fill>
      <patternFill patternType="solid">
        <fgColor rgb="FFFFFFCC"/>
        <bgColor rgb="FFFFFFCC"/>
      </patternFill>
    </fill>
    <fill>
      <patternFill patternType="solid">
        <fgColor rgb="FFEAD1DC"/>
        <bgColor rgb="FFEAD1DC"/>
      </patternFill>
    </fill>
    <fill>
      <patternFill patternType="solid">
        <fgColor rgb="FF9FC5E8"/>
        <bgColor rgb="FF9FC5E8"/>
      </patternFill>
    </fill>
    <fill>
      <patternFill patternType="solid">
        <fgColor rgb="FFD9D9D9"/>
        <bgColor rgb="FFD9D9D9"/>
      </patternFill>
    </fill>
    <fill>
      <patternFill patternType="solid">
        <fgColor rgb="FF00FFFF"/>
        <bgColor rgb="FF00FFFF"/>
      </patternFill>
    </fill>
    <fill>
      <patternFill patternType="solid">
        <fgColor rgb="FFFFD9F2"/>
        <bgColor rgb="FFFFD9F2"/>
      </patternFill>
    </fill>
    <fill>
      <patternFill patternType="solid">
        <fgColor rgb="FFFFA6E0"/>
        <bgColor rgb="FFFFA6E0"/>
      </patternFill>
    </fill>
    <fill>
      <patternFill patternType="solid">
        <fgColor rgb="FF00FF00"/>
        <bgColor rgb="FF00FF00"/>
      </patternFill>
    </fill>
    <fill>
      <patternFill patternType="solid">
        <fgColor rgb="FFF3F3F3"/>
        <bgColor rgb="FFF3F3F3"/>
      </patternFill>
    </fill>
    <fill>
      <patternFill patternType="solid">
        <fgColor rgb="FFC4F5D4"/>
        <bgColor rgb="FFC4F5D4"/>
      </patternFill>
    </fill>
  </fills>
  <borders count="17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  <border>
      <left style="thin">
        <color rgb="FF000000"/>
      </lef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bottom style="thin">
        <color rgb="FFF0F0F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8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1" fillId="2" fontId="1" numFmtId="0" xfId="0" applyAlignment="1" applyBorder="1" applyFill="1" applyFont="1">
      <alignment horizontal="center" readingOrder="0"/>
    </xf>
    <xf borderId="2" fillId="3" fontId="2" numFmtId="0" xfId="0" applyAlignment="1" applyBorder="1" applyFill="1" applyFont="1">
      <alignment horizontal="center" readingOrder="0"/>
    </xf>
    <xf borderId="3" fillId="2" fontId="1" numFmtId="0" xfId="0" applyAlignment="1" applyBorder="1" applyFont="1">
      <alignment horizontal="center" readingOrder="0"/>
    </xf>
    <xf borderId="4" fillId="2" fontId="1" numFmtId="0" xfId="0" applyAlignment="1" applyBorder="1" applyFont="1">
      <alignment horizontal="center" readingOrder="0"/>
    </xf>
    <xf borderId="0" fillId="0" fontId="3" numFmtId="164" xfId="0" applyAlignment="1" applyFont="1" applyNumberFormat="1">
      <alignment horizontal="center" readingOrder="0"/>
    </xf>
    <xf borderId="5" fillId="4" fontId="3" numFmtId="165" xfId="0" applyAlignment="1" applyBorder="1" applyFill="1" applyFont="1" applyNumberFormat="1">
      <alignment horizontal="center" readingOrder="0" vertical="center"/>
    </xf>
    <xf borderId="2" fillId="0" fontId="3" numFmtId="0" xfId="0" applyAlignment="1" applyBorder="1" applyFont="1">
      <alignment horizontal="left" readingOrder="0"/>
    </xf>
    <xf borderId="3" fillId="0" fontId="4" numFmtId="3" xfId="0" applyAlignment="1" applyBorder="1" applyFont="1" applyNumberFormat="1">
      <alignment horizontal="center" readingOrder="0"/>
    </xf>
    <xf borderId="4" fillId="0" fontId="4" numFmtId="3" xfId="0" applyAlignment="1" applyBorder="1" applyFont="1" applyNumberFormat="1">
      <alignment horizontal="center" readingOrder="0"/>
    </xf>
    <xf borderId="6" fillId="0" fontId="5" numFmtId="0" xfId="0" applyBorder="1" applyFont="1"/>
    <xf borderId="0" fillId="0" fontId="3" numFmtId="0" xfId="0" applyAlignment="1" applyFont="1">
      <alignment horizontal="left" readingOrder="0"/>
    </xf>
    <xf borderId="0" fillId="0" fontId="4" numFmtId="3" xfId="0" applyAlignment="1" applyFont="1" applyNumberFormat="1">
      <alignment horizontal="center" readingOrder="0"/>
    </xf>
    <xf borderId="7" fillId="0" fontId="4" numFmtId="3" xfId="0" applyAlignment="1" applyBorder="1" applyFont="1" applyNumberFormat="1">
      <alignment horizontal="center" readingOrder="0"/>
    </xf>
    <xf borderId="0" fillId="5" fontId="3" numFmtId="0" xfId="0" applyAlignment="1" applyFill="1" applyFont="1">
      <alignment horizontal="left" readingOrder="0"/>
    </xf>
    <xf borderId="0" fillId="5" fontId="4" numFmtId="10" xfId="0" applyAlignment="1" applyFont="1" applyNumberFormat="1">
      <alignment horizontal="center" readingOrder="0"/>
    </xf>
    <xf borderId="7" fillId="5" fontId="4" numFmtId="10" xfId="0" applyAlignment="1" applyBorder="1" applyFont="1" applyNumberFormat="1">
      <alignment horizontal="center" readingOrder="0"/>
    </xf>
    <xf borderId="0" fillId="0" fontId="4" numFmtId="4" xfId="0" applyAlignment="1" applyFont="1" applyNumberFormat="1">
      <alignment horizontal="center" readingOrder="0"/>
    </xf>
    <xf borderId="8" fillId="0" fontId="3" numFmtId="0" xfId="0" applyAlignment="1" applyBorder="1" applyFont="1">
      <alignment horizontal="left" readingOrder="0"/>
    </xf>
    <xf borderId="9" fillId="0" fontId="5" numFmtId="0" xfId="0" applyBorder="1" applyFont="1"/>
    <xf borderId="10" fillId="6" fontId="3" numFmtId="0" xfId="0" applyAlignment="1" applyBorder="1" applyFill="1" applyFont="1">
      <alignment horizontal="left" readingOrder="0"/>
    </xf>
    <xf borderId="11" fillId="6" fontId="4" numFmtId="10" xfId="0" applyAlignment="1" applyBorder="1" applyFont="1" applyNumberFormat="1">
      <alignment horizontal="center" readingOrder="0"/>
    </xf>
    <xf borderId="12" fillId="6" fontId="4" numFmtId="10" xfId="0" applyAlignment="1" applyBorder="1" applyFont="1" applyNumberFormat="1">
      <alignment horizontal="center" readingOrder="0"/>
    </xf>
    <xf borderId="5" fillId="4" fontId="3" numFmtId="164" xfId="0" applyAlignment="1" applyBorder="1" applyFont="1" applyNumberFormat="1">
      <alignment horizontal="center" readingOrder="0" vertical="center"/>
    </xf>
    <xf borderId="0" fillId="0" fontId="6" numFmtId="0" xfId="0" applyAlignment="1" applyFont="1">
      <alignment readingOrder="0"/>
    </xf>
    <xf borderId="0" fillId="0" fontId="7" numFmtId="0" xfId="0" applyAlignment="1" applyFont="1">
      <alignment readingOrder="0" shrinkToFit="0" vertical="bottom" wrapText="0"/>
    </xf>
    <xf borderId="0" fillId="0" fontId="8" numFmtId="164" xfId="0" applyAlignment="1" applyFont="1" applyNumberFormat="1">
      <alignment horizontal="right" readingOrder="0" vertical="bottom"/>
    </xf>
    <xf borderId="13" fillId="7" fontId="9" numFmtId="0" xfId="0" applyAlignment="1" applyBorder="1" applyFill="1" applyFont="1">
      <alignment horizontal="center" readingOrder="0" shrinkToFit="0" wrapText="0"/>
    </xf>
    <xf borderId="13" fillId="7" fontId="9" numFmtId="0" xfId="0" applyAlignment="1" applyBorder="1" applyFont="1">
      <alignment horizontal="right" readingOrder="0" shrinkToFit="0" wrapText="0"/>
    </xf>
    <xf borderId="13" fillId="7" fontId="9" numFmtId="166" xfId="0" applyAlignment="1" applyBorder="1" applyFont="1" applyNumberFormat="1">
      <alignment horizontal="center" readingOrder="0" shrinkToFit="0" wrapText="0"/>
    </xf>
    <xf borderId="13" fillId="8" fontId="9" numFmtId="0" xfId="0" applyAlignment="1" applyBorder="1" applyFill="1" applyFont="1">
      <alignment horizontal="center" readingOrder="0" shrinkToFit="0" wrapText="0"/>
    </xf>
    <xf borderId="13" fillId="8" fontId="9" numFmtId="0" xfId="0" applyAlignment="1" applyBorder="1" applyFont="1">
      <alignment horizontal="right" readingOrder="0" shrinkToFit="0" wrapText="0"/>
    </xf>
    <xf borderId="13" fillId="8" fontId="9" numFmtId="4" xfId="0" applyAlignment="1" applyBorder="1" applyFont="1" applyNumberFormat="1">
      <alignment horizontal="right" readingOrder="0" shrinkToFit="0" wrapText="0"/>
    </xf>
    <xf borderId="13" fillId="8" fontId="9" numFmtId="166" xfId="0" applyAlignment="1" applyBorder="1" applyFont="1" applyNumberFormat="1">
      <alignment horizontal="center" readingOrder="0" shrinkToFit="0" wrapText="0"/>
    </xf>
    <xf borderId="13" fillId="7" fontId="9" numFmtId="4" xfId="0" applyAlignment="1" applyBorder="1" applyFont="1" applyNumberFormat="1">
      <alignment horizontal="right" readingOrder="0" shrinkToFit="0" wrapText="0"/>
    </xf>
    <xf borderId="0" fillId="9" fontId="8" numFmtId="164" xfId="0" applyAlignment="1" applyFill="1" applyFont="1" applyNumberFormat="1">
      <alignment horizontal="right" vertical="bottom"/>
    </xf>
    <xf borderId="0" fillId="9" fontId="8" numFmtId="0" xfId="0" applyAlignment="1" applyFont="1">
      <alignment vertical="bottom"/>
    </xf>
    <xf borderId="0" fillId="9" fontId="8" numFmtId="0" xfId="0" applyAlignment="1" applyFont="1">
      <alignment horizontal="right" vertical="bottom"/>
    </xf>
    <xf borderId="0" fillId="9" fontId="8" numFmtId="166" xfId="0" applyAlignment="1" applyFont="1" applyNumberFormat="1">
      <alignment horizontal="right" vertical="bottom"/>
    </xf>
    <xf borderId="13" fillId="10" fontId="9" numFmtId="0" xfId="0" applyAlignment="1" applyBorder="1" applyFill="1" applyFont="1">
      <alignment horizontal="right" readingOrder="0" shrinkToFit="0" wrapText="0"/>
    </xf>
    <xf borderId="13" fillId="10" fontId="9" numFmtId="4" xfId="0" applyAlignment="1" applyBorder="1" applyFont="1" applyNumberFormat="1">
      <alignment horizontal="right" readingOrder="0" shrinkToFit="0" wrapText="0"/>
    </xf>
    <xf borderId="13" fillId="10" fontId="9" numFmtId="166" xfId="0" applyAlignment="1" applyBorder="1" applyFont="1" applyNumberFormat="1">
      <alignment horizontal="center" readingOrder="0" shrinkToFit="0" wrapText="0"/>
    </xf>
    <xf borderId="13" fillId="7" fontId="9" numFmtId="3" xfId="0" applyAlignment="1" applyBorder="1" applyFont="1" applyNumberFormat="1">
      <alignment horizontal="right" readingOrder="0" shrinkToFit="0" wrapText="0"/>
    </xf>
    <xf borderId="0" fillId="0" fontId="8" numFmtId="0" xfId="0" applyAlignment="1" applyFont="1">
      <alignment readingOrder="0" vertical="bottom"/>
    </xf>
    <xf borderId="0" fillId="0" fontId="8" numFmtId="0" xfId="0" applyAlignment="1" applyFont="1">
      <alignment horizontal="right" readingOrder="0" vertical="bottom"/>
    </xf>
    <xf borderId="0" fillId="0" fontId="8" numFmtId="166" xfId="0" applyAlignment="1" applyFont="1" applyNumberFormat="1">
      <alignment horizontal="right" readingOrder="0" vertical="bottom"/>
    </xf>
    <xf borderId="0" fillId="0" fontId="7" numFmtId="164" xfId="0" applyAlignment="1" applyFont="1" applyNumberFormat="1">
      <alignment readingOrder="0" shrinkToFit="0" vertical="bottom" wrapText="0"/>
    </xf>
    <xf borderId="0" fillId="0" fontId="7" numFmtId="0" xfId="0" applyAlignment="1" applyFont="1">
      <alignment horizontal="right" readingOrder="0" shrinkToFit="0" vertical="bottom" wrapText="0"/>
    </xf>
    <xf borderId="0" fillId="0" fontId="7" numFmtId="166" xfId="0" applyAlignment="1" applyFont="1" applyNumberFormat="1">
      <alignment readingOrder="0" shrinkToFit="0" vertical="bottom" wrapText="0"/>
    </xf>
    <xf borderId="13" fillId="8" fontId="9" numFmtId="3" xfId="0" applyAlignment="1" applyBorder="1" applyFont="1" applyNumberFormat="1">
      <alignment horizontal="right" readingOrder="0" shrinkToFit="0" wrapText="0"/>
    </xf>
    <xf borderId="0" fillId="0" fontId="10" numFmtId="0" xfId="0" applyAlignment="1" applyFont="1">
      <alignment readingOrder="0"/>
    </xf>
    <xf borderId="0" fillId="0" fontId="10" numFmtId="167" xfId="0" applyAlignment="1" applyFont="1" applyNumberFormat="1">
      <alignment readingOrder="0"/>
    </xf>
    <xf borderId="0" fillId="0" fontId="11" numFmtId="167" xfId="0" applyFont="1" applyNumberFormat="1"/>
    <xf borderId="2" fillId="0" fontId="3" numFmtId="0" xfId="0" applyAlignment="1" applyBorder="1" applyFont="1">
      <alignment readingOrder="0"/>
    </xf>
    <xf borderId="0" fillId="0" fontId="12" numFmtId="0" xfId="0" applyAlignment="1" applyFont="1">
      <alignment horizontal="center"/>
    </xf>
    <xf borderId="7" fillId="0" fontId="12" numFmtId="0" xfId="0" applyAlignment="1" applyBorder="1" applyFont="1">
      <alignment horizontal="center"/>
    </xf>
    <xf borderId="0" fillId="0" fontId="10" numFmtId="0" xfId="0" applyFont="1"/>
    <xf borderId="0" fillId="0" fontId="3" numFmtId="0" xfId="0" applyAlignment="1" applyFont="1">
      <alignment readingOrder="0"/>
    </xf>
    <xf borderId="0" fillId="0" fontId="10" numFmtId="3" xfId="0" applyFont="1" applyNumberFormat="1"/>
    <xf borderId="0" fillId="5" fontId="3" numFmtId="0" xfId="0" applyAlignment="1" applyFont="1">
      <alignment readingOrder="0"/>
    </xf>
    <xf borderId="0" fillId="0" fontId="10" numFmtId="10" xfId="0" applyFont="1" applyNumberFormat="1"/>
    <xf borderId="7" fillId="0" fontId="4" numFmtId="4" xfId="0" applyAlignment="1" applyBorder="1" applyFont="1" applyNumberFormat="1">
      <alignment horizontal="center" readingOrder="0"/>
    </xf>
    <xf borderId="0" fillId="0" fontId="10" numFmtId="4" xfId="0" applyFont="1" applyNumberFormat="1"/>
    <xf borderId="8" fillId="0" fontId="3" numFmtId="0" xfId="0" applyAlignment="1" applyBorder="1" applyFont="1">
      <alignment readingOrder="0"/>
    </xf>
    <xf borderId="10" fillId="6" fontId="3" numFmtId="0" xfId="0" applyAlignment="1" applyBorder="1" applyFont="1">
      <alignment readingOrder="0"/>
    </xf>
    <xf borderId="0" fillId="0" fontId="13" numFmtId="0" xfId="0" applyAlignment="1" applyFont="1">
      <alignment horizontal="left"/>
    </xf>
    <xf borderId="0" fillId="0" fontId="13" numFmtId="0" xfId="0" applyAlignment="1" applyFont="1">
      <alignment horizontal="left" readingOrder="0"/>
    </xf>
    <xf borderId="0" fillId="0" fontId="14" numFmtId="0" xfId="0" applyFont="1"/>
    <xf borderId="0" fillId="0" fontId="11" numFmtId="0" xfId="0" applyAlignment="1" applyFont="1">
      <alignment readingOrder="0"/>
    </xf>
    <xf borderId="1" fillId="11" fontId="15" numFmtId="168" xfId="0" applyAlignment="1" applyBorder="1" applyFill="1" applyFont="1" applyNumberFormat="1">
      <alignment horizontal="center" shrinkToFit="0" vertical="bottom" wrapText="1"/>
    </xf>
    <xf borderId="14" fillId="0" fontId="5" numFmtId="0" xfId="0" applyBorder="1" applyFont="1"/>
    <xf borderId="15" fillId="0" fontId="5" numFmtId="0" xfId="0" applyBorder="1" applyFont="1"/>
    <xf borderId="9" fillId="4" fontId="15" numFmtId="0" xfId="0" applyAlignment="1" applyBorder="1" applyFont="1">
      <alignment horizontal="center" shrinkToFit="0" vertical="bottom" wrapText="1"/>
    </xf>
    <xf borderId="12" fillId="4" fontId="15" numFmtId="0" xfId="0" applyAlignment="1" applyBorder="1" applyFont="1">
      <alignment horizontal="center" shrinkToFit="0" vertical="bottom" wrapText="1"/>
    </xf>
    <xf borderId="12" fillId="4" fontId="15" numFmtId="10" xfId="0" applyAlignment="1" applyBorder="1" applyFont="1" applyNumberFormat="1">
      <alignment horizontal="center" shrinkToFit="0" vertical="bottom" wrapText="1"/>
    </xf>
    <xf borderId="12" fillId="4" fontId="15" numFmtId="0" xfId="0" applyAlignment="1" applyBorder="1" applyFont="1">
      <alignment horizontal="center" readingOrder="0" shrinkToFit="0" vertical="bottom" wrapText="1"/>
    </xf>
    <xf borderId="9" fillId="12" fontId="15" numFmtId="0" xfId="0" applyAlignment="1" applyBorder="1" applyFill="1" applyFont="1">
      <alignment horizontal="center" shrinkToFit="0" vertical="bottom" wrapText="1"/>
    </xf>
    <xf borderId="12" fillId="12" fontId="15" numFmtId="0" xfId="0" applyAlignment="1" applyBorder="1" applyFont="1">
      <alignment horizontal="left" vertical="bottom"/>
    </xf>
    <xf borderId="16" fillId="12" fontId="15" numFmtId="0" xfId="0" applyAlignment="1" applyBorder="1" applyFont="1">
      <alignment horizontal="center" vertical="bottom"/>
    </xf>
    <xf borderId="12" fillId="12" fontId="15" numFmtId="169" xfId="0" applyAlignment="1" applyBorder="1" applyFont="1" applyNumberFormat="1">
      <alignment horizontal="right" vertical="bottom"/>
    </xf>
    <xf borderId="12" fillId="12" fontId="15" numFmtId="170" xfId="0" applyAlignment="1" applyBorder="1" applyFont="1" applyNumberFormat="1">
      <alignment horizontal="right" vertical="bottom"/>
    </xf>
    <xf borderId="12" fillId="12" fontId="15" numFmtId="10" xfId="0" applyAlignment="1" applyBorder="1" applyFont="1" applyNumberFormat="1">
      <alignment horizontal="center" vertical="bottom"/>
    </xf>
    <xf borderId="0" fillId="0" fontId="15" numFmtId="0" xfId="0" applyAlignment="1" applyFont="1">
      <alignment horizontal="left" readingOrder="0" vertical="bottom"/>
    </xf>
    <xf borderId="6" fillId="0" fontId="15" numFmtId="0" xfId="0" applyAlignment="1" applyBorder="1" applyFont="1">
      <alignment horizontal="center" shrinkToFit="0" vertical="bottom" wrapText="1"/>
    </xf>
    <xf borderId="12" fillId="0" fontId="15" numFmtId="0" xfId="0" applyAlignment="1" applyBorder="1" applyFont="1">
      <alignment horizontal="left" readingOrder="0" vertical="bottom"/>
    </xf>
    <xf borderId="7" fillId="0" fontId="15" numFmtId="0" xfId="0" applyAlignment="1" applyBorder="1" applyFont="1">
      <alignment horizontal="center" vertical="center"/>
    </xf>
    <xf borderId="12" fillId="0" fontId="15" numFmtId="169" xfId="0" applyAlignment="1" applyBorder="1" applyFont="1" applyNumberFormat="1">
      <alignment horizontal="right" vertical="bottom"/>
    </xf>
    <xf borderId="12" fillId="0" fontId="15" numFmtId="170" xfId="0" applyAlignment="1" applyBorder="1" applyFont="1" applyNumberFormat="1">
      <alignment horizontal="right" vertical="bottom"/>
    </xf>
    <xf borderId="12" fillId="0" fontId="15" numFmtId="10" xfId="0" applyAlignment="1" applyBorder="1" applyFont="1" applyNumberFormat="1">
      <alignment horizontal="right" vertical="bottom"/>
    </xf>
    <xf borderId="12" fillId="0" fontId="15" numFmtId="10" xfId="0" applyAlignment="1" applyBorder="1" applyFont="1" applyNumberFormat="1">
      <alignment horizontal="center" vertical="bottom"/>
    </xf>
    <xf borderId="7" fillId="0" fontId="5" numFmtId="0" xfId="0" applyBorder="1" applyFont="1"/>
    <xf borderId="12" fillId="0" fontId="5" numFmtId="0" xfId="0" applyBorder="1" applyFont="1"/>
    <xf borderId="9" fillId="12" fontId="15" numFmtId="0" xfId="0" applyAlignment="1" applyBorder="1" applyFont="1">
      <alignment horizontal="center" readingOrder="0" shrinkToFit="0" vertical="bottom" wrapText="1"/>
    </xf>
    <xf borderId="12" fillId="12" fontId="15" numFmtId="0" xfId="0" applyAlignment="1" applyBorder="1" applyFont="1">
      <alignment horizontal="left" readingOrder="0" vertical="bottom"/>
    </xf>
    <xf borderId="12" fillId="12" fontId="15" numFmtId="0" xfId="0" applyAlignment="1" applyBorder="1" applyFont="1">
      <alignment horizontal="center" readingOrder="0" vertical="bottom"/>
    </xf>
    <xf borderId="12" fillId="12" fontId="15" numFmtId="10" xfId="0" applyAlignment="1" applyBorder="1" applyFont="1" applyNumberFormat="1">
      <alignment horizontal="right" vertical="bottom"/>
    </xf>
    <xf borderId="12" fillId="12" fontId="15" numFmtId="0" xfId="0" applyAlignment="1" applyBorder="1" applyFont="1">
      <alignment horizontal="center" vertical="bottom"/>
    </xf>
    <xf borderId="5" fillId="0" fontId="15" numFmtId="0" xfId="0" applyAlignment="1" applyBorder="1" applyFont="1">
      <alignment horizontal="center" shrinkToFit="0" vertical="bottom" wrapText="1"/>
    </xf>
    <xf borderId="12" fillId="0" fontId="15" numFmtId="0" xfId="0" applyAlignment="1" applyBorder="1" applyFont="1">
      <alignment horizontal="center" readingOrder="0" vertical="bottom"/>
    </xf>
    <xf borderId="0" fillId="0" fontId="15" numFmtId="0" xfId="0" applyAlignment="1" applyFont="1">
      <alignment horizontal="left" vertical="bottom"/>
    </xf>
    <xf borderId="16" fillId="0" fontId="16" numFmtId="0" xfId="0" applyAlignment="1" applyBorder="1" applyFont="1">
      <alignment readingOrder="0" vertical="bottom"/>
    </xf>
    <xf borderId="0" fillId="9" fontId="10" numFmtId="0" xfId="0" applyAlignment="1" applyFont="1">
      <alignment readingOrder="0"/>
    </xf>
    <xf borderId="0" fillId="9" fontId="10" numFmtId="4" xfId="0" applyFont="1" applyNumberFormat="1"/>
    <xf borderId="0" fillId="9" fontId="10" numFmtId="3" xfId="0" applyFont="1" applyNumberFormat="1"/>
    <xf borderId="9" fillId="13" fontId="8" numFmtId="0" xfId="0" applyAlignment="1" applyBorder="1" applyFill="1" applyFont="1">
      <alignment horizontal="center" vertical="bottom"/>
    </xf>
    <xf borderId="12" fillId="13" fontId="17" numFmtId="0" xfId="0" applyAlignment="1" applyBorder="1" applyFont="1">
      <alignment vertical="bottom"/>
    </xf>
    <xf borderId="12" fillId="13" fontId="8" numFmtId="3" xfId="0" applyAlignment="1" applyBorder="1" applyFont="1" applyNumberFormat="1">
      <alignment horizontal="right" vertical="bottom"/>
    </xf>
    <xf borderId="12" fillId="13" fontId="8" numFmtId="4" xfId="0" applyAlignment="1" applyBorder="1" applyFont="1" applyNumberFormat="1">
      <alignment horizontal="right" vertical="bottom"/>
    </xf>
    <xf borderId="12" fillId="13" fontId="8" numFmtId="10" xfId="0" applyAlignment="1" applyBorder="1" applyFont="1" applyNumberFormat="1">
      <alignment horizontal="right" vertical="bottom"/>
    </xf>
    <xf borderId="12" fillId="13" fontId="8" numFmtId="10" xfId="0" applyAlignment="1" applyBorder="1" applyFont="1" applyNumberFormat="1">
      <alignment horizontal="center" vertical="bottom"/>
    </xf>
    <xf borderId="0" fillId="9" fontId="10" numFmtId="0" xfId="0" applyFont="1"/>
    <xf borderId="0" fillId="0" fontId="10" numFmtId="170" xfId="0" applyFont="1" applyNumberFormat="1"/>
    <xf borderId="16" fillId="0" fontId="10" numFmtId="0" xfId="0" applyAlignment="1" applyBorder="1" applyFont="1">
      <alignment readingOrder="0"/>
    </xf>
    <xf borderId="12" fillId="4" fontId="18" numFmtId="0" xfId="0" applyAlignment="1" applyBorder="1" applyFont="1">
      <alignment horizontal="center" vertical="bottom"/>
    </xf>
    <xf quotePrefix="1" borderId="12" fillId="4" fontId="18" numFmtId="0" xfId="0" applyAlignment="1" applyBorder="1" applyFont="1">
      <alignment horizontal="center" vertical="bottom"/>
    </xf>
    <xf borderId="12" fillId="4" fontId="18" numFmtId="0" xfId="0" applyAlignment="1" applyBorder="1" applyFont="1">
      <alignment horizontal="center" readingOrder="0" vertical="bottom"/>
    </xf>
    <xf borderId="12" fillId="4" fontId="18" numFmtId="0" xfId="0" applyAlignment="1" applyBorder="1" applyFont="1">
      <alignment horizontal="center" vertical="bottom"/>
    </xf>
    <xf borderId="0" fillId="0" fontId="18" numFmtId="0" xfId="0" applyAlignment="1" applyFont="1">
      <alignment horizontal="center" readingOrder="0" vertical="bottom"/>
    </xf>
    <xf borderId="16" fillId="0" fontId="10" numFmtId="168" xfId="0" applyAlignment="1" applyBorder="1" applyFont="1" applyNumberFormat="1">
      <alignment readingOrder="0"/>
    </xf>
    <xf borderId="16" fillId="0" fontId="10" numFmtId="4" xfId="0" applyBorder="1" applyFont="1" applyNumberFormat="1"/>
    <xf borderId="16" fillId="0" fontId="10" numFmtId="4" xfId="0" applyAlignment="1" applyBorder="1" applyFont="1" applyNumberFormat="1">
      <alignment readingOrder="0"/>
    </xf>
    <xf borderId="16" fillId="0" fontId="10" numFmtId="168" xfId="0" applyBorder="1" applyFont="1" applyNumberFormat="1"/>
    <xf borderId="0" fillId="0" fontId="10" numFmtId="171" xfId="0" applyFont="1" applyNumberFormat="1"/>
    <xf borderId="0" fillId="0" fontId="19" numFmtId="0" xfId="0" applyAlignment="1" applyFont="1">
      <alignment readingOrder="0"/>
    </xf>
    <xf borderId="0" fillId="0" fontId="20" numFmtId="0" xfId="0" applyAlignment="1" applyFont="1">
      <alignment readingOrder="0"/>
    </xf>
    <xf borderId="0" fillId="14" fontId="7" numFmtId="4" xfId="0" applyAlignment="1" applyFill="1" applyFont="1" applyNumberFormat="1">
      <alignment readingOrder="0" shrinkToFit="0" wrapText="0"/>
    </xf>
    <xf borderId="0" fillId="0" fontId="7" numFmtId="0" xfId="0" applyAlignment="1" applyFont="1">
      <alignment readingOrder="0" shrinkToFit="0" wrapText="0"/>
    </xf>
    <xf borderId="0" fillId="14" fontId="10" numFmtId="0" xfId="0" applyAlignment="1" applyFont="1">
      <alignment readingOrder="0"/>
    </xf>
    <xf borderId="16" fillId="15" fontId="7" numFmtId="0" xfId="0" applyAlignment="1" applyBorder="1" applyFill="1" applyFont="1">
      <alignment readingOrder="0" shrinkToFit="0" wrapText="0"/>
    </xf>
    <xf borderId="16" fillId="15" fontId="7" numFmtId="49" xfId="0" applyAlignment="1" applyBorder="1" applyFont="1" applyNumberFormat="1">
      <alignment readingOrder="0" shrinkToFit="0" wrapText="0"/>
    </xf>
    <xf borderId="16" fillId="15" fontId="21" numFmtId="0" xfId="0" applyAlignment="1" applyBorder="1" applyFont="1">
      <alignment readingOrder="0" shrinkToFit="0" vertical="bottom" wrapText="0"/>
    </xf>
    <xf borderId="16" fillId="15" fontId="7" numFmtId="0" xfId="0" applyAlignment="1" applyBorder="1" applyFont="1">
      <alignment shrinkToFit="0" wrapText="0"/>
    </xf>
    <xf borderId="16" fillId="15" fontId="10" numFmtId="0" xfId="0" applyAlignment="1" applyBorder="1" applyFont="1">
      <alignment readingOrder="0"/>
    </xf>
    <xf borderId="16" fillId="0" fontId="7" numFmtId="172" xfId="0" applyAlignment="1" applyBorder="1" applyFont="1" applyNumberFormat="1">
      <alignment horizontal="right" readingOrder="0" shrinkToFit="0" wrapText="0"/>
    </xf>
    <xf borderId="16" fillId="0" fontId="7" numFmtId="3" xfId="0" applyAlignment="1" applyBorder="1" applyFont="1" applyNumberFormat="1">
      <alignment horizontal="right" readingOrder="0" shrinkToFit="0" wrapText="0"/>
    </xf>
    <xf borderId="16" fillId="0" fontId="7" numFmtId="4" xfId="0" applyAlignment="1" applyBorder="1" applyFont="1" applyNumberFormat="1">
      <alignment horizontal="right" readingOrder="0" shrinkToFit="0" wrapText="0"/>
    </xf>
    <xf borderId="16" fillId="0" fontId="7" numFmtId="0" xfId="0" applyAlignment="1" applyBorder="1" applyFont="1">
      <alignment horizontal="right" readingOrder="0" shrinkToFit="0" wrapText="0"/>
    </xf>
    <xf borderId="16" fillId="0" fontId="22" numFmtId="0" xfId="0" applyAlignment="1" applyBorder="1" applyFont="1">
      <alignment readingOrder="0"/>
    </xf>
    <xf borderId="0" fillId="0" fontId="10" numFmtId="4" xfId="0" applyAlignment="1" applyFont="1" applyNumberFormat="1">
      <alignment readingOrder="0"/>
    </xf>
    <xf borderId="0" fillId="3" fontId="23" numFmtId="0" xfId="0" applyAlignment="1" applyFont="1">
      <alignment horizontal="center" readingOrder="0" shrinkToFit="0" wrapText="0"/>
    </xf>
    <xf borderId="0" fillId="0" fontId="24" numFmtId="0" xfId="0" applyAlignment="1" applyFont="1">
      <alignment horizontal="center" shrinkToFit="0" wrapText="0"/>
    </xf>
    <xf borderId="0" fillId="0" fontId="21" numFmtId="0" xfId="0" applyAlignment="1" applyFont="1">
      <alignment horizontal="center" shrinkToFit="0" wrapText="0"/>
    </xf>
    <xf borderId="0" fillId="0" fontId="24" numFmtId="171" xfId="0" applyAlignment="1" applyFont="1" applyNumberFormat="1">
      <alignment horizontal="center" shrinkToFit="0" wrapText="0"/>
    </xf>
    <xf borderId="0" fillId="0" fontId="24" numFmtId="4" xfId="0" applyAlignment="1" applyFont="1" applyNumberFormat="1">
      <alignment horizontal="center" shrinkToFit="0" wrapText="0"/>
    </xf>
    <xf borderId="0" fillId="0" fontId="21" numFmtId="0" xfId="0" applyAlignment="1" applyFont="1">
      <alignment horizontal="center" readingOrder="0" shrinkToFit="0" wrapText="0"/>
    </xf>
    <xf borderId="0" fillId="0" fontId="24" numFmtId="0" xfId="0" applyAlignment="1" applyFont="1">
      <alignment horizontal="center" readingOrder="0" shrinkToFit="0" wrapText="0"/>
    </xf>
    <xf borderId="0" fillId="0" fontId="24" numFmtId="10" xfId="0" applyAlignment="1" applyFont="1" applyNumberFormat="1">
      <alignment horizontal="center" shrinkToFit="0" wrapText="0"/>
    </xf>
    <xf borderId="0" fillId="0" fontId="24" numFmtId="0" xfId="0" applyAlignment="1" applyFont="1">
      <alignment horizontal="center"/>
    </xf>
    <xf borderId="0" fillId="0" fontId="3" numFmtId="0" xfId="0" applyAlignment="1" applyFont="1">
      <alignment horizontal="center" readingOrder="0"/>
    </xf>
    <xf borderId="0" fillId="9" fontId="3" numFmtId="0" xfId="0" applyAlignment="1" applyFont="1">
      <alignment horizontal="center" readingOrder="0"/>
    </xf>
    <xf borderId="0" fillId="0" fontId="3" numFmtId="10" xfId="0" applyAlignment="1" applyFont="1" applyNumberFormat="1">
      <alignment horizontal="center" readingOrder="0"/>
    </xf>
    <xf borderId="0" fillId="0" fontId="25" numFmtId="0" xfId="0" applyAlignment="1" applyFont="1">
      <alignment horizontal="center" shrinkToFit="0" wrapText="0"/>
    </xf>
    <xf borderId="0" fillId="7" fontId="26" numFmtId="0" xfId="0" applyAlignment="1" applyFont="1">
      <alignment horizontal="center" readingOrder="0" shrinkToFit="0" wrapText="1"/>
    </xf>
    <xf borderId="0" fillId="0" fontId="26" numFmtId="0" xfId="0" applyAlignment="1" applyFont="1">
      <alignment readingOrder="0" shrinkToFit="0" vertical="bottom" wrapText="1"/>
    </xf>
    <xf borderId="0" fillId="0" fontId="26" numFmtId="0" xfId="0" applyAlignment="1" applyFont="1">
      <alignment readingOrder="0" shrinkToFit="0" vertical="bottom" wrapText="0"/>
    </xf>
    <xf borderId="0" fillId="0" fontId="27" numFmtId="0" xfId="0" applyAlignment="1" applyFont="1">
      <alignment horizontal="center" readingOrder="0" shrinkToFit="0" wrapText="0"/>
    </xf>
    <xf borderId="0" fillId="0" fontId="26" numFmtId="171" xfId="0" applyAlignment="1" applyFont="1" applyNumberFormat="1">
      <alignment shrinkToFit="0" vertical="bottom" wrapText="0"/>
    </xf>
    <xf borderId="0" fillId="0" fontId="27" numFmtId="4" xfId="0" applyAlignment="1" applyFont="1" applyNumberFormat="1">
      <alignment horizontal="center" readingOrder="0" shrinkToFit="0" wrapText="0"/>
    </xf>
    <xf borderId="0" fillId="0" fontId="26" numFmtId="0" xfId="0" applyAlignment="1" applyFont="1">
      <alignment horizontal="center" readingOrder="0" shrinkToFit="0" wrapText="0"/>
    </xf>
    <xf borderId="0" fillId="0" fontId="27" numFmtId="10" xfId="0" applyAlignment="1" applyFont="1" applyNumberFormat="1">
      <alignment horizontal="center" shrinkToFit="0" wrapText="0"/>
    </xf>
    <xf borderId="0" fillId="0" fontId="27" numFmtId="0" xfId="0" applyAlignment="1" applyFont="1">
      <alignment horizontal="center" shrinkToFit="0" wrapText="0"/>
    </xf>
    <xf borderId="0" fillId="0" fontId="27" numFmtId="0" xfId="0" applyAlignment="1" applyFont="1">
      <alignment horizontal="center"/>
    </xf>
    <xf borderId="0" fillId="0" fontId="27" numFmtId="0" xfId="0" applyAlignment="1" applyFont="1">
      <alignment horizontal="center" readingOrder="0"/>
    </xf>
    <xf borderId="0" fillId="0" fontId="26" numFmtId="0" xfId="0" applyAlignment="1" applyFont="1">
      <alignment horizontal="center" shrinkToFit="0" wrapText="0"/>
    </xf>
    <xf borderId="0" fillId="0" fontId="27" numFmtId="4" xfId="0" applyAlignment="1" applyFont="1" applyNumberFormat="1">
      <alignment horizontal="center" shrinkToFit="0" wrapText="0"/>
    </xf>
    <xf borderId="0" fillId="0" fontId="23" numFmtId="0" xfId="0" applyAlignment="1" applyFont="1">
      <alignment horizontal="center" shrinkToFit="0" wrapText="0"/>
    </xf>
    <xf borderId="0" fillId="0" fontId="21" numFmtId="0" xfId="0" applyAlignment="1" applyFont="1">
      <alignment readingOrder="0" shrinkToFit="0" vertical="bottom" wrapText="0"/>
    </xf>
    <xf borderId="0" fillId="0" fontId="21" numFmtId="0" xfId="0" applyAlignment="1" applyFont="1">
      <alignment shrinkToFit="0" vertical="bottom" wrapText="0"/>
    </xf>
    <xf borderId="0" fillId="0" fontId="24" numFmtId="171" xfId="0" applyAlignment="1" applyFont="1" applyNumberFormat="1">
      <alignment horizontal="center" readingOrder="0" shrinkToFit="0" wrapText="0"/>
    </xf>
    <xf borderId="0" fillId="0" fontId="24" numFmtId="4" xfId="0" applyAlignment="1" applyFont="1" applyNumberFormat="1">
      <alignment horizontal="center" readingOrder="0" shrinkToFit="0" wrapText="0"/>
    </xf>
    <xf borderId="0" fillId="0" fontId="28" numFmtId="10" xfId="0" applyAlignment="1" applyFont="1" applyNumberFormat="1">
      <alignment horizontal="center" readingOrder="0" shrinkToFit="0" wrapText="0"/>
    </xf>
    <xf borderId="0" fillId="0" fontId="21" numFmtId="10" xfId="0" applyAlignment="1" applyFont="1" applyNumberFormat="1">
      <alignment horizontal="center" readingOrder="0" shrinkToFit="0" wrapText="0"/>
    </xf>
    <xf borderId="0" fillId="0" fontId="24" numFmtId="0" xfId="0" applyAlignment="1" applyFont="1">
      <alignment horizontal="center" readingOrder="0"/>
    </xf>
    <xf borderId="0" fillId="0" fontId="29" numFmtId="0" xfId="0" applyAlignment="1" applyFont="1">
      <alignment horizontal="center" readingOrder="0"/>
    </xf>
    <xf borderId="16" fillId="16" fontId="24" numFmtId="0" xfId="0" applyAlignment="1" applyBorder="1" applyFill="1" applyFont="1">
      <alignment horizontal="center" readingOrder="0"/>
    </xf>
    <xf borderId="15" fillId="17" fontId="30" numFmtId="0" xfId="0" applyAlignment="1" applyBorder="1" applyFill="1" applyFont="1">
      <alignment horizontal="center" readingOrder="0"/>
    </xf>
    <xf borderId="15" fillId="17" fontId="30" numFmtId="171" xfId="0" applyAlignment="1" applyBorder="1" applyFont="1" applyNumberFormat="1">
      <alignment horizontal="center" readingOrder="0"/>
    </xf>
    <xf borderId="15" fillId="18" fontId="31" numFmtId="0" xfId="0" applyAlignment="1" applyBorder="1" applyFill="1" applyFont="1">
      <alignment horizontal="center" readingOrder="0"/>
    </xf>
    <xf borderId="15" fillId="18" fontId="24" numFmtId="0" xfId="0" applyAlignment="1" applyBorder="1" applyFont="1">
      <alignment horizontal="center" readingOrder="0"/>
    </xf>
    <xf borderId="15" fillId="18" fontId="24" numFmtId="4" xfId="0" applyAlignment="1" applyBorder="1" applyFont="1" applyNumberFormat="1">
      <alignment horizontal="center" readingOrder="0"/>
    </xf>
    <xf borderId="15" fillId="17" fontId="24" numFmtId="0" xfId="0" applyAlignment="1" applyBorder="1" applyFont="1">
      <alignment horizontal="center" readingOrder="0"/>
    </xf>
    <xf borderId="15" fillId="18" fontId="24" numFmtId="10" xfId="0" applyAlignment="1" applyBorder="1" applyFont="1" applyNumberFormat="1">
      <alignment horizontal="center" readingOrder="0"/>
    </xf>
    <xf borderId="15" fillId="19" fontId="24" numFmtId="0" xfId="0" applyAlignment="1" applyBorder="1" applyFill="1" applyFont="1">
      <alignment horizontal="center" readingOrder="0"/>
    </xf>
    <xf borderId="15" fillId="20" fontId="24" numFmtId="0" xfId="0" applyAlignment="1" applyBorder="1" applyFill="1" applyFont="1">
      <alignment horizontal="center" readingOrder="0"/>
    </xf>
    <xf borderId="15" fillId="17" fontId="32" numFmtId="0" xfId="0" applyAlignment="1" applyBorder="1" applyFont="1">
      <alignment horizontal="center" readingOrder="0"/>
    </xf>
    <xf borderId="12" fillId="20" fontId="18" numFmtId="0" xfId="0" applyAlignment="1" applyBorder="1" applyFont="1">
      <alignment horizontal="center" shrinkToFit="0" vertical="bottom" wrapText="1"/>
    </xf>
    <xf borderId="15" fillId="21" fontId="31" numFmtId="0" xfId="0" applyAlignment="1" applyBorder="1" applyFill="1" applyFont="1">
      <alignment horizontal="center" readingOrder="0"/>
    </xf>
    <xf borderId="16" fillId="21" fontId="31" numFmtId="0" xfId="0" applyAlignment="1" applyBorder="1" applyFont="1">
      <alignment horizontal="center" readingOrder="0"/>
    </xf>
    <xf borderId="15" fillId="17" fontId="32" numFmtId="4" xfId="0" applyAlignment="1" applyBorder="1" applyFont="1" applyNumberFormat="1">
      <alignment horizontal="center" readingOrder="0"/>
    </xf>
    <xf borderId="9" fillId="0" fontId="17" numFmtId="165" xfId="0" applyAlignment="1" applyBorder="1" applyFont="1" applyNumberFormat="1">
      <alignment horizontal="center" readingOrder="0" vertical="center"/>
    </xf>
    <xf borderId="12" fillId="22" fontId="33" numFmtId="173" xfId="0" applyAlignment="1" applyBorder="1" applyFill="1" applyFont="1" applyNumberFormat="1">
      <alignment horizontal="center" vertical="center"/>
    </xf>
    <xf borderId="12" fillId="22" fontId="33" numFmtId="173" xfId="0" applyAlignment="1" applyBorder="1" applyFont="1" applyNumberFormat="1">
      <alignment horizontal="center" readingOrder="0" vertical="center"/>
    </xf>
    <xf borderId="12" fillId="22" fontId="33" numFmtId="171" xfId="0" applyAlignment="1" applyBorder="1" applyFont="1" applyNumberFormat="1">
      <alignment horizontal="center" vertical="center"/>
    </xf>
    <xf borderId="12" fillId="0" fontId="17" numFmtId="10" xfId="0" applyAlignment="1" applyBorder="1" applyFont="1" applyNumberFormat="1">
      <alignment horizontal="center" vertical="center"/>
    </xf>
    <xf borderId="12" fillId="0" fontId="17" numFmtId="0" xfId="0" applyAlignment="1" applyBorder="1" applyFont="1">
      <alignment horizontal="center" vertical="center"/>
    </xf>
    <xf borderId="12" fillId="0" fontId="17" numFmtId="3" xfId="0" applyAlignment="1" applyBorder="1" applyFont="1" applyNumberFormat="1">
      <alignment horizontal="center" vertical="center"/>
    </xf>
    <xf borderId="16" fillId="0" fontId="17" numFmtId="4" xfId="0" applyAlignment="1" applyBorder="1" applyFont="1" applyNumberFormat="1">
      <alignment horizontal="center" vertical="center"/>
    </xf>
    <xf borderId="12" fillId="22" fontId="33" numFmtId="4" xfId="0" applyAlignment="1" applyBorder="1" applyFont="1" applyNumberFormat="1">
      <alignment horizontal="center" vertical="center"/>
    </xf>
    <xf borderId="12" fillId="22" fontId="33" numFmtId="4" xfId="0" applyAlignment="1" applyBorder="1" applyFont="1" applyNumberFormat="1">
      <alignment horizontal="center" vertical="bottom"/>
    </xf>
    <xf borderId="12" fillId="0" fontId="33" numFmtId="4" xfId="0" applyAlignment="1" applyBorder="1" applyFont="1" applyNumberFormat="1">
      <alignment horizontal="center" vertical="center"/>
    </xf>
    <xf borderId="12" fillId="0" fontId="17" numFmtId="4" xfId="0" applyAlignment="1" applyBorder="1" applyFont="1" applyNumberFormat="1">
      <alignment horizontal="center" vertical="center"/>
    </xf>
    <xf borderId="16" fillId="0" fontId="34" numFmtId="3" xfId="0" applyAlignment="1" applyBorder="1" applyFont="1" applyNumberFormat="1">
      <alignment horizontal="center" vertical="center"/>
    </xf>
    <xf borderId="16" fillId="0" fontId="17" numFmtId="10" xfId="0" applyAlignment="1" applyBorder="1" applyFont="1" applyNumberFormat="1">
      <alignment horizontal="center" vertical="center"/>
    </xf>
    <xf borderId="12" fillId="22" fontId="35" numFmtId="3" xfId="0" applyAlignment="1" applyBorder="1" applyFont="1" applyNumberFormat="1">
      <alignment horizontal="center" vertical="center"/>
    </xf>
    <xf borderId="12" fillId="22" fontId="33" numFmtId="3" xfId="0" applyAlignment="1" applyBorder="1" applyFont="1" applyNumberFormat="1">
      <alignment horizontal="center" vertical="center"/>
    </xf>
    <xf borderId="12" fillId="0" fontId="36" numFmtId="3" xfId="0" applyAlignment="1" applyBorder="1" applyFont="1" applyNumberFormat="1">
      <alignment horizontal="center" vertical="center"/>
    </xf>
    <xf borderId="12" fillId="0" fontId="33" numFmtId="3" xfId="0" applyAlignment="1" applyBorder="1" applyFont="1" applyNumberFormat="1">
      <alignment horizontal="center" vertical="center"/>
    </xf>
    <xf borderId="12" fillId="22" fontId="17" numFmtId="0" xfId="0" applyAlignment="1" applyBorder="1" applyFont="1">
      <alignment horizontal="center" vertical="center"/>
    </xf>
    <xf borderId="0" fillId="0" fontId="18" numFmtId="0" xfId="0" applyAlignment="1" applyFont="1">
      <alignment horizontal="center" vertical="center"/>
    </xf>
    <xf borderId="9" fillId="23" fontId="31" numFmtId="165" xfId="0" applyAlignment="1" applyBorder="1" applyFill="1" applyFont="1" applyNumberFormat="1">
      <alignment horizontal="center" readingOrder="0" shrinkToFit="0" wrapText="0"/>
    </xf>
    <xf borderId="9" fillId="23" fontId="31" numFmtId="173" xfId="0" applyAlignment="1" applyBorder="1" applyFont="1" applyNumberFormat="1">
      <alignment horizontal="center" readingOrder="0" shrinkToFit="0" wrapText="0"/>
    </xf>
    <xf borderId="9" fillId="23" fontId="31" numFmtId="171" xfId="0" applyAlignment="1" applyBorder="1" applyFont="1" applyNumberFormat="1">
      <alignment horizontal="center" readingOrder="0" shrinkToFit="0" wrapText="0"/>
    </xf>
    <xf borderId="12" fillId="23" fontId="31" numFmtId="10" xfId="0" applyAlignment="1" applyBorder="1" applyFont="1" applyNumberFormat="1">
      <alignment horizontal="center" readingOrder="0" shrinkToFit="0" wrapText="0"/>
    </xf>
    <xf borderId="12" fillId="23" fontId="31" numFmtId="0" xfId="0" applyAlignment="1" applyBorder="1" applyFont="1">
      <alignment horizontal="center" readingOrder="0" shrinkToFit="0" wrapText="0"/>
    </xf>
    <xf borderId="12" fillId="23" fontId="31" numFmtId="3" xfId="0" applyAlignment="1" applyBorder="1" applyFont="1" applyNumberFormat="1">
      <alignment horizontal="center" readingOrder="0" shrinkToFit="0" wrapText="0"/>
    </xf>
    <xf borderId="12" fillId="23" fontId="24" numFmtId="4" xfId="0" applyAlignment="1" applyBorder="1" applyFont="1" applyNumberFormat="1">
      <alignment horizontal="center" readingOrder="0" shrinkToFit="0" wrapText="0"/>
    </xf>
    <xf borderId="9" fillId="23" fontId="31" numFmtId="4" xfId="0" applyAlignment="1" applyBorder="1" applyFont="1" applyNumberFormat="1">
      <alignment horizontal="center" readingOrder="0" shrinkToFit="0" wrapText="0"/>
    </xf>
    <xf borderId="16" fillId="23" fontId="24" numFmtId="10" xfId="0" applyAlignment="1" applyBorder="1" applyFont="1" applyNumberFormat="1">
      <alignment horizontal="center" readingOrder="0" shrinkToFit="0" wrapText="0"/>
    </xf>
    <xf borderId="16" fillId="23" fontId="37" numFmtId="10" xfId="0" applyAlignment="1" applyBorder="1" applyFont="1" applyNumberFormat="1">
      <alignment horizontal="center" readingOrder="0" shrinkToFit="0" wrapText="0"/>
    </xf>
    <xf borderId="12" fillId="23" fontId="31" numFmtId="4" xfId="0" applyAlignment="1" applyBorder="1" applyFont="1" applyNumberFormat="1">
      <alignment horizontal="center" readingOrder="0" shrinkToFit="0" wrapText="0"/>
    </xf>
    <xf borderId="16" fillId="23" fontId="31" numFmtId="10" xfId="0" applyAlignment="1" applyBorder="1" applyFont="1" applyNumberFormat="1">
      <alignment horizontal="center" readingOrder="0" shrinkToFit="0" wrapText="0"/>
    </xf>
    <xf borderId="9" fillId="0" fontId="17" numFmtId="165" xfId="0" applyAlignment="1" applyBorder="1" applyFont="1" applyNumberFormat="1">
      <alignment horizontal="center" vertical="center"/>
    </xf>
    <xf borderId="9" fillId="24" fontId="38" numFmtId="0" xfId="0" applyAlignment="1" applyBorder="1" applyFill="1" applyFont="1">
      <alignment horizontal="center" readingOrder="0"/>
    </xf>
    <xf borderId="12" fillId="24" fontId="38" numFmtId="173" xfId="0" applyAlignment="1" applyBorder="1" applyFont="1" applyNumberFormat="1">
      <alignment horizontal="center" readingOrder="0"/>
    </xf>
    <xf borderId="12" fillId="24" fontId="38" numFmtId="171" xfId="0" applyAlignment="1" applyBorder="1" applyFont="1" applyNumberFormat="1">
      <alignment horizontal="center" readingOrder="0"/>
    </xf>
    <xf borderId="12" fillId="24" fontId="38" numFmtId="10" xfId="0" applyAlignment="1" applyBorder="1" applyFont="1" applyNumberFormat="1">
      <alignment horizontal="center" readingOrder="0"/>
    </xf>
    <xf borderId="12" fillId="24" fontId="38" numFmtId="0" xfId="0" applyAlignment="1" applyBorder="1" applyFont="1">
      <alignment horizontal="center" readingOrder="0"/>
    </xf>
    <xf borderId="12" fillId="24" fontId="38" numFmtId="3" xfId="0" applyAlignment="1" applyBorder="1" applyFont="1" applyNumberFormat="1">
      <alignment horizontal="center" readingOrder="0"/>
    </xf>
    <xf borderId="12" fillId="24" fontId="12" numFmtId="4" xfId="0" applyAlignment="1" applyBorder="1" applyFont="1" applyNumberFormat="1">
      <alignment horizontal="center" readingOrder="0"/>
    </xf>
    <xf borderId="12" fillId="24" fontId="38" numFmtId="4" xfId="0" applyAlignment="1" applyBorder="1" applyFont="1" applyNumberFormat="1">
      <alignment horizontal="center" readingOrder="0"/>
    </xf>
    <xf borderId="12" fillId="24" fontId="12" numFmtId="10" xfId="0" applyAlignment="1" applyBorder="1" applyFont="1" applyNumberFormat="1">
      <alignment horizontal="center" readingOrder="0"/>
    </xf>
    <xf borderId="12" fillId="24" fontId="39" numFmtId="10" xfId="0" applyAlignment="1" applyBorder="1" applyFont="1" applyNumberFormat="1">
      <alignment horizontal="center" readingOrder="0"/>
    </xf>
    <xf borderId="16" fillId="24" fontId="38" numFmtId="10" xfId="0" applyAlignment="1" applyBorder="1" applyFont="1" applyNumberFormat="1">
      <alignment horizontal="center" readingOrder="0"/>
    </xf>
    <xf borderId="16" fillId="25" fontId="38" numFmtId="0" xfId="0" applyAlignment="1" applyBorder="1" applyFill="1" applyFont="1">
      <alignment horizontal="center" readingOrder="0"/>
    </xf>
    <xf borderId="16" fillId="25" fontId="21" numFmtId="173" xfId="0" applyAlignment="1" applyBorder="1" applyFont="1" applyNumberFormat="1">
      <alignment horizontal="center" shrinkToFit="0" wrapText="0"/>
    </xf>
    <xf borderId="16" fillId="25" fontId="21" numFmtId="171" xfId="0" applyAlignment="1" applyBorder="1" applyFont="1" applyNumberFormat="1">
      <alignment horizontal="center" shrinkToFit="0" wrapText="0"/>
    </xf>
    <xf borderId="16" fillId="25" fontId="21" numFmtId="10" xfId="0" applyAlignment="1" applyBorder="1" applyFont="1" applyNumberFormat="1">
      <alignment horizontal="center" shrinkToFit="0" wrapText="0"/>
    </xf>
    <xf borderId="16" fillId="25" fontId="21" numFmtId="0" xfId="0" applyAlignment="1" applyBorder="1" applyFont="1">
      <alignment horizontal="center" shrinkToFit="0" wrapText="0"/>
    </xf>
    <xf borderId="16" fillId="25" fontId="21" numFmtId="3" xfId="0" applyAlignment="1" applyBorder="1" applyFont="1" applyNumberFormat="1">
      <alignment horizontal="center" shrinkToFit="0" wrapText="0"/>
    </xf>
    <xf borderId="16" fillId="25" fontId="28" numFmtId="4" xfId="0" applyAlignment="1" applyBorder="1" applyFont="1" applyNumberFormat="1">
      <alignment horizontal="center" shrinkToFit="0" wrapText="0"/>
    </xf>
    <xf borderId="16" fillId="25" fontId="21" numFmtId="4" xfId="0" applyAlignment="1" applyBorder="1" applyFont="1" applyNumberFormat="1">
      <alignment horizontal="center" shrinkToFit="0" wrapText="0"/>
    </xf>
    <xf borderId="16" fillId="25" fontId="28" numFmtId="10" xfId="0" applyAlignment="1" applyBorder="1" applyFont="1" applyNumberFormat="1">
      <alignment horizontal="center" shrinkToFit="0" wrapText="0"/>
    </xf>
    <xf borderId="0" fillId="0" fontId="28" numFmtId="0" xfId="0" applyAlignment="1" applyFont="1">
      <alignment horizontal="center" shrinkToFit="0" wrapText="0"/>
    </xf>
    <xf borderId="0" fillId="0" fontId="21" numFmtId="171" xfId="0" applyAlignment="1" applyFont="1" applyNumberFormat="1">
      <alignment horizontal="center" shrinkToFit="0" wrapText="0"/>
    </xf>
    <xf borderId="0" fillId="0" fontId="21" numFmtId="4" xfId="0" applyAlignment="1" applyFont="1" applyNumberFormat="1">
      <alignment horizontal="center" shrinkToFit="0" wrapText="0"/>
    </xf>
    <xf borderId="0" fillId="0" fontId="28" numFmtId="10" xfId="0" applyAlignment="1" applyFont="1" applyNumberFormat="1">
      <alignment horizontal="center" shrinkToFit="0" wrapText="0"/>
    </xf>
    <xf borderId="0" fillId="0" fontId="21" numFmtId="10" xfId="0" applyAlignment="1" applyFont="1" applyNumberFormat="1">
      <alignment horizontal="center" shrinkToFit="0" wrapText="0"/>
    </xf>
    <xf borderId="0" fillId="0" fontId="21" numFmtId="0" xfId="0" applyAlignment="1" applyFont="1">
      <alignment horizontal="center"/>
    </xf>
    <xf borderId="0" fillId="0" fontId="21" numFmtId="0" xfId="0" applyAlignment="1" applyFont="1">
      <alignment horizontal="center" readingOrder="0"/>
    </xf>
    <xf borderId="0" fillId="0" fontId="17" numFmtId="0" xfId="0" applyAlignment="1" applyFont="1">
      <alignment vertical="bottom"/>
    </xf>
    <xf borderId="0" fillId="0" fontId="17" numFmtId="167" xfId="0" applyAlignment="1" applyFont="1" applyNumberFormat="1">
      <alignment horizontal="right" readingOrder="0" vertical="bottom"/>
    </xf>
    <xf borderId="0" fillId="0" fontId="17" numFmtId="49" xfId="0" applyAlignment="1" applyFont="1" applyNumberFormat="1">
      <alignment vertical="bottom"/>
    </xf>
    <xf borderId="0" fillId="0" fontId="17" numFmtId="0" xfId="0" applyAlignment="1" applyFont="1">
      <alignment readingOrder="0" vertical="bottom"/>
    </xf>
    <xf borderId="0" fillId="0" fontId="17" numFmtId="170" xfId="0" applyAlignment="1" applyFont="1" applyNumberFormat="1">
      <alignment vertical="bottom"/>
    </xf>
    <xf borderId="9" fillId="0" fontId="15" numFmtId="0" xfId="0" applyAlignment="1" applyBorder="1" applyFont="1">
      <alignment horizontal="center" shrinkToFit="0" vertical="bottom" wrapText="1"/>
    </xf>
    <xf borderId="12" fillId="12" fontId="15" numFmtId="0" xfId="0" applyAlignment="1" applyBorder="1" applyFont="1">
      <alignment horizontal="left" vertical="bottom"/>
    </xf>
    <xf borderId="12" fillId="13" fontId="8" numFmtId="169" xfId="0" applyAlignment="1" applyBorder="1" applyFont="1" applyNumberFormat="1">
      <alignment horizontal="right" vertical="bottom"/>
    </xf>
    <xf borderId="12" fillId="13" fontId="8" numFmtId="170" xfId="0" applyAlignment="1" applyBorder="1" applyFont="1" applyNumberFormat="1">
      <alignment horizontal="right" vertical="bottom"/>
    </xf>
    <xf borderId="12" fillId="13" fontId="8" numFmtId="170" xfId="0" applyAlignment="1" applyBorder="1" applyFont="1" applyNumberFormat="1">
      <alignment horizontal="center" vertical="bottom"/>
    </xf>
    <xf borderId="0" fillId="0" fontId="10" numFmtId="164" xfId="0" applyFont="1" applyNumberFormat="1"/>
    <xf borderId="16" fillId="26" fontId="10" numFmtId="0" xfId="0" applyAlignment="1" applyBorder="1" applyFill="1" applyFont="1">
      <alignment horizontal="center" readingOrder="0"/>
    </xf>
    <xf borderId="16" fillId="26" fontId="10" numFmtId="164" xfId="0" applyAlignment="1" applyBorder="1" applyFont="1" applyNumberFormat="1">
      <alignment horizontal="center"/>
    </xf>
    <xf borderId="16" fillId="26" fontId="10" numFmtId="170" xfId="0" applyAlignment="1" applyBorder="1" applyFont="1" applyNumberFormat="1">
      <alignment horizontal="center" readingOrder="0"/>
    </xf>
    <xf borderId="16" fillId="26" fontId="10" numFmtId="170" xfId="0" applyAlignment="1" applyBorder="1" applyFont="1" applyNumberFormat="1">
      <alignment horizontal="center"/>
    </xf>
    <xf borderId="0" fillId="0" fontId="10" numFmtId="170" xfId="0" applyAlignment="1" applyFont="1" applyNumberFormat="1">
      <alignment horizontal="center"/>
    </xf>
    <xf borderId="0" fillId="0" fontId="10" numFmtId="169" xfId="0" applyFont="1" applyNumberFormat="1"/>
    <xf borderId="16" fillId="9" fontId="10" numFmtId="0" xfId="0" applyAlignment="1" applyBorder="1" applyFont="1">
      <alignment readingOrder="0"/>
    </xf>
    <xf borderId="16" fillId="9" fontId="10" numFmtId="3" xfId="0" applyBorder="1" applyFont="1" applyNumberFormat="1"/>
    <xf borderId="16" fillId="9" fontId="10" numFmtId="10" xfId="0" applyBorder="1" applyFont="1" applyNumberFormat="1"/>
    <xf borderId="16" fillId="9" fontId="10" numFmtId="4" xfId="0" applyBorder="1" applyFont="1" applyNumberFormat="1"/>
    <xf borderId="16" fillId="9" fontId="10" numFmtId="4" xfId="0" applyAlignment="1" applyBorder="1" applyFont="1" applyNumberFormat="1">
      <alignment readingOrder="0"/>
    </xf>
    <xf borderId="16" fillId="0" fontId="10" numFmtId="0" xfId="0" applyBorder="1" applyFont="1"/>
    <xf borderId="16" fillId="0" fontId="10" numFmtId="3" xfId="0" applyBorder="1" applyFont="1" applyNumberFormat="1"/>
    <xf borderId="16" fillId="0" fontId="10" numFmtId="10" xfId="0" applyBorder="1" applyFont="1" applyNumberFormat="1"/>
    <xf borderId="16" fillId="9" fontId="10" numFmtId="0" xfId="0" applyBorder="1" applyFont="1"/>
    <xf borderId="0" fillId="0" fontId="17" numFmtId="170" xfId="0" applyAlignment="1" applyFont="1" applyNumberFormat="1">
      <alignment readingOrder="0" vertical="bottom"/>
    </xf>
    <xf borderId="0" fillId="0" fontId="40" numFmtId="164" xfId="0" applyAlignment="1" applyFont="1" applyNumberFormat="1">
      <alignment horizontal="center" vertical="center"/>
    </xf>
    <xf borderId="16" fillId="12" fontId="40" numFmtId="164" xfId="0" applyAlignment="1" applyBorder="1" applyFont="1" applyNumberFormat="1">
      <alignment horizontal="center" vertical="center"/>
    </xf>
    <xf borderId="9" fillId="12" fontId="40" numFmtId="164" xfId="0" applyAlignment="1" applyBorder="1" applyFont="1" applyNumberFormat="1">
      <alignment horizontal="center" vertical="center"/>
    </xf>
    <xf borderId="9" fillId="12" fontId="40" numFmtId="170" xfId="0" applyAlignment="1" applyBorder="1" applyFont="1" applyNumberFormat="1">
      <alignment horizontal="center" vertical="center"/>
    </xf>
    <xf borderId="0" fillId="9" fontId="17" numFmtId="0" xfId="0" applyAlignment="1" applyFont="1">
      <alignment readingOrder="0" vertical="bottom"/>
    </xf>
    <xf borderId="0" fillId="9" fontId="17" numFmtId="0" xfId="0" applyAlignment="1" applyFont="1">
      <alignment vertical="bottom"/>
    </xf>
    <xf borderId="16" fillId="12" fontId="41" numFmtId="164" xfId="0" applyAlignment="1" applyBorder="1" applyFont="1" applyNumberFormat="1">
      <alignment horizontal="center" vertical="center"/>
    </xf>
    <xf borderId="0" fillId="0" fontId="16" numFmtId="164" xfId="0" applyAlignment="1" applyFont="1" applyNumberFormat="1">
      <alignment horizontal="right" vertical="bottom"/>
    </xf>
    <xf borderId="16" fillId="0" fontId="16" numFmtId="164" xfId="0" applyAlignment="1" applyBorder="1" applyFont="1" applyNumberFormat="1">
      <alignment horizontal="right" readingOrder="0" vertical="bottom"/>
    </xf>
    <xf borderId="16" fillId="27" fontId="16" numFmtId="0" xfId="0" applyAlignment="1" applyBorder="1" applyFill="1" applyFont="1">
      <alignment vertical="bottom"/>
    </xf>
    <xf borderId="16" fillId="0" fontId="16" numFmtId="169" xfId="0" applyAlignment="1" applyBorder="1" applyFont="1" applyNumberFormat="1">
      <alignment horizontal="right" readingOrder="0" vertical="bottom"/>
    </xf>
    <xf borderId="16" fillId="0" fontId="16" numFmtId="3" xfId="0" applyAlignment="1" applyBorder="1" applyFont="1" applyNumberFormat="1">
      <alignment horizontal="right" readingOrder="0" vertical="bottom"/>
    </xf>
    <xf borderId="16" fillId="0" fontId="16" numFmtId="170" xfId="0" applyAlignment="1" applyBorder="1" applyFont="1" applyNumberFormat="1">
      <alignment horizontal="right" readingOrder="0" vertical="bottom"/>
    </xf>
    <xf borderId="16" fillId="27" fontId="16" numFmtId="170" xfId="0" applyAlignment="1" applyBorder="1" applyFont="1" applyNumberFormat="1">
      <alignment horizontal="right" vertical="bottom"/>
    </xf>
    <xf borderId="0" fillId="27" fontId="17" numFmtId="0" xfId="0" applyAlignment="1" applyFont="1">
      <alignment readingOrder="0" vertical="bottom"/>
    </xf>
    <xf borderId="0" fillId="9" fontId="10" numFmtId="0" xfId="0" applyFont="1"/>
    <xf borderId="0" fillId="9" fontId="7" numFmtId="0" xfId="0" applyAlignment="1" applyFont="1">
      <alignment readingOrder="0" shrinkToFit="0" vertical="bottom" wrapText="0"/>
    </xf>
    <xf borderId="16" fillId="0" fontId="42" numFmtId="164" xfId="0" applyAlignment="1" applyBorder="1" applyFont="1" applyNumberFormat="1">
      <alignment readingOrder="0"/>
    </xf>
    <xf borderId="16" fillId="0" fontId="43" numFmtId="0" xfId="0" applyAlignment="1" applyBorder="1" applyFont="1">
      <alignment horizontal="left" readingOrder="0" shrinkToFit="0" wrapText="0"/>
    </xf>
    <xf borderId="16" fillId="0" fontId="43" numFmtId="4" xfId="0" applyAlignment="1" applyBorder="1" applyFont="1" applyNumberFormat="1">
      <alignment horizontal="right" readingOrder="0" shrinkToFit="0" wrapText="0"/>
    </xf>
    <xf borderId="16" fillId="0" fontId="16" numFmtId="0" xfId="0" applyAlignment="1" applyBorder="1" applyFont="1">
      <alignment vertical="bottom"/>
    </xf>
    <xf borderId="16" fillId="0" fontId="16" numFmtId="170" xfId="0" applyAlignment="1" applyBorder="1" applyFont="1" applyNumberFormat="1">
      <alignment horizontal="right" vertical="bottom"/>
    </xf>
    <xf borderId="16" fillId="9" fontId="16" numFmtId="164" xfId="0" applyAlignment="1" applyBorder="1" applyFont="1" applyNumberFormat="1">
      <alignment horizontal="right" readingOrder="0" vertical="bottom"/>
    </xf>
    <xf borderId="16" fillId="9" fontId="16" numFmtId="0" xfId="0" applyAlignment="1" applyBorder="1" applyFont="1">
      <alignment readingOrder="0" vertical="bottom"/>
    </xf>
    <xf borderId="16" fillId="9" fontId="16" numFmtId="0" xfId="0" applyAlignment="1" applyBorder="1" applyFont="1">
      <alignment vertical="bottom"/>
    </xf>
    <xf borderId="16" fillId="9" fontId="16" numFmtId="169" xfId="0" applyAlignment="1" applyBorder="1" applyFont="1" applyNumberFormat="1">
      <alignment horizontal="right" readingOrder="0" vertical="bottom"/>
    </xf>
    <xf borderId="16" fillId="9" fontId="16" numFmtId="170" xfId="0" applyAlignment="1" applyBorder="1" applyFont="1" applyNumberFormat="1">
      <alignment horizontal="right" readingOrder="0" vertical="bottom"/>
    </xf>
    <xf borderId="16" fillId="0" fontId="42" numFmtId="0" xfId="0" applyAlignment="1" applyBorder="1" applyFont="1">
      <alignment readingOrder="0"/>
    </xf>
    <xf borderId="16" fillId="0" fontId="42" numFmtId="4" xfId="0" applyAlignment="1" applyBorder="1" applyFont="1" applyNumberFormat="1">
      <alignment readingOrder="0"/>
    </xf>
    <xf borderId="0" fillId="9" fontId="7" numFmtId="0" xfId="0" applyAlignment="1" applyFont="1">
      <alignment shrinkToFit="0" vertical="bottom" wrapText="0"/>
    </xf>
    <xf borderId="0" fillId="0" fontId="17" numFmtId="4" xfId="0" applyAlignment="1" applyFont="1" applyNumberFormat="1">
      <alignment readingOrder="0" vertical="bottom"/>
    </xf>
    <xf borderId="16" fillId="0" fontId="16" numFmtId="4" xfId="0" applyAlignment="1" applyBorder="1" applyFont="1" applyNumberFormat="1">
      <alignment horizontal="right" readingOrder="0" vertical="bottom"/>
    </xf>
    <xf borderId="0" fillId="0" fontId="8" numFmtId="168" xfId="0" applyAlignment="1" applyFont="1" applyNumberFormat="1">
      <alignment readingOrder="0" vertical="bottom"/>
    </xf>
    <xf borderId="0" fillId="0" fontId="17" numFmtId="168" xfId="0" applyAlignment="1" applyFont="1" applyNumberFormat="1">
      <alignment vertical="bottom"/>
    </xf>
    <xf borderId="0" fillId="0" fontId="44" numFmtId="168" xfId="0" applyAlignment="1" applyFont="1" applyNumberFormat="1">
      <alignment readingOrder="0" vertical="bottom"/>
    </xf>
    <xf borderId="0" fillId="0" fontId="16" numFmtId="168" xfId="0" applyAlignment="1" applyFont="1" applyNumberFormat="1">
      <alignment readingOrder="0" vertical="bottom"/>
    </xf>
    <xf borderId="0" fillId="0" fontId="16" numFmtId="168" xfId="0" applyAlignment="1" applyFont="1" applyNumberFormat="1">
      <alignment vertical="bottom"/>
    </xf>
    <xf borderId="16" fillId="0" fontId="16" numFmtId="174" xfId="0" applyAlignment="1" applyBorder="1" applyFont="1" applyNumberFormat="1">
      <alignment horizontal="right" readingOrder="0" vertical="bottom"/>
    </xf>
    <xf borderId="0" fillId="0" fontId="42" numFmtId="164" xfId="0" applyAlignment="1" applyFont="1" applyNumberFormat="1">
      <alignment readingOrder="0"/>
    </xf>
    <xf borderId="0" fillId="0" fontId="42" numFmtId="0" xfId="0" applyAlignment="1" applyFont="1">
      <alignment readingOrder="0"/>
    </xf>
    <xf borderId="0" fillId="0" fontId="42" numFmtId="4" xfId="0" applyAlignment="1" applyFont="1" applyNumberFormat="1">
      <alignment readingOrder="0"/>
    </xf>
    <xf borderId="16" fillId="28" fontId="17" numFmtId="0" xfId="0" applyAlignment="1" applyBorder="1" applyFill="1" applyFont="1">
      <alignment horizontal="center" vertical="bottom"/>
    </xf>
    <xf borderId="0" fillId="29" fontId="18" numFmtId="0" xfId="0" applyAlignment="1" applyFill="1" applyFont="1">
      <alignment horizontal="center"/>
    </xf>
    <xf borderId="9" fillId="29" fontId="18" numFmtId="0" xfId="0" applyAlignment="1" applyBorder="1" applyFont="1">
      <alignment horizontal="center"/>
    </xf>
    <xf borderId="12" fillId="28" fontId="18" numFmtId="0" xfId="0" applyAlignment="1" applyBorder="1" applyFont="1">
      <alignment horizontal="center"/>
    </xf>
    <xf borderId="12" fillId="30" fontId="17" numFmtId="0" xfId="0" applyAlignment="1" applyBorder="1" applyFill="1" applyFont="1">
      <alignment horizontal="center" vertical="bottom"/>
    </xf>
    <xf borderId="12" fillId="29" fontId="18" numFmtId="0" xfId="0" applyAlignment="1" applyBorder="1" applyFont="1">
      <alignment horizontal="center" readingOrder="0"/>
    </xf>
    <xf borderId="12" fillId="29" fontId="18" numFmtId="0" xfId="0" applyAlignment="1" applyBorder="1" applyFont="1">
      <alignment horizontal="center"/>
    </xf>
    <xf borderId="11" fillId="3" fontId="45" numFmtId="0" xfId="0" applyAlignment="1" applyBorder="1" applyFont="1">
      <alignment horizontal="center" readingOrder="0" vertical="bottom"/>
    </xf>
    <xf borderId="11" fillId="0" fontId="17" numFmtId="0" xfId="0" applyAlignment="1" applyBorder="1" applyFont="1">
      <alignment vertical="bottom"/>
    </xf>
    <xf borderId="16" fillId="12" fontId="18" numFmtId="164" xfId="0" applyAlignment="1" applyBorder="1" applyFont="1" applyNumberFormat="1">
      <alignment horizontal="center" readingOrder="0" vertical="bottom"/>
    </xf>
    <xf borderId="16" fillId="0" fontId="17" numFmtId="4" xfId="0" applyAlignment="1" applyBorder="1" applyFont="1" applyNumberFormat="1">
      <alignment horizontal="center" readingOrder="0" vertical="bottom"/>
    </xf>
    <xf borderId="16" fillId="31" fontId="18" numFmtId="175" xfId="0" applyAlignment="1" applyBorder="1" applyFill="1" applyFont="1" applyNumberFormat="1">
      <alignment horizontal="center" vertical="bottom"/>
    </xf>
    <xf borderId="16" fillId="12" fontId="18" numFmtId="4" xfId="0" applyAlignment="1" applyBorder="1" applyFont="1" applyNumberFormat="1">
      <alignment horizontal="center" readingOrder="0" vertical="bottom"/>
    </xf>
    <xf borderId="16" fillId="7" fontId="17" numFmtId="175" xfId="0" applyAlignment="1" applyBorder="1" applyFont="1" applyNumberFormat="1">
      <alignment horizontal="center" vertical="bottom"/>
    </xf>
    <xf borderId="16" fillId="0" fontId="17" numFmtId="168" xfId="0" applyAlignment="1" applyBorder="1" applyFont="1" applyNumberFormat="1">
      <alignment vertical="bottom"/>
    </xf>
    <xf borderId="16" fillId="0" fontId="17" numFmtId="4" xfId="0" applyAlignment="1" applyBorder="1" applyFont="1" applyNumberFormat="1">
      <alignment horizontal="center" vertical="bottom"/>
    </xf>
    <xf borderId="16" fillId="0" fontId="17" numFmtId="0" xfId="0" applyAlignment="1" applyBorder="1" applyFont="1">
      <alignment vertical="bottom"/>
    </xf>
    <xf borderId="0" fillId="0" fontId="17" numFmtId="168" xfId="0" applyAlignment="1" applyFont="1" applyNumberFormat="1">
      <alignment vertical="bottom"/>
    </xf>
    <xf borderId="0" fillId="3" fontId="45" numFmtId="0" xfId="0" applyAlignment="1" applyFont="1">
      <alignment horizontal="center"/>
    </xf>
    <xf borderId="11" fillId="3" fontId="45" numFmtId="0" xfId="0" applyAlignment="1" applyBorder="1" applyFont="1">
      <alignment horizontal="center" readingOrder="0"/>
    </xf>
    <xf borderId="11" fillId="0" fontId="17" numFmtId="0" xfId="0" applyBorder="1" applyFont="1"/>
    <xf borderId="0" fillId="0" fontId="17" numFmtId="164" xfId="0" applyAlignment="1" applyFont="1" applyNumberFormat="1">
      <alignment horizontal="center" readingOrder="0" vertical="center"/>
    </xf>
    <xf borderId="5" fillId="0" fontId="17" numFmtId="164" xfId="0" applyAlignment="1" applyBorder="1" applyFont="1" applyNumberFormat="1">
      <alignment horizontal="center" readingOrder="0" vertical="center"/>
    </xf>
    <xf borderId="15" fillId="18" fontId="17" numFmtId="0" xfId="0" applyAlignment="1" applyBorder="1" applyFont="1">
      <alignment horizontal="center"/>
    </xf>
    <xf borderId="3" fillId="0" fontId="17" numFmtId="0" xfId="0" applyAlignment="1" applyBorder="1" applyFont="1">
      <alignment horizontal="center"/>
    </xf>
    <xf borderId="3" fillId="0" fontId="17" numFmtId="3" xfId="0" applyAlignment="1" applyBorder="1" applyFont="1" applyNumberFormat="1">
      <alignment horizontal="center" vertical="center"/>
    </xf>
    <xf borderId="5" fillId="0" fontId="17" numFmtId="164" xfId="0" applyAlignment="1" applyBorder="1" applyFont="1" applyNumberFormat="1">
      <alignment horizontal="center" vertical="center"/>
    </xf>
    <xf borderId="16" fillId="18" fontId="17" numFmtId="0" xfId="0" applyAlignment="1" applyBorder="1" applyFont="1">
      <alignment horizontal="center"/>
    </xf>
    <xf borderId="3" fillId="0" fontId="17" numFmtId="0" xfId="0" applyBorder="1" applyFont="1"/>
    <xf borderId="12" fillId="12" fontId="17" numFmtId="0" xfId="0" applyAlignment="1" applyBorder="1" applyFont="1">
      <alignment horizontal="center"/>
    </xf>
    <xf borderId="0" fillId="0" fontId="17" numFmtId="3" xfId="0" applyAlignment="1" applyFont="1" applyNumberFormat="1">
      <alignment horizontal="center"/>
    </xf>
    <xf borderId="0" fillId="0" fontId="17" numFmtId="3" xfId="0" applyAlignment="1" applyFont="1" applyNumberFormat="1">
      <alignment horizontal="center" vertical="center"/>
    </xf>
    <xf borderId="16" fillId="12" fontId="17" numFmtId="0" xfId="0" applyAlignment="1" applyBorder="1" applyFont="1">
      <alignment horizontal="center"/>
    </xf>
    <xf borderId="0" fillId="0" fontId="17" numFmtId="0" xfId="0" applyFont="1"/>
    <xf borderId="12" fillId="32" fontId="17" numFmtId="0" xfId="0" applyAlignment="1" applyBorder="1" applyFill="1" applyFont="1">
      <alignment horizontal="center"/>
    </xf>
    <xf borderId="16" fillId="32" fontId="17" numFmtId="0" xfId="0" applyAlignment="1" applyBorder="1" applyFont="1">
      <alignment horizontal="center"/>
    </xf>
    <xf borderId="12" fillId="17" fontId="17" numFmtId="0" xfId="0" applyAlignment="1" applyBorder="1" applyFont="1">
      <alignment horizontal="center"/>
    </xf>
    <xf borderId="11" fillId="0" fontId="17" numFmtId="3" xfId="0" applyAlignment="1" applyBorder="1" applyFont="1" applyNumberFormat="1">
      <alignment horizontal="center"/>
    </xf>
    <xf borderId="11" fillId="0" fontId="17" numFmtId="3" xfId="0" applyAlignment="1" applyBorder="1" applyFont="1" applyNumberFormat="1">
      <alignment horizontal="center" vertical="center"/>
    </xf>
    <xf borderId="16" fillId="17" fontId="17" numFmtId="0" xfId="0" applyAlignment="1" applyBorder="1" applyFont="1">
      <alignment horizontal="center"/>
    </xf>
    <xf borderId="0" fillId="0" fontId="17" numFmtId="0" xfId="0" applyAlignment="1" applyFont="1">
      <alignment horizontal="center"/>
    </xf>
    <xf borderId="0" fillId="0" fontId="17" numFmtId="3" xfId="0" applyFont="1" applyNumberFormat="1"/>
    <xf borderId="11" fillId="0" fontId="10" numFmtId="0" xfId="0" applyAlignment="1" applyBorder="1" applyFont="1">
      <alignment horizontal="center"/>
    </xf>
    <xf borderId="11" fillId="0" fontId="10" numFmtId="3" xfId="0" applyAlignment="1" applyBorder="1" applyFont="1" applyNumberFormat="1">
      <alignment horizontal="center"/>
    </xf>
    <xf borderId="11" fillId="0" fontId="17" numFmtId="3" xfId="0" applyBorder="1" applyFont="1" applyNumberFormat="1"/>
    <xf borderId="0" fillId="12" fontId="17" numFmtId="0" xfId="0" applyAlignment="1" applyFont="1">
      <alignment horizontal="center" vertical="center"/>
    </xf>
    <xf borderId="6" fillId="12" fontId="17" numFmtId="0" xfId="0" applyAlignment="1" applyBorder="1" applyFont="1">
      <alignment horizontal="center" vertical="center"/>
    </xf>
    <xf borderId="14" fillId="18" fontId="17" numFmtId="0" xfId="0" applyAlignment="1" applyBorder="1" applyFont="1">
      <alignment horizontal="center"/>
    </xf>
    <xf borderId="11" fillId="12" fontId="17" numFmtId="0" xfId="0" applyAlignment="1" applyBorder="1" applyFont="1">
      <alignment horizontal="center"/>
    </xf>
    <xf borderId="11" fillId="32" fontId="17" numFmtId="0" xfId="0" applyAlignment="1" applyBorder="1" applyFont="1">
      <alignment horizontal="center"/>
    </xf>
    <xf borderId="11" fillId="17" fontId="17" numFmtId="0" xfId="0" applyAlignment="1" applyBorder="1" applyFont="1">
      <alignment horizontal="center"/>
    </xf>
    <xf borderId="0" fillId="0" fontId="46" numFmtId="0" xfId="0" applyAlignment="1" applyFont="1">
      <alignment readingOrder="0" shrinkToFit="0" vertical="center" wrapText="0"/>
    </xf>
    <xf borderId="0" fillId="0" fontId="7" numFmtId="0" xfId="0" applyAlignment="1" applyFont="1">
      <alignment readingOrder="0" shrinkToFit="0" vertical="center" wrapText="0"/>
    </xf>
    <xf borderId="0" fillId="0" fontId="7" numFmtId="0" xfId="0" applyAlignment="1" applyFont="1">
      <alignment horizontal="center" readingOrder="0" shrinkToFit="0" vertical="center" wrapText="0"/>
    </xf>
    <xf borderId="16" fillId="27" fontId="46" numFmtId="0" xfId="0" applyAlignment="1" applyBorder="1" applyFont="1">
      <alignment readingOrder="0" shrinkToFit="0" vertical="center" wrapText="0"/>
    </xf>
    <xf borderId="16" fillId="27" fontId="7" numFmtId="0" xfId="0" applyAlignment="1" applyBorder="1" applyFont="1">
      <alignment readingOrder="0" shrinkToFit="0" vertical="center" wrapText="0"/>
    </xf>
    <xf borderId="16" fillId="27" fontId="7" numFmtId="0" xfId="0" applyAlignment="1" applyBorder="1" applyFont="1">
      <alignment horizontal="center" readingOrder="0" shrinkToFit="0" vertical="center" wrapText="0"/>
    </xf>
    <xf borderId="16" fillId="0" fontId="7" numFmtId="164" xfId="0" applyAlignment="1" applyBorder="1" applyFont="1" applyNumberFormat="1">
      <alignment readingOrder="0" shrinkToFit="0" wrapText="0"/>
    </xf>
    <xf borderId="16" fillId="0" fontId="7" numFmtId="0" xfId="0" applyAlignment="1" applyBorder="1" applyFont="1">
      <alignment readingOrder="0" shrinkToFit="0" wrapText="0"/>
    </xf>
    <xf borderId="16" fillId="9" fontId="7" numFmtId="164" xfId="0" applyAlignment="1" applyBorder="1" applyFont="1" applyNumberFormat="1">
      <alignment readingOrder="0" shrinkToFit="0" wrapText="0"/>
    </xf>
    <xf borderId="16" fillId="9" fontId="7" numFmtId="0" xfId="0" applyAlignment="1" applyBorder="1" applyFont="1">
      <alignment readingOrder="0" shrinkToFit="0" wrapText="0"/>
    </xf>
    <xf borderId="16" fillId="9" fontId="7" numFmtId="4" xfId="0" applyAlignment="1" applyBorder="1" applyFont="1" applyNumberFormat="1">
      <alignment readingOrder="0" shrinkToFit="0" wrapText="0"/>
    </xf>
    <xf borderId="16" fillId="0" fontId="7" numFmtId="4" xfId="0" applyAlignment="1" applyBorder="1" applyFont="1" applyNumberFormat="1">
      <alignment readingOrder="0" shrinkToFit="0" wrapText="0"/>
    </xf>
  </cellXfs>
  <cellStyles count="1">
    <cellStyle xfId="0" name="Normal" builtinId="0"/>
  </cellStyles>
  <dxfs count="2">
    <dxf>
      <font>
        <b/>
        <color theme="5"/>
      </font>
      <fill>
        <patternFill patternType="none"/>
      </fill>
      <border/>
    </dxf>
    <dxf>
      <font>
        <b/>
        <color rgb="FFFF0000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pivotCacheDefinition" Target="pivotCache/pivotCacheDefinition1.xml"/><Relationship Id="rId14" Type="http://schemas.openxmlformats.org/officeDocument/2006/relationships/worksheet" Target="worksheets/sheet10.xml"/><Relationship Id="rId16" Type="http://schemas.openxmlformats.org/officeDocument/2006/relationships/pivotCacheDefinition" Target="pivotCache/pivotCacheDefinition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申请笔数与到账笔数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'jiliarena-每日报告'!$C$5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'jiliarena-每日报告'!$D$4:$L$4</c:f>
            </c:strRef>
          </c:cat>
          <c:val>
            <c:numRef>
              <c:f>'jiliarena-每日报告'!$D$5:$L$5</c:f>
              <c:numCache/>
            </c:numRef>
          </c:val>
        </c:ser>
        <c:ser>
          <c:idx val="1"/>
          <c:order val="1"/>
          <c:tx>
            <c:strRef>
              <c:f>'jiliarena-每日报告'!$C$6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'jiliarena-每日报告'!$D$4:$L$4</c:f>
            </c:strRef>
          </c:cat>
          <c:val>
            <c:numRef>
              <c:f>'jiliarena-每日报告'!$D$6:$L$6</c:f>
              <c:numCache/>
            </c:numRef>
          </c:val>
        </c:ser>
        <c:axId val="1357908331"/>
        <c:axId val="536092358"/>
      </c:barChart>
      <c:catAx>
        <c:axId val="135790833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WP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36092358"/>
      </c:catAx>
      <c:valAx>
        <c:axId val="53609235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57908331"/>
      </c:valAx>
    </c:plotArea>
    <c:legend>
      <c:legendPos val="l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000000"/>
                </a:solidFill>
                <a:latin typeface="Arial"/>
              </a:defRPr>
            </a:pPr>
            <a:r>
              <a:rPr b="1">
                <a:solidFill>
                  <a:srgbClr val="000000"/>
                </a:solidFill>
                <a:latin typeface="Arial"/>
              </a:rPr>
              <a:t>申请金额与到帐金额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'jiliarena-每日报告'!$C$8</c:f>
            </c:strRef>
          </c:tx>
          <c:spPr>
            <a:solidFill>
              <a:srgbClr val="C9DAF8"/>
            </a:solidFill>
            <a:ln cmpd="sng">
              <a:solidFill>
                <a:srgbClr val="000000"/>
              </a:solidFill>
              <a:prstDash val="solid"/>
            </a:ln>
          </c:spPr>
          <c:dLbls>
            <c:numFmt formatCode="#,##0" sourceLinked="0"/>
            <c:txPr>
              <a:bodyPr/>
              <a:lstStyle/>
              <a:p>
                <a:pPr lvl="0">
                  <a:defRPr b="1">
                    <a:solidFill>
                      <a:srgbClr val="000000"/>
                    </a:solidFill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'jiliarena-每日报告'!$D$4:$L$4</c:f>
            </c:strRef>
          </c:cat>
          <c:val>
            <c:numRef>
              <c:f>'jiliarena-每日报告'!$D$8:$L$8</c:f>
              <c:numCache/>
            </c:numRef>
          </c:val>
        </c:ser>
        <c:ser>
          <c:idx val="1"/>
          <c:order val="1"/>
          <c:tx>
            <c:strRef>
              <c:f>'jiliarena-每日报告'!$C$9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dLbls>
            <c:numFmt formatCode="#,##0" sourceLinked="0"/>
            <c:txPr>
              <a:bodyPr/>
              <a:lstStyle/>
              <a:p>
                <a:pPr lvl="0">
                  <a:defRPr b="1">
                    <a:latin typeface="Arial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'jiliarena-每日报告'!$D$4:$L$4</c:f>
            </c:strRef>
          </c:cat>
          <c:val>
            <c:numRef>
              <c:f>'jiliarena-每日报告'!$D$9:$L$9</c:f>
              <c:numCache/>
            </c:numRef>
          </c:val>
        </c:ser>
        <c:axId val="1085833987"/>
        <c:axId val="1611017638"/>
      </c:barChart>
      <c:catAx>
        <c:axId val="108583398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Arial"/>
                  </a:defRPr>
                </a:pPr>
                <a:r>
                  <a:rPr b="0">
                    <a:solidFill>
                      <a:srgbClr val="000000"/>
                    </a:solidFill>
                    <a:latin typeface="Arial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1" sz="1200">
                <a:solidFill>
                  <a:srgbClr val="000000"/>
                </a:solidFill>
                <a:latin typeface="Arial"/>
              </a:defRPr>
            </a:pPr>
          </a:p>
        </c:txPr>
        <c:crossAx val="1611017638"/>
      </c:catAx>
      <c:valAx>
        <c:axId val="161101763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Arial"/>
                  </a:defRPr>
                </a:pPr>
                <a:r>
                  <a:rPr b="0">
                    <a:solidFill>
                      <a:srgbClr val="000000"/>
                    </a:solidFill>
                    <a:latin typeface="Arial"/>
                  </a:rPr>
                  <a:t/>
                </a:r>
              </a:p>
            </c:rich>
          </c:tx>
          <c:overlay val="0"/>
        </c:title>
        <c:numFmt formatCode="#,##0" sourceLinked="0"/>
        <c:majorTickMark val="none"/>
        <c:minorTickMark val="none"/>
        <c:tickLblPos val="nextTo"/>
        <c:spPr>
          <a:ln>
            <a:solid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Arial"/>
              </a:defRPr>
            </a:pPr>
          </a:p>
        </c:txPr>
        <c:crossAx val="1085833987"/>
      </c:valAx>
    </c:plotArea>
    <c:legend>
      <c:legendPos val="l"/>
      <c:overlay val="0"/>
      <c:txPr>
        <a:bodyPr/>
        <a:lstStyle/>
        <a:p>
          <a:pPr lvl="0">
            <a:defRPr b="1" sz="1400">
              <a:solidFill>
                <a:srgbClr val="1A1A1A"/>
              </a:solidFill>
              <a:latin typeface="Arial"/>
            </a:defRPr>
          </a:pPr>
        </a:p>
      </c:txPr>
    </c:legend>
    <c:plotVisOnly val="1"/>
  </c:chart>
  <c:spPr>
    <a:solidFill>
      <a:srgbClr val="FFFFFF"/>
    </a:solidFill>
  </c:spPr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2000">
                <a:solidFill>
                  <a:srgbClr val="757575"/>
                </a:solidFill>
                <a:latin typeface="Arial"/>
              </a:defRPr>
            </a:pPr>
            <a:r>
              <a:rPr b="1" sz="2000">
                <a:solidFill>
                  <a:srgbClr val="757575"/>
                </a:solidFill>
                <a:latin typeface="Arial"/>
              </a:rPr>
              <a:t>到帐金额管道占比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tx>
            <c:strRef>
              <c:f>'jiliarena-每日报告'!$C$9</c:f>
            </c:strRef>
          </c:tx>
          <c:dPt>
            <c:idx val="0"/>
            <c:explosion val="0"/>
            <c:spPr>
              <a:solidFill>
                <a:srgbClr val="4A86E8"/>
              </a:solidFill>
            </c:spPr>
          </c:dPt>
          <c:dLbls>
            <c:showLegendKey val="0"/>
            <c:showVal val="0"/>
            <c:showCatName val="1"/>
            <c:showSerName val="0"/>
            <c:showPercent val="0"/>
            <c:showBubbleSize val="0"/>
            <c:showLeaderLines val="1"/>
          </c:dLbls>
          <c:cat>
            <c:strRef>
              <c:f>'jiliarena-每日报告'!$D$4:$L$4</c:f>
            </c:strRef>
          </c:cat>
          <c:val>
            <c:numRef>
              <c:f>'jiliarena-每日报告'!$D$9:$L$9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1" sz="24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757575"/>
                </a:solidFill>
                <a:latin typeface="+mn-lt"/>
              </a:defRPr>
            </a:pPr>
            <a:r>
              <a:rPr b="1">
                <a:solidFill>
                  <a:srgbClr val="757575"/>
                </a:solidFill>
                <a:latin typeface="+mn-lt"/>
              </a:rPr>
              <a:t>申请金额管道占比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tx>
            <c:strRef>
              <c:f>'jiliarena-每日报告'!$C$8</c:f>
            </c:strRef>
          </c:tx>
          <c:dPt>
            <c:idx val="0"/>
            <c:spPr>
              <a:solidFill>
                <a:srgbClr val="4285F4"/>
              </a:solidFill>
            </c:spPr>
          </c:dPt>
          <c:dLbls>
            <c:showLegendKey val="0"/>
            <c:showVal val="0"/>
            <c:showCatName val="1"/>
            <c:showSerName val="0"/>
            <c:showPercent val="0"/>
            <c:showBubbleSize val="0"/>
            <c:showLeaderLines val="1"/>
          </c:dLbls>
          <c:cat>
            <c:strRef>
              <c:f>'jiliarena-每日报告'!$D$4:$L$4</c:f>
            </c:strRef>
          </c:cat>
          <c:val>
            <c:numRef>
              <c:f>'jiliarena-每日报告'!$D$8:$L$8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1" sz="20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3000">
                <a:solidFill>
                  <a:srgbClr val="757575"/>
                </a:solidFill>
                <a:latin typeface="+mn-lt"/>
              </a:defRPr>
            </a:pPr>
            <a:r>
              <a:rPr b="1" sz="3000">
                <a:solidFill>
                  <a:srgbClr val="757575"/>
                </a:solidFill>
                <a:latin typeface="+mn-lt"/>
              </a:rPr>
              <a:t>jiliarena活动金额细项占比</a:t>
            </a:r>
          </a:p>
        </c:rich>
      </c:tx>
      <c:layout>
        <c:manualLayout>
          <c:xMode val="edge"/>
          <c:yMode val="edge"/>
          <c:x val="0.03091666666666667"/>
          <c:y val="0.05095866260001116"/>
        </c:manualLayout>
      </c:layout>
      <c:overlay val="0"/>
    </c:title>
    <c:plotArea>
      <c:layout>
        <c:manualLayout>
          <c:xMode val="edge"/>
          <c:yMode val="edge"/>
          <c:x val="0.03094606542882405"/>
          <c:y val="0.11904761904761904"/>
          <c:w val="0.9381078691423519"/>
          <c:h val="0.8323809523809523"/>
        </c:manualLayout>
      </c:layout>
      <c:pieChart>
        <c:varyColors val="1"/>
        <c:ser>
          <c:idx val="0"/>
          <c:order val="0"/>
          <c:tx>
            <c:strRef>
              <c:f>'jiliarena-每日报告'!$O$83</c:f>
            </c:strRef>
          </c:tx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Pt>
            <c:idx val="12"/>
            <c:spPr>
              <a:solidFill>
                <a:srgbClr val="B3CEFB"/>
              </a:solidFill>
            </c:spPr>
          </c:dPt>
          <c:dPt>
            <c:idx val="13"/>
            <c:spPr>
              <a:solidFill>
                <a:srgbClr val="F7B4AE"/>
              </a:solidFill>
            </c:spPr>
          </c:dPt>
          <c:dPt>
            <c:idx val="14"/>
            <c:spPr>
              <a:solidFill>
                <a:srgbClr val="FDE49B"/>
              </a:solidFill>
            </c:spPr>
          </c:dPt>
          <c:dPt>
            <c:idx val="15"/>
            <c:spPr>
              <a:solidFill>
                <a:srgbClr val="AEDCBA"/>
              </a:solidFill>
            </c:spPr>
          </c:dPt>
          <c:dPt>
            <c:idx val="16"/>
            <c:spPr>
              <a:solidFill>
                <a:srgbClr val="FFC599"/>
              </a:solidFill>
            </c:spPr>
          </c:dPt>
          <c:dPt>
            <c:idx val="17"/>
            <c:spPr>
              <a:solidFill>
                <a:srgbClr val="B5E5E8"/>
              </a:solidFill>
            </c:spPr>
          </c:dPt>
          <c:dPt>
            <c:idx val="18"/>
            <c:spPr>
              <a:solidFill>
                <a:srgbClr val="ECF3FE"/>
              </a:solidFill>
            </c:spPr>
          </c:dPt>
          <c:dPt>
            <c:idx val="19"/>
            <c:spPr>
              <a:solidFill>
                <a:srgbClr val="FDECEB"/>
              </a:solidFill>
            </c:spPr>
          </c:dPt>
          <c:dPt>
            <c:idx val="20"/>
            <c:spPr>
              <a:solidFill>
                <a:srgbClr val="FFF8E6"/>
              </a:solidFill>
            </c:spPr>
          </c:dPt>
          <c:dPt>
            <c:idx val="21"/>
            <c:spPr>
              <a:solidFill>
                <a:srgbClr val="EBF6EE"/>
              </a:solidFill>
            </c:spPr>
          </c:dPt>
          <c:dPt>
            <c:idx val="22"/>
            <c:spPr>
              <a:solidFill>
                <a:srgbClr val="FFF0E6"/>
              </a:solidFill>
            </c:spPr>
          </c:dPt>
          <c:dPt>
            <c:idx val="23"/>
            <c:spPr>
              <a:solidFill>
                <a:srgbClr val="EDF8F9"/>
              </a:solidFill>
            </c:spPr>
          </c:dPt>
          <c:dPt>
            <c:idx val="24"/>
            <c:spPr>
              <a:solidFill>
                <a:srgbClr val="FFFF00"/>
              </a:solidFill>
            </c:spPr>
          </c:dPt>
          <c:dPt>
            <c:idx val="25"/>
            <c:spPr>
              <a:solidFill>
                <a:srgbClr val="C9DAF8"/>
              </a:solidFill>
            </c:spPr>
          </c:dPt>
          <c:dPt>
            <c:idx val="26"/>
            <c:spPr>
              <a:solidFill>
                <a:srgbClr val="A2C4C9"/>
              </a:solidFill>
            </c:spPr>
          </c:dPt>
          <c:dPt>
            <c:idx val="27"/>
            <c:spPr>
              <a:solidFill>
                <a:srgbClr val="B45F06"/>
              </a:solidFill>
            </c:spPr>
          </c:dPt>
          <c:dPt>
            <c:idx val="28"/>
            <c:spPr>
              <a:solidFill>
                <a:srgbClr val="FF1C32"/>
              </a:solidFill>
            </c:spPr>
          </c:dPt>
          <c:dPt>
            <c:idx val="29"/>
            <c:spPr>
              <a:solidFill>
                <a:srgbClr val="B4A7D6"/>
              </a:solidFill>
            </c:spPr>
          </c:dPt>
          <c:dPt>
            <c:idx val="30"/>
            <c:spPr>
              <a:solidFill>
                <a:srgbClr val="5E3C05"/>
              </a:solidFill>
            </c:spPr>
          </c:dPt>
          <c:dPt>
            <c:idx val="31"/>
            <c:spPr>
              <a:solidFill>
                <a:srgbClr val="0A5D64"/>
              </a:solidFill>
            </c:spPr>
          </c:dPt>
          <c:dPt>
            <c:idx val="32"/>
            <c:spPr>
              <a:solidFill>
                <a:srgbClr val="01217D"/>
              </a:solidFill>
            </c:spPr>
          </c:dPt>
          <c:dPt>
            <c:idx val="33"/>
            <c:spPr>
              <a:solidFill>
                <a:srgbClr val="652B55"/>
              </a:solidFill>
            </c:spPr>
          </c:dPt>
          <c:dPt>
            <c:idx val="34"/>
            <c:spPr>
              <a:solidFill>
                <a:srgbClr val="FF487E"/>
              </a:solidFill>
            </c:spPr>
          </c:dPt>
          <c:dPt>
            <c:idx val="35"/>
            <c:spPr>
              <a:solidFill>
                <a:srgbClr val="5C201C"/>
              </a:solidFill>
            </c:spPr>
          </c:dPt>
          <c:dPt>
            <c:idx val="36"/>
            <c:spPr>
              <a:solidFill>
                <a:srgbClr val="966108"/>
              </a:solidFill>
            </c:spPr>
          </c:dPt>
          <c:dPt>
            <c:idx val="37"/>
            <c:spPr>
              <a:solidFill>
                <a:srgbClr val="1095A1"/>
              </a:solidFill>
            </c:spPr>
          </c:dPt>
          <c:dPt>
            <c:idx val="38"/>
            <c:spPr>
              <a:solidFill>
                <a:srgbClr val="0235C8"/>
              </a:solidFill>
            </c:spPr>
          </c:dPt>
          <c:dPt>
            <c:idx val="39"/>
            <c:spPr>
              <a:solidFill>
                <a:srgbClr val="A14589"/>
              </a:solidFill>
            </c:spPr>
          </c:dPt>
          <c:dLbls>
            <c:showLegendKey val="0"/>
            <c:showVal val="1"/>
            <c:showCatName val="0"/>
            <c:showSerName val="0"/>
            <c:showPercent val="0"/>
            <c:showBubbleSize val="0"/>
            <c:showLeaderLines val="1"/>
          </c:dLbls>
          <c:cat>
            <c:strRef>
              <c:f>'jiliarena-每日报告'!$N$84:$N$123</c:f>
            </c:strRef>
          </c:cat>
          <c:val>
            <c:numRef>
              <c:f>'jiliarena-每日报告'!$O$84:$O$123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 sz="24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3000">
                <a:solidFill>
                  <a:srgbClr val="757575"/>
                </a:solidFill>
                <a:latin typeface="+mn-lt"/>
              </a:defRPr>
            </a:pPr>
            <a:r>
              <a:rPr b="1" sz="3000">
                <a:solidFill>
                  <a:srgbClr val="757575"/>
                </a:solidFill>
                <a:latin typeface="+mn-lt"/>
              </a:rPr>
              <a:t>jiliarena活动笔数细项占比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tx>
            <c:strRef>
              <c:f>'jiliarena-每日报告'!$P$83</c:f>
            </c:strRef>
          </c:tx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Pt>
            <c:idx val="12"/>
            <c:spPr>
              <a:solidFill>
                <a:srgbClr val="B3CEFB"/>
              </a:solidFill>
            </c:spPr>
          </c:dPt>
          <c:dPt>
            <c:idx val="13"/>
            <c:spPr>
              <a:solidFill>
                <a:srgbClr val="F7B4AE"/>
              </a:solidFill>
            </c:spPr>
          </c:dPt>
          <c:dPt>
            <c:idx val="14"/>
            <c:spPr>
              <a:solidFill>
                <a:srgbClr val="FDE49B"/>
              </a:solidFill>
            </c:spPr>
          </c:dPt>
          <c:dPt>
            <c:idx val="15"/>
            <c:spPr>
              <a:solidFill>
                <a:srgbClr val="AEDCBA"/>
              </a:solidFill>
            </c:spPr>
          </c:dPt>
          <c:dPt>
            <c:idx val="16"/>
            <c:spPr>
              <a:solidFill>
                <a:srgbClr val="FFC599"/>
              </a:solidFill>
            </c:spPr>
          </c:dPt>
          <c:dPt>
            <c:idx val="17"/>
            <c:spPr>
              <a:solidFill>
                <a:srgbClr val="B5E5E8"/>
              </a:solidFill>
            </c:spPr>
          </c:dPt>
          <c:dPt>
            <c:idx val="18"/>
            <c:spPr>
              <a:solidFill>
                <a:srgbClr val="ECF3FE"/>
              </a:solidFill>
            </c:spPr>
          </c:dPt>
          <c:dPt>
            <c:idx val="19"/>
            <c:spPr>
              <a:solidFill>
                <a:srgbClr val="FDECEB"/>
              </a:solidFill>
            </c:spPr>
          </c:dPt>
          <c:dPt>
            <c:idx val="20"/>
            <c:spPr>
              <a:solidFill>
                <a:srgbClr val="FFF8E6"/>
              </a:solidFill>
            </c:spPr>
          </c:dPt>
          <c:dPt>
            <c:idx val="21"/>
            <c:spPr>
              <a:solidFill>
                <a:srgbClr val="EBF6EE"/>
              </a:solidFill>
            </c:spPr>
          </c:dPt>
          <c:dPt>
            <c:idx val="22"/>
            <c:spPr>
              <a:solidFill>
                <a:srgbClr val="FFF0E6"/>
              </a:solidFill>
            </c:spPr>
          </c:dPt>
          <c:dPt>
            <c:idx val="23"/>
            <c:spPr>
              <a:solidFill>
                <a:srgbClr val="EDF8F9"/>
              </a:solidFill>
            </c:spPr>
          </c:dPt>
          <c:dPt>
            <c:idx val="24"/>
            <c:spPr>
              <a:solidFill>
                <a:srgbClr val="FFFF00"/>
              </a:solidFill>
            </c:spPr>
          </c:dPt>
          <c:dPt>
            <c:idx val="25"/>
            <c:spPr>
              <a:solidFill>
                <a:srgbClr val="FFFF00"/>
              </a:solidFill>
            </c:spPr>
          </c:dPt>
          <c:dPt>
            <c:idx val="26"/>
            <c:spPr>
              <a:solidFill>
                <a:srgbClr val="E69138"/>
              </a:solidFill>
            </c:spPr>
          </c:dPt>
          <c:dPt>
            <c:idx val="27"/>
            <c:spPr>
              <a:solidFill>
                <a:srgbClr val="9FC5E8"/>
              </a:solidFill>
            </c:spPr>
          </c:dPt>
          <c:dPt>
            <c:idx val="28"/>
            <c:spPr>
              <a:solidFill>
                <a:srgbClr val="FF1C32"/>
              </a:solidFill>
            </c:spPr>
          </c:dPt>
          <c:dPt>
            <c:idx val="29"/>
            <c:spPr>
              <a:solidFill>
                <a:srgbClr val="999999"/>
              </a:solidFill>
            </c:spPr>
          </c:dPt>
          <c:dPt>
            <c:idx val="30"/>
            <c:spPr>
              <a:solidFill>
                <a:srgbClr val="5E3C05"/>
              </a:solidFill>
            </c:spPr>
          </c:dPt>
          <c:dPt>
            <c:idx val="31"/>
            <c:spPr>
              <a:solidFill>
                <a:srgbClr val="0A5D64"/>
              </a:solidFill>
            </c:spPr>
          </c:dPt>
          <c:dPt>
            <c:idx val="32"/>
            <c:spPr>
              <a:solidFill>
                <a:srgbClr val="01217D"/>
              </a:solidFill>
            </c:spPr>
          </c:dPt>
          <c:dPt>
            <c:idx val="33"/>
            <c:spPr>
              <a:solidFill>
                <a:srgbClr val="652B55"/>
              </a:solidFill>
            </c:spPr>
          </c:dPt>
          <c:dPt>
            <c:idx val="34"/>
            <c:spPr>
              <a:solidFill>
                <a:srgbClr val="FF487E"/>
              </a:solidFill>
            </c:spPr>
          </c:dPt>
          <c:dPt>
            <c:idx val="35"/>
            <c:spPr>
              <a:solidFill>
                <a:srgbClr val="5C201C"/>
              </a:solidFill>
            </c:spPr>
          </c:dPt>
          <c:dPt>
            <c:idx val="36"/>
            <c:spPr>
              <a:solidFill>
                <a:srgbClr val="966108"/>
              </a:solidFill>
            </c:spPr>
          </c:dPt>
          <c:dPt>
            <c:idx val="37"/>
            <c:spPr>
              <a:solidFill>
                <a:srgbClr val="1095A1"/>
              </a:solidFill>
            </c:spPr>
          </c:dPt>
          <c:dPt>
            <c:idx val="38"/>
            <c:spPr>
              <a:solidFill>
                <a:srgbClr val="0235C8"/>
              </a:solidFill>
            </c:spPr>
          </c:dPt>
          <c:dPt>
            <c:idx val="39"/>
            <c:spPr>
              <a:solidFill>
                <a:srgbClr val="A14589"/>
              </a:solidFill>
            </c:spPr>
          </c:dPt>
          <c:dLbls>
            <c:showLegendKey val="0"/>
            <c:showVal val="1"/>
            <c:showCatName val="0"/>
            <c:showSerName val="0"/>
            <c:showPercent val="0"/>
            <c:showBubbleSize val="0"/>
            <c:showLeaderLines val="1"/>
          </c:dLbls>
          <c:cat>
            <c:strRef>
              <c:f>'jiliarena-每日报告'!$N$84:$N$123</c:f>
            </c:strRef>
          </c:cat>
          <c:val>
            <c:numRef>
              <c:f>'jiliarena-每日报告'!$P$84:$P$123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 sz="30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3000">
                <a:solidFill>
                  <a:srgbClr val="757575"/>
                </a:solidFill>
                <a:latin typeface="+mn-lt"/>
              </a:defRPr>
            </a:pPr>
            <a:r>
              <a:rPr b="1" sz="3000">
                <a:solidFill>
                  <a:srgbClr val="757575"/>
                </a:solidFill>
                <a:latin typeface="+mn-lt"/>
              </a:rPr>
              <a:t>jiliarena活动人数细项占比</a:t>
            </a:r>
          </a:p>
        </c:rich>
      </c:tx>
      <c:layout>
        <c:manualLayout>
          <c:xMode val="edge"/>
          <c:yMode val="edge"/>
          <c:x val="0.03091666666666667"/>
          <c:y val="0.04730458221024259"/>
        </c:manualLayout>
      </c:layout>
      <c:overlay val="0"/>
    </c:title>
    <c:plotArea>
      <c:layout/>
      <c:pieChart>
        <c:varyColors val="1"/>
        <c:ser>
          <c:idx val="0"/>
          <c:order val="0"/>
          <c:tx>
            <c:strRef>
              <c:f>'jiliarena-每日报告'!$Q$83</c:f>
            </c:strRef>
          </c:tx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Pt>
            <c:idx val="12"/>
            <c:spPr>
              <a:solidFill>
                <a:srgbClr val="B3CEFB"/>
              </a:solidFill>
            </c:spPr>
          </c:dPt>
          <c:dPt>
            <c:idx val="13"/>
            <c:spPr>
              <a:solidFill>
                <a:srgbClr val="F7B4AE"/>
              </a:solidFill>
            </c:spPr>
          </c:dPt>
          <c:dPt>
            <c:idx val="14"/>
            <c:spPr>
              <a:solidFill>
                <a:srgbClr val="FDE49B"/>
              </a:solidFill>
            </c:spPr>
          </c:dPt>
          <c:dPt>
            <c:idx val="15"/>
            <c:spPr>
              <a:solidFill>
                <a:srgbClr val="AEDCBA"/>
              </a:solidFill>
            </c:spPr>
          </c:dPt>
          <c:dPt>
            <c:idx val="16"/>
            <c:spPr>
              <a:solidFill>
                <a:srgbClr val="FFC599"/>
              </a:solidFill>
            </c:spPr>
          </c:dPt>
          <c:dPt>
            <c:idx val="17"/>
            <c:spPr>
              <a:solidFill>
                <a:srgbClr val="B5E5E8"/>
              </a:solidFill>
            </c:spPr>
          </c:dPt>
          <c:dPt>
            <c:idx val="18"/>
            <c:spPr>
              <a:solidFill>
                <a:srgbClr val="ECF3FE"/>
              </a:solidFill>
            </c:spPr>
          </c:dPt>
          <c:dPt>
            <c:idx val="19"/>
            <c:spPr>
              <a:solidFill>
                <a:srgbClr val="FDECEB"/>
              </a:solidFill>
            </c:spPr>
          </c:dPt>
          <c:dPt>
            <c:idx val="20"/>
            <c:spPr>
              <a:solidFill>
                <a:srgbClr val="FFF8E6"/>
              </a:solidFill>
            </c:spPr>
          </c:dPt>
          <c:dPt>
            <c:idx val="21"/>
            <c:spPr>
              <a:solidFill>
                <a:srgbClr val="EBF6EE"/>
              </a:solidFill>
            </c:spPr>
          </c:dPt>
          <c:dPt>
            <c:idx val="22"/>
            <c:spPr>
              <a:solidFill>
                <a:srgbClr val="FFF0E6"/>
              </a:solidFill>
            </c:spPr>
          </c:dPt>
          <c:dPt>
            <c:idx val="23"/>
            <c:spPr>
              <a:solidFill>
                <a:srgbClr val="EDF8F9"/>
              </a:solidFill>
            </c:spPr>
          </c:dPt>
          <c:dPt>
            <c:idx val="24"/>
            <c:spPr>
              <a:solidFill>
                <a:srgbClr val="FFFF00"/>
              </a:solidFill>
            </c:spPr>
          </c:dPt>
          <c:dPt>
            <c:idx val="25"/>
            <c:spPr>
              <a:solidFill>
                <a:srgbClr val="FFFF00"/>
              </a:solidFill>
            </c:spPr>
          </c:dPt>
          <c:dPt>
            <c:idx val="26"/>
            <c:spPr>
              <a:solidFill>
                <a:srgbClr val="9FC5E8"/>
              </a:solidFill>
            </c:spPr>
          </c:dPt>
          <c:dPt>
            <c:idx val="27"/>
            <c:spPr>
              <a:solidFill>
                <a:srgbClr val="FFE599"/>
              </a:solidFill>
            </c:spPr>
          </c:dPt>
          <c:dPt>
            <c:idx val="28"/>
            <c:spPr>
              <a:solidFill>
                <a:srgbClr val="FF1C32"/>
              </a:solidFill>
            </c:spPr>
          </c:dPt>
          <c:dPt>
            <c:idx val="29"/>
            <c:spPr>
              <a:solidFill>
                <a:srgbClr val="CFE2F3"/>
              </a:solidFill>
            </c:spPr>
          </c:dPt>
          <c:dPt>
            <c:idx val="30"/>
            <c:spPr>
              <a:solidFill>
                <a:srgbClr val="5E3C05"/>
              </a:solidFill>
            </c:spPr>
          </c:dPt>
          <c:dPt>
            <c:idx val="31"/>
            <c:spPr>
              <a:solidFill>
                <a:srgbClr val="0A5D64"/>
              </a:solidFill>
            </c:spPr>
          </c:dPt>
          <c:dPt>
            <c:idx val="32"/>
            <c:spPr>
              <a:solidFill>
                <a:srgbClr val="01217D"/>
              </a:solidFill>
            </c:spPr>
          </c:dPt>
          <c:dPt>
            <c:idx val="33"/>
            <c:spPr>
              <a:solidFill>
                <a:srgbClr val="652B55"/>
              </a:solidFill>
            </c:spPr>
          </c:dPt>
          <c:dPt>
            <c:idx val="34"/>
            <c:spPr>
              <a:solidFill>
                <a:srgbClr val="FF487E"/>
              </a:solidFill>
            </c:spPr>
          </c:dPt>
          <c:dPt>
            <c:idx val="35"/>
            <c:spPr>
              <a:solidFill>
                <a:srgbClr val="5C201C"/>
              </a:solidFill>
            </c:spPr>
          </c:dPt>
          <c:dPt>
            <c:idx val="36"/>
            <c:spPr>
              <a:solidFill>
                <a:srgbClr val="966108"/>
              </a:solidFill>
            </c:spPr>
          </c:dPt>
          <c:dPt>
            <c:idx val="37"/>
            <c:spPr>
              <a:solidFill>
                <a:srgbClr val="1095A1"/>
              </a:solidFill>
            </c:spPr>
          </c:dPt>
          <c:dPt>
            <c:idx val="38"/>
            <c:spPr>
              <a:solidFill>
                <a:srgbClr val="0235C8"/>
              </a:solidFill>
            </c:spPr>
          </c:dPt>
          <c:dPt>
            <c:idx val="39"/>
            <c:spPr>
              <a:solidFill>
                <a:srgbClr val="A14589"/>
              </a:solidFill>
            </c:spPr>
          </c:dPt>
          <c:dPt>
            <c:idx val="40"/>
            <c:spPr>
              <a:solidFill>
                <a:srgbClr val="FF74CA"/>
              </a:solidFill>
            </c:spPr>
          </c:dPt>
          <c:dLbls>
            <c:showLegendKey val="0"/>
            <c:showVal val="1"/>
            <c:showCatName val="0"/>
            <c:showSerName val="0"/>
            <c:showPercent val="0"/>
            <c:showBubbleSize val="0"/>
            <c:showLeaderLines val="1"/>
          </c:dLbls>
          <c:cat>
            <c:strRef>
              <c:f>'jiliarena-每日报告'!$N$84:$N$124</c:f>
            </c:strRef>
          </c:cat>
          <c:val>
            <c:numRef>
              <c:f>'jiliarena-每日报告'!$Q$84:$Q$124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 sz="24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sz="3000">
                <a:solidFill>
                  <a:srgbClr val="757575"/>
                </a:solidFill>
                <a:latin typeface="+mn-lt"/>
              </a:defRPr>
            </a:pPr>
            <a:r>
              <a:rPr b="0" sz="3000">
                <a:solidFill>
                  <a:srgbClr val="757575"/>
                </a:solidFill>
                <a:latin typeface="+mn-lt"/>
              </a:rPr>
              <a:t>jiliarena各代理占比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tx>
            <c:strRef>
              <c:f>'jiliarena-每日报告'!$G$246</c:f>
            </c:strRef>
          </c:tx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Pt>
            <c:idx val="12"/>
            <c:spPr>
              <a:solidFill>
                <a:srgbClr val="B3CEFB"/>
              </a:solidFill>
            </c:spPr>
          </c:dPt>
          <c:dPt>
            <c:idx val="13"/>
            <c:spPr>
              <a:solidFill>
                <a:srgbClr val="F7B4AE"/>
              </a:solidFill>
            </c:spPr>
          </c:dPt>
          <c:dPt>
            <c:idx val="14"/>
            <c:spPr>
              <a:solidFill>
                <a:srgbClr val="FDE49B"/>
              </a:solidFill>
            </c:spPr>
          </c:dPt>
          <c:dPt>
            <c:idx val="15"/>
            <c:spPr>
              <a:solidFill>
                <a:srgbClr val="AEDCBA"/>
              </a:solidFill>
            </c:spPr>
          </c:dPt>
          <c:dPt>
            <c:idx val="16"/>
            <c:spPr>
              <a:solidFill>
                <a:srgbClr val="FFC599"/>
              </a:solidFill>
            </c:spPr>
          </c:dPt>
          <c:dPt>
            <c:idx val="17"/>
            <c:spPr>
              <a:solidFill>
                <a:srgbClr val="B5E5E8"/>
              </a:solidFill>
            </c:spPr>
          </c:dPt>
          <c:dPt>
            <c:idx val="18"/>
            <c:spPr>
              <a:solidFill>
                <a:srgbClr val="ECF3FE"/>
              </a:solidFill>
            </c:spPr>
          </c:dPt>
          <c:dPt>
            <c:idx val="19"/>
            <c:spPr>
              <a:solidFill>
                <a:srgbClr val="FDECEB"/>
              </a:solidFill>
            </c:spPr>
          </c:dPt>
          <c:dPt>
            <c:idx val="20"/>
            <c:spPr>
              <a:solidFill>
                <a:srgbClr val="FFF8E6"/>
              </a:solidFill>
            </c:spPr>
          </c:dPt>
          <c:dPt>
            <c:idx val="21"/>
            <c:spPr>
              <a:solidFill>
                <a:srgbClr val="EBF6EE"/>
              </a:solidFill>
            </c:spPr>
          </c:dPt>
          <c:dPt>
            <c:idx val="22"/>
            <c:spPr>
              <a:solidFill>
                <a:srgbClr val="FFF0E6"/>
              </a:solidFill>
            </c:spPr>
          </c:dPt>
          <c:dPt>
            <c:idx val="23"/>
            <c:spPr>
              <a:solidFill>
                <a:srgbClr val="EDF8F9"/>
              </a:solidFill>
            </c:spPr>
          </c:dPt>
          <c:dPt>
            <c:idx val="24"/>
            <c:spPr>
              <a:solidFill>
                <a:srgbClr val="251701"/>
              </a:solidFill>
            </c:spPr>
          </c:dPt>
          <c:dPt>
            <c:idx val="25"/>
            <c:spPr>
              <a:solidFill>
                <a:srgbClr val="032527"/>
              </a:solidFill>
            </c:spPr>
          </c:dPt>
          <c:dPt>
            <c:idx val="26"/>
            <c:spPr>
              <a:solidFill>
                <a:srgbClr val="000C31"/>
              </a:solidFill>
            </c:spPr>
          </c:dPt>
          <c:dPt>
            <c:idx val="27"/>
            <c:spPr>
              <a:solidFill>
                <a:srgbClr val="281021"/>
              </a:solidFill>
            </c:spPr>
          </c:dPt>
          <c:dPt>
            <c:idx val="28"/>
            <c:spPr>
              <a:solidFill>
                <a:srgbClr val="FF1C32"/>
              </a:solidFill>
            </c:spPr>
          </c:dPt>
          <c:dPt>
            <c:idx val="29"/>
            <c:spPr>
              <a:solidFill>
                <a:srgbClr val="00FF00"/>
              </a:solidFill>
            </c:spPr>
          </c:dPt>
          <c:dPt>
            <c:idx val="30"/>
          </c:dPt>
          <c:dPt>
            <c:idx val="31"/>
          </c:dPt>
          <c:dPt>
            <c:idx val="32"/>
          </c:dPt>
          <c:dPt>
            <c:idx val="33"/>
          </c:dPt>
          <c:dLbls>
            <c:showLegendKey val="0"/>
            <c:showVal val="0"/>
            <c:showCatName val="1"/>
            <c:showSerName val="0"/>
            <c:showPercent val="0"/>
            <c:showBubbleSize val="0"/>
            <c:showLeaderLines val="1"/>
          </c:dLbls>
          <c:cat>
            <c:strRef>
              <c:f>'jiliarena-每日报告'!$F$247:$F$280</c:f>
            </c:strRef>
          </c:cat>
          <c:val>
            <c:numRef>
              <c:f>'jiliarena-每日报告'!$G$247:$G$280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1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Relationship Id="rId6" Type="http://schemas.openxmlformats.org/officeDocument/2006/relationships/chart" Target="../charts/chart6.xml"/><Relationship Id="rId7" Type="http://schemas.openxmlformats.org/officeDocument/2006/relationships/chart" Target="../charts/chart7.xml"/><Relationship Id="rId8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13</xdr:col>
      <xdr:colOff>1609725</xdr:colOff>
      <xdr:row>18</xdr:row>
      <xdr:rowOff>66675</xdr:rowOff>
    </xdr:from>
    <xdr:ext cx="10001250" cy="5133975"/>
    <xdr:graphicFrame>
      <xdr:nvGraphicFramePr>
        <xdr:cNvPr id="1" name="Chart 1" title="图表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2</xdr:col>
      <xdr:colOff>742950</xdr:colOff>
      <xdr:row>18</xdr:row>
      <xdr:rowOff>66675</xdr:rowOff>
    </xdr:from>
    <xdr:ext cx="12087225" cy="5133975"/>
    <xdr:graphicFrame>
      <xdr:nvGraphicFramePr>
        <xdr:cNvPr id="2" name="Chart 2" title="图表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8</xdr:col>
      <xdr:colOff>457200</xdr:colOff>
      <xdr:row>51</xdr:row>
      <xdr:rowOff>28575</xdr:rowOff>
    </xdr:from>
    <xdr:ext cx="9496425" cy="5867400"/>
    <xdr:graphicFrame>
      <xdr:nvGraphicFramePr>
        <xdr:cNvPr id="3" name="Chart 3" title="图表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0</xdr:col>
      <xdr:colOff>219075</xdr:colOff>
      <xdr:row>51</xdr:row>
      <xdr:rowOff>28575</xdr:rowOff>
    </xdr:from>
    <xdr:ext cx="9496425" cy="5867400"/>
    <xdr:graphicFrame>
      <xdr:nvGraphicFramePr>
        <xdr:cNvPr id="4" name="Chart 4" title="图表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8</xdr:col>
      <xdr:colOff>19050</xdr:colOff>
      <xdr:row>127</xdr:row>
      <xdr:rowOff>57150</xdr:rowOff>
    </xdr:from>
    <xdr:ext cx="12639675" cy="7820025"/>
    <xdr:graphicFrame>
      <xdr:nvGraphicFramePr>
        <xdr:cNvPr id="5" name="Chart 5" title="图表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  <xdr:oneCellAnchor>
    <xdr:from>
      <xdr:col>11</xdr:col>
      <xdr:colOff>285750</xdr:colOff>
      <xdr:row>167</xdr:row>
      <xdr:rowOff>76200</xdr:rowOff>
    </xdr:from>
    <xdr:ext cx="12430125" cy="7648575"/>
    <xdr:graphicFrame>
      <xdr:nvGraphicFramePr>
        <xdr:cNvPr id="6" name="Chart 6" title="图表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6"/>
        </a:graphicData>
      </a:graphic>
    </xdr:graphicFrame>
    <xdr:clientData fLocksWithSheet="0"/>
  </xdr:oneCellAnchor>
  <xdr:oneCellAnchor>
    <xdr:from>
      <xdr:col>0</xdr:col>
      <xdr:colOff>0</xdr:colOff>
      <xdr:row>167</xdr:row>
      <xdr:rowOff>28575</xdr:rowOff>
    </xdr:from>
    <xdr:ext cx="12372975" cy="7648575"/>
    <xdr:graphicFrame>
      <xdr:nvGraphicFramePr>
        <xdr:cNvPr id="7" name="Chart 7" title="图表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7"/>
        </a:graphicData>
      </a:graphic>
    </xdr:graphicFrame>
    <xdr:clientData fLocksWithSheet="0"/>
  </xdr:oneCellAnchor>
  <xdr:oneCellAnchor>
    <xdr:from>
      <xdr:col>10</xdr:col>
      <xdr:colOff>438150</xdr:colOff>
      <xdr:row>246</xdr:row>
      <xdr:rowOff>180975</xdr:rowOff>
    </xdr:from>
    <xdr:ext cx="9505950" cy="5876925"/>
    <xdr:graphicFrame>
      <xdr:nvGraphicFramePr>
        <xdr:cNvPr id="8" name="Chart 8" title="图表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8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B2:K413" sheet="jiliarena_活动分析数据_底稿"/>
  </cacheSource>
  <cacheFields>
    <cacheField name="日期" numFmtId="164">
      <sharedItems containsDate="1" containsString="0" containsBlank="1">
        <d v="2026-02-10T00:00:00Z"/>
        <m/>
        <d v="2026-02-11T00:00:00Z"/>
        <d v="2026-02-12T00:00:00Z"/>
        <d v="2026-02-13T00:00:00Z"/>
        <d v="2026-02-14T00:00:00Z"/>
        <d v="2026-02-15T00:00:00Z"/>
        <d v="2026-02-16T00:00:00Z"/>
        <d v="2026-02-17T00:00:00Z"/>
        <d v="2026-02-18T00:00:00Z"/>
        <d v="2026-02-19T00:00:00Z"/>
        <d v="2026-02-20T00:00:00Z"/>
        <d v="2026-02-21T00:00:00Z"/>
        <d v="2026-02-22T00:00:00Z"/>
        <d v="2026-02-23T00:00:00Z"/>
        <d v="2026-02-24T00:00:00Z"/>
        <d v="2026-02-25T00:00:00Z"/>
        <d v="2026-02-26T00:00:00Z"/>
        <d v="2026-02-27T00:00:00Z"/>
        <d v="2026-02-28T00:00:00Z"/>
      </sharedItems>
    </cacheField>
    <cacheField name="活动类型" numFmtId="0">
      <sharedItems containsBlank="1">
        <s v="登录任务"/>
        <s v="DAILY LOGIN TASK BONUS"/>
        <s v="手动红利"/>
        <s v="Surprise Super Bonus test"/>
        <s v="注册奖励"/>
        <s v="New Player Bonus: Get ₱8"/>
        <m/>
        <s v="APP下载"/>
        <s v="Download App &amp; Get ₱5–20"/>
        <s v="笔笔存送"/>
        <s v="20% Daily Slots Deposit Bonus"/>
        <s v="3% TOP UP BONUS EVERY TIME"/>
        <s v="首存"/>
        <s v="120% first deposit bonus"/>
        <s v="签到奖励"/>
        <s v="Free daily check-in rewards"/>
        <s v="邀请返佣"/>
        <s v="成就奖励"/>
        <s v="邀请奖励"/>
        <s v="二次存送"/>
        <s v="50% second deposit bonus"/>
        <s v="升级奖励"/>
        <s v="JILI ARENA REWARD CLUB"/>
        <s v="玩家返水"/>
        <s v="RNG Rebate"/>
        <s v="LIVE Rebate"/>
        <s v="充值返佣"/>
        <s v="投注返佣"/>
        <s v="50% first deposit bonus"/>
        <s v="PVP Rebate"/>
        <s v="任务排行榜"/>
        <s v="Spin the Lucky Wheel"/>
      </sharedItems>
    </cacheField>
    <cacheField name="活动类型2" numFmtId="0">
      <sharedItems>
        <s v="登录任务"/>
        <s v=""/>
        <s v="MANUAL"/>
        <s v="注册奖励"/>
        <s v="APP_DOWNLOAD"/>
        <s v="DEPOSIT"/>
        <s v="FIRST_DEPOSIT"/>
        <s v="LOGIN"/>
        <s v="邀请返佣"/>
        <s v="SECOND_DEPOSIT"/>
        <s v="UPGRADE_BONUS"/>
        <s v="GAME_REBATE"/>
        <s v="任务排行榜"/>
      </sharedItems>
    </cacheField>
    <cacheField name="中文" numFmtId="0">
      <sharedItems>
        <s v="登录任务"/>
        <s v=""/>
        <s v="手动红利"/>
        <s v="注册奖励"/>
        <s v="APP下载"/>
        <s v="笔笔存送"/>
        <s v="首存"/>
        <s v="签到奖励"/>
        <s v="邀请返佣"/>
        <s v="二次存送"/>
        <s v="升级奖励"/>
        <s v="玩家返水"/>
        <s v="任务排行榜"/>
      </sharedItems>
    </cacheField>
    <cacheField name="笔数" numFmtId="169">
      <sharedItems containsString="0" containsBlank="1" containsNumber="1" containsInteger="1">
        <n v="0.0"/>
        <n v="3.0"/>
        <n v="1.0"/>
        <n v="4.0"/>
        <n v="523.0"/>
        <n v="26.0"/>
        <n v="22.0"/>
        <n v="175.0"/>
        <n v="914.0"/>
        <n v="1154.0"/>
        <n v="2.0"/>
        <n v="20.0"/>
        <n v="13.0"/>
        <n v="2830.0"/>
        <n v="108.0"/>
        <n v="107.0"/>
        <n v="4058.0"/>
        <n v="220.0"/>
        <n v="168.0"/>
        <n v="52.0"/>
        <n v="1875.0"/>
        <n v="7460.0"/>
        <n v="18791.0"/>
        <n v="1013.0"/>
        <n v="123.0"/>
        <n v="11.0"/>
        <n v="868.0"/>
        <n v="341.0"/>
        <n v="630.0"/>
        <n v="34496.0"/>
        <n v="1396.0"/>
        <n v="1324.0"/>
        <n v="95.0"/>
        <n v="1017.0"/>
        <n v="359.0"/>
        <n v="247.0"/>
        <n v="112.0"/>
        <n v="1560.0"/>
        <n v="7624.0"/>
        <n v="886.0"/>
        <n v="75.0"/>
        <n v="177.0"/>
        <n v="458.0"/>
        <n v="176.0"/>
        <n v="411.0"/>
        <n v="1019.0"/>
        <n v="14272.0"/>
        <n v="1606.0"/>
        <n v="1454.0"/>
        <n v="185.0"/>
        <n v="422.0"/>
        <n v="316.0"/>
        <n v="106.0"/>
        <n v="769.0"/>
        <n v="5364.0"/>
        <n v="574.0"/>
        <n v="169.0"/>
        <n v="148.0"/>
        <n v="231.0"/>
        <n v="188.0"/>
        <n v="1397.0"/>
        <n v="10320.0"/>
        <n v="1042.0"/>
        <n v="992.0"/>
        <n v="71.0"/>
        <n v="239.0"/>
        <n v="120.0"/>
        <n v="245.0"/>
        <n v="4281.0"/>
        <n v="641.0"/>
        <n v="361.0"/>
        <n v="98.0"/>
        <n v="66.0"/>
        <n v="184.0"/>
        <n v="966.0"/>
        <n v="7895.0"/>
        <n v="701.0"/>
        <n v="700.0"/>
        <n v="294.0"/>
        <n v="204.0"/>
        <n v="90.0"/>
        <n v="4155.0"/>
        <n v="436.0"/>
        <n v="267.0"/>
        <n v="6.0"/>
        <n v="65.0"/>
        <n v="32.0"/>
        <n v="164.0"/>
        <n v="784.0"/>
        <n v="6822.0"/>
        <n v="580.0"/>
        <n v="579.0"/>
        <n v="280.0"/>
        <n v="202.0"/>
        <n v="78.0"/>
        <n v="468.0"/>
        <n v="209.0"/>
        <n v="37.0"/>
        <n v="142.0"/>
        <n v="628.0"/>
        <n v="6621.0"/>
        <n v="566.0"/>
        <n v="564.0"/>
        <n v="7.0"/>
        <n v="246.0"/>
        <n v="58.0"/>
        <n v="131.0"/>
        <n v="3662.0"/>
        <n v="369.0"/>
        <n v="200.0"/>
        <n v="28.0"/>
        <n v="132.0"/>
        <n v="434.0"/>
        <n v="5608.0"/>
        <n v="487.0"/>
        <n v="485.0"/>
        <n v="5.0"/>
        <n v="243.0"/>
        <n v="79.0"/>
        <n v="124.0"/>
        <n v="3705.0"/>
        <n v="381.0"/>
        <n v="190.0"/>
        <n v="39.0"/>
        <n v="376.0"/>
        <n v="5506.0"/>
        <n v="524.0"/>
        <n v="522.0"/>
        <n v="10.0"/>
        <n v="240.0"/>
        <n v="162.0"/>
        <n v="105.0"/>
        <n v="3392.0"/>
        <n v="356.0"/>
        <n v="160.0"/>
        <n v="18.0"/>
        <n v="110.0"/>
        <n v="323.0"/>
        <n v="5100.0"/>
        <n v="509.0"/>
        <n v="507.0"/>
        <n v="8.0"/>
        <n v="214.0"/>
        <n v="3064.0"/>
        <n v="288.0"/>
        <n v="170.0"/>
        <n v="29.0"/>
        <n v="116.0"/>
        <n v="254.0"/>
        <n v="4578.0"/>
        <n v="453.0"/>
        <n v="449.0"/>
        <n v="211.0"/>
        <n v="147.0"/>
        <n v="64.0"/>
        <n v="3031.0"/>
        <n v="324.0"/>
        <n v="34.0"/>
        <n v="24.0"/>
        <n v="259.0"/>
        <n v="4518.0"/>
        <n v="402.0"/>
        <n v="398.0"/>
        <n v="113.0"/>
        <n v="51.0"/>
        <n v="50.0"/>
        <n v="2853.0"/>
        <n v="253.0"/>
        <n v="165.0"/>
        <n v="33.0"/>
        <n v="206.0"/>
        <n v="4093.0"/>
        <n v="338.0"/>
        <n v="56.0"/>
        <n v="59.0"/>
        <n v="3045.0"/>
        <n v="279.0"/>
        <n v="38.0"/>
        <n v="101.0"/>
        <n v="226.0"/>
        <n v="4291.0"/>
        <n v="405.0"/>
        <n v="401.0"/>
        <n v="155.0"/>
        <n v="99.0"/>
        <n v="73.0"/>
        <n v="2817.0"/>
        <n v="228.0"/>
        <n v="153.0"/>
        <n v="30.0"/>
        <n v="14.0"/>
        <n v="191.0"/>
        <n v="4022.0"/>
        <n v="386.0"/>
        <n v="382.0"/>
        <n v="114.0"/>
        <n v="2586.0"/>
        <n v="266.0"/>
        <n v="122.0"/>
        <n v="25.0"/>
        <n v="93.0"/>
        <n v="161.0"/>
        <n v="7143.0"/>
        <n v="355.0"/>
        <n v="353.0"/>
        <n v="136.0"/>
        <n v="100.0"/>
        <n v="36.0"/>
        <n v="2435.0"/>
        <n v="87.0"/>
        <m/>
        <n v="250.0"/>
        <n v="9.0"/>
        <n v="146.0"/>
        <n v="45.0"/>
        <n v="92.0"/>
        <n v="2883.0"/>
        <n v="111.0"/>
        <n v="85.0"/>
      </sharedItems>
    </cacheField>
    <cacheField name="人数" numFmtId="3">
      <sharedItems containsString="0" containsBlank="1" containsNumber="1" containsInteger="1">
        <n v="1.0"/>
        <n v="3.0"/>
        <n v="5.0"/>
        <n v="523.0"/>
        <n v="22.0"/>
        <n v="4.0"/>
        <n v="19.0"/>
        <n v="175.0"/>
        <n v="914.0"/>
        <n v="115.0"/>
        <n v="1154.0"/>
        <n v="17.0"/>
        <n v="13.0"/>
        <n v="2935.0"/>
        <n v="108.0"/>
        <n v="107.0"/>
        <n v="4058.0"/>
        <n v="187.0"/>
        <n v="168.0"/>
        <n v="39.0"/>
        <n v="1875.0"/>
        <n v="7460.0"/>
        <n v="1442.0"/>
        <n v="18791.0"/>
        <n v="569.0"/>
        <n v="71.0"/>
        <n v="11.0"/>
        <n v="567.0"/>
        <n v="341.0"/>
        <n v="501.0"/>
        <n v="35332.0"/>
        <n v="1396.0"/>
        <n v="1324.0"/>
        <n v="95.0"/>
        <n v="1017.0"/>
        <n v="278.0"/>
        <n v="247.0"/>
        <n v="79.0"/>
        <n v="1560.0"/>
        <n v="7624.0"/>
        <n v="1369.0"/>
        <n v="482.0"/>
        <n v="58.0"/>
        <n v="177.0"/>
        <n v="355.0"/>
        <n v="176.0"/>
        <n v="411.0"/>
        <n v="801.0"/>
        <n v="14938.0"/>
        <n v="1606.0"/>
        <n v="1454.0"/>
        <n v="185.0"/>
        <n v="348.0"/>
        <n v="316.0"/>
        <n v="82.0"/>
        <n v="769.0"/>
        <n v="5364.0"/>
        <n v="906.0"/>
        <n v="340.0"/>
        <n v="26.0"/>
        <n v="169.0"/>
        <n v="131.0"/>
        <n v="231.0"/>
        <n v="188.0"/>
        <n v="1087.0"/>
        <n v="10608.0"/>
        <n v="1042.0"/>
        <n v="992.0"/>
        <n v="277.0"/>
        <n v="239.0"/>
        <n v="76.0"/>
        <n v="245.0"/>
        <n v="4281.0"/>
        <n v="516.0"/>
        <n v="418.0"/>
        <n v="240.0"/>
        <n v="98.0"/>
        <n v="64.0"/>
        <n v="184.0"/>
        <n v="789.0"/>
        <n v="7808.0"/>
        <n v="701.0"/>
        <n v="700.0"/>
        <n v="204.0"/>
        <n v="74.0"/>
        <n v="4155.0"/>
        <n v="426.0"/>
        <n v="291.0"/>
        <n v="189.0"/>
        <n v="6.0"/>
        <n v="65.0"/>
        <n v="32.0"/>
        <n v="164.0"/>
        <n v="642.0"/>
        <n v="6836.0"/>
        <n v="580.0"/>
        <n v="579.0"/>
        <n v="237.0"/>
        <n v="202.0"/>
        <n v="309.0"/>
        <n v="165.0"/>
        <n v="37.0"/>
        <n v="25.0"/>
        <n v="142.0"/>
        <n v="536.0"/>
        <n v="6694.0"/>
        <n v="566.0"/>
        <n v="564.0"/>
        <n v="7.0"/>
        <n v="218.0"/>
        <n v="50.0"/>
        <n v="3662.0"/>
        <n v="334.0"/>
        <n v="156.0"/>
        <n v="27.0"/>
        <n v="132.0"/>
        <n v="369.0"/>
        <n v="5675.0"/>
        <n v="487.0"/>
        <n v="485.0"/>
        <n v="53.0"/>
        <n v="124.0"/>
        <n v="3705.0"/>
        <n v="305.0"/>
        <n v="144.0"/>
        <n v="21.0"/>
        <n v="123.0"/>
        <n v="320.0"/>
        <n v="5517.0"/>
        <n v="524.0"/>
        <n v="522.0"/>
        <n v="10.0"/>
        <n v="2.0"/>
        <n v="194.0"/>
        <n v="162.0"/>
        <n v="105.0"/>
        <n v="3392.0"/>
        <n v="285.0"/>
        <n v="230.0"/>
        <n v="18.0"/>
        <n v="110.0"/>
        <n v="5131.0"/>
        <n v="509.0"/>
        <n v="507.0"/>
        <n v="8.0"/>
        <n v="179.0"/>
        <n v="148.0"/>
        <n v="3064.0"/>
        <n v="254.0"/>
        <n v="196.0"/>
        <n v="138.0"/>
        <n v="29.0"/>
        <n v="116.0"/>
        <n v="219.0"/>
        <n v="4638.0"/>
        <n v="453.0"/>
        <n v="449.0"/>
        <n v="147.0"/>
        <n v="43.0"/>
        <n v="3031.0"/>
        <n v="265.0"/>
        <n v="206.0"/>
        <n v="130.0"/>
        <n v="34.0"/>
        <n v="24.0"/>
        <n v="4555.0"/>
        <n v="402.0"/>
        <n v="398.0"/>
        <n v="137.0"/>
        <n v="113.0"/>
        <n v="42.0"/>
        <n v="2853.0"/>
        <n v="173.0"/>
        <n v="126.0"/>
        <n v="33.0"/>
        <n v="23.0"/>
        <n v="180.0"/>
        <n v="4097.0"/>
        <n v="338.0"/>
        <n v="139.0"/>
        <n v="120.0"/>
        <n v="59.0"/>
        <n v="3045.0"/>
        <n v="224.0"/>
        <n v="191.0"/>
        <n v="119.0"/>
        <n v="38.0"/>
        <n v="101.0"/>
        <n v="198.0"/>
        <n v="4316.0"/>
        <n v="405.0"/>
        <n v="401.0"/>
        <n v="99.0"/>
        <n v="73.0"/>
        <n v="2817.0"/>
        <n v="203.0"/>
        <n v="155.0"/>
        <n v="30.0"/>
        <n v="14.0"/>
        <n v="163.0"/>
        <n v="4056.0"/>
        <n v="386.0"/>
        <n v="382.0"/>
        <n v="129.0"/>
        <n v="114.0"/>
        <n v="2586.0"/>
        <n v="220.0"/>
        <n v="170.0"/>
        <n v="93.0"/>
        <n v="7270.0"/>
        <n v="353.0"/>
        <n v="100.0"/>
        <n v="2435.0"/>
        <n v="160.0"/>
        <n v="87.0"/>
        <m/>
        <n v="250.0"/>
        <n v="9.0"/>
        <n v="128.0"/>
        <n v="35.0"/>
        <n v="92.0"/>
        <n v="2883.0"/>
        <n v="85.0"/>
        <n v="182.0"/>
      </sharedItems>
    </cacheField>
    <cacheField name="活动金额" numFmtId="170">
      <sharedItems containsString="0" containsBlank="1" containsNumber="1">
        <n v="0.0"/>
        <n v="8.0"/>
        <n v="400.5"/>
        <n v="120.0"/>
        <n v="280.5"/>
        <n v="24844.8"/>
        <n v="914.0"/>
        <n v="9232.0"/>
        <n v="320.0"/>
        <n v="20.0"/>
        <n v="300.0"/>
        <n v="1210.0"/>
        <n v="4.0"/>
        <n v="36925.3"/>
        <n v="245.67"/>
        <n v="239.87"/>
        <n v="5.8"/>
        <n v="4285.67"/>
        <n v="4058.6"/>
        <n v="227.07"/>
        <n v="346606.8"/>
        <n v="8052.0"/>
        <n v="150328.0"/>
        <n v="14630.65"/>
        <n v="1585.0"/>
        <n v="2.2"/>
        <n v="13020.0"/>
        <n v="23.45"/>
        <n v="27123.5"/>
        <n v="902.0"/>
        <n v="552174.29"/>
        <n v="7222.36"/>
        <n v="6929.0"/>
        <n v="293.36"/>
        <n v="6977.4"/>
        <n v="6536.4"/>
        <n v="441.0"/>
        <n v="324410.4"/>
        <n v="10388.0"/>
        <n v="9494.23"/>
        <n v="1185.0"/>
        <n v="95.5"/>
        <n v="6870.0"/>
        <n v="1343.73"/>
        <n v="28807.5"/>
        <n v="1662.0"/>
        <n v="388961.89"/>
        <n v="10456.46"/>
        <n v="9569.23"/>
        <n v="887.23"/>
        <n v="9068.62"/>
        <n v="8644.0"/>
        <n v="424.62"/>
        <n v="141147.5"/>
        <n v="6829.0"/>
        <n v="3721.31"/>
        <n v="390.0"/>
        <n v="58.33"/>
        <n v="2220.0"/>
        <n v="1052.98"/>
        <n v="15647.0"/>
        <n v="2656.0"/>
        <n v="189525.89"/>
        <n v="8380.11"/>
        <n v="8040.98"/>
        <n v="338.7"/>
        <n v="0.43"/>
        <n v="7386.32"/>
        <n v="6750.8"/>
        <n v="635.52"/>
        <n v="17731.5"/>
        <n v="6099.0"/>
        <n v="1484.08"/>
        <n v="75.0"/>
        <n v="27.77"/>
        <n v="990.0"/>
        <n v="391.31"/>
        <n v="1739.0"/>
        <n v="42820.01"/>
        <n v="4999.59"/>
        <n v="4975.82"/>
        <n v="23.77"/>
        <n v="5425.67"/>
        <n v="5113.4"/>
        <n v="312.27"/>
        <n v="14191.5"/>
        <n v="5998.0"/>
        <n v="727.8"/>
        <n v="95.0"/>
        <n v="13.84"/>
        <n v="480.0"/>
        <n v="138.96"/>
        <n v="1479.0"/>
        <n v="32821.56"/>
        <n v="4501.77"/>
        <n v="4494.99"/>
        <n v="6.78"/>
        <n v="5826.4"/>
        <n v="5542.6"/>
        <n v="283.8"/>
        <n v="14835.5"/>
        <n v="6387.0"/>
        <n v="544.82"/>
        <n v="85.0"/>
        <n v="61.82"/>
        <n v="1104.0"/>
        <n v="33199.49"/>
        <n v="4538.84"/>
        <n v="4534.93"/>
        <n v="3.74"/>
        <n v="0.17"/>
        <n v="4820.61"/>
        <n v="4654.8"/>
        <n v="165.81"/>
        <n v="11558.5"/>
        <n v="6327.0"/>
        <n v="517.6"/>
        <n v="15.0"/>
        <n v="8.38"/>
        <n v="420.0"/>
        <n v="74.22"/>
        <n v="812.0"/>
        <n v="28574.55"/>
        <n v="3477.93"/>
        <n v="3475.02"/>
        <n v="2.28"/>
        <n v="0.63"/>
        <n v="5021.76"/>
        <n v="4675.8"/>
        <n v="345.96"/>
        <n v="10171.0"/>
        <n v="5340.0"/>
        <n v="426.37"/>
        <n v="40.0"/>
        <n v="6.66"/>
        <n v="330.0"/>
        <n v="49.71"/>
        <n v="707.0"/>
        <n v="25144.06"/>
        <n v="4729.36"/>
        <n v="4704.36"/>
        <n v="23.94"/>
        <n v="1.06"/>
        <n v="4921.43"/>
        <n v="4502.6"/>
        <n v="418.83"/>
        <n v="7963.5"/>
        <n v="4989.0"/>
        <n v="455.98"/>
        <n v="115.0"/>
        <n v="6.7"/>
        <n v="270.0"/>
        <n v="64.28"/>
        <n v="637.0"/>
        <n v="23696.27"/>
        <n v="4014.79"/>
        <n v="3998.37"/>
        <n v="16.42"/>
        <n v="4141.83"/>
        <n v="3846.0"/>
        <n v="295.83"/>
        <n v="5874.0"/>
        <n v="4379.0"/>
        <n v="406.72"/>
        <n v="25.0"/>
        <n v="6.65"/>
        <n v="45.07"/>
        <n v="514.0"/>
        <n v="19330.34"/>
        <n v="2587.02"/>
        <n v="2430.01"/>
        <n v="157.01"/>
        <n v="4179.15"/>
        <n v="3890.4"/>
        <n v="288.75"/>
        <n v="4300.0"/>
        <n v="4500.0"/>
        <n v="435.17"/>
        <n v="7.57"/>
        <n v="360.0"/>
        <n v="52.6"/>
        <n v="505.0"/>
        <n v="16506.34"/>
        <n v="5406.93"/>
        <n v="5099.51"/>
        <n v="307.42"/>
        <n v="3121.1"/>
        <n v="2913.2"/>
        <n v="207.9"/>
        <n v="3777.0"/>
        <n v="4366.0"/>
        <n v="457.68"/>
        <n v="35.0"/>
        <n v="6.04"/>
        <n v="56.64"/>
        <n v="427.0"/>
        <n v="17555.71"/>
        <n v="2417.95"/>
        <n v="2413.28"/>
        <n v="4.67"/>
        <n v="3828.77"/>
        <n v="3478.4"/>
        <n v="350.37"/>
        <n v="3603.0"/>
        <n v="4504.0"/>
        <n v="471.85"/>
        <n v="55.0"/>
        <n v="6.27"/>
        <n v="50.58"/>
        <n v="457.0"/>
        <n v="15282.57"/>
        <n v="3906.86"/>
        <n v="3869.24"/>
        <n v="37.62"/>
        <n v="2830.51"/>
        <n v="2564.2"/>
        <n v="266.31"/>
        <n v="4701.0"/>
        <n v="4518.0"/>
        <n v="271.96"/>
        <n v="6.18"/>
        <n v="210.0"/>
        <n v="40.79"/>
        <n v="580.0"/>
        <n v="16808.33"/>
        <n v="3076.5"/>
        <n v="3055.64"/>
        <n v="20.86"/>
        <n v="3710.2"/>
        <n v="3539.2"/>
        <n v="171.0"/>
        <n v="4112.5"/>
        <n v="3784.0"/>
        <n v="104.46"/>
        <n v="5.06"/>
        <n v="60.0"/>
        <n v="39.4"/>
        <n v="528.0"/>
        <n v="25424.690000000002"/>
        <n v="2605.21"/>
        <n v="2559.04"/>
        <n v="46.0"/>
        <n v="2664.5"/>
        <n v="2547.2"/>
        <n v="117.3"/>
        <n v="2075.0"/>
        <n v="3699.0"/>
        <n v="208.11"/>
        <n v="5.07"/>
        <n v="150.0"/>
        <n v="38.04"/>
        <n v="340.0"/>
        <m/>
        <n v="2251.11"/>
        <n v="2245.66"/>
        <n v="5.45"/>
        <n v="2762.09"/>
        <n v="2588.6"/>
        <n v="173.49"/>
        <n v="5353.5"/>
        <n v="4033.0"/>
        <n v="61.05"/>
        <n v="4.06"/>
        <n v="30.0"/>
        <n v="26.99"/>
        <n v="395.0"/>
      </sharedItems>
    </cacheField>
    <cacheField name="兑换票券金额" numFmtId="170">
      <sharedItems containsString="0" containsBlank="1" containsNumber="1">
        <n v="7.0"/>
        <n v="24.0"/>
        <n v="0.0"/>
        <n v="31.0"/>
        <n v="4569.75"/>
        <n v="155.0"/>
        <n v="8.0"/>
        <n v="4732.75"/>
        <n v="37773.41"/>
        <n v="2161.0"/>
        <n v="39934.41"/>
        <n v="9902.37"/>
        <n v="2051.0"/>
        <n v="11953.37"/>
        <n v="1367.0"/>
        <n v="833.0"/>
        <n v="1134.0"/>
        <n v="1967.0"/>
        <n v="633.0"/>
        <n v="787.0"/>
        <n v="1420.0"/>
        <n v="605.0"/>
        <n v="899.0"/>
        <n v="1504.0"/>
        <n v="506.0"/>
        <n v="699.0"/>
        <n v="1205.0"/>
        <n v="455.0"/>
        <n v="629.0"/>
        <n v="1084.0"/>
        <n v="461.0"/>
        <n v="631.0"/>
        <n v="1092.0"/>
        <n v="402.0"/>
        <n v="412.0"/>
        <n v="814.0"/>
        <n v="406.0"/>
        <n v="624.0"/>
        <n v="1030.0"/>
        <n v="246.0"/>
        <n v="405.0"/>
        <n v="651.0"/>
        <n v="348.0"/>
        <n v="497.0"/>
        <n v="845.0"/>
        <n v="318.0"/>
        <n v="291.0"/>
        <n v="609.0"/>
        <n v="346.0"/>
        <n v="424.0"/>
        <n v="1379.0"/>
        <n v="249.0"/>
        <n v="6.0"/>
        <m/>
        <n v="299.0"/>
      </sharedItems>
    </cacheField>
    <cacheField name="兑换票券数" numFmtId="170">
      <sharedItems containsString="0" containsBlank="1" containsNumber="1" containsInteger="1">
        <n v="3.0"/>
        <n v="0.0"/>
        <n v="6.0"/>
        <n v="448.0"/>
        <n v="118.0"/>
        <n v="1.0"/>
        <n v="567.0"/>
        <n v="3718.0"/>
        <n v="1566.0"/>
        <n v="5284.0"/>
        <n v="965.0"/>
        <n v="1481.0"/>
        <n v="2446.0"/>
        <n v="989.0"/>
        <n v="583.0"/>
        <n v="407.0"/>
        <n v="990.0"/>
        <n v="463.0"/>
        <n v="263.0"/>
        <n v="726.0"/>
        <n v="442.0"/>
        <n v="297.0"/>
        <n v="739.0"/>
        <n v="362.0"/>
        <n v="223.0"/>
        <n v="585.0"/>
        <n v="330.0"/>
        <n v="214.0"/>
        <n v="544.0"/>
        <n v="325.0"/>
        <n v="219.0"/>
        <n v="284.0"/>
        <n v="168.0"/>
        <n v="452.0"/>
        <n v="295.0"/>
        <n v="225.0"/>
        <n v="520.0"/>
        <n v="189.0"/>
        <n v="150.0"/>
        <n v="339.0"/>
        <n v="251.0"/>
        <n v="159.0"/>
        <n v="410.0"/>
        <n v="105.0"/>
        <n v="328.0"/>
        <n v="246.0"/>
        <n v="153.0"/>
        <n v="727.0"/>
        <n v="174.0"/>
        <n v="4.0"/>
        <m/>
        <n v="215.0"/>
      </sharedItems>
    </cacheField>
    <cacheField name="金额相加F+G" numFmtId="170">
      <sharedItems containsSemiMixedTypes="0" containsString="0" containsNumber="1">
        <n v="7.0"/>
        <n v="24.0"/>
        <n v="8.0"/>
        <n v="39.0"/>
        <n v="4569.75"/>
        <n v="400.5"/>
        <n v="120.0"/>
        <n v="280.5"/>
        <n v="24844.8"/>
        <n v="914.0"/>
        <n v="155.0"/>
        <n v="9232.0"/>
        <n v="320.0"/>
        <n v="20.0"/>
        <n v="300.0"/>
        <n v="1210.0"/>
        <n v="4.0"/>
        <n v="41658.05"/>
        <n v="245.67"/>
        <n v="239.87"/>
        <n v="5.8"/>
        <n v="37773.41"/>
        <n v="4285.67"/>
        <n v="4058.6"/>
        <n v="227.07"/>
        <n v="346606.8"/>
        <n v="8052.0"/>
        <n v="2161.0"/>
        <n v="150328.0"/>
        <n v="14630.65"/>
        <n v="1585.0"/>
        <n v="2.2"/>
        <n v="13020.0"/>
        <n v="23.45"/>
        <n v="27123.5"/>
        <n v="902.0"/>
        <n v="592108.7000000001"/>
        <n v="7222.36"/>
        <n v="6929.0"/>
        <n v="293.36"/>
        <n v="9902.37"/>
        <n v="6977.4"/>
        <n v="6536.4"/>
        <n v="441.0"/>
        <n v="324410.4"/>
        <n v="10388.0"/>
        <n v="2051.0"/>
        <n v="9494.23"/>
        <n v="1185.0"/>
        <n v="95.5"/>
        <n v="6870.0"/>
        <n v="1343.73"/>
        <n v="28807.5"/>
        <n v="1662.0"/>
        <n v="400915.26"/>
        <n v="10456.46"/>
        <n v="9569.23"/>
        <n v="887.23"/>
        <n v="9068.62"/>
        <n v="8644.0"/>
        <n v="424.62"/>
        <n v="141147.5"/>
        <n v="6829.0"/>
        <n v="1367.0"/>
        <n v="3721.31"/>
        <n v="390.0"/>
        <n v="58.33"/>
        <n v="2220.0"/>
        <n v="1052.98"/>
        <n v="15647.0"/>
        <n v="2656.0"/>
        <n v="190892.89"/>
        <n v="8380.11"/>
        <n v="8040.98"/>
        <n v="338.7"/>
        <n v="0.43"/>
        <n v="7386.32"/>
        <n v="6750.8"/>
        <n v="635.52"/>
        <n v="17731.5"/>
        <n v="6099.0"/>
        <n v="833.0"/>
        <n v="1134.0"/>
        <n v="1484.08"/>
        <n v="75.0"/>
        <n v="27.77"/>
        <n v="990.0"/>
        <n v="391.31"/>
        <n v="1739.0"/>
        <n v="44787.01"/>
        <n v="4999.59"/>
        <n v="4975.82"/>
        <n v="23.77"/>
        <n v="5425.67"/>
        <n v="5113.4"/>
        <n v="312.27"/>
        <n v="14191.5"/>
        <n v="5998.0"/>
        <n v="633.0"/>
        <n v="787.0"/>
        <n v="727.8"/>
        <n v="95.0"/>
        <n v="13.84"/>
        <n v="480.0"/>
        <n v="138.96"/>
        <n v="1479.0"/>
        <n v="34241.56"/>
        <n v="4501.77"/>
        <n v="4494.99"/>
        <n v="6.78"/>
        <n v="5826.4"/>
        <n v="5542.6"/>
        <n v="283.8"/>
        <n v="14835.5"/>
        <n v="6387.0"/>
        <n v="605.0"/>
        <n v="899.0"/>
        <n v="544.82"/>
        <n v="85.0"/>
        <n v="61.82"/>
        <n v="1104.0"/>
        <n v="34703.49"/>
        <n v="4538.84"/>
        <n v="4534.93"/>
        <n v="3.74"/>
        <n v="0.17"/>
        <n v="4820.61"/>
        <n v="4654.8"/>
        <n v="165.81"/>
        <n v="11558.5"/>
        <n v="6327.0"/>
        <n v="506.0"/>
        <n v="699.0"/>
        <n v="517.6"/>
        <n v="15.0"/>
        <n v="8.38"/>
        <n v="420.0"/>
        <n v="74.22"/>
        <n v="812.0"/>
        <n v="29779.55"/>
        <n v="3477.93"/>
        <n v="3475.02"/>
        <n v="2.28"/>
        <n v="0.63"/>
        <n v="5021.76"/>
        <n v="4675.8"/>
        <n v="345.96"/>
        <n v="10171.0"/>
        <n v="5340.0"/>
        <n v="455.0"/>
        <n v="629.0"/>
        <n v="426.37"/>
        <n v="40.0"/>
        <n v="6.66"/>
        <n v="330.0"/>
        <n v="49.71"/>
        <n v="707.0"/>
        <n v="26228.06"/>
        <n v="4729.36"/>
        <n v="4704.36"/>
        <n v="23.94"/>
        <n v="1.06"/>
        <n v="4921.43"/>
        <n v="4502.6"/>
        <n v="418.83"/>
        <n v="7963.5"/>
        <n v="4989.0"/>
        <n v="461.0"/>
        <n v="631.0"/>
        <n v="455.98"/>
        <n v="115.0"/>
        <n v="6.7"/>
        <n v="270.0"/>
        <n v="64.28"/>
        <n v="637.0"/>
        <n v="24788.27"/>
        <n v="4014.79"/>
        <n v="3998.37"/>
        <n v="16.42"/>
        <n v="4141.83"/>
        <n v="3846.0"/>
        <n v="295.83"/>
        <n v="5874.0"/>
        <n v="4379.0"/>
        <n v="402.0"/>
        <n v="412.0"/>
        <n v="406.72"/>
        <n v="25.0"/>
        <n v="6.65"/>
        <n v="45.07"/>
        <n v="514.0"/>
        <n v="20144.34"/>
        <n v="2587.02"/>
        <n v="2430.01"/>
        <n v="157.01"/>
        <n v="4179.15"/>
        <n v="3890.4"/>
        <n v="288.75"/>
        <n v="4300.0"/>
        <n v="4500.0"/>
        <n v="406.0"/>
        <n v="624.0"/>
        <n v="435.17"/>
        <n v="7.57"/>
        <n v="360.0"/>
        <n v="52.6"/>
        <n v="505.0"/>
        <n v="17536.339999999997"/>
        <n v="5406.93"/>
        <n v="5099.51"/>
        <n v="307.42"/>
        <n v="3121.1"/>
        <n v="2913.2"/>
        <n v="207.9"/>
        <n v="3777.0"/>
        <n v="4366.0"/>
        <n v="246.0"/>
        <n v="405.0"/>
        <n v="457.68"/>
        <n v="35.0"/>
        <n v="6.04"/>
        <n v="56.64"/>
        <n v="427.0"/>
        <n v="18206.71"/>
        <n v="2417.95"/>
        <n v="2413.28"/>
        <n v="4.67"/>
        <n v="3828.77"/>
        <n v="3478.4"/>
        <n v="350.37"/>
        <n v="3603.0"/>
        <n v="4504.0"/>
        <n v="348.0"/>
        <n v="497.0"/>
        <n v="471.85"/>
        <n v="55.0"/>
        <n v="6.27"/>
        <n v="50.58"/>
        <n v="457.0"/>
        <n v="16127.57"/>
        <n v="3906.86"/>
        <n v="3869.24"/>
        <n v="37.62"/>
        <n v="2830.51"/>
        <n v="2564.2"/>
        <n v="266.31"/>
        <n v="4701.0"/>
        <n v="4518.0"/>
        <n v="318.0"/>
        <n v="291.0"/>
        <n v="271.96"/>
        <n v="6.18"/>
        <n v="210.0"/>
        <n v="40.79"/>
        <n v="580.0"/>
        <n v="17417.33"/>
        <n v="3076.5"/>
        <n v="3055.64"/>
        <n v="20.86"/>
        <n v="3710.2"/>
        <n v="3539.2"/>
        <n v="171.0"/>
        <n v="4112.5"/>
        <n v="3784.0"/>
        <n v="346.0"/>
        <n v="424.0"/>
        <n v="104.46"/>
        <n v="5.06"/>
        <n v="60.0"/>
        <n v="39.4"/>
        <n v="528.0"/>
        <n v="26803.690000000002"/>
        <n v="2605.21"/>
        <n v="2559.04"/>
        <n v="46.0"/>
        <n v="2664.5"/>
        <n v="2547.2"/>
        <n v="117.3"/>
        <n v="2075.0"/>
        <n v="3699.0"/>
        <n v="249.0"/>
        <n v="6.0"/>
        <n v="208.11"/>
        <n v="5.07"/>
        <n v="150.0"/>
        <n v="38.04"/>
        <n v="340.0"/>
        <n v="0.0"/>
        <n v="2251.11"/>
        <n v="2245.66"/>
        <n v="5.45"/>
        <n v="2762.09"/>
        <n v="2588.6"/>
        <n v="173.49"/>
        <n v="5353.5"/>
        <n v="4033.0"/>
        <n v="299.0"/>
        <n v="61.05"/>
        <n v="4.06"/>
        <n v="30.0"/>
        <n v="26.99"/>
        <n v="395.0"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T2:V233" sheet="jiliarena_活动分析数据_底稿"/>
  </cacheSource>
  <cacheFields>
    <cacheField name="日期" numFmtId="164">
      <sharedItems containsDate="1" containsString="0" containsBlank="1">
        <d v="2026-02-11T00:00:00Z"/>
        <d v="2026-02-12T00:00:00Z"/>
        <d v="2026-02-13T00:00:00Z"/>
        <d v="2026-02-14T00:00:00Z"/>
        <d v="2026-02-15T00:00:00Z"/>
        <d v="2026-02-16T00:00:00Z"/>
        <d v="2026-02-17T00:00:00Z"/>
        <d v="2026-02-18T00:00:00Z"/>
        <d v="2026-02-19T00:00:00Z"/>
        <d v="2026-02-20T00:00:00Z"/>
        <m/>
      </sharedItems>
    </cacheField>
    <cacheField name="活动类型" numFmtId="0">
      <sharedItems containsBlank="1">
        <s v="120% first deposit bonus"/>
        <s v="20% Daily Slots Deposit Bonus"/>
        <s v="3% TOP UP BONUS EVERY TIME"/>
        <s v="50% second deposit bonus"/>
        <s v="50% first deposit bonus"/>
        <m/>
      </sharedItems>
    </cacheField>
    <cacheField name="存值金额" numFmtId="4">
      <sharedItems containsString="0" containsBlank="1" containsNumber="1" containsInteger="1">
        <n v="21404.0"/>
        <n v="600.0"/>
        <n v="9350.0"/>
        <n v="2420.0"/>
        <n v="308588.0"/>
        <n v="20293.0"/>
        <n v="7569.0"/>
        <n v="54647.0"/>
        <n v="276911.0"/>
        <n v="32682.0"/>
        <n v="14700.0"/>
        <n v="57636.0"/>
        <n v="105920.0"/>
        <n v="43220.0"/>
        <n v="14154.0"/>
        <n v="40251.0"/>
        <n v="32094.0"/>
        <n v="33754.0"/>
        <n v="21384.0"/>
        <n v="35483.0"/>
        <n v="25567.0"/>
        <n v="10744.0"/>
        <n v="28823.0"/>
        <n v="27713.0"/>
        <n v="9560.0"/>
        <n v="29986.0"/>
        <n v="23274.0"/>
        <n v="6077.0"/>
        <n v="23117.0"/>
        <n v="23379.0"/>
        <n v="11532.0"/>
        <n v="20342.0"/>
        <n v="22513.0"/>
        <n v="14061.0"/>
        <n v="16207.0"/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name="jiliarena_活动总表-整月" cacheId="0" dataCaption="" rowGrandTotals="0" compact="0" compactData="0">
  <location ref="A3:G34" firstHeaderRow="0" firstDataRow="3" firstDataCol="0" rowPageCount="1" colPageCount="1"/>
  <pivotFields>
    <pivotField name="日期" axis="axisPage" compact="0" numFmtId="164" outline="0" multipleItemSelectionAllowed="1" showAll="0">
      <items>
        <item x="0"/>
        <item h="1"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name="活动类型" axis="axisRow" compact="0" outline="0" multipleItemSelectionAllowed="1" showAll="0" sortType="ascending">
      <items>
        <item x="6"/>
        <item x="13"/>
        <item x="10"/>
        <item x="11"/>
        <item x="28"/>
        <item x="20"/>
        <item x="9"/>
        <item x="17"/>
        <item x="26"/>
        <item x="0"/>
        <item x="19"/>
        <item x="14"/>
        <item x="30"/>
        <item x="21"/>
        <item x="2"/>
        <item x="12"/>
        <item x="27"/>
        <item x="23"/>
        <item x="16"/>
        <item x="18"/>
        <item x="4"/>
        <item x="7"/>
        <item x="1"/>
        <item x="8"/>
        <item x="15"/>
        <item x="22"/>
        <item x="25"/>
        <item x="5"/>
        <item x="29"/>
        <item x="24"/>
        <item x="31"/>
        <item x="3"/>
        <item t="default"/>
      </items>
    </pivotField>
    <pivotField name="活动类型2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name="中文" axis="axisRow" compact="0" outline="0" multipleItemSelectionAllowed="1" showAll="0" sortType="ascending" defaultSubtotal="0">
      <items>
        <item x="1"/>
        <item x="5"/>
        <item x="0"/>
        <item x="9"/>
        <item x="7"/>
        <item x="12"/>
        <item x="10"/>
        <item x="2"/>
        <item x="6"/>
        <item x="11"/>
        <item x="8"/>
        <item x="3"/>
        <item x="4"/>
      </items>
    </pivotField>
    <pivotField name="笔数" dataField="1" compact="0" numFmtId="169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t="default"/>
      </items>
    </pivotField>
    <pivotField name="人数" dataField="1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t="default"/>
      </items>
    </pivotField>
    <pivotField name="活动金额" dataField="1" compact="0" numFmtId="17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t="default"/>
      </items>
    </pivotField>
    <pivotField name="兑换票券金额" dataField="1" compact="0" numFmtId="17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t="default"/>
      </items>
    </pivotField>
    <pivotField name="兑换票券数" dataField="1" compact="0" numFmtId="17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t="default"/>
      </items>
    </pivotField>
    <pivotField name="金额相加F+G" compact="0" numFmtId="17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t="default"/>
      </items>
    </pivotField>
  </pivotFields>
  <rowFields>
    <field x="3"/>
    <field x="1"/>
  </rowFields>
  <colFields>
    <field x="-2"/>
  </colFields>
  <pageFields>
    <pageField fld="0"/>
  </pageFields>
  <dataFields>
    <dataField name="SUM of 笔数" fld="4" baseField="0"/>
    <dataField name="SUM of 人数" fld="5" baseField="0"/>
    <dataField name="SUM of 活动金额" fld="6" baseField="0"/>
    <dataField name="SUM of 兑换票券金额" fld="7" baseField="0"/>
    <dataField name="SUM of 兑换票券数" fld="8" baseField="0"/>
  </dataFields>
</pivotTableDefinition>
</file>

<file path=xl/pivotTables/pivotTable2.xml><?xml version="1.0" encoding="utf-8"?>
<pivotTableDefinition xmlns="http://schemas.openxmlformats.org/spreadsheetml/2006/main" name="jiliarena_活动总表-整月 2" cacheId="1" dataCaption="" compact="0" compactData="0">
  <location ref="I79:J86" firstHeaderRow="0" firstDataRow="1" firstDataCol="0"/>
  <pivotFields>
    <pivotField name="日期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name="活动类型" axis="axisRow" compact="0" outline="0" multipleItemSelectionAllowed="1" showAll="0" sortType="ascending">
      <items>
        <item x="5"/>
        <item x="0"/>
        <item x="1"/>
        <item x="2"/>
        <item x="4"/>
        <item x="3"/>
        <item t="default"/>
      </items>
    </pivotField>
    <pivotField name="存值金额" dataField="1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t="default"/>
      </items>
    </pivotField>
  </pivotFields>
  <rowFields>
    <field x="1"/>
  </rowFields>
  <dataFields>
    <dataField name="SUM of 存值金额" fld="2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pivotTable" Target="../pivotTables/pivotTable2.xml"/><Relationship Id="rId3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75"/>
  <cols>
    <col customWidth="1" min="1" max="1" width="7.0"/>
    <col customWidth="1" min="2" max="2" width="5.38"/>
    <col customWidth="1" min="9" max="9" width="15.63"/>
  </cols>
  <sheetData>
    <row r="1">
      <c r="A1" s="1"/>
      <c r="B1" s="2" t="s">
        <v>0</v>
      </c>
      <c r="C1" s="3" t="s">
        <v>1</v>
      </c>
      <c r="D1" s="4" t="s">
        <v>2</v>
      </c>
      <c r="E1" s="4" t="s">
        <v>3</v>
      </c>
      <c r="F1" s="4" t="s">
        <v>4</v>
      </c>
      <c r="G1" s="4" t="s">
        <v>5</v>
      </c>
      <c r="H1" s="4" t="s">
        <v>6</v>
      </c>
      <c r="I1" s="4" t="s">
        <v>7</v>
      </c>
      <c r="J1" s="4" t="s">
        <v>8</v>
      </c>
      <c r="K1" s="4" t="s">
        <v>9</v>
      </c>
      <c r="L1" s="5" t="s">
        <v>10</v>
      </c>
    </row>
    <row r="2" hidden="1">
      <c r="A2" s="6">
        <f>B2</f>
        <v>46054</v>
      </c>
      <c r="B2" s="7">
        <v>46054.0</v>
      </c>
      <c r="C2" s="8" t="s">
        <v>11</v>
      </c>
      <c r="D2" s="9">
        <f>SUMIFS('渠道充值成功率_底稿'!$C:$C,'渠道充值成功率_底稿'!$A:$A,$A2,'渠道充值成功率_底稿'!$B:$B,D$1)</f>
        <v>0</v>
      </c>
      <c r="E2" s="9">
        <f>SUMIFS('渠道充值成功率_底稿'!$C:$C,'渠道充值成功率_底稿'!$A:$A,$A2,'渠道充值成功率_底稿'!$B:$B,E$1)</f>
        <v>0</v>
      </c>
      <c r="F2" s="9">
        <f>SUMIFS('渠道充值成功率_底稿'!$C:$C,'渠道充值成功率_底稿'!$A:$A,$A2,'渠道充值成功率_底稿'!$B:$B,F$1)</f>
        <v>0</v>
      </c>
      <c r="G2" s="9">
        <f>SUMIFS('渠道充值成功率_底稿'!$C:$C,'渠道充值成功率_底稿'!$A:$A,$A2,'渠道充值成功率_底稿'!$B:$B,G$1)</f>
        <v>0</v>
      </c>
      <c r="H2" s="9">
        <f>SUMIFS('渠道充值成功率_底稿'!$C:$C,'渠道充值成功率_底稿'!$A:$A,$A2,'渠道充值成功率_底稿'!$B:$B,H$1)</f>
        <v>0</v>
      </c>
      <c r="I2" s="9">
        <f>SUMIFS('渠道充值成功率_底稿'!$C:$C,'渠道充值成功率_底稿'!$A:$A,$A2,'渠道充值成功率_底稿'!$B:$B,I$1)</f>
        <v>0</v>
      </c>
      <c r="J2" s="9">
        <f>SUMIFS('渠道充值成功率_底稿'!$C:$C,'渠道充值成功率_底稿'!$A:$A,$A2,'渠道充值成功率_底稿'!$B:$B,J$1)</f>
        <v>0</v>
      </c>
      <c r="K2" s="9">
        <f>SUMIFS('渠道充值成功率_底稿'!$C:$C,'渠道充值成功率_底稿'!$A:$A,$A2,'渠道充值成功率_底稿'!$B:$B,K$1)</f>
        <v>0</v>
      </c>
      <c r="L2" s="10">
        <f>SUMIFS('渠道充值成功率_底稿'!$C:$C,'渠道充值成功率_底稿'!$A:$A,$A2,'渠道充值成功率_底稿'!$B:$B,L$1)</f>
        <v>0</v>
      </c>
    </row>
    <row r="3" hidden="1">
      <c r="A3" s="6">
        <f>B2</f>
        <v>46054</v>
      </c>
      <c r="B3" s="11"/>
      <c r="C3" s="12" t="s">
        <v>12</v>
      </c>
      <c r="D3" s="13">
        <f>SUMIFS('渠道充值成功率_底稿'!$F:$F,'渠道充值成功率_底稿'!$A:$A,$A3,'渠道充值成功率_底稿'!$B:$B,D$1)</f>
        <v>0</v>
      </c>
      <c r="E3" s="13">
        <f>SUMIFS('渠道充值成功率_底稿'!$F:$F,'渠道充值成功率_底稿'!$A:$A,$A3,'渠道充值成功率_底稿'!$B:$B,E$1)</f>
        <v>0</v>
      </c>
      <c r="F3" s="13">
        <f>SUMIFS('渠道充值成功率_底稿'!$F:$F,'渠道充值成功率_底稿'!$A:$A,$A3,'渠道充值成功率_底稿'!$B:$B,F$1)</f>
        <v>0</v>
      </c>
      <c r="G3" s="13">
        <f>SUMIFS('渠道充值成功率_底稿'!$F:$F,'渠道充值成功率_底稿'!$A:$A,$A3,'渠道充值成功率_底稿'!$B:$B,G$1)</f>
        <v>0</v>
      </c>
      <c r="H3" s="13">
        <f>SUMIFS('渠道充值成功率_底稿'!$F:$F,'渠道充值成功率_底稿'!$A:$A,$A3,'渠道充值成功率_底稿'!$B:$B,H$1)</f>
        <v>0</v>
      </c>
      <c r="I3" s="13">
        <f>SUMIFS('渠道充值成功率_底稿'!$F:$F,'渠道充值成功率_底稿'!$A:$A,$A3,'渠道充值成功率_底稿'!$B:$B,I$1)</f>
        <v>0</v>
      </c>
      <c r="J3" s="13">
        <f>SUMIFS('渠道充值成功率_底稿'!$F:$F,'渠道充值成功率_底稿'!$A:$A,$A3,'渠道充值成功率_底稿'!$B:$B,J$1)</f>
        <v>0</v>
      </c>
      <c r="K3" s="13">
        <f>SUMIFS('渠道充值成功率_底稿'!$F:$F,'渠道充值成功率_底稿'!$A:$A,$A3,'渠道充值成功率_底稿'!$B:$B,K$1)</f>
        <v>0</v>
      </c>
      <c r="L3" s="14">
        <f>SUMIFS('渠道充值成功率_底稿'!$F:$F,'渠道充值成功率_底稿'!$A:$A,$A3,'渠道充值成功率_底稿'!$B:$B,L$1)</f>
        <v>0</v>
      </c>
    </row>
    <row r="4" hidden="1">
      <c r="A4" s="6">
        <f>B2</f>
        <v>46054</v>
      </c>
      <c r="B4" s="11"/>
      <c r="C4" s="15" t="s">
        <v>13</v>
      </c>
      <c r="D4" s="16" t="str">
        <f t="shared" ref="D4:L4" si="1">IFERROR(ROUND(D3/D2,6),"0")</f>
        <v>0</v>
      </c>
      <c r="E4" s="16" t="str">
        <f t="shared" si="1"/>
        <v>0</v>
      </c>
      <c r="F4" s="16" t="str">
        <f t="shared" si="1"/>
        <v>0</v>
      </c>
      <c r="G4" s="16" t="str">
        <f t="shared" si="1"/>
        <v>0</v>
      </c>
      <c r="H4" s="16" t="str">
        <f t="shared" si="1"/>
        <v>0</v>
      </c>
      <c r="I4" s="16" t="str">
        <f t="shared" si="1"/>
        <v>0</v>
      </c>
      <c r="J4" s="16" t="str">
        <f t="shared" si="1"/>
        <v>0</v>
      </c>
      <c r="K4" s="16" t="str">
        <f t="shared" si="1"/>
        <v>0</v>
      </c>
      <c r="L4" s="17" t="str">
        <f t="shared" si="1"/>
        <v>0</v>
      </c>
    </row>
    <row r="5" hidden="1">
      <c r="A5" s="6">
        <f>B2</f>
        <v>46054</v>
      </c>
      <c r="B5" s="11"/>
      <c r="C5" s="12" t="s">
        <v>14</v>
      </c>
      <c r="D5" s="18">
        <f>SUMIFS('渠道充值成功率_底稿'!$D:$D,'渠道充值成功率_底稿'!$A:$A,$A6,'渠道充值成功率_底稿'!$B:$B,D$1)</f>
        <v>0</v>
      </c>
      <c r="E5" s="18">
        <f>SUMIFS('渠道充值成功率_底稿'!$D:$D,'渠道充值成功率_底稿'!$A:$A,$A5,'渠道充值成功率_底稿'!$B:$B,E$1)</f>
        <v>0</v>
      </c>
      <c r="F5" s="18">
        <f>SUMIFS('渠道充值成功率_底稿'!$D:$D,'渠道充值成功率_底稿'!$A:$A,$A5,'渠道充值成功率_底稿'!$B:$B,F$1)</f>
        <v>0</v>
      </c>
      <c r="G5" s="18">
        <f>SUMIFS('渠道充值成功率_底稿'!$D:$D,'渠道充值成功率_底稿'!$A:$A,$A5,'渠道充值成功率_底稿'!$B:$B,G$1)</f>
        <v>0</v>
      </c>
      <c r="H5" s="18">
        <f>SUMIFS('渠道充值成功率_底稿'!$D:$D,'渠道充值成功率_底稿'!$A:$A,$A5,'渠道充值成功率_底稿'!$B:$B,H$1)</f>
        <v>0</v>
      </c>
      <c r="I5" s="18">
        <f>SUMIFS('渠道充值成功率_底稿'!$D:$D,'渠道充值成功率_底稿'!$A:$A,$A5,'渠道充值成功率_底稿'!$B:$B,I$1)</f>
        <v>0</v>
      </c>
      <c r="J5" s="18">
        <f>SUMIFS('渠道充值成功率_底稿'!$D:$D,'渠道充值成功率_底稿'!$A:$A,$A5,'渠道充值成功率_底稿'!$B:$B,J$1)</f>
        <v>0</v>
      </c>
      <c r="K5" s="18">
        <f>SUMIFS('渠道充值成功率_底稿'!$D:$D,'渠道充值成功率_底稿'!$A:$A,$A5,'渠道充值成功率_底稿'!$B:$B,K$1)</f>
        <v>0</v>
      </c>
      <c r="L5" s="14">
        <f>SUMIFS('渠道充值成功率_底稿'!$D:$D,'渠道充值成功率_底稿'!$A:$A,$A5,'渠道充值成功率_底稿'!$B:$B,L$1)</f>
        <v>0</v>
      </c>
    </row>
    <row r="6" hidden="1">
      <c r="A6" s="6">
        <f>B2</f>
        <v>46054</v>
      </c>
      <c r="B6" s="11"/>
      <c r="C6" s="19" t="s">
        <v>15</v>
      </c>
      <c r="D6" s="18">
        <f>SUMIFS('渠道充值成功率_底稿'!$G:$G,'渠道充值成功率_底稿'!$A:$A,$A7,'渠道充值成功率_底稿'!$B:$B,D$1)</f>
        <v>0</v>
      </c>
      <c r="E6" s="18">
        <f>SUMIFS('渠道充值成功率_底稿'!$G:$G,'渠道充值成功率_底稿'!$A:$A,$A6,'渠道充值成功率_底稿'!$B:$B,E$1)</f>
        <v>0</v>
      </c>
      <c r="F6" s="18">
        <f>SUMIFS('渠道充值成功率_底稿'!$G:$G,'渠道充值成功率_底稿'!$A:$A,$A6,'渠道充值成功率_底稿'!$B:$B,F$1)</f>
        <v>0</v>
      </c>
      <c r="G6" s="18">
        <f>SUMIFS('渠道充值成功率_底稿'!$G:$G,'渠道充值成功率_底稿'!$A:$A,$A6,'渠道充值成功率_底稿'!$B:$B,G$1)</f>
        <v>0</v>
      </c>
      <c r="H6" s="18">
        <f>SUMIFS('渠道充值成功率_底稿'!$G:$G,'渠道充值成功率_底稿'!$A:$A,$A6,'渠道充值成功率_底稿'!$B:$B,H$1)</f>
        <v>0</v>
      </c>
      <c r="I6" s="18">
        <f>SUMIFS('渠道充值成功率_底稿'!$G:$G,'渠道充值成功率_底稿'!$A:$A,$A6,'渠道充值成功率_底稿'!$B:$B,I$1)</f>
        <v>0</v>
      </c>
      <c r="J6" s="18">
        <f>SUMIFS('渠道充值成功率_底稿'!$G:$G,'渠道充值成功率_底稿'!$A:$A,$A6,'渠道充值成功率_底稿'!$B:$B,J$1)</f>
        <v>0</v>
      </c>
      <c r="K6" s="18">
        <f>SUMIFS('渠道充值成功率_底稿'!$G:$G,'渠道充值成功率_底稿'!$A:$A,$A6,'渠道充值成功率_底稿'!$B:$B,K$1)</f>
        <v>0</v>
      </c>
      <c r="L6" s="14">
        <f>SUMIFS('渠道充值成功率_底稿'!$G:$G,'渠道充值成功率_底稿'!$A:$A,$A6,'渠道充值成功率_底稿'!$B:$B,L$1)</f>
        <v>0</v>
      </c>
    </row>
    <row r="7" hidden="1">
      <c r="A7" s="6">
        <f>B2</f>
        <v>46054</v>
      </c>
      <c r="B7" s="20"/>
      <c r="C7" s="21" t="s">
        <v>16</v>
      </c>
      <c r="D7" s="22" t="str">
        <f t="shared" ref="D7:L7" si="2">IFERROR(ROUND(D6/D5,6),"0")</f>
        <v>0</v>
      </c>
      <c r="E7" s="22" t="str">
        <f t="shared" si="2"/>
        <v>0</v>
      </c>
      <c r="F7" s="22" t="str">
        <f t="shared" si="2"/>
        <v>0</v>
      </c>
      <c r="G7" s="22" t="str">
        <f t="shared" si="2"/>
        <v>0</v>
      </c>
      <c r="H7" s="22" t="str">
        <f t="shared" si="2"/>
        <v>0</v>
      </c>
      <c r="I7" s="22" t="str">
        <f t="shared" si="2"/>
        <v>0</v>
      </c>
      <c r="J7" s="22" t="str">
        <f t="shared" si="2"/>
        <v>0</v>
      </c>
      <c r="K7" s="22" t="str">
        <f t="shared" si="2"/>
        <v>0</v>
      </c>
      <c r="L7" s="23" t="str">
        <f t="shared" si="2"/>
        <v>0</v>
      </c>
    </row>
    <row r="8" hidden="1">
      <c r="A8" s="6">
        <f>B8</f>
        <v>46055</v>
      </c>
      <c r="B8" s="24">
        <f>B2+1</f>
        <v>46055</v>
      </c>
      <c r="C8" s="8" t="s">
        <v>11</v>
      </c>
      <c r="D8" s="9">
        <f>SUMIFS('渠道充值成功率_底稿'!$C:$C,'渠道充值成功率_底稿'!$A:$A,$A8,'渠道充值成功率_底稿'!$B:$B,D$1)</f>
        <v>0</v>
      </c>
      <c r="E8" s="9">
        <f>SUMIFS('渠道充值成功率_底稿'!$C:$C,'渠道充值成功率_底稿'!$A:$A,$A8,'渠道充值成功率_底稿'!$B:$B,E$1)</f>
        <v>0</v>
      </c>
      <c r="F8" s="9">
        <f>SUMIFS('渠道充值成功率_底稿'!$C:$C,'渠道充值成功率_底稿'!$A:$A,$A8,'渠道充值成功率_底稿'!$B:$B,F$1)</f>
        <v>0</v>
      </c>
      <c r="G8" s="9">
        <f>SUMIFS('渠道充值成功率_底稿'!$C:$C,'渠道充值成功率_底稿'!$A:$A,$A8,'渠道充值成功率_底稿'!$B:$B,G$1)</f>
        <v>0</v>
      </c>
      <c r="H8" s="9">
        <f>SUMIFS('渠道充值成功率_底稿'!$C:$C,'渠道充值成功率_底稿'!$A:$A,$A8,'渠道充值成功率_底稿'!$B:$B,H$1)</f>
        <v>0</v>
      </c>
      <c r="I8" s="9">
        <f>SUMIFS('渠道充值成功率_底稿'!$C:$C,'渠道充值成功率_底稿'!$A:$A,$A8,'渠道充值成功率_底稿'!$B:$B,I$1)</f>
        <v>0</v>
      </c>
      <c r="J8" s="9">
        <f>SUMIFS('渠道充值成功率_底稿'!$C:$C,'渠道充值成功率_底稿'!$A:$A,$A8,'渠道充值成功率_底稿'!$B:$B,J$1)</f>
        <v>0</v>
      </c>
      <c r="K8" s="9">
        <f>SUMIFS('渠道充值成功率_底稿'!$C:$C,'渠道充值成功率_底稿'!$A:$A,$A8,'渠道充值成功率_底稿'!$B:$B,K$1)</f>
        <v>0</v>
      </c>
      <c r="L8" s="10">
        <f>SUMIFS('渠道充值成功率_底稿'!$C:$C,'渠道充值成功率_底稿'!$A:$A,$A8,'渠道充值成功率_底稿'!$B:$B,L$1)</f>
        <v>0</v>
      </c>
    </row>
    <row r="9" hidden="1">
      <c r="A9" s="6">
        <f>B8</f>
        <v>46055</v>
      </c>
      <c r="B9" s="11"/>
      <c r="C9" s="12" t="s">
        <v>12</v>
      </c>
      <c r="D9" s="13">
        <f>SUMIFS('渠道充值成功率_底稿'!$F:$F,'渠道充值成功率_底稿'!$A:$A,$A9,'渠道充值成功率_底稿'!$B:$B,D$1)</f>
        <v>0</v>
      </c>
      <c r="E9" s="13">
        <f>SUMIFS('渠道充值成功率_底稿'!$F:$F,'渠道充值成功率_底稿'!$A:$A,$A9,'渠道充值成功率_底稿'!$B:$B,E$1)</f>
        <v>0</v>
      </c>
      <c r="F9" s="13">
        <f>SUMIFS('渠道充值成功率_底稿'!$F:$F,'渠道充值成功率_底稿'!$A:$A,$A9,'渠道充值成功率_底稿'!$B:$B,F$1)</f>
        <v>0</v>
      </c>
      <c r="G9" s="13">
        <f>SUMIFS('渠道充值成功率_底稿'!$F:$F,'渠道充值成功率_底稿'!$A:$A,$A9,'渠道充值成功率_底稿'!$B:$B,G$1)</f>
        <v>0</v>
      </c>
      <c r="H9" s="13">
        <f>SUMIFS('渠道充值成功率_底稿'!$F:$F,'渠道充值成功率_底稿'!$A:$A,$A9,'渠道充值成功率_底稿'!$B:$B,H$1)</f>
        <v>0</v>
      </c>
      <c r="I9" s="13">
        <f>SUMIFS('渠道充值成功率_底稿'!$F:$F,'渠道充值成功率_底稿'!$A:$A,$A9,'渠道充值成功率_底稿'!$B:$B,I$1)</f>
        <v>0</v>
      </c>
      <c r="J9" s="13">
        <f>SUMIFS('渠道充值成功率_底稿'!$F:$F,'渠道充值成功率_底稿'!$A:$A,$A9,'渠道充值成功率_底稿'!$B:$B,J$1)</f>
        <v>0</v>
      </c>
      <c r="K9" s="13">
        <f>SUMIFS('渠道充值成功率_底稿'!$F:$F,'渠道充值成功率_底稿'!$A:$A,$A9,'渠道充值成功率_底稿'!$B:$B,K$1)</f>
        <v>0</v>
      </c>
      <c r="L9" s="14">
        <f>SUMIFS('渠道充值成功率_底稿'!$F:$F,'渠道充值成功率_底稿'!$A:$A,$A9,'渠道充值成功率_底稿'!$B:$B,L$1)</f>
        <v>0</v>
      </c>
    </row>
    <row r="10" hidden="1">
      <c r="A10" s="6">
        <f>B8</f>
        <v>46055</v>
      </c>
      <c r="B10" s="11"/>
      <c r="C10" s="15" t="s">
        <v>13</v>
      </c>
      <c r="D10" s="16" t="str">
        <f t="shared" ref="D10:L10" si="3">IFERROR(ROUND(D9/D8,6),"0")</f>
        <v>0</v>
      </c>
      <c r="E10" s="16" t="str">
        <f t="shared" si="3"/>
        <v>0</v>
      </c>
      <c r="F10" s="16" t="str">
        <f t="shared" si="3"/>
        <v>0</v>
      </c>
      <c r="G10" s="16" t="str">
        <f t="shared" si="3"/>
        <v>0</v>
      </c>
      <c r="H10" s="16" t="str">
        <f t="shared" si="3"/>
        <v>0</v>
      </c>
      <c r="I10" s="16" t="str">
        <f t="shared" si="3"/>
        <v>0</v>
      </c>
      <c r="J10" s="16" t="str">
        <f t="shared" si="3"/>
        <v>0</v>
      </c>
      <c r="K10" s="16" t="str">
        <f t="shared" si="3"/>
        <v>0</v>
      </c>
      <c r="L10" s="17" t="str">
        <f t="shared" si="3"/>
        <v>0</v>
      </c>
    </row>
    <row r="11" hidden="1">
      <c r="A11" s="6">
        <f>B8</f>
        <v>46055</v>
      </c>
      <c r="B11" s="11"/>
      <c r="C11" s="12" t="s">
        <v>14</v>
      </c>
      <c r="D11" s="18">
        <f>SUMIFS('渠道充值成功率_底稿'!$D:$D,'渠道充值成功率_底稿'!$A:$A,$A12,'渠道充值成功率_底稿'!$B:$B,D$1)</f>
        <v>0</v>
      </c>
      <c r="E11" s="18">
        <f>SUMIFS('渠道充值成功率_底稿'!$D:$D,'渠道充值成功率_底稿'!$A:$A,$A11,'渠道充值成功率_底稿'!$B:$B,E$1)</f>
        <v>0</v>
      </c>
      <c r="F11" s="18">
        <f>SUMIFS('渠道充值成功率_底稿'!$D:$D,'渠道充值成功率_底稿'!$A:$A,$A11,'渠道充值成功率_底稿'!$B:$B,F$1)</f>
        <v>0</v>
      </c>
      <c r="G11" s="18">
        <f>SUMIFS('渠道充值成功率_底稿'!$D:$D,'渠道充值成功率_底稿'!$A:$A,$A11,'渠道充值成功率_底稿'!$B:$B,G$1)</f>
        <v>0</v>
      </c>
      <c r="H11" s="18">
        <f>SUMIFS('渠道充值成功率_底稿'!$D:$D,'渠道充值成功率_底稿'!$A:$A,$A11,'渠道充值成功率_底稿'!$B:$B,H$1)</f>
        <v>0</v>
      </c>
      <c r="I11" s="18">
        <f>SUMIFS('渠道充值成功率_底稿'!$D:$D,'渠道充值成功率_底稿'!$A:$A,$A11,'渠道充值成功率_底稿'!$B:$B,I$1)</f>
        <v>0</v>
      </c>
      <c r="J11" s="18">
        <f>SUMIFS('渠道充值成功率_底稿'!$D:$D,'渠道充值成功率_底稿'!$A:$A,$A11,'渠道充值成功率_底稿'!$B:$B,J$1)</f>
        <v>0</v>
      </c>
      <c r="K11" s="18">
        <f>SUMIFS('渠道充值成功率_底稿'!$D:$D,'渠道充值成功率_底稿'!$A:$A,$A11,'渠道充值成功率_底稿'!$B:$B,K$1)</f>
        <v>0</v>
      </c>
      <c r="L11" s="14">
        <f>SUMIFS('渠道充值成功率_底稿'!$D:$D,'渠道充值成功率_底稿'!$A:$A,$A11,'渠道充值成功率_底稿'!$B:$B,L$1)</f>
        <v>0</v>
      </c>
    </row>
    <row r="12" hidden="1">
      <c r="A12" s="6">
        <f>B8</f>
        <v>46055</v>
      </c>
      <c r="B12" s="11"/>
      <c r="C12" s="19" t="s">
        <v>15</v>
      </c>
      <c r="D12" s="18">
        <f>SUMIFS('渠道充值成功率_底稿'!$G:$G,'渠道充值成功率_底稿'!$A:$A,$A13,'渠道充值成功率_底稿'!$B:$B,D$1)</f>
        <v>0</v>
      </c>
      <c r="E12" s="18">
        <f>SUMIFS('渠道充值成功率_底稿'!$G:$G,'渠道充值成功率_底稿'!$A:$A,$A12,'渠道充值成功率_底稿'!$B:$B,E$1)</f>
        <v>0</v>
      </c>
      <c r="F12" s="18">
        <f>SUMIFS('渠道充值成功率_底稿'!$G:$G,'渠道充值成功率_底稿'!$A:$A,$A12,'渠道充值成功率_底稿'!$B:$B,F$1)</f>
        <v>0</v>
      </c>
      <c r="G12" s="18">
        <f>SUMIFS('渠道充值成功率_底稿'!$G:$G,'渠道充值成功率_底稿'!$A:$A,$A12,'渠道充值成功率_底稿'!$B:$B,G$1)</f>
        <v>0</v>
      </c>
      <c r="H12" s="18">
        <f>SUMIFS('渠道充值成功率_底稿'!$G:$G,'渠道充值成功率_底稿'!$A:$A,$A12,'渠道充值成功率_底稿'!$B:$B,H$1)</f>
        <v>0</v>
      </c>
      <c r="I12" s="18">
        <f>SUMIFS('渠道充值成功率_底稿'!$G:$G,'渠道充值成功率_底稿'!$A:$A,$A12,'渠道充值成功率_底稿'!$B:$B,I$1)</f>
        <v>0</v>
      </c>
      <c r="J12" s="18">
        <f>SUMIFS('渠道充值成功率_底稿'!$G:$G,'渠道充值成功率_底稿'!$A:$A,$A12,'渠道充值成功率_底稿'!$B:$B,J$1)</f>
        <v>0</v>
      </c>
      <c r="K12" s="18">
        <f>SUMIFS('渠道充值成功率_底稿'!$G:$G,'渠道充值成功率_底稿'!$A:$A,$A12,'渠道充值成功率_底稿'!$B:$B,K$1)</f>
        <v>0</v>
      </c>
      <c r="L12" s="14">
        <f>SUMIFS('渠道充值成功率_底稿'!$G:$G,'渠道充值成功率_底稿'!$A:$A,$A12,'渠道充值成功率_底稿'!$B:$B,L$1)</f>
        <v>0</v>
      </c>
    </row>
    <row r="13" hidden="1">
      <c r="A13" s="6">
        <f>B8</f>
        <v>46055</v>
      </c>
      <c r="B13" s="20"/>
      <c r="C13" s="21" t="s">
        <v>16</v>
      </c>
      <c r="D13" s="22" t="str">
        <f t="shared" ref="D13:L13" si="4">IFERROR(ROUND(D12/D11,6),"0")</f>
        <v>0</v>
      </c>
      <c r="E13" s="22" t="str">
        <f t="shared" si="4"/>
        <v>0</v>
      </c>
      <c r="F13" s="22" t="str">
        <f t="shared" si="4"/>
        <v>0</v>
      </c>
      <c r="G13" s="22" t="str">
        <f t="shared" si="4"/>
        <v>0</v>
      </c>
      <c r="H13" s="22" t="str">
        <f t="shared" si="4"/>
        <v>0</v>
      </c>
      <c r="I13" s="22" t="str">
        <f t="shared" si="4"/>
        <v>0</v>
      </c>
      <c r="J13" s="22" t="str">
        <f t="shared" si="4"/>
        <v>0</v>
      </c>
      <c r="K13" s="22" t="str">
        <f t="shared" si="4"/>
        <v>0</v>
      </c>
      <c r="L13" s="23" t="str">
        <f t="shared" si="4"/>
        <v>0</v>
      </c>
    </row>
    <row r="14" hidden="1">
      <c r="A14" s="6">
        <f>B14</f>
        <v>46056</v>
      </c>
      <c r="B14" s="24">
        <f>B8+1</f>
        <v>46056</v>
      </c>
      <c r="C14" s="8" t="s">
        <v>11</v>
      </c>
      <c r="D14" s="9">
        <f>SUMIFS('渠道充值成功率_底稿'!$C:$C,'渠道充值成功率_底稿'!$A:$A,$A14,'渠道充值成功率_底稿'!$B:$B,D$1)</f>
        <v>0</v>
      </c>
      <c r="E14" s="9">
        <f>SUMIFS('渠道充值成功率_底稿'!$C:$C,'渠道充值成功率_底稿'!$A:$A,$A14,'渠道充值成功率_底稿'!$B:$B,E$1)</f>
        <v>0</v>
      </c>
      <c r="F14" s="9">
        <f>SUMIFS('渠道充值成功率_底稿'!$C:$C,'渠道充值成功率_底稿'!$A:$A,$A14,'渠道充值成功率_底稿'!$B:$B,F$1)</f>
        <v>0</v>
      </c>
      <c r="G14" s="9">
        <f>SUMIFS('渠道充值成功率_底稿'!$C:$C,'渠道充值成功率_底稿'!$A:$A,$A14,'渠道充值成功率_底稿'!$B:$B,G$1)</f>
        <v>0</v>
      </c>
      <c r="H14" s="9">
        <f>SUMIFS('渠道充值成功率_底稿'!$C:$C,'渠道充值成功率_底稿'!$A:$A,$A14,'渠道充值成功率_底稿'!$B:$B,H$1)</f>
        <v>0</v>
      </c>
      <c r="I14" s="9">
        <f>SUMIFS('渠道充值成功率_底稿'!$C:$C,'渠道充值成功率_底稿'!$A:$A,$A14,'渠道充值成功率_底稿'!$B:$B,I$1)</f>
        <v>0</v>
      </c>
      <c r="J14" s="9">
        <f>SUMIFS('渠道充值成功率_底稿'!$C:$C,'渠道充值成功率_底稿'!$A:$A,$A14,'渠道充值成功率_底稿'!$B:$B,J$1)</f>
        <v>0</v>
      </c>
      <c r="K14" s="9">
        <f>SUMIFS('渠道充值成功率_底稿'!$C:$C,'渠道充值成功率_底稿'!$A:$A,$A14,'渠道充值成功率_底稿'!$B:$B,K$1)</f>
        <v>0</v>
      </c>
      <c r="L14" s="10">
        <f>SUMIFS('渠道充值成功率_底稿'!$C:$C,'渠道充值成功率_底稿'!$A:$A,$A14,'渠道充值成功率_底稿'!$B:$B,L$1)</f>
        <v>0</v>
      </c>
    </row>
    <row r="15" hidden="1">
      <c r="A15" s="6">
        <f>B14</f>
        <v>46056</v>
      </c>
      <c r="B15" s="11"/>
      <c r="C15" s="12" t="s">
        <v>12</v>
      </c>
      <c r="D15" s="13">
        <f>SUMIFS('渠道充值成功率_底稿'!$F:$F,'渠道充值成功率_底稿'!$A:$A,$A15,'渠道充值成功率_底稿'!$B:$B,D$1)</f>
        <v>0</v>
      </c>
      <c r="E15" s="13">
        <f>SUMIFS('渠道充值成功率_底稿'!$F:$F,'渠道充值成功率_底稿'!$A:$A,$A15,'渠道充值成功率_底稿'!$B:$B,E$1)</f>
        <v>0</v>
      </c>
      <c r="F15" s="13">
        <f>SUMIFS('渠道充值成功率_底稿'!$F:$F,'渠道充值成功率_底稿'!$A:$A,$A15,'渠道充值成功率_底稿'!$B:$B,F$1)</f>
        <v>0</v>
      </c>
      <c r="G15" s="13">
        <f>SUMIFS('渠道充值成功率_底稿'!$F:$F,'渠道充值成功率_底稿'!$A:$A,$A15,'渠道充值成功率_底稿'!$B:$B,G$1)</f>
        <v>0</v>
      </c>
      <c r="H15" s="13">
        <f>SUMIFS('渠道充值成功率_底稿'!$F:$F,'渠道充值成功率_底稿'!$A:$A,$A15,'渠道充值成功率_底稿'!$B:$B,H$1)</f>
        <v>0</v>
      </c>
      <c r="I15" s="13">
        <f>SUMIFS('渠道充值成功率_底稿'!$F:$F,'渠道充值成功率_底稿'!$A:$A,$A15,'渠道充值成功率_底稿'!$B:$B,I$1)</f>
        <v>0</v>
      </c>
      <c r="J15" s="13">
        <f>SUMIFS('渠道充值成功率_底稿'!$F:$F,'渠道充值成功率_底稿'!$A:$A,$A15,'渠道充值成功率_底稿'!$B:$B,J$1)</f>
        <v>0</v>
      </c>
      <c r="K15" s="13">
        <f>SUMIFS('渠道充值成功率_底稿'!$F:$F,'渠道充值成功率_底稿'!$A:$A,$A15,'渠道充值成功率_底稿'!$B:$B,K$1)</f>
        <v>0</v>
      </c>
      <c r="L15" s="14">
        <f>SUMIFS('渠道充值成功率_底稿'!$F:$F,'渠道充值成功率_底稿'!$A:$A,$A15,'渠道充值成功率_底稿'!$B:$B,L$1)</f>
        <v>0</v>
      </c>
    </row>
    <row r="16" hidden="1">
      <c r="A16" s="6">
        <f>B14</f>
        <v>46056</v>
      </c>
      <c r="B16" s="11"/>
      <c r="C16" s="15" t="s">
        <v>13</v>
      </c>
      <c r="D16" s="16" t="str">
        <f t="shared" ref="D16:L16" si="5">IFERROR(ROUND(D15/D14,6),"0")</f>
        <v>0</v>
      </c>
      <c r="E16" s="16" t="str">
        <f t="shared" si="5"/>
        <v>0</v>
      </c>
      <c r="F16" s="16" t="str">
        <f t="shared" si="5"/>
        <v>0</v>
      </c>
      <c r="G16" s="16" t="str">
        <f t="shared" si="5"/>
        <v>0</v>
      </c>
      <c r="H16" s="16" t="str">
        <f t="shared" si="5"/>
        <v>0</v>
      </c>
      <c r="I16" s="16" t="str">
        <f t="shared" si="5"/>
        <v>0</v>
      </c>
      <c r="J16" s="16" t="str">
        <f t="shared" si="5"/>
        <v>0</v>
      </c>
      <c r="K16" s="16" t="str">
        <f t="shared" si="5"/>
        <v>0</v>
      </c>
      <c r="L16" s="17" t="str">
        <f t="shared" si="5"/>
        <v>0</v>
      </c>
    </row>
    <row r="17" hidden="1">
      <c r="A17" s="6">
        <f>B14</f>
        <v>46056</v>
      </c>
      <c r="B17" s="11"/>
      <c r="C17" s="12" t="s">
        <v>14</v>
      </c>
      <c r="D17" s="18">
        <f>SUMIFS('渠道充值成功率_底稿'!$D:$D,'渠道充值成功率_底稿'!$A:$A,$A18,'渠道充值成功率_底稿'!$B:$B,D$1)</f>
        <v>0</v>
      </c>
      <c r="E17" s="18">
        <f>SUMIFS('渠道充值成功率_底稿'!$D:$D,'渠道充值成功率_底稿'!$A:$A,$A17,'渠道充值成功率_底稿'!$B:$B,E$1)</f>
        <v>0</v>
      </c>
      <c r="F17" s="18">
        <f>SUMIFS('渠道充值成功率_底稿'!$D:$D,'渠道充值成功率_底稿'!$A:$A,$A17,'渠道充值成功率_底稿'!$B:$B,F$1)</f>
        <v>0</v>
      </c>
      <c r="G17" s="18">
        <f>SUMIFS('渠道充值成功率_底稿'!$D:$D,'渠道充值成功率_底稿'!$A:$A,$A17,'渠道充值成功率_底稿'!$B:$B,G$1)</f>
        <v>0</v>
      </c>
      <c r="H17" s="18">
        <f>SUMIFS('渠道充值成功率_底稿'!$D:$D,'渠道充值成功率_底稿'!$A:$A,$A17,'渠道充值成功率_底稿'!$B:$B,H$1)</f>
        <v>0</v>
      </c>
      <c r="I17" s="18">
        <f>SUMIFS('渠道充值成功率_底稿'!$D:$D,'渠道充值成功率_底稿'!$A:$A,$A17,'渠道充值成功率_底稿'!$B:$B,I$1)</f>
        <v>0</v>
      </c>
      <c r="J17" s="18">
        <f>SUMIFS('渠道充值成功率_底稿'!$D:$D,'渠道充值成功率_底稿'!$A:$A,$A17,'渠道充值成功率_底稿'!$B:$B,J$1)</f>
        <v>0</v>
      </c>
      <c r="K17" s="18">
        <f>SUMIFS('渠道充值成功率_底稿'!$D:$D,'渠道充值成功率_底稿'!$A:$A,$A17,'渠道充值成功率_底稿'!$B:$B,K$1)</f>
        <v>0</v>
      </c>
      <c r="L17" s="14">
        <f>SUMIFS('渠道充值成功率_底稿'!$D:$D,'渠道充值成功率_底稿'!$A:$A,$A17,'渠道充值成功率_底稿'!$B:$B,L$1)</f>
        <v>0</v>
      </c>
    </row>
    <row r="18" hidden="1">
      <c r="A18" s="6">
        <f>B14</f>
        <v>46056</v>
      </c>
      <c r="B18" s="11"/>
      <c r="C18" s="19" t="s">
        <v>15</v>
      </c>
      <c r="D18" s="18">
        <f>SUMIFS('渠道充值成功率_底稿'!$G:$G,'渠道充值成功率_底稿'!$A:$A,$A19,'渠道充值成功率_底稿'!$B:$B,D$1)</f>
        <v>0</v>
      </c>
      <c r="E18" s="18">
        <f>SUMIFS('渠道充值成功率_底稿'!$G:$G,'渠道充值成功率_底稿'!$A:$A,$A18,'渠道充值成功率_底稿'!$B:$B,E$1)</f>
        <v>0</v>
      </c>
      <c r="F18" s="18">
        <f>SUMIFS('渠道充值成功率_底稿'!$G:$G,'渠道充值成功率_底稿'!$A:$A,$A18,'渠道充值成功率_底稿'!$B:$B,F$1)</f>
        <v>0</v>
      </c>
      <c r="G18" s="18">
        <f>SUMIFS('渠道充值成功率_底稿'!$G:$G,'渠道充值成功率_底稿'!$A:$A,$A18,'渠道充值成功率_底稿'!$B:$B,G$1)</f>
        <v>0</v>
      </c>
      <c r="H18" s="18">
        <f>SUMIFS('渠道充值成功率_底稿'!$G:$G,'渠道充值成功率_底稿'!$A:$A,$A18,'渠道充值成功率_底稿'!$B:$B,H$1)</f>
        <v>0</v>
      </c>
      <c r="I18" s="18">
        <f>SUMIFS('渠道充值成功率_底稿'!$G:$G,'渠道充值成功率_底稿'!$A:$A,$A18,'渠道充值成功率_底稿'!$B:$B,I$1)</f>
        <v>0</v>
      </c>
      <c r="J18" s="18">
        <f>SUMIFS('渠道充值成功率_底稿'!$G:$G,'渠道充值成功率_底稿'!$A:$A,$A18,'渠道充值成功率_底稿'!$B:$B,J$1)</f>
        <v>0</v>
      </c>
      <c r="K18" s="18">
        <f>SUMIFS('渠道充值成功率_底稿'!$G:$G,'渠道充值成功率_底稿'!$A:$A,$A18,'渠道充值成功率_底稿'!$B:$B,K$1)</f>
        <v>0</v>
      </c>
      <c r="L18" s="14">
        <f>SUMIFS('渠道充值成功率_底稿'!$G:$G,'渠道充值成功率_底稿'!$A:$A,$A18,'渠道充值成功率_底稿'!$B:$B,L$1)</f>
        <v>0</v>
      </c>
    </row>
    <row r="19" hidden="1">
      <c r="A19" s="6">
        <f>B14</f>
        <v>46056</v>
      </c>
      <c r="B19" s="20"/>
      <c r="C19" s="21" t="s">
        <v>16</v>
      </c>
      <c r="D19" s="22" t="str">
        <f t="shared" ref="D19:L19" si="6">IFERROR(ROUND(D18/D17,6),"0")</f>
        <v>0</v>
      </c>
      <c r="E19" s="22" t="str">
        <f t="shared" si="6"/>
        <v>0</v>
      </c>
      <c r="F19" s="22" t="str">
        <f t="shared" si="6"/>
        <v>0</v>
      </c>
      <c r="G19" s="22" t="str">
        <f t="shared" si="6"/>
        <v>0</v>
      </c>
      <c r="H19" s="22" t="str">
        <f t="shared" si="6"/>
        <v>0</v>
      </c>
      <c r="I19" s="22" t="str">
        <f t="shared" si="6"/>
        <v>0</v>
      </c>
      <c r="J19" s="22" t="str">
        <f t="shared" si="6"/>
        <v>0</v>
      </c>
      <c r="K19" s="22" t="str">
        <f t="shared" si="6"/>
        <v>0</v>
      </c>
      <c r="L19" s="23" t="str">
        <f t="shared" si="6"/>
        <v>0</v>
      </c>
    </row>
    <row r="20" hidden="1">
      <c r="A20" s="6">
        <f>B20</f>
        <v>46057</v>
      </c>
      <c r="B20" s="24">
        <f>B14+1</f>
        <v>46057</v>
      </c>
      <c r="C20" s="8" t="s">
        <v>11</v>
      </c>
      <c r="D20" s="9">
        <f>SUMIFS('渠道充值成功率_底稿'!$C:$C,'渠道充值成功率_底稿'!$A:$A,$A20,'渠道充值成功率_底稿'!$B:$B,D$1)</f>
        <v>0</v>
      </c>
      <c r="E20" s="9">
        <f>SUMIFS('渠道充值成功率_底稿'!$C:$C,'渠道充值成功率_底稿'!$A:$A,$A20,'渠道充值成功率_底稿'!$B:$B,E$1)</f>
        <v>0</v>
      </c>
      <c r="F20" s="9">
        <f>SUMIFS('渠道充值成功率_底稿'!$C:$C,'渠道充值成功率_底稿'!$A:$A,$A20,'渠道充值成功率_底稿'!$B:$B,F$1)</f>
        <v>0</v>
      </c>
      <c r="G20" s="9">
        <f>SUMIFS('渠道充值成功率_底稿'!$C:$C,'渠道充值成功率_底稿'!$A:$A,$A20,'渠道充值成功率_底稿'!$B:$B,G$1)</f>
        <v>0</v>
      </c>
      <c r="H20" s="9">
        <f>SUMIFS('渠道充值成功率_底稿'!$C:$C,'渠道充值成功率_底稿'!$A:$A,$A20,'渠道充值成功率_底稿'!$B:$B,H$1)</f>
        <v>0</v>
      </c>
      <c r="I20" s="9">
        <f>SUMIFS('渠道充值成功率_底稿'!$C:$C,'渠道充值成功率_底稿'!$A:$A,$A20,'渠道充值成功率_底稿'!$B:$B,I$1)</f>
        <v>0</v>
      </c>
      <c r="J20" s="9">
        <f>SUMIFS('渠道充值成功率_底稿'!$C:$C,'渠道充值成功率_底稿'!$A:$A,$A20,'渠道充值成功率_底稿'!$B:$B,J$1)</f>
        <v>0</v>
      </c>
      <c r="K20" s="9">
        <f>SUMIFS('渠道充值成功率_底稿'!$C:$C,'渠道充值成功率_底稿'!$A:$A,$A20,'渠道充值成功率_底稿'!$B:$B,K$1)</f>
        <v>0</v>
      </c>
      <c r="L20" s="10">
        <f>SUMIFS('渠道充值成功率_底稿'!$C:$C,'渠道充值成功率_底稿'!$A:$A,$A20,'渠道充值成功率_底稿'!$B:$B,L$1)</f>
        <v>0</v>
      </c>
    </row>
    <row r="21" hidden="1">
      <c r="A21" s="6">
        <f>B20</f>
        <v>46057</v>
      </c>
      <c r="B21" s="11"/>
      <c r="C21" s="12" t="s">
        <v>12</v>
      </c>
      <c r="D21" s="13">
        <f>SUMIFS('渠道充值成功率_底稿'!$F:$F,'渠道充值成功率_底稿'!$A:$A,$A21,'渠道充值成功率_底稿'!$B:$B,D$1)</f>
        <v>0</v>
      </c>
      <c r="E21" s="13">
        <f>SUMIFS('渠道充值成功率_底稿'!$F:$F,'渠道充值成功率_底稿'!$A:$A,$A21,'渠道充值成功率_底稿'!$B:$B,E$1)</f>
        <v>0</v>
      </c>
      <c r="F21" s="13">
        <f>SUMIFS('渠道充值成功率_底稿'!$F:$F,'渠道充值成功率_底稿'!$A:$A,$A21,'渠道充值成功率_底稿'!$B:$B,F$1)</f>
        <v>0</v>
      </c>
      <c r="G21" s="13">
        <f>SUMIFS('渠道充值成功率_底稿'!$F:$F,'渠道充值成功率_底稿'!$A:$A,$A21,'渠道充值成功率_底稿'!$B:$B,G$1)</f>
        <v>0</v>
      </c>
      <c r="H21" s="13">
        <f>SUMIFS('渠道充值成功率_底稿'!$F:$F,'渠道充值成功率_底稿'!$A:$A,$A21,'渠道充值成功率_底稿'!$B:$B,H$1)</f>
        <v>0</v>
      </c>
      <c r="I21" s="13">
        <f>SUMIFS('渠道充值成功率_底稿'!$F:$F,'渠道充值成功率_底稿'!$A:$A,$A21,'渠道充值成功率_底稿'!$B:$B,I$1)</f>
        <v>0</v>
      </c>
      <c r="J21" s="13">
        <f>SUMIFS('渠道充值成功率_底稿'!$F:$F,'渠道充值成功率_底稿'!$A:$A,$A21,'渠道充值成功率_底稿'!$B:$B,J$1)</f>
        <v>0</v>
      </c>
      <c r="K21" s="13">
        <f>SUMIFS('渠道充值成功率_底稿'!$F:$F,'渠道充值成功率_底稿'!$A:$A,$A21,'渠道充值成功率_底稿'!$B:$B,K$1)</f>
        <v>0</v>
      </c>
      <c r="L21" s="14">
        <f>SUMIFS('渠道充值成功率_底稿'!$F:$F,'渠道充值成功率_底稿'!$A:$A,$A21,'渠道充值成功率_底稿'!$B:$B,L$1)</f>
        <v>0</v>
      </c>
    </row>
    <row r="22" hidden="1">
      <c r="A22" s="6">
        <f>B20</f>
        <v>46057</v>
      </c>
      <c r="B22" s="11"/>
      <c r="C22" s="15" t="s">
        <v>13</v>
      </c>
      <c r="D22" s="16" t="str">
        <f t="shared" ref="D22:L22" si="7">IFERROR(ROUND(D21/D20,6),"0")</f>
        <v>0</v>
      </c>
      <c r="E22" s="16" t="str">
        <f t="shared" si="7"/>
        <v>0</v>
      </c>
      <c r="F22" s="16" t="str">
        <f t="shared" si="7"/>
        <v>0</v>
      </c>
      <c r="G22" s="16" t="str">
        <f t="shared" si="7"/>
        <v>0</v>
      </c>
      <c r="H22" s="16" t="str">
        <f t="shared" si="7"/>
        <v>0</v>
      </c>
      <c r="I22" s="16" t="str">
        <f t="shared" si="7"/>
        <v>0</v>
      </c>
      <c r="J22" s="16" t="str">
        <f t="shared" si="7"/>
        <v>0</v>
      </c>
      <c r="K22" s="16" t="str">
        <f t="shared" si="7"/>
        <v>0</v>
      </c>
      <c r="L22" s="17" t="str">
        <f t="shared" si="7"/>
        <v>0</v>
      </c>
    </row>
    <row r="23" hidden="1">
      <c r="A23" s="6">
        <f>B20</f>
        <v>46057</v>
      </c>
      <c r="B23" s="11"/>
      <c r="C23" s="12" t="s">
        <v>14</v>
      </c>
      <c r="D23" s="18">
        <f>SUMIFS('渠道充值成功率_底稿'!$D:$D,'渠道充值成功率_底稿'!$A:$A,$A24,'渠道充值成功率_底稿'!$B:$B,D$1)</f>
        <v>0</v>
      </c>
      <c r="E23" s="18">
        <f>SUMIFS('渠道充值成功率_底稿'!$D:$D,'渠道充值成功率_底稿'!$A:$A,$A23,'渠道充值成功率_底稿'!$B:$B,E$1)</f>
        <v>0</v>
      </c>
      <c r="F23" s="18">
        <f>SUMIFS('渠道充值成功率_底稿'!$D:$D,'渠道充值成功率_底稿'!$A:$A,$A23,'渠道充值成功率_底稿'!$B:$B,F$1)</f>
        <v>0</v>
      </c>
      <c r="G23" s="18">
        <f>SUMIFS('渠道充值成功率_底稿'!$D:$D,'渠道充值成功率_底稿'!$A:$A,$A23,'渠道充值成功率_底稿'!$B:$B,G$1)</f>
        <v>0</v>
      </c>
      <c r="H23" s="18">
        <f>SUMIFS('渠道充值成功率_底稿'!$D:$D,'渠道充值成功率_底稿'!$A:$A,$A23,'渠道充值成功率_底稿'!$B:$B,H$1)</f>
        <v>0</v>
      </c>
      <c r="I23" s="18">
        <f>SUMIFS('渠道充值成功率_底稿'!$D:$D,'渠道充值成功率_底稿'!$A:$A,$A23,'渠道充值成功率_底稿'!$B:$B,I$1)</f>
        <v>0</v>
      </c>
      <c r="J23" s="18">
        <f>SUMIFS('渠道充值成功率_底稿'!$D:$D,'渠道充值成功率_底稿'!$A:$A,$A23,'渠道充值成功率_底稿'!$B:$B,J$1)</f>
        <v>0</v>
      </c>
      <c r="K23" s="18">
        <f>SUMIFS('渠道充值成功率_底稿'!$D:$D,'渠道充值成功率_底稿'!$A:$A,$A23,'渠道充值成功率_底稿'!$B:$B,K$1)</f>
        <v>0</v>
      </c>
      <c r="L23" s="14">
        <f>SUMIFS('渠道充值成功率_底稿'!$D:$D,'渠道充值成功率_底稿'!$A:$A,$A23,'渠道充值成功率_底稿'!$B:$B,L$1)</f>
        <v>0</v>
      </c>
    </row>
    <row r="24" hidden="1">
      <c r="A24" s="6">
        <f>B20</f>
        <v>46057</v>
      </c>
      <c r="B24" s="11"/>
      <c r="C24" s="19" t="s">
        <v>15</v>
      </c>
      <c r="D24" s="18">
        <f>SUMIFS('渠道充值成功率_底稿'!$G:$G,'渠道充值成功率_底稿'!$A:$A,$A25,'渠道充值成功率_底稿'!$B:$B,D$1)</f>
        <v>0</v>
      </c>
      <c r="E24" s="18">
        <f>SUMIFS('渠道充值成功率_底稿'!$G:$G,'渠道充值成功率_底稿'!$A:$A,$A24,'渠道充值成功率_底稿'!$B:$B,E$1)</f>
        <v>0</v>
      </c>
      <c r="F24" s="18">
        <f>SUMIFS('渠道充值成功率_底稿'!$G:$G,'渠道充值成功率_底稿'!$A:$A,$A24,'渠道充值成功率_底稿'!$B:$B,F$1)</f>
        <v>0</v>
      </c>
      <c r="G24" s="18">
        <f>SUMIFS('渠道充值成功率_底稿'!$G:$G,'渠道充值成功率_底稿'!$A:$A,$A24,'渠道充值成功率_底稿'!$B:$B,G$1)</f>
        <v>0</v>
      </c>
      <c r="H24" s="18">
        <f>SUMIFS('渠道充值成功率_底稿'!$G:$G,'渠道充值成功率_底稿'!$A:$A,$A24,'渠道充值成功率_底稿'!$B:$B,H$1)</f>
        <v>0</v>
      </c>
      <c r="I24" s="18">
        <f>SUMIFS('渠道充值成功率_底稿'!$G:$G,'渠道充值成功率_底稿'!$A:$A,$A24,'渠道充值成功率_底稿'!$B:$B,I$1)</f>
        <v>0</v>
      </c>
      <c r="J24" s="18">
        <f>SUMIFS('渠道充值成功率_底稿'!$G:$G,'渠道充值成功率_底稿'!$A:$A,$A24,'渠道充值成功率_底稿'!$B:$B,J$1)</f>
        <v>0</v>
      </c>
      <c r="K24" s="18">
        <f>SUMIFS('渠道充值成功率_底稿'!$G:$G,'渠道充值成功率_底稿'!$A:$A,$A24,'渠道充值成功率_底稿'!$B:$B,K$1)</f>
        <v>0</v>
      </c>
      <c r="L24" s="14">
        <f>SUMIFS('渠道充值成功率_底稿'!$G:$G,'渠道充值成功率_底稿'!$A:$A,$A24,'渠道充值成功率_底稿'!$B:$B,L$1)</f>
        <v>0</v>
      </c>
    </row>
    <row r="25" hidden="1">
      <c r="A25" s="6">
        <f>B20</f>
        <v>46057</v>
      </c>
      <c r="B25" s="20"/>
      <c r="C25" s="21" t="s">
        <v>16</v>
      </c>
      <c r="D25" s="22" t="str">
        <f t="shared" ref="D25:L25" si="8">IFERROR(ROUND(D24/D23,6),"0")</f>
        <v>0</v>
      </c>
      <c r="E25" s="22" t="str">
        <f t="shared" si="8"/>
        <v>0</v>
      </c>
      <c r="F25" s="22" t="str">
        <f t="shared" si="8"/>
        <v>0</v>
      </c>
      <c r="G25" s="22" t="str">
        <f t="shared" si="8"/>
        <v>0</v>
      </c>
      <c r="H25" s="22" t="str">
        <f t="shared" si="8"/>
        <v>0</v>
      </c>
      <c r="I25" s="22" t="str">
        <f t="shared" si="8"/>
        <v>0</v>
      </c>
      <c r="J25" s="22" t="str">
        <f t="shared" si="8"/>
        <v>0</v>
      </c>
      <c r="K25" s="22" t="str">
        <f t="shared" si="8"/>
        <v>0</v>
      </c>
      <c r="L25" s="23" t="str">
        <f t="shared" si="8"/>
        <v>0</v>
      </c>
    </row>
    <row r="26" hidden="1">
      <c r="A26" s="6">
        <f>B26</f>
        <v>46058</v>
      </c>
      <c r="B26" s="24">
        <f>B20+1</f>
        <v>46058</v>
      </c>
      <c r="C26" s="8" t="s">
        <v>11</v>
      </c>
      <c r="D26" s="9">
        <f>SUMIFS('渠道充值成功率_底稿'!$C:$C,'渠道充值成功率_底稿'!$A:$A,$A26,'渠道充值成功率_底稿'!$B:$B,D$1)</f>
        <v>0</v>
      </c>
      <c r="E26" s="9">
        <f>SUMIFS('渠道充值成功率_底稿'!$C:$C,'渠道充值成功率_底稿'!$A:$A,$A26,'渠道充值成功率_底稿'!$B:$B,E$1)</f>
        <v>0</v>
      </c>
      <c r="F26" s="9">
        <f>SUMIFS('渠道充值成功率_底稿'!$C:$C,'渠道充值成功率_底稿'!$A:$A,$A26,'渠道充值成功率_底稿'!$B:$B,F$1)</f>
        <v>0</v>
      </c>
      <c r="G26" s="9">
        <f>SUMIFS('渠道充值成功率_底稿'!$C:$C,'渠道充值成功率_底稿'!$A:$A,$A26,'渠道充值成功率_底稿'!$B:$B,G$1)</f>
        <v>0</v>
      </c>
      <c r="H26" s="9">
        <f>SUMIFS('渠道充值成功率_底稿'!$C:$C,'渠道充值成功率_底稿'!$A:$A,$A26,'渠道充值成功率_底稿'!$B:$B,H$1)</f>
        <v>0</v>
      </c>
      <c r="I26" s="9">
        <f>SUMIFS('渠道充值成功率_底稿'!$C:$C,'渠道充值成功率_底稿'!$A:$A,$A26,'渠道充值成功率_底稿'!$B:$B,I$1)</f>
        <v>0</v>
      </c>
      <c r="J26" s="9">
        <f>SUMIFS('渠道充值成功率_底稿'!$C:$C,'渠道充值成功率_底稿'!$A:$A,$A26,'渠道充值成功率_底稿'!$B:$B,J$1)</f>
        <v>0</v>
      </c>
      <c r="K26" s="9">
        <f>SUMIFS('渠道充值成功率_底稿'!$C:$C,'渠道充值成功率_底稿'!$A:$A,$A26,'渠道充值成功率_底稿'!$B:$B,K$1)</f>
        <v>0</v>
      </c>
      <c r="L26" s="10">
        <f>SUMIFS('渠道充值成功率_底稿'!$C:$C,'渠道充值成功率_底稿'!$A:$A,$A26,'渠道充值成功率_底稿'!$B:$B,L$1)</f>
        <v>0</v>
      </c>
    </row>
    <row r="27" hidden="1">
      <c r="A27" s="6">
        <f>B26</f>
        <v>46058</v>
      </c>
      <c r="B27" s="11"/>
      <c r="C27" s="12" t="s">
        <v>12</v>
      </c>
      <c r="D27" s="13">
        <f>SUMIFS('渠道充值成功率_底稿'!$F:$F,'渠道充值成功率_底稿'!$A:$A,$A27,'渠道充值成功率_底稿'!$B:$B,D$1)</f>
        <v>0</v>
      </c>
      <c r="E27" s="13">
        <f>SUMIFS('渠道充值成功率_底稿'!$F:$F,'渠道充值成功率_底稿'!$A:$A,$A27,'渠道充值成功率_底稿'!$B:$B,E$1)</f>
        <v>0</v>
      </c>
      <c r="F27" s="13">
        <f>SUMIFS('渠道充值成功率_底稿'!$F:$F,'渠道充值成功率_底稿'!$A:$A,$A27,'渠道充值成功率_底稿'!$B:$B,F$1)</f>
        <v>0</v>
      </c>
      <c r="G27" s="13">
        <f>SUMIFS('渠道充值成功率_底稿'!$F:$F,'渠道充值成功率_底稿'!$A:$A,$A27,'渠道充值成功率_底稿'!$B:$B,G$1)</f>
        <v>0</v>
      </c>
      <c r="H27" s="13">
        <f>SUMIFS('渠道充值成功率_底稿'!$F:$F,'渠道充值成功率_底稿'!$A:$A,$A27,'渠道充值成功率_底稿'!$B:$B,H$1)</f>
        <v>0</v>
      </c>
      <c r="I27" s="13">
        <f>SUMIFS('渠道充值成功率_底稿'!$F:$F,'渠道充值成功率_底稿'!$A:$A,$A27,'渠道充值成功率_底稿'!$B:$B,I$1)</f>
        <v>0</v>
      </c>
      <c r="J27" s="13">
        <f>SUMIFS('渠道充值成功率_底稿'!$F:$F,'渠道充值成功率_底稿'!$A:$A,$A27,'渠道充值成功率_底稿'!$B:$B,J$1)</f>
        <v>0</v>
      </c>
      <c r="K27" s="13">
        <f>SUMIFS('渠道充值成功率_底稿'!$F:$F,'渠道充值成功率_底稿'!$A:$A,$A27,'渠道充值成功率_底稿'!$B:$B,K$1)</f>
        <v>0</v>
      </c>
      <c r="L27" s="14">
        <f>SUMIFS('渠道充值成功率_底稿'!$F:$F,'渠道充值成功率_底稿'!$A:$A,$A27,'渠道充值成功率_底稿'!$B:$B,L$1)</f>
        <v>0</v>
      </c>
    </row>
    <row r="28" hidden="1">
      <c r="A28" s="6">
        <f>B26</f>
        <v>46058</v>
      </c>
      <c r="B28" s="11"/>
      <c r="C28" s="15" t="s">
        <v>13</v>
      </c>
      <c r="D28" s="16" t="str">
        <f t="shared" ref="D28:L28" si="9">IFERROR(ROUND(D27/D26,6),"0")</f>
        <v>0</v>
      </c>
      <c r="E28" s="16" t="str">
        <f t="shared" si="9"/>
        <v>0</v>
      </c>
      <c r="F28" s="16" t="str">
        <f t="shared" si="9"/>
        <v>0</v>
      </c>
      <c r="G28" s="16" t="str">
        <f t="shared" si="9"/>
        <v>0</v>
      </c>
      <c r="H28" s="16" t="str">
        <f t="shared" si="9"/>
        <v>0</v>
      </c>
      <c r="I28" s="16" t="str">
        <f t="shared" si="9"/>
        <v>0</v>
      </c>
      <c r="J28" s="16" t="str">
        <f t="shared" si="9"/>
        <v>0</v>
      </c>
      <c r="K28" s="16" t="str">
        <f t="shared" si="9"/>
        <v>0</v>
      </c>
      <c r="L28" s="17" t="str">
        <f t="shared" si="9"/>
        <v>0</v>
      </c>
    </row>
    <row r="29" hidden="1">
      <c r="A29" s="6">
        <f>B26</f>
        <v>46058</v>
      </c>
      <c r="B29" s="11"/>
      <c r="C29" s="12" t="s">
        <v>14</v>
      </c>
      <c r="D29" s="18">
        <f>SUMIFS('渠道充值成功率_底稿'!$D:$D,'渠道充值成功率_底稿'!$A:$A,$A30,'渠道充值成功率_底稿'!$B:$B,D$1)</f>
        <v>0</v>
      </c>
      <c r="E29" s="18">
        <f>SUMIFS('渠道充值成功率_底稿'!$D:$D,'渠道充值成功率_底稿'!$A:$A,$A29,'渠道充值成功率_底稿'!$B:$B,E$1)</f>
        <v>0</v>
      </c>
      <c r="F29" s="18">
        <f>SUMIFS('渠道充值成功率_底稿'!$D:$D,'渠道充值成功率_底稿'!$A:$A,$A29,'渠道充值成功率_底稿'!$B:$B,F$1)</f>
        <v>0</v>
      </c>
      <c r="G29" s="18">
        <f>SUMIFS('渠道充值成功率_底稿'!$D:$D,'渠道充值成功率_底稿'!$A:$A,$A29,'渠道充值成功率_底稿'!$B:$B,G$1)</f>
        <v>0</v>
      </c>
      <c r="H29" s="18">
        <f>SUMIFS('渠道充值成功率_底稿'!$D:$D,'渠道充值成功率_底稿'!$A:$A,$A29,'渠道充值成功率_底稿'!$B:$B,H$1)</f>
        <v>0</v>
      </c>
      <c r="I29" s="18">
        <f>SUMIFS('渠道充值成功率_底稿'!$D:$D,'渠道充值成功率_底稿'!$A:$A,$A29,'渠道充值成功率_底稿'!$B:$B,I$1)</f>
        <v>0</v>
      </c>
      <c r="J29" s="18">
        <f>SUMIFS('渠道充值成功率_底稿'!$D:$D,'渠道充值成功率_底稿'!$A:$A,$A29,'渠道充值成功率_底稿'!$B:$B,J$1)</f>
        <v>0</v>
      </c>
      <c r="K29" s="18">
        <f>SUMIFS('渠道充值成功率_底稿'!$D:$D,'渠道充值成功率_底稿'!$A:$A,$A29,'渠道充值成功率_底稿'!$B:$B,K$1)</f>
        <v>0</v>
      </c>
      <c r="L29" s="14">
        <f>SUMIFS('渠道充值成功率_底稿'!$D:$D,'渠道充值成功率_底稿'!$A:$A,$A29,'渠道充值成功率_底稿'!$B:$B,L$1)</f>
        <v>0</v>
      </c>
    </row>
    <row r="30" hidden="1">
      <c r="A30" s="6">
        <f>B26</f>
        <v>46058</v>
      </c>
      <c r="B30" s="11"/>
      <c r="C30" s="19" t="s">
        <v>15</v>
      </c>
      <c r="D30" s="18">
        <f>SUMIFS('渠道充值成功率_底稿'!$G:$G,'渠道充值成功率_底稿'!$A:$A,$A31,'渠道充值成功率_底稿'!$B:$B,D$1)</f>
        <v>0</v>
      </c>
      <c r="E30" s="18">
        <f>SUMIFS('渠道充值成功率_底稿'!$G:$G,'渠道充值成功率_底稿'!$A:$A,$A30,'渠道充值成功率_底稿'!$B:$B,E$1)</f>
        <v>0</v>
      </c>
      <c r="F30" s="18">
        <f>SUMIFS('渠道充值成功率_底稿'!$G:$G,'渠道充值成功率_底稿'!$A:$A,$A30,'渠道充值成功率_底稿'!$B:$B,F$1)</f>
        <v>0</v>
      </c>
      <c r="G30" s="18">
        <f>SUMIFS('渠道充值成功率_底稿'!$G:$G,'渠道充值成功率_底稿'!$A:$A,$A30,'渠道充值成功率_底稿'!$B:$B,G$1)</f>
        <v>0</v>
      </c>
      <c r="H30" s="18">
        <f>SUMIFS('渠道充值成功率_底稿'!$G:$G,'渠道充值成功率_底稿'!$A:$A,$A30,'渠道充值成功率_底稿'!$B:$B,H$1)</f>
        <v>0</v>
      </c>
      <c r="I30" s="18">
        <f>SUMIFS('渠道充值成功率_底稿'!$G:$G,'渠道充值成功率_底稿'!$A:$A,$A30,'渠道充值成功率_底稿'!$B:$B,I$1)</f>
        <v>0</v>
      </c>
      <c r="J30" s="18">
        <f>SUMIFS('渠道充值成功率_底稿'!$G:$G,'渠道充值成功率_底稿'!$A:$A,$A30,'渠道充值成功率_底稿'!$B:$B,J$1)</f>
        <v>0</v>
      </c>
      <c r="K30" s="18">
        <f>SUMIFS('渠道充值成功率_底稿'!$G:$G,'渠道充值成功率_底稿'!$A:$A,$A30,'渠道充值成功率_底稿'!$B:$B,K$1)</f>
        <v>0</v>
      </c>
      <c r="L30" s="14">
        <f>SUMIFS('渠道充值成功率_底稿'!$G:$G,'渠道充值成功率_底稿'!$A:$A,$A30,'渠道充值成功率_底稿'!$B:$B,L$1)</f>
        <v>0</v>
      </c>
    </row>
    <row r="31" hidden="1">
      <c r="A31" s="6">
        <f>B26</f>
        <v>46058</v>
      </c>
      <c r="B31" s="20"/>
      <c r="C31" s="21" t="s">
        <v>16</v>
      </c>
      <c r="D31" s="22" t="str">
        <f t="shared" ref="D31:L31" si="10">IFERROR(ROUND(D30/D29,6),"0")</f>
        <v>0</v>
      </c>
      <c r="E31" s="22" t="str">
        <f t="shared" si="10"/>
        <v>0</v>
      </c>
      <c r="F31" s="22" t="str">
        <f t="shared" si="10"/>
        <v>0</v>
      </c>
      <c r="G31" s="22" t="str">
        <f t="shared" si="10"/>
        <v>0</v>
      </c>
      <c r="H31" s="22" t="str">
        <f t="shared" si="10"/>
        <v>0</v>
      </c>
      <c r="I31" s="22" t="str">
        <f t="shared" si="10"/>
        <v>0</v>
      </c>
      <c r="J31" s="22" t="str">
        <f t="shared" si="10"/>
        <v>0</v>
      </c>
      <c r="K31" s="22" t="str">
        <f t="shared" si="10"/>
        <v>0</v>
      </c>
      <c r="L31" s="23" t="str">
        <f t="shared" si="10"/>
        <v>0</v>
      </c>
    </row>
    <row r="32" hidden="1">
      <c r="A32" s="6">
        <f>B32</f>
        <v>46059</v>
      </c>
      <c r="B32" s="24">
        <f>B26+1</f>
        <v>46059</v>
      </c>
      <c r="C32" s="8" t="s">
        <v>11</v>
      </c>
      <c r="D32" s="9">
        <f>SUMIFS('渠道充值成功率_底稿'!$C:$C,'渠道充值成功率_底稿'!$A:$A,$A32,'渠道充值成功率_底稿'!$B:$B,D$1)</f>
        <v>0</v>
      </c>
      <c r="E32" s="9">
        <f>SUMIFS('渠道充值成功率_底稿'!$C:$C,'渠道充值成功率_底稿'!$A:$A,$A32,'渠道充值成功率_底稿'!$B:$B,E$1)</f>
        <v>0</v>
      </c>
      <c r="F32" s="9">
        <f>SUMIFS('渠道充值成功率_底稿'!$C:$C,'渠道充值成功率_底稿'!$A:$A,$A32,'渠道充值成功率_底稿'!$B:$B,F$1)</f>
        <v>0</v>
      </c>
      <c r="G32" s="9">
        <f>SUMIFS('渠道充值成功率_底稿'!$C:$C,'渠道充值成功率_底稿'!$A:$A,$A32,'渠道充值成功率_底稿'!$B:$B,G$1)</f>
        <v>0</v>
      </c>
      <c r="H32" s="9">
        <f>SUMIFS('渠道充值成功率_底稿'!$C:$C,'渠道充值成功率_底稿'!$A:$A,$A32,'渠道充值成功率_底稿'!$B:$B,H$1)</f>
        <v>0</v>
      </c>
      <c r="I32" s="9">
        <f>SUMIFS('渠道充值成功率_底稿'!$C:$C,'渠道充值成功率_底稿'!$A:$A,$A32,'渠道充值成功率_底稿'!$B:$B,I$1)</f>
        <v>0</v>
      </c>
      <c r="J32" s="9">
        <f>SUMIFS('渠道充值成功率_底稿'!$C:$C,'渠道充值成功率_底稿'!$A:$A,$A32,'渠道充值成功率_底稿'!$B:$B,J$1)</f>
        <v>0</v>
      </c>
      <c r="K32" s="9">
        <f>SUMIFS('渠道充值成功率_底稿'!$C:$C,'渠道充值成功率_底稿'!$A:$A,$A32,'渠道充值成功率_底稿'!$B:$B,K$1)</f>
        <v>0</v>
      </c>
      <c r="L32" s="10">
        <f>SUMIFS('渠道充值成功率_底稿'!$C:$C,'渠道充值成功率_底稿'!$A:$A,$A32,'渠道充值成功率_底稿'!$B:$B,L$1)</f>
        <v>0</v>
      </c>
    </row>
    <row r="33" hidden="1">
      <c r="A33" s="6">
        <f>B32</f>
        <v>46059</v>
      </c>
      <c r="B33" s="11"/>
      <c r="C33" s="12" t="s">
        <v>12</v>
      </c>
      <c r="D33" s="13">
        <f>SUMIFS('渠道充值成功率_底稿'!$F:$F,'渠道充值成功率_底稿'!$A:$A,$A33,'渠道充值成功率_底稿'!$B:$B,D$1)</f>
        <v>0</v>
      </c>
      <c r="E33" s="13">
        <f>SUMIFS('渠道充值成功率_底稿'!$F:$F,'渠道充值成功率_底稿'!$A:$A,$A33,'渠道充值成功率_底稿'!$B:$B,E$1)</f>
        <v>0</v>
      </c>
      <c r="F33" s="13">
        <f>SUMIFS('渠道充值成功率_底稿'!$F:$F,'渠道充值成功率_底稿'!$A:$A,$A33,'渠道充值成功率_底稿'!$B:$B,F$1)</f>
        <v>0</v>
      </c>
      <c r="G33" s="13">
        <f>SUMIFS('渠道充值成功率_底稿'!$F:$F,'渠道充值成功率_底稿'!$A:$A,$A33,'渠道充值成功率_底稿'!$B:$B,G$1)</f>
        <v>0</v>
      </c>
      <c r="H33" s="13">
        <f>SUMIFS('渠道充值成功率_底稿'!$F:$F,'渠道充值成功率_底稿'!$A:$A,$A33,'渠道充值成功率_底稿'!$B:$B,H$1)</f>
        <v>0</v>
      </c>
      <c r="I33" s="13">
        <f>SUMIFS('渠道充值成功率_底稿'!$F:$F,'渠道充值成功率_底稿'!$A:$A,$A33,'渠道充值成功率_底稿'!$B:$B,I$1)</f>
        <v>0</v>
      </c>
      <c r="J33" s="13">
        <f>SUMIFS('渠道充值成功率_底稿'!$F:$F,'渠道充值成功率_底稿'!$A:$A,$A33,'渠道充值成功率_底稿'!$B:$B,J$1)</f>
        <v>0</v>
      </c>
      <c r="K33" s="13">
        <f>SUMIFS('渠道充值成功率_底稿'!$F:$F,'渠道充值成功率_底稿'!$A:$A,$A33,'渠道充值成功率_底稿'!$B:$B,K$1)</f>
        <v>0</v>
      </c>
      <c r="L33" s="14">
        <f>SUMIFS('渠道充值成功率_底稿'!$F:$F,'渠道充值成功率_底稿'!$A:$A,$A33,'渠道充值成功率_底稿'!$B:$B,L$1)</f>
        <v>0</v>
      </c>
    </row>
    <row r="34" hidden="1">
      <c r="A34" s="6">
        <f>B32</f>
        <v>46059</v>
      </c>
      <c r="B34" s="11"/>
      <c r="C34" s="15" t="s">
        <v>13</v>
      </c>
      <c r="D34" s="16" t="str">
        <f t="shared" ref="D34:L34" si="11">IFERROR(ROUND(D33/D32,6),"0")</f>
        <v>0</v>
      </c>
      <c r="E34" s="16" t="str">
        <f t="shared" si="11"/>
        <v>0</v>
      </c>
      <c r="F34" s="16" t="str">
        <f t="shared" si="11"/>
        <v>0</v>
      </c>
      <c r="G34" s="16" t="str">
        <f t="shared" si="11"/>
        <v>0</v>
      </c>
      <c r="H34" s="16" t="str">
        <f t="shared" si="11"/>
        <v>0</v>
      </c>
      <c r="I34" s="16" t="str">
        <f t="shared" si="11"/>
        <v>0</v>
      </c>
      <c r="J34" s="16" t="str">
        <f t="shared" si="11"/>
        <v>0</v>
      </c>
      <c r="K34" s="16" t="str">
        <f t="shared" si="11"/>
        <v>0</v>
      </c>
      <c r="L34" s="17" t="str">
        <f t="shared" si="11"/>
        <v>0</v>
      </c>
    </row>
    <row r="35" hidden="1">
      <c r="A35" s="6">
        <f>B32</f>
        <v>46059</v>
      </c>
      <c r="B35" s="11"/>
      <c r="C35" s="12" t="s">
        <v>14</v>
      </c>
      <c r="D35" s="18">
        <f>SUMIFS('渠道充值成功率_底稿'!$D:$D,'渠道充值成功率_底稿'!$A:$A,$A36,'渠道充值成功率_底稿'!$B:$B,D$1)</f>
        <v>0</v>
      </c>
      <c r="E35" s="18">
        <f>SUMIFS('渠道充值成功率_底稿'!$D:$D,'渠道充值成功率_底稿'!$A:$A,$A35,'渠道充值成功率_底稿'!$B:$B,E$1)</f>
        <v>0</v>
      </c>
      <c r="F35" s="18">
        <f>SUMIFS('渠道充值成功率_底稿'!$D:$D,'渠道充值成功率_底稿'!$A:$A,$A35,'渠道充值成功率_底稿'!$B:$B,F$1)</f>
        <v>0</v>
      </c>
      <c r="G35" s="18">
        <f>SUMIFS('渠道充值成功率_底稿'!$D:$D,'渠道充值成功率_底稿'!$A:$A,$A35,'渠道充值成功率_底稿'!$B:$B,G$1)</f>
        <v>0</v>
      </c>
      <c r="H35" s="18">
        <f>SUMIFS('渠道充值成功率_底稿'!$D:$D,'渠道充值成功率_底稿'!$A:$A,$A35,'渠道充值成功率_底稿'!$B:$B,H$1)</f>
        <v>0</v>
      </c>
      <c r="I35" s="18">
        <f>SUMIFS('渠道充值成功率_底稿'!$D:$D,'渠道充值成功率_底稿'!$A:$A,$A35,'渠道充值成功率_底稿'!$B:$B,I$1)</f>
        <v>0</v>
      </c>
      <c r="J35" s="18">
        <f>SUMIFS('渠道充值成功率_底稿'!$D:$D,'渠道充值成功率_底稿'!$A:$A,$A35,'渠道充值成功率_底稿'!$B:$B,J$1)</f>
        <v>0</v>
      </c>
      <c r="K35" s="18">
        <f>SUMIFS('渠道充值成功率_底稿'!$D:$D,'渠道充值成功率_底稿'!$A:$A,$A35,'渠道充值成功率_底稿'!$B:$B,K$1)</f>
        <v>0</v>
      </c>
      <c r="L35" s="14">
        <f>SUMIFS('渠道充值成功率_底稿'!$D:$D,'渠道充值成功率_底稿'!$A:$A,$A35,'渠道充值成功率_底稿'!$B:$B,L$1)</f>
        <v>0</v>
      </c>
    </row>
    <row r="36" hidden="1">
      <c r="A36" s="6">
        <f>B32</f>
        <v>46059</v>
      </c>
      <c r="B36" s="11"/>
      <c r="C36" s="19" t="s">
        <v>15</v>
      </c>
      <c r="D36" s="18">
        <f>SUMIFS('渠道充值成功率_底稿'!$G:$G,'渠道充值成功率_底稿'!$A:$A,$A37,'渠道充值成功率_底稿'!$B:$B,D$1)</f>
        <v>0</v>
      </c>
      <c r="E36" s="18">
        <f>SUMIFS('渠道充值成功率_底稿'!$G:$G,'渠道充值成功率_底稿'!$A:$A,$A36,'渠道充值成功率_底稿'!$B:$B,E$1)</f>
        <v>0</v>
      </c>
      <c r="F36" s="18">
        <f>SUMIFS('渠道充值成功率_底稿'!$G:$G,'渠道充值成功率_底稿'!$A:$A,$A36,'渠道充值成功率_底稿'!$B:$B,F$1)</f>
        <v>0</v>
      </c>
      <c r="G36" s="18">
        <f>SUMIFS('渠道充值成功率_底稿'!$G:$G,'渠道充值成功率_底稿'!$A:$A,$A36,'渠道充值成功率_底稿'!$B:$B,G$1)</f>
        <v>0</v>
      </c>
      <c r="H36" s="18">
        <f>SUMIFS('渠道充值成功率_底稿'!$G:$G,'渠道充值成功率_底稿'!$A:$A,$A36,'渠道充值成功率_底稿'!$B:$B,H$1)</f>
        <v>0</v>
      </c>
      <c r="I36" s="18">
        <f>SUMIFS('渠道充值成功率_底稿'!$G:$G,'渠道充值成功率_底稿'!$A:$A,$A36,'渠道充值成功率_底稿'!$B:$B,I$1)</f>
        <v>0</v>
      </c>
      <c r="J36" s="18">
        <f>SUMIFS('渠道充值成功率_底稿'!$G:$G,'渠道充值成功率_底稿'!$A:$A,$A36,'渠道充值成功率_底稿'!$B:$B,J$1)</f>
        <v>0</v>
      </c>
      <c r="K36" s="18">
        <f>SUMIFS('渠道充值成功率_底稿'!$G:$G,'渠道充值成功率_底稿'!$A:$A,$A36,'渠道充值成功率_底稿'!$B:$B,K$1)</f>
        <v>0</v>
      </c>
      <c r="L36" s="14">
        <f>SUMIFS('渠道充值成功率_底稿'!$G:$G,'渠道充值成功率_底稿'!$A:$A,$A36,'渠道充值成功率_底稿'!$B:$B,L$1)</f>
        <v>0</v>
      </c>
    </row>
    <row r="37" hidden="1">
      <c r="A37" s="6">
        <f>B32</f>
        <v>46059</v>
      </c>
      <c r="B37" s="20"/>
      <c r="C37" s="21" t="s">
        <v>16</v>
      </c>
      <c r="D37" s="22" t="str">
        <f t="shared" ref="D37:L37" si="12">IFERROR(ROUND(D36/D35,6),"0")</f>
        <v>0</v>
      </c>
      <c r="E37" s="22" t="str">
        <f t="shared" si="12"/>
        <v>0</v>
      </c>
      <c r="F37" s="22" t="str">
        <f t="shared" si="12"/>
        <v>0</v>
      </c>
      <c r="G37" s="22" t="str">
        <f t="shared" si="12"/>
        <v>0</v>
      </c>
      <c r="H37" s="22" t="str">
        <f t="shared" si="12"/>
        <v>0</v>
      </c>
      <c r="I37" s="22" t="str">
        <f t="shared" si="12"/>
        <v>0</v>
      </c>
      <c r="J37" s="22" t="str">
        <f t="shared" si="12"/>
        <v>0</v>
      </c>
      <c r="K37" s="22" t="str">
        <f t="shared" si="12"/>
        <v>0</v>
      </c>
      <c r="L37" s="23" t="str">
        <f t="shared" si="12"/>
        <v>0</v>
      </c>
    </row>
    <row r="38" hidden="1">
      <c r="A38" s="6">
        <f>B38</f>
        <v>46060</v>
      </c>
      <c r="B38" s="24">
        <f>B32+1</f>
        <v>46060</v>
      </c>
      <c r="C38" s="8" t="s">
        <v>11</v>
      </c>
      <c r="D38" s="9">
        <f>SUMIFS('渠道充值成功率_底稿'!$C:$C,'渠道充值成功率_底稿'!$A:$A,$A38,'渠道充值成功率_底稿'!$B:$B,D$1)</f>
        <v>0</v>
      </c>
      <c r="E38" s="9">
        <f>SUMIFS('渠道充值成功率_底稿'!$C:$C,'渠道充值成功率_底稿'!$A:$A,$A38,'渠道充值成功率_底稿'!$B:$B,E$1)</f>
        <v>0</v>
      </c>
      <c r="F38" s="9">
        <f>SUMIFS('渠道充值成功率_底稿'!$C:$C,'渠道充值成功率_底稿'!$A:$A,$A38,'渠道充值成功率_底稿'!$B:$B,F$1)</f>
        <v>0</v>
      </c>
      <c r="G38" s="9">
        <f>SUMIFS('渠道充值成功率_底稿'!$C:$C,'渠道充值成功率_底稿'!$A:$A,$A38,'渠道充值成功率_底稿'!$B:$B,G$1)</f>
        <v>0</v>
      </c>
      <c r="H38" s="9">
        <f>SUMIFS('渠道充值成功率_底稿'!$C:$C,'渠道充值成功率_底稿'!$A:$A,$A38,'渠道充值成功率_底稿'!$B:$B,H$1)</f>
        <v>0</v>
      </c>
      <c r="I38" s="9">
        <f>SUMIFS('渠道充值成功率_底稿'!$C:$C,'渠道充值成功率_底稿'!$A:$A,$A38,'渠道充值成功率_底稿'!$B:$B,I$1)</f>
        <v>0</v>
      </c>
      <c r="J38" s="9">
        <f>SUMIFS('渠道充值成功率_底稿'!$C:$C,'渠道充值成功率_底稿'!$A:$A,$A38,'渠道充值成功率_底稿'!$B:$B,J$1)</f>
        <v>0</v>
      </c>
      <c r="K38" s="9">
        <f>SUMIFS('渠道充值成功率_底稿'!$C:$C,'渠道充值成功率_底稿'!$A:$A,$A38,'渠道充值成功率_底稿'!$B:$B,K$1)</f>
        <v>0</v>
      </c>
      <c r="L38" s="10">
        <f>SUMIFS('渠道充值成功率_底稿'!$C:$C,'渠道充值成功率_底稿'!$A:$A,$A38,'渠道充值成功率_底稿'!$B:$B,L$1)</f>
        <v>0</v>
      </c>
    </row>
    <row r="39" hidden="1">
      <c r="A39" s="6">
        <f>B38</f>
        <v>46060</v>
      </c>
      <c r="B39" s="11"/>
      <c r="C39" s="12" t="s">
        <v>12</v>
      </c>
      <c r="D39" s="13">
        <f>SUMIFS('渠道充值成功率_底稿'!$F:$F,'渠道充值成功率_底稿'!$A:$A,$A39,'渠道充值成功率_底稿'!$B:$B,D$1)</f>
        <v>0</v>
      </c>
      <c r="E39" s="13">
        <f>SUMIFS('渠道充值成功率_底稿'!$F:$F,'渠道充值成功率_底稿'!$A:$A,$A39,'渠道充值成功率_底稿'!$B:$B,E$1)</f>
        <v>0</v>
      </c>
      <c r="F39" s="13">
        <f>SUMIFS('渠道充值成功率_底稿'!$F:$F,'渠道充值成功率_底稿'!$A:$A,$A39,'渠道充值成功率_底稿'!$B:$B,F$1)</f>
        <v>0</v>
      </c>
      <c r="G39" s="13">
        <f>SUMIFS('渠道充值成功率_底稿'!$F:$F,'渠道充值成功率_底稿'!$A:$A,$A39,'渠道充值成功率_底稿'!$B:$B,G$1)</f>
        <v>0</v>
      </c>
      <c r="H39" s="13">
        <f>SUMIFS('渠道充值成功率_底稿'!$F:$F,'渠道充值成功率_底稿'!$A:$A,$A39,'渠道充值成功率_底稿'!$B:$B,H$1)</f>
        <v>0</v>
      </c>
      <c r="I39" s="13">
        <f>SUMIFS('渠道充值成功率_底稿'!$F:$F,'渠道充值成功率_底稿'!$A:$A,$A39,'渠道充值成功率_底稿'!$B:$B,I$1)</f>
        <v>0</v>
      </c>
      <c r="J39" s="13">
        <f>SUMIFS('渠道充值成功率_底稿'!$F:$F,'渠道充值成功率_底稿'!$A:$A,$A39,'渠道充值成功率_底稿'!$B:$B,J$1)</f>
        <v>0</v>
      </c>
      <c r="K39" s="13">
        <f>SUMIFS('渠道充值成功率_底稿'!$F:$F,'渠道充值成功率_底稿'!$A:$A,$A39,'渠道充值成功率_底稿'!$B:$B,K$1)</f>
        <v>0</v>
      </c>
      <c r="L39" s="14">
        <f>SUMIFS('渠道充值成功率_底稿'!$F:$F,'渠道充值成功率_底稿'!$A:$A,$A39,'渠道充值成功率_底稿'!$B:$B,L$1)</f>
        <v>0</v>
      </c>
    </row>
    <row r="40" hidden="1">
      <c r="A40" s="6">
        <f>B38</f>
        <v>46060</v>
      </c>
      <c r="B40" s="11"/>
      <c r="C40" s="15" t="s">
        <v>13</v>
      </c>
      <c r="D40" s="16" t="str">
        <f t="shared" ref="D40:L40" si="13">IFERROR(ROUND(D39/D38,6),"0")</f>
        <v>0</v>
      </c>
      <c r="E40" s="16" t="str">
        <f t="shared" si="13"/>
        <v>0</v>
      </c>
      <c r="F40" s="16" t="str">
        <f t="shared" si="13"/>
        <v>0</v>
      </c>
      <c r="G40" s="16" t="str">
        <f t="shared" si="13"/>
        <v>0</v>
      </c>
      <c r="H40" s="16" t="str">
        <f t="shared" si="13"/>
        <v>0</v>
      </c>
      <c r="I40" s="16" t="str">
        <f t="shared" si="13"/>
        <v>0</v>
      </c>
      <c r="J40" s="16" t="str">
        <f t="shared" si="13"/>
        <v>0</v>
      </c>
      <c r="K40" s="16" t="str">
        <f t="shared" si="13"/>
        <v>0</v>
      </c>
      <c r="L40" s="17" t="str">
        <f t="shared" si="13"/>
        <v>0</v>
      </c>
    </row>
    <row r="41" hidden="1">
      <c r="A41" s="6">
        <f>B38</f>
        <v>46060</v>
      </c>
      <c r="B41" s="11"/>
      <c r="C41" s="12" t="s">
        <v>14</v>
      </c>
      <c r="D41" s="18">
        <f>SUMIFS('渠道充值成功率_底稿'!$D:$D,'渠道充值成功率_底稿'!$A:$A,$A42,'渠道充值成功率_底稿'!$B:$B,D$1)</f>
        <v>0</v>
      </c>
      <c r="E41" s="18">
        <f>SUMIFS('渠道充值成功率_底稿'!$D:$D,'渠道充值成功率_底稿'!$A:$A,$A41,'渠道充值成功率_底稿'!$B:$B,E$1)</f>
        <v>0</v>
      </c>
      <c r="F41" s="18">
        <f>SUMIFS('渠道充值成功率_底稿'!$D:$D,'渠道充值成功率_底稿'!$A:$A,$A41,'渠道充值成功率_底稿'!$B:$B,F$1)</f>
        <v>0</v>
      </c>
      <c r="G41" s="18">
        <f>SUMIFS('渠道充值成功率_底稿'!$D:$D,'渠道充值成功率_底稿'!$A:$A,$A41,'渠道充值成功率_底稿'!$B:$B,G$1)</f>
        <v>0</v>
      </c>
      <c r="H41" s="18">
        <f>SUMIFS('渠道充值成功率_底稿'!$D:$D,'渠道充值成功率_底稿'!$A:$A,$A41,'渠道充值成功率_底稿'!$B:$B,H$1)</f>
        <v>0</v>
      </c>
      <c r="I41" s="18">
        <f>SUMIFS('渠道充值成功率_底稿'!$D:$D,'渠道充值成功率_底稿'!$A:$A,$A41,'渠道充值成功率_底稿'!$B:$B,I$1)</f>
        <v>0</v>
      </c>
      <c r="J41" s="18">
        <f>SUMIFS('渠道充值成功率_底稿'!$D:$D,'渠道充值成功率_底稿'!$A:$A,$A41,'渠道充值成功率_底稿'!$B:$B,J$1)</f>
        <v>0</v>
      </c>
      <c r="K41" s="18">
        <f>SUMIFS('渠道充值成功率_底稿'!$D:$D,'渠道充值成功率_底稿'!$A:$A,$A41,'渠道充值成功率_底稿'!$B:$B,K$1)</f>
        <v>0</v>
      </c>
      <c r="L41" s="14">
        <f>SUMIFS('渠道充值成功率_底稿'!$D:$D,'渠道充值成功率_底稿'!$A:$A,$A41,'渠道充值成功率_底稿'!$B:$B,L$1)</f>
        <v>0</v>
      </c>
    </row>
    <row r="42" hidden="1">
      <c r="A42" s="6">
        <f>B38</f>
        <v>46060</v>
      </c>
      <c r="B42" s="11"/>
      <c r="C42" s="19" t="s">
        <v>15</v>
      </c>
      <c r="D42" s="18">
        <f>SUMIFS('渠道充值成功率_底稿'!$G:$G,'渠道充值成功率_底稿'!$A:$A,$A43,'渠道充值成功率_底稿'!$B:$B,D$1)</f>
        <v>0</v>
      </c>
      <c r="E42" s="18">
        <f>SUMIFS('渠道充值成功率_底稿'!$G:$G,'渠道充值成功率_底稿'!$A:$A,$A42,'渠道充值成功率_底稿'!$B:$B,E$1)</f>
        <v>0</v>
      </c>
      <c r="F42" s="18">
        <f>SUMIFS('渠道充值成功率_底稿'!$G:$G,'渠道充值成功率_底稿'!$A:$A,$A42,'渠道充值成功率_底稿'!$B:$B,F$1)</f>
        <v>0</v>
      </c>
      <c r="G42" s="18">
        <f>SUMIFS('渠道充值成功率_底稿'!$G:$G,'渠道充值成功率_底稿'!$A:$A,$A42,'渠道充值成功率_底稿'!$B:$B,G$1)</f>
        <v>0</v>
      </c>
      <c r="H42" s="18">
        <f>SUMIFS('渠道充值成功率_底稿'!$G:$G,'渠道充值成功率_底稿'!$A:$A,$A42,'渠道充值成功率_底稿'!$B:$B,H$1)</f>
        <v>0</v>
      </c>
      <c r="I42" s="18">
        <f>SUMIFS('渠道充值成功率_底稿'!$G:$G,'渠道充值成功率_底稿'!$A:$A,$A42,'渠道充值成功率_底稿'!$B:$B,I$1)</f>
        <v>0</v>
      </c>
      <c r="J42" s="18">
        <f>SUMIFS('渠道充值成功率_底稿'!$G:$G,'渠道充值成功率_底稿'!$A:$A,$A42,'渠道充值成功率_底稿'!$B:$B,J$1)</f>
        <v>0</v>
      </c>
      <c r="K42" s="18">
        <f>SUMIFS('渠道充值成功率_底稿'!$G:$G,'渠道充值成功率_底稿'!$A:$A,$A42,'渠道充值成功率_底稿'!$B:$B,K$1)</f>
        <v>0</v>
      </c>
      <c r="L42" s="14">
        <f>SUMIFS('渠道充值成功率_底稿'!$G:$G,'渠道充值成功率_底稿'!$A:$A,$A42,'渠道充值成功率_底稿'!$B:$B,L$1)</f>
        <v>0</v>
      </c>
    </row>
    <row r="43" hidden="1">
      <c r="A43" s="6">
        <f>B38</f>
        <v>46060</v>
      </c>
      <c r="B43" s="20"/>
      <c r="C43" s="21" t="s">
        <v>16</v>
      </c>
      <c r="D43" s="22" t="str">
        <f t="shared" ref="D43:L43" si="14">IFERROR(ROUND(D42/D41,6),"0")</f>
        <v>0</v>
      </c>
      <c r="E43" s="22" t="str">
        <f t="shared" si="14"/>
        <v>0</v>
      </c>
      <c r="F43" s="22" t="str">
        <f t="shared" si="14"/>
        <v>0</v>
      </c>
      <c r="G43" s="22" t="str">
        <f t="shared" si="14"/>
        <v>0</v>
      </c>
      <c r="H43" s="22" t="str">
        <f t="shared" si="14"/>
        <v>0</v>
      </c>
      <c r="I43" s="22" t="str">
        <f t="shared" si="14"/>
        <v>0</v>
      </c>
      <c r="J43" s="22" t="str">
        <f t="shared" si="14"/>
        <v>0</v>
      </c>
      <c r="K43" s="22" t="str">
        <f t="shared" si="14"/>
        <v>0</v>
      </c>
      <c r="L43" s="23" t="str">
        <f t="shared" si="14"/>
        <v>0</v>
      </c>
    </row>
    <row r="44" hidden="1">
      <c r="A44" s="6">
        <f>B44</f>
        <v>46061</v>
      </c>
      <c r="B44" s="24">
        <f>B38+1</f>
        <v>46061</v>
      </c>
      <c r="C44" s="8" t="s">
        <v>11</v>
      </c>
      <c r="D44" s="9">
        <f>SUMIFS('渠道充值成功率_底稿'!$C:$C,'渠道充值成功率_底稿'!$A:$A,$A44,'渠道充值成功率_底稿'!$B:$B,D$1)</f>
        <v>0</v>
      </c>
      <c r="E44" s="9">
        <f>SUMIFS('渠道充值成功率_底稿'!$C:$C,'渠道充值成功率_底稿'!$A:$A,$A44,'渠道充值成功率_底稿'!$B:$B,E$1)</f>
        <v>0</v>
      </c>
      <c r="F44" s="9">
        <f>SUMIFS('渠道充值成功率_底稿'!$C:$C,'渠道充值成功率_底稿'!$A:$A,$A44,'渠道充值成功率_底稿'!$B:$B,F$1)</f>
        <v>0</v>
      </c>
      <c r="G44" s="9">
        <f>SUMIFS('渠道充值成功率_底稿'!$C:$C,'渠道充值成功率_底稿'!$A:$A,$A44,'渠道充值成功率_底稿'!$B:$B,G$1)</f>
        <v>0</v>
      </c>
      <c r="H44" s="9">
        <f>SUMIFS('渠道充值成功率_底稿'!$C:$C,'渠道充值成功率_底稿'!$A:$A,$A44,'渠道充值成功率_底稿'!$B:$B,H$1)</f>
        <v>0</v>
      </c>
      <c r="I44" s="9">
        <f>SUMIFS('渠道充值成功率_底稿'!$C:$C,'渠道充值成功率_底稿'!$A:$A,$A44,'渠道充值成功率_底稿'!$B:$B,I$1)</f>
        <v>0</v>
      </c>
      <c r="J44" s="9">
        <f>SUMIFS('渠道充值成功率_底稿'!$C:$C,'渠道充值成功率_底稿'!$A:$A,$A44,'渠道充值成功率_底稿'!$B:$B,J$1)</f>
        <v>0</v>
      </c>
      <c r="K44" s="9">
        <f>SUMIFS('渠道充值成功率_底稿'!$C:$C,'渠道充值成功率_底稿'!$A:$A,$A44,'渠道充值成功率_底稿'!$B:$B,K$1)</f>
        <v>0</v>
      </c>
      <c r="L44" s="10">
        <f>SUMIFS('渠道充值成功率_底稿'!$C:$C,'渠道充值成功率_底稿'!$A:$A,$A44,'渠道充值成功率_底稿'!$B:$B,L$1)</f>
        <v>0</v>
      </c>
    </row>
    <row r="45" hidden="1">
      <c r="A45" s="6">
        <f>B44</f>
        <v>46061</v>
      </c>
      <c r="B45" s="11"/>
      <c r="C45" s="12" t="s">
        <v>12</v>
      </c>
      <c r="D45" s="13">
        <f>SUMIFS('渠道充值成功率_底稿'!$F:$F,'渠道充值成功率_底稿'!$A:$A,$A45,'渠道充值成功率_底稿'!$B:$B,D$1)</f>
        <v>0</v>
      </c>
      <c r="E45" s="13">
        <f>SUMIFS('渠道充值成功率_底稿'!$F:$F,'渠道充值成功率_底稿'!$A:$A,$A45,'渠道充值成功率_底稿'!$B:$B,E$1)</f>
        <v>0</v>
      </c>
      <c r="F45" s="13">
        <f>SUMIFS('渠道充值成功率_底稿'!$F:$F,'渠道充值成功率_底稿'!$A:$A,$A45,'渠道充值成功率_底稿'!$B:$B,F$1)</f>
        <v>0</v>
      </c>
      <c r="G45" s="13">
        <f>SUMIFS('渠道充值成功率_底稿'!$F:$F,'渠道充值成功率_底稿'!$A:$A,$A45,'渠道充值成功率_底稿'!$B:$B,G$1)</f>
        <v>0</v>
      </c>
      <c r="H45" s="13">
        <f>SUMIFS('渠道充值成功率_底稿'!$F:$F,'渠道充值成功率_底稿'!$A:$A,$A45,'渠道充值成功率_底稿'!$B:$B,H$1)</f>
        <v>0</v>
      </c>
      <c r="I45" s="13">
        <f>SUMIFS('渠道充值成功率_底稿'!$F:$F,'渠道充值成功率_底稿'!$A:$A,$A45,'渠道充值成功率_底稿'!$B:$B,I$1)</f>
        <v>0</v>
      </c>
      <c r="J45" s="13">
        <f>SUMIFS('渠道充值成功率_底稿'!$F:$F,'渠道充值成功率_底稿'!$A:$A,$A45,'渠道充值成功率_底稿'!$B:$B,J$1)</f>
        <v>0</v>
      </c>
      <c r="K45" s="13">
        <f>SUMIFS('渠道充值成功率_底稿'!$F:$F,'渠道充值成功率_底稿'!$A:$A,$A45,'渠道充值成功率_底稿'!$B:$B,K$1)</f>
        <v>0</v>
      </c>
      <c r="L45" s="14">
        <f>SUMIFS('渠道充值成功率_底稿'!$F:$F,'渠道充值成功率_底稿'!$A:$A,$A45,'渠道充值成功率_底稿'!$B:$B,L$1)</f>
        <v>0</v>
      </c>
    </row>
    <row r="46" hidden="1">
      <c r="A46" s="6">
        <f>B44</f>
        <v>46061</v>
      </c>
      <c r="B46" s="11"/>
      <c r="C46" s="15" t="s">
        <v>13</v>
      </c>
      <c r="D46" s="16" t="str">
        <f t="shared" ref="D46:L46" si="15">IFERROR(ROUND(D45/D44,6),"0")</f>
        <v>0</v>
      </c>
      <c r="E46" s="16" t="str">
        <f t="shared" si="15"/>
        <v>0</v>
      </c>
      <c r="F46" s="16" t="str">
        <f t="shared" si="15"/>
        <v>0</v>
      </c>
      <c r="G46" s="16" t="str">
        <f t="shared" si="15"/>
        <v>0</v>
      </c>
      <c r="H46" s="16" t="str">
        <f t="shared" si="15"/>
        <v>0</v>
      </c>
      <c r="I46" s="16" t="str">
        <f t="shared" si="15"/>
        <v>0</v>
      </c>
      <c r="J46" s="16" t="str">
        <f t="shared" si="15"/>
        <v>0</v>
      </c>
      <c r="K46" s="16" t="str">
        <f t="shared" si="15"/>
        <v>0</v>
      </c>
      <c r="L46" s="17" t="str">
        <f t="shared" si="15"/>
        <v>0</v>
      </c>
    </row>
    <row r="47" hidden="1">
      <c r="A47" s="6">
        <f>B44</f>
        <v>46061</v>
      </c>
      <c r="B47" s="11"/>
      <c r="C47" s="12" t="s">
        <v>14</v>
      </c>
      <c r="D47" s="18">
        <f>SUMIFS('渠道充值成功率_底稿'!$D:$D,'渠道充值成功率_底稿'!$A:$A,$A48,'渠道充值成功率_底稿'!$B:$B,D$1)</f>
        <v>0</v>
      </c>
      <c r="E47" s="18">
        <f>SUMIFS('渠道充值成功率_底稿'!$D:$D,'渠道充值成功率_底稿'!$A:$A,$A47,'渠道充值成功率_底稿'!$B:$B,E$1)</f>
        <v>0</v>
      </c>
      <c r="F47" s="18">
        <f>SUMIFS('渠道充值成功率_底稿'!$D:$D,'渠道充值成功率_底稿'!$A:$A,$A47,'渠道充值成功率_底稿'!$B:$B,F$1)</f>
        <v>0</v>
      </c>
      <c r="G47" s="18">
        <f>SUMIFS('渠道充值成功率_底稿'!$D:$D,'渠道充值成功率_底稿'!$A:$A,$A47,'渠道充值成功率_底稿'!$B:$B,G$1)</f>
        <v>0</v>
      </c>
      <c r="H47" s="18">
        <f>SUMIFS('渠道充值成功率_底稿'!$D:$D,'渠道充值成功率_底稿'!$A:$A,$A47,'渠道充值成功率_底稿'!$B:$B,H$1)</f>
        <v>0</v>
      </c>
      <c r="I47" s="18">
        <f>SUMIFS('渠道充值成功率_底稿'!$D:$D,'渠道充值成功率_底稿'!$A:$A,$A47,'渠道充值成功率_底稿'!$B:$B,I$1)</f>
        <v>0</v>
      </c>
      <c r="J47" s="18">
        <f>SUMIFS('渠道充值成功率_底稿'!$D:$D,'渠道充值成功率_底稿'!$A:$A,$A47,'渠道充值成功率_底稿'!$B:$B,J$1)</f>
        <v>0</v>
      </c>
      <c r="K47" s="18">
        <f>SUMIFS('渠道充值成功率_底稿'!$D:$D,'渠道充值成功率_底稿'!$A:$A,$A47,'渠道充值成功率_底稿'!$B:$B,K$1)</f>
        <v>0</v>
      </c>
      <c r="L47" s="14">
        <f>SUMIFS('渠道充值成功率_底稿'!$D:$D,'渠道充值成功率_底稿'!$A:$A,$A47,'渠道充值成功率_底稿'!$B:$B,L$1)</f>
        <v>0</v>
      </c>
    </row>
    <row r="48" hidden="1">
      <c r="A48" s="6">
        <f>B44</f>
        <v>46061</v>
      </c>
      <c r="B48" s="11"/>
      <c r="C48" s="19" t="s">
        <v>15</v>
      </c>
      <c r="D48" s="18">
        <f>SUMIFS('渠道充值成功率_底稿'!$G:$G,'渠道充值成功率_底稿'!$A:$A,$A49,'渠道充值成功率_底稿'!$B:$B,D$1)</f>
        <v>0</v>
      </c>
      <c r="E48" s="18">
        <f>SUMIFS('渠道充值成功率_底稿'!$G:$G,'渠道充值成功率_底稿'!$A:$A,$A48,'渠道充值成功率_底稿'!$B:$B,E$1)</f>
        <v>0</v>
      </c>
      <c r="F48" s="18">
        <f>SUMIFS('渠道充值成功率_底稿'!$G:$G,'渠道充值成功率_底稿'!$A:$A,$A48,'渠道充值成功率_底稿'!$B:$B,F$1)</f>
        <v>0</v>
      </c>
      <c r="G48" s="18">
        <f>SUMIFS('渠道充值成功率_底稿'!$G:$G,'渠道充值成功率_底稿'!$A:$A,$A48,'渠道充值成功率_底稿'!$B:$B,G$1)</f>
        <v>0</v>
      </c>
      <c r="H48" s="18">
        <f>SUMIFS('渠道充值成功率_底稿'!$G:$G,'渠道充值成功率_底稿'!$A:$A,$A48,'渠道充值成功率_底稿'!$B:$B,H$1)</f>
        <v>0</v>
      </c>
      <c r="I48" s="18">
        <f>SUMIFS('渠道充值成功率_底稿'!$G:$G,'渠道充值成功率_底稿'!$A:$A,$A48,'渠道充值成功率_底稿'!$B:$B,I$1)</f>
        <v>0</v>
      </c>
      <c r="J48" s="18">
        <f>SUMIFS('渠道充值成功率_底稿'!$G:$G,'渠道充值成功率_底稿'!$A:$A,$A48,'渠道充值成功率_底稿'!$B:$B,J$1)</f>
        <v>0</v>
      </c>
      <c r="K48" s="18">
        <f>SUMIFS('渠道充值成功率_底稿'!$G:$G,'渠道充值成功率_底稿'!$A:$A,$A48,'渠道充值成功率_底稿'!$B:$B,K$1)</f>
        <v>0</v>
      </c>
      <c r="L48" s="14">
        <f>SUMIFS('渠道充值成功率_底稿'!$G:$G,'渠道充值成功率_底稿'!$A:$A,$A48,'渠道充值成功率_底稿'!$B:$B,L$1)</f>
        <v>0</v>
      </c>
    </row>
    <row r="49" hidden="1">
      <c r="A49" s="6">
        <f>B44</f>
        <v>46061</v>
      </c>
      <c r="B49" s="20"/>
      <c r="C49" s="21" t="s">
        <v>16</v>
      </c>
      <c r="D49" s="22" t="str">
        <f t="shared" ref="D49:L49" si="16">IFERROR(ROUND(D48/D47,6),"0")</f>
        <v>0</v>
      </c>
      <c r="E49" s="22" t="str">
        <f t="shared" si="16"/>
        <v>0</v>
      </c>
      <c r="F49" s="22" t="str">
        <f t="shared" si="16"/>
        <v>0</v>
      </c>
      <c r="G49" s="22" t="str">
        <f t="shared" si="16"/>
        <v>0</v>
      </c>
      <c r="H49" s="22" t="str">
        <f t="shared" si="16"/>
        <v>0</v>
      </c>
      <c r="I49" s="22" t="str">
        <f t="shared" si="16"/>
        <v>0</v>
      </c>
      <c r="J49" s="22" t="str">
        <f t="shared" si="16"/>
        <v>0</v>
      </c>
      <c r="K49" s="22" t="str">
        <f t="shared" si="16"/>
        <v>0</v>
      </c>
      <c r="L49" s="23" t="str">
        <f t="shared" si="16"/>
        <v>0</v>
      </c>
    </row>
    <row r="50" hidden="1">
      <c r="A50" s="6">
        <f>B50</f>
        <v>46062</v>
      </c>
      <c r="B50" s="24">
        <f>B44+1</f>
        <v>46062</v>
      </c>
      <c r="C50" s="8" t="s">
        <v>11</v>
      </c>
      <c r="D50" s="9">
        <f>SUMIFS('渠道充值成功率_底稿'!$C:$C,'渠道充值成功率_底稿'!$A:$A,$A50,'渠道充值成功率_底稿'!$B:$B,D$1)</f>
        <v>0</v>
      </c>
      <c r="E50" s="9">
        <f>SUMIFS('渠道充值成功率_底稿'!$C:$C,'渠道充值成功率_底稿'!$A:$A,$A50,'渠道充值成功率_底稿'!$B:$B,E$1)</f>
        <v>0</v>
      </c>
      <c r="F50" s="9">
        <f>SUMIFS('渠道充值成功率_底稿'!$C:$C,'渠道充值成功率_底稿'!$A:$A,$A50,'渠道充值成功率_底稿'!$B:$B,F$1)</f>
        <v>0</v>
      </c>
      <c r="G50" s="9">
        <f>SUMIFS('渠道充值成功率_底稿'!$C:$C,'渠道充值成功率_底稿'!$A:$A,$A50,'渠道充值成功率_底稿'!$B:$B,G$1)</f>
        <v>0</v>
      </c>
      <c r="H50" s="9">
        <f>SUMIFS('渠道充值成功率_底稿'!$C:$C,'渠道充值成功率_底稿'!$A:$A,$A50,'渠道充值成功率_底稿'!$B:$B,H$1)</f>
        <v>0</v>
      </c>
      <c r="I50" s="9">
        <f>SUMIFS('渠道充值成功率_底稿'!$C:$C,'渠道充值成功率_底稿'!$A:$A,$A50,'渠道充值成功率_底稿'!$B:$B,I$1)</f>
        <v>0</v>
      </c>
      <c r="J50" s="9">
        <f>SUMIFS('渠道充值成功率_底稿'!$C:$C,'渠道充值成功率_底稿'!$A:$A,$A50,'渠道充值成功率_底稿'!$B:$B,J$1)</f>
        <v>0</v>
      </c>
      <c r="K50" s="9">
        <f>SUMIFS('渠道充值成功率_底稿'!$C:$C,'渠道充值成功率_底稿'!$A:$A,$A50,'渠道充值成功率_底稿'!$B:$B,K$1)</f>
        <v>0</v>
      </c>
      <c r="L50" s="10">
        <f>SUMIFS('渠道充值成功率_底稿'!$C:$C,'渠道充值成功率_底稿'!$A:$A,$A50,'渠道充值成功率_底稿'!$B:$B,L$1)</f>
        <v>0</v>
      </c>
    </row>
    <row r="51" hidden="1">
      <c r="A51" s="6">
        <f>B50</f>
        <v>46062</v>
      </c>
      <c r="B51" s="11"/>
      <c r="C51" s="12" t="s">
        <v>12</v>
      </c>
      <c r="D51" s="13">
        <f>SUMIFS('渠道充值成功率_底稿'!$F:$F,'渠道充值成功率_底稿'!$A:$A,$A51,'渠道充值成功率_底稿'!$B:$B,D$1)</f>
        <v>0</v>
      </c>
      <c r="E51" s="13">
        <f>SUMIFS('渠道充值成功率_底稿'!$F:$F,'渠道充值成功率_底稿'!$A:$A,$A51,'渠道充值成功率_底稿'!$B:$B,E$1)</f>
        <v>0</v>
      </c>
      <c r="F51" s="13">
        <f>SUMIFS('渠道充值成功率_底稿'!$F:$F,'渠道充值成功率_底稿'!$A:$A,$A51,'渠道充值成功率_底稿'!$B:$B,F$1)</f>
        <v>0</v>
      </c>
      <c r="G51" s="13">
        <f>SUMIFS('渠道充值成功率_底稿'!$F:$F,'渠道充值成功率_底稿'!$A:$A,$A51,'渠道充值成功率_底稿'!$B:$B,G$1)</f>
        <v>0</v>
      </c>
      <c r="H51" s="13">
        <f>SUMIFS('渠道充值成功率_底稿'!$F:$F,'渠道充值成功率_底稿'!$A:$A,$A51,'渠道充值成功率_底稿'!$B:$B,H$1)</f>
        <v>0</v>
      </c>
      <c r="I51" s="13">
        <f>SUMIFS('渠道充值成功率_底稿'!$F:$F,'渠道充值成功率_底稿'!$A:$A,$A51,'渠道充值成功率_底稿'!$B:$B,I$1)</f>
        <v>0</v>
      </c>
      <c r="J51" s="13">
        <f>SUMIFS('渠道充值成功率_底稿'!$F:$F,'渠道充值成功率_底稿'!$A:$A,$A51,'渠道充值成功率_底稿'!$B:$B,J$1)</f>
        <v>0</v>
      </c>
      <c r="K51" s="13">
        <f>SUMIFS('渠道充值成功率_底稿'!$F:$F,'渠道充值成功率_底稿'!$A:$A,$A51,'渠道充值成功率_底稿'!$B:$B,K$1)</f>
        <v>0</v>
      </c>
      <c r="L51" s="14">
        <f>SUMIFS('渠道充值成功率_底稿'!$F:$F,'渠道充值成功率_底稿'!$A:$A,$A51,'渠道充值成功率_底稿'!$B:$B,L$1)</f>
        <v>0</v>
      </c>
    </row>
    <row r="52" hidden="1">
      <c r="A52" s="6">
        <f>B50</f>
        <v>46062</v>
      </c>
      <c r="B52" s="11"/>
      <c r="C52" s="15" t="s">
        <v>13</v>
      </c>
      <c r="D52" s="16" t="str">
        <f t="shared" ref="D52:L52" si="17">IFERROR(ROUND(D51/D50,6),"0")</f>
        <v>0</v>
      </c>
      <c r="E52" s="16" t="str">
        <f t="shared" si="17"/>
        <v>0</v>
      </c>
      <c r="F52" s="16" t="str">
        <f t="shared" si="17"/>
        <v>0</v>
      </c>
      <c r="G52" s="16" t="str">
        <f t="shared" si="17"/>
        <v>0</v>
      </c>
      <c r="H52" s="16" t="str">
        <f t="shared" si="17"/>
        <v>0</v>
      </c>
      <c r="I52" s="16" t="str">
        <f t="shared" si="17"/>
        <v>0</v>
      </c>
      <c r="J52" s="16" t="str">
        <f t="shared" si="17"/>
        <v>0</v>
      </c>
      <c r="K52" s="16" t="str">
        <f t="shared" si="17"/>
        <v>0</v>
      </c>
      <c r="L52" s="17" t="str">
        <f t="shared" si="17"/>
        <v>0</v>
      </c>
    </row>
    <row r="53" hidden="1">
      <c r="A53" s="6">
        <f>B50</f>
        <v>46062</v>
      </c>
      <c r="B53" s="11"/>
      <c r="C53" s="12" t="s">
        <v>14</v>
      </c>
      <c r="D53" s="18">
        <f>SUMIFS('渠道充值成功率_底稿'!$D:$D,'渠道充值成功率_底稿'!$A:$A,$A54,'渠道充值成功率_底稿'!$B:$B,D$1)</f>
        <v>0</v>
      </c>
      <c r="E53" s="18">
        <f>SUMIFS('渠道充值成功率_底稿'!$D:$D,'渠道充值成功率_底稿'!$A:$A,$A53,'渠道充值成功率_底稿'!$B:$B,E$1)</f>
        <v>0</v>
      </c>
      <c r="F53" s="18">
        <f>SUMIFS('渠道充值成功率_底稿'!$D:$D,'渠道充值成功率_底稿'!$A:$A,$A53,'渠道充值成功率_底稿'!$B:$B,F$1)</f>
        <v>0</v>
      </c>
      <c r="G53" s="18">
        <f>SUMIFS('渠道充值成功率_底稿'!$D:$D,'渠道充值成功率_底稿'!$A:$A,$A53,'渠道充值成功率_底稿'!$B:$B,G$1)</f>
        <v>0</v>
      </c>
      <c r="H53" s="18">
        <f>SUMIFS('渠道充值成功率_底稿'!$D:$D,'渠道充值成功率_底稿'!$A:$A,$A53,'渠道充值成功率_底稿'!$B:$B,H$1)</f>
        <v>0</v>
      </c>
      <c r="I53" s="18">
        <f>SUMIFS('渠道充值成功率_底稿'!$D:$D,'渠道充值成功率_底稿'!$A:$A,$A53,'渠道充值成功率_底稿'!$B:$B,I$1)</f>
        <v>0</v>
      </c>
      <c r="J53" s="18">
        <f>SUMIFS('渠道充值成功率_底稿'!$D:$D,'渠道充值成功率_底稿'!$A:$A,$A53,'渠道充值成功率_底稿'!$B:$B,J$1)</f>
        <v>0</v>
      </c>
      <c r="K53" s="18">
        <f>SUMIFS('渠道充值成功率_底稿'!$D:$D,'渠道充值成功率_底稿'!$A:$A,$A53,'渠道充值成功率_底稿'!$B:$B,K$1)</f>
        <v>0</v>
      </c>
      <c r="L53" s="14">
        <f>SUMIFS('渠道充值成功率_底稿'!$D:$D,'渠道充值成功率_底稿'!$A:$A,$A53,'渠道充值成功率_底稿'!$B:$B,L$1)</f>
        <v>0</v>
      </c>
    </row>
    <row r="54" hidden="1">
      <c r="A54" s="6">
        <f>B50</f>
        <v>46062</v>
      </c>
      <c r="B54" s="11"/>
      <c r="C54" s="19" t="s">
        <v>15</v>
      </c>
      <c r="D54" s="18">
        <f>SUMIFS('渠道充值成功率_底稿'!$G:$G,'渠道充值成功率_底稿'!$A:$A,$A55,'渠道充值成功率_底稿'!$B:$B,D$1)</f>
        <v>0</v>
      </c>
      <c r="E54" s="18">
        <f>SUMIFS('渠道充值成功率_底稿'!$G:$G,'渠道充值成功率_底稿'!$A:$A,$A54,'渠道充值成功率_底稿'!$B:$B,E$1)</f>
        <v>0</v>
      </c>
      <c r="F54" s="18">
        <f>SUMIFS('渠道充值成功率_底稿'!$G:$G,'渠道充值成功率_底稿'!$A:$A,$A54,'渠道充值成功率_底稿'!$B:$B,F$1)</f>
        <v>0</v>
      </c>
      <c r="G54" s="18">
        <f>SUMIFS('渠道充值成功率_底稿'!$G:$G,'渠道充值成功率_底稿'!$A:$A,$A54,'渠道充值成功率_底稿'!$B:$B,G$1)</f>
        <v>0</v>
      </c>
      <c r="H54" s="18">
        <f>SUMIFS('渠道充值成功率_底稿'!$G:$G,'渠道充值成功率_底稿'!$A:$A,$A54,'渠道充值成功率_底稿'!$B:$B,H$1)</f>
        <v>0</v>
      </c>
      <c r="I54" s="18">
        <f>SUMIFS('渠道充值成功率_底稿'!$G:$G,'渠道充值成功率_底稿'!$A:$A,$A54,'渠道充值成功率_底稿'!$B:$B,I$1)</f>
        <v>0</v>
      </c>
      <c r="J54" s="18">
        <f>SUMIFS('渠道充值成功率_底稿'!$G:$G,'渠道充值成功率_底稿'!$A:$A,$A54,'渠道充值成功率_底稿'!$B:$B,J$1)</f>
        <v>0</v>
      </c>
      <c r="K54" s="18">
        <f>SUMIFS('渠道充值成功率_底稿'!$G:$G,'渠道充值成功率_底稿'!$A:$A,$A54,'渠道充值成功率_底稿'!$B:$B,K$1)</f>
        <v>0</v>
      </c>
      <c r="L54" s="14">
        <f>SUMIFS('渠道充值成功率_底稿'!$G:$G,'渠道充值成功率_底稿'!$A:$A,$A54,'渠道充值成功率_底稿'!$B:$B,L$1)</f>
        <v>0</v>
      </c>
    </row>
    <row r="55" ht="14.25" hidden="1" customHeight="1">
      <c r="A55" s="6">
        <f>B50</f>
        <v>46062</v>
      </c>
      <c r="B55" s="20"/>
      <c r="C55" s="21" t="s">
        <v>16</v>
      </c>
      <c r="D55" s="22" t="str">
        <f t="shared" ref="D55:L55" si="18">IFERROR(ROUND(D54/D53,6),"0")</f>
        <v>0</v>
      </c>
      <c r="E55" s="22" t="str">
        <f t="shared" si="18"/>
        <v>0</v>
      </c>
      <c r="F55" s="22" t="str">
        <f t="shared" si="18"/>
        <v>0</v>
      </c>
      <c r="G55" s="22" t="str">
        <f t="shared" si="18"/>
        <v>0</v>
      </c>
      <c r="H55" s="22" t="str">
        <f t="shared" si="18"/>
        <v>0</v>
      </c>
      <c r="I55" s="22" t="str">
        <f t="shared" si="18"/>
        <v>0</v>
      </c>
      <c r="J55" s="22" t="str">
        <f t="shared" si="18"/>
        <v>0</v>
      </c>
      <c r="K55" s="22" t="str">
        <f t="shared" si="18"/>
        <v>0</v>
      </c>
      <c r="L55" s="23" t="str">
        <f t="shared" si="18"/>
        <v>0</v>
      </c>
    </row>
    <row r="56" hidden="1">
      <c r="A56" s="6">
        <f>B56</f>
        <v>46063</v>
      </c>
      <c r="B56" s="24">
        <f>B50+1</f>
        <v>46063</v>
      </c>
      <c r="C56" s="8" t="s">
        <v>11</v>
      </c>
      <c r="D56" s="9">
        <f>SUMIFS('渠道充值成功率_底稿'!$C:$C,'渠道充值成功率_底稿'!$A:$A,$A56,'渠道充值成功率_底稿'!$B:$B,D$1)</f>
        <v>0</v>
      </c>
      <c r="E56" s="9">
        <f>SUMIFS('渠道充值成功率_底稿'!$C:$C,'渠道充值成功率_底稿'!$A:$A,$A56,'渠道充值成功率_底稿'!$B:$B,E$1)</f>
        <v>0</v>
      </c>
      <c r="F56" s="9">
        <f>SUMIFS('渠道充值成功率_底稿'!$C:$C,'渠道充值成功率_底稿'!$A:$A,$A56,'渠道充值成功率_底稿'!$B:$B,F$1)</f>
        <v>0</v>
      </c>
      <c r="G56" s="9">
        <f>SUMIFS('渠道充值成功率_底稿'!$C:$C,'渠道充值成功率_底稿'!$A:$A,$A56,'渠道充值成功率_底稿'!$B:$B,G$1)</f>
        <v>0</v>
      </c>
      <c r="H56" s="9">
        <f>SUMIFS('渠道充值成功率_底稿'!$C:$C,'渠道充值成功率_底稿'!$A:$A,$A56,'渠道充值成功率_底稿'!$B:$B,H$1)</f>
        <v>0</v>
      </c>
      <c r="I56" s="9">
        <f>SUMIFS('渠道充值成功率_底稿'!$C:$C,'渠道充值成功率_底稿'!$A:$A,$A56,'渠道充值成功率_底稿'!$B:$B,I$1)</f>
        <v>0</v>
      </c>
      <c r="J56" s="9">
        <f>SUMIFS('渠道充值成功率_底稿'!$C:$C,'渠道充值成功率_底稿'!$A:$A,$A56,'渠道充值成功率_底稿'!$B:$B,J$1)</f>
        <v>0</v>
      </c>
      <c r="K56" s="9">
        <f>SUMIFS('渠道充值成功率_底稿'!$C:$C,'渠道充值成功率_底稿'!$A:$A,$A56,'渠道充值成功率_底稿'!$B:$B,K$1)</f>
        <v>0</v>
      </c>
      <c r="L56" s="10">
        <f>SUMIFS('渠道充值成功率_底稿'!$C:$C,'渠道充值成功率_底稿'!$A:$A,$A56,'渠道充值成功率_底稿'!$B:$B,L$1)</f>
        <v>0</v>
      </c>
    </row>
    <row r="57" hidden="1">
      <c r="A57" s="6">
        <f>B56</f>
        <v>46063</v>
      </c>
      <c r="B57" s="11"/>
      <c r="C57" s="12" t="s">
        <v>12</v>
      </c>
      <c r="D57" s="13">
        <f>SUMIFS('渠道充值成功率_底稿'!$F:$F,'渠道充值成功率_底稿'!$A:$A,$A57,'渠道充值成功率_底稿'!$B:$B,D$1)</f>
        <v>0</v>
      </c>
      <c r="E57" s="13">
        <f>SUMIFS('渠道充值成功率_底稿'!$F:$F,'渠道充值成功率_底稿'!$A:$A,$A57,'渠道充值成功率_底稿'!$B:$B,E$1)</f>
        <v>0</v>
      </c>
      <c r="F57" s="13">
        <f>SUMIFS('渠道充值成功率_底稿'!$F:$F,'渠道充值成功率_底稿'!$A:$A,$A57,'渠道充值成功率_底稿'!$B:$B,F$1)</f>
        <v>0</v>
      </c>
      <c r="G57" s="13">
        <f>SUMIFS('渠道充值成功率_底稿'!$F:$F,'渠道充值成功率_底稿'!$A:$A,$A57,'渠道充值成功率_底稿'!$B:$B,G$1)</f>
        <v>0</v>
      </c>
      <c r="H57" s="13">
        <f>SUMIFS('渠道充值成功率_底稿'!$F:$F,'渠道充值成功率_底稿'!$A:$A,$A57,'渠道充值成功率_底稿'!$B:$B,H$1)</f>
        <v>0</v>
      </c>
      <c r="I57" s="13">
        <f>SUMIFS('渠道充值成功率_底稿'!$F:$F,'渠道充值成功率_底稿'!$A:$A,$A57,'渠道充值成功率_底稿'!$B:$B,I$1)</f>
        <v>0</v>
      </c>
      <c r="J57" s="13">
        <f>SUMIFS('渠道充值成功率_底稿'!$F:$F,'渠道充值成功率_底稿'!$A:$A,$A57,'渠道充值成功率_底稿'!$B:$B,J$1)</f>
        <v>0</v>
      </c>
      <c r="K57" s="13">
        <f>SUMIFS('渠道充值成功率_底稿'!$F:$F,'渠道充值成功率_底稿'!$A:$A,$A57,'渠道充值成功率_底稿'!$B:$B,K$1)</f>
        <v>0</v>
      </c>
      <c r="L57" s="14">
        <f>SUMIFS('渠道充值成功率_底稿'!$F:$F,'渠道充值成功率_底稿'!$A:$A,$A57,'渠道充值成功率_底稿'!$B:$B,L$1)</f>
        <v>0</v>
      </c>
    </row>
    <row r="58" hidden="1">
      <c r="A58" s="6">
        <f>B56</f>
        <v>46063</v>
      </c>
      <c r="B58" s="11"/>
      <c r="C58" s="15" t="s">
        <v>13</v>
      </c>
      <c r="D58" s="16" t="str">
        <f t="shared" ref="D58:L58" si="19">IFERROR(ROUND(D57/D56,6),"0")</f>
        <v>0</v>
      </c>
      <c r="E58" s="16" t="str">
        <f t="shared" si="19"/>
        <v>0</v>
      </c>
      <c r="F58" s="16" t="str">
        <f t="shared" si="19"/>
        <v>0</v>
      </c>
      <c r="G58" s="16" t="str">
        <f t="shared" si="19"/>
        <v>0</v>
      </c>
      <c r="H58" s="16" t="str">
        <f t="shared" si="19"/>
        <v>0</v>
      </c>
      <c r="I58" s="16" t="str">
        <f t="shared" si="19"/>
        <v>0</v>
      </c>
      <c r="J58" s="16" t="str">
        <f t="shared" si="19"/>
        <v>0</v>
      </c>
      <c r="K58" s="16" t="str">
        <f t="shared" si="19"/>
        <v>0</v>
      </c>
      <c r="L58" s="17" t="str">
        <f t="shared" si="19"/>
        <v>0</v>
      </c>
    </row>
    <row r="59" hidden="1">
      <c r="A59" s="6">
        <f>B56</f>
        <v>46063</v>
      </c>
      <c r="B59" s="11"/>
      <c r="C59" s="12" t="s">
        <v>14</v>
      </c>
      <c r="D59" s="18">
        <f>SUMIFS('渠道充值成功率_底稿'!$D:$D,'渠道充值成功率_底稿'!$A:$A,$A60,'渠道充值成功率_底稿'!$B:$B,D$1)</f>
        <v>0</v>
      </c>
      <c r="E59" s="18">
        <f>SUMIFS('渠道充值成功率_底稿'!$D:$D,'渠道充值成功率_底稿'!$A:$A,$A59,'渠道充值成功率_底稿'!$B:$B,E$1)</f>
        <v>0</v>
      </c>
      <c r="F59" s="18">
        <f>SUMIFS('渠道充值成功率_底稿'!$D:$D,'渠道充值成功率_底稿'!$A:$A,$A59,'渠道充值成功率_底稿'!$B:$B,F$1)</f>
        <v>0</v>
      </c>
      <c r="G59" s="18">
        <f>SUMIFS('渠道充值成功率_底稿'!$D:$D,'渠道充值成功率_底稿'!$A:$A,$A59,'渠道充值成功率_底稿'!$B:$B,G$1)</f>
        <v>0</v>
      </c>
      <c r="H59" s="18">
        <f>SUMIFS('渠道充值成功率_底稿'!$D:$D,'渠道充值成功率_底稿'!$A:$A,$A59,'渠道充值成功率_底稿'!$B:$B,H$1)</f>
        <v>0</v>
      </c>
      <c r="I59" s="18">
        <f>SUMIFS('渠道充值成功率_底稿'!$D:$D,'渠道充值成功率_底稿'!$A:$A,$A59,'渠道充值成功率_底稿'!$B:$B,I$1)</f>
        <v>0</v>
      </c>
      <c r="J59" s="18">
        <f>SUMIFS('渠道充值成功率_底稿'!$D:$D,'渠道充值成功率_底稿'!$A:$A,$A59,'渠道充值成功率_底稿'!$B:$B,J$1)</f>
        <v>0</v>
      </c>
      <c r="K59" s="18">
        <f>SUMIFS('渠道充值成功率_底稿'!$D:$D,'渠道充值成功率_底稿'!$A:$A,$A59,'渠道充值成功率_底稿'!$B:$B,K$1)</f>
        <v>0</v>
      </c>
      <c r="L59" s="14">
        <f>SUMIFS('渠道充值成功率_底稿'!$D:$D,'渠道充值成功率_底稿'!$A:$A,$A59,'渠道充值成功率_底稿'!$B:$B,L$1)</f>
        <v>0</v>
      </c>
    </row>
    <row r="60" hidden="1">
      <c r="A60" s="6">
        <f>B56</f>
        <v>46063</v>
      </c>
      <c r="B60" s="11"/>
      <c r="C60" s="19" t="s">
        <v>15</v>
      </c>
      <c r="D60" s="18">
        <f>SUMIFS('渠道充值成功率_底稿'!$G:$G,'渠道充值成功率_底稿'!$A:$A,$A61,'渠道充值成功率_底稿'!$B:$B,D$1)</f>
        <v>0</v>
      </c>
      <c r="E60" s="18">
        <f>SUMIFS('渠道充值成功率_底稿'!$G:$G,'渠道充值成功率_底稿'!$A:$A,$A60,'渠道充值成功率_底稿'!$B:$B,E$1)</f>
        <v>0</v>
      </c>
      <c r="F60" s="18">
        <f>SUMIFS('渠道充值成功率_底稿'!$G:$G,'渠道充值成功率_底稿'!$A:$A,$A60,'渠道充值成功率_底稿'!$B:$B,F$1)</f>
        <v>0</v>
      </c>
      <c r="G60" s="18">
        <f>SUMIFS('渠道充值成功率_底稿'!$G:$G,'渠道充值成功率_底稿'!$A:$A,$A60,'渠道充值成功率_底稿'!$B:$B,G$1)</f>
        <v>0</v>
      </c>
      <c r="H60" s="18">
        <f>SUMIFS('渠道充值成功率_底稿'!$G:$G,'渠道充值成功率_底稿'!$A:$A,$A60,'渠道充值成功率_底稿'!$B:$B,H$1)</f>
        <v>0</v>
      </c>
      <c r="I60" s="18">
        <f>SUMIFS('渠道充值成功率_底稿'!$G:$G,'渠道充值成功率_底稿'!$A:$A,$A60,'渠道充值成功率_底稿'!$B:$B,I$1)</f>
        <v>0</v>
      </c>
      <c r="J60" s="18">
        <f>SUMIFS('渠道充值成功率_底稿'!$G:$G,'渠道充值成功率_底稿'!$A:$A,$A60,'渠道充值成功率_底稿'!$B:$B,J$1)</f>
        <v>0</v>
      </c>
      <c r="K60" s="18">
        <f>SUMIFS('渠道充值成功率_底稿'!$G:$G,'渠道充值成功率_底稿'!$A:$A,$A60,'渠道充值成功率_底稿'!$B:$B,K$1)</f>
        <v>0</v>
      </c>
      <c r="L60" s="14">
        <f>SUMIFS('渠道充值成功率_底稿'!$G:$G,'渠道充值成功率_底稿'!$A:$A,$A60,'渠道充值成功率_底稿'!$B:$B,L$1)</f>
        <v>0</v>
      </c>
    </row>
    <row r="61" hidden="1">
      <c r="A61" s="6">
        <f>B56</f>
        <v>46063</v>
      </c>
      <c r="B61" s="20"/>
      <c r="C61" s="21" t="s">
        <v>16</v>
      </c>
      <c r="D61" s="22" t="str">
        <f t="shared" ref="D61:L61" si="20">IFERROR(ROUND(D60/D59,6),"0")</f>
        <v>0</v>
      </c>
      <c r="E61" s="22" t="str">
        <f t="shared" si="20"/>
        <v>0</v>
      </c>
      <c r="F61" s="22" t="str">
        <f t="shared" si="20"/>
        <v>0</v>
      </c>
      <c r="G61" s="22" t="str">
        <f t="shared" si="20"/>
        <v>0</v>
      </c>
      <c r="H61" s="22" t="str">
        <f t="shared" si="20"/>
        <v>0</v>
      </c>
      <c r="I61" s="22" t="str">
        <f t="shared" si="20"/>
        <v>0</v>
      </c>
      <c r="J61" s="22" t="str">
        <f t="shared" si="20"/>
        <v>0</v>
      </c>
      <c r="K61" s="22" t="str">
        <f t="shared" si="20"/>
        <v>0</v>
      </c>
      <c r="L61" s="23" t="str">
        <f t="shared" si="20"/>
        <v>0</v>
      </c>
    </row>
    <row r="62">
      <c r="A62" s="6">
        <f>B62</f>
        <v>46064</v>
      </c>
      <c r="B62" s="24">
        <f>B56+1</f>
        <v>46064</v>
      </c>
      <c r="C62" s="8" t="s">
        <v>11</v>
      </c>
      <c r="D62" s="9">
        <f>SUMIFS('渠道充值成功率_底稿'!$C:$C,'渠道充值成功率_底稿'!$A:$A,$A62,'渠道充值成功率_底稿'!$B:$B,D$1)</f>
        <v>336</v>
      </c>
      <c r="E62" s="9">
        <f>SUMIFS('渠道充值成功率_底稿'!$C:$C,'渠道充值成功率_底稿'!$A:$A,$A62,'渠道充值成功率_底稿'!$B:$B,E$1)</f>
        <v>15</v>
      </c>
      <c r="F62" s="9">
        <f>SUMIFS('渠道充值成功率_底稿'!$C:$C,'渠道充值成功率_底稿'!$A:$A,$A62,'渠道充值成功率_底稿'!$B:$B,F$1)</f>
        <v>7</v>
      </c>
      <c r="G62" s="9">
        <f>SUMIFS('渠道充值成功率_底稿'!$C:$C,'渠道充值成功率_底稿'!$A:$A,$A62,'渠道充值成功率_底稿'!$B:$B,G$1)</f>
        <v>57</v>
      </c>
      <c r="H62" s="9">
        <f>SUMIFS('渠道充值成功率_底稿'!$C:$C,'渠道充值成功率_底稿'!$A:$A,$A62,'渠道充值成功率_底稿'!$B:$B,H$1)</f>
        <v>0</v>
      </c>
      <c r="I62" s="9">
        <f>SUMIFS('渠道充值成功率_底稿'!$C:$C,'渠道充值成功率_底稿'!$A:$A,$A62,'渠道充值成功率_底稿'!$B:$B,I$1)</f>
        <v>0</v>
      </c>
      <c r="J62" s="9">
        <f>SUMIFS('渠道充值成功率_底稿'!$C:$C,'渠道充值成功率_底稿'!$A:$A,$A62,'渠道充值成功率_底稿'!$B:$B,J$1)</f>
        <v>0</v>
      </c>
      <c r="K62" s="9">
        <f>SUMIFS('渠道充值成功率_底稿'!$C:$C,'渠道充值成功率_底稿'!$A:$A,$A62,'渠道充值成功率_底稿'!$B:$B,K$1)</f>
        <v>2</v>
      </c>
      <c r="L62" s="10">
        <f>SUMIFS('渠道充值成功率_底稿'!$C:$C,'渠道充值成功率_底稿'!$A:$A,$A62,'渠道充值成功率_底稿'!$B:$B,L$1)</f>
        <v>0</v>
      </c>
    </row>
    <row r="63">
      <c r="A63" s="6">
        <f>B62</f>
        <v>46064</v>
      </c>
      <c r="B63" s="11"/>
      <c r="C63" s="12" t="s">
        <v>12</v>
      </c>
      <c r="D63" s="13">
        <f>SUMIFS('渠道充值成功率_底稿'!$F:$F,'渠道充值成功率_底稿'!$A:$A,$A63,'渠道充值成功率_底稿'!$B:$B,D$1)</f>
        <v>264</v>
      </c>
      <c r="E63" s="13">
        <f>SUMIFS('渠道充值成功率_底稿'!$F:$F,'渠道充值成功率_底稿'!$A:$A,$A63,'渠道充值成功率_底稿'!$B:$B,E$1)</f>
        <v>14</v>
      </c>
      <c r="F63" s="13">
        <f>SUMIFS('渠道充值成功率_底稿'!$F:$F,'渠道充值成功率_底稿'!$A:$A,$A63,'渠道充值成功率_底稿'!$B:$B,F$1)</f>
        <v>6</v>
      </c>
      <c r="G63" s="13">
        <f>SUMIFS('渠道充值成功率_底稿'!$F:$F,'渠道充值成功率_底稿'!$A:$A,$A63,'渠道充值成功率_底稿'!$B:$B,G$1)</f>
        <v>45</v>
      </c>
      <c r="H63" s="13">
        <f>SUMIFS('渠道充值成功率_底稿'!$F:$F,'渠道充值成功率_底稿'!$A:$A,$A63,'渠道充值成功率_底稿'!$B:$B,H$1)</f>
        <v>0</v>
      </c>
      <c r="I63" s="13">
        <f>SUMIFS('渠道充值成功率_底稿'!$F:$F,'渠道充值成功率_底稿'!$A:$A,$A63,'渠道充值成功率_底稿'!$B:$B,I$1)</f>
        <v>0</v>
      </c>
      <c r="J63" s="13">
        <f>SUMIFS('渠道充值成功率_底稿'!$F:$F,'渠道充值成功率_底稿'!$A:$A,$A63,'渠道充值成功率_底稿'!$B:$B,J$1)</f>
        <v>0</v>
      </c>
      <c r="K63" s="13">
        <f>SUMIFS('渠道充值成功率_底稿'!$F:$F,'渠道充值成功率_底稿'!$A:$A,$A63,'渠道充值成功率_底稿'!$B:$B,K$1)</f>
        <v>2</v>
      </c>
      <c r="L63" s="14">
        <f>SUMIFS('渠道充值成功率_底稿'!$F:$F,'渠道充值成功率_底稿'!$A:$A,$A63,'渠道充值成功率_底稿'!$B:$B,L$1)</f>
        <v>0</v>
      </c>
    </row>
    <row r="64">
      <c r="A64" s="6">
        <f>B62</f>
        <v>46064</v>
      </c>
      <c r="B64" s="11"/>
      <c r="C64" s="15" t="s">
        <v>13</v>
      </c>
      <c r="D64" s="16">
        <f t="shared" ref="D64:L64" si="21">IFERROR(ROUND(D63/D62,6),"0")</f>
        <v>0.785714</v>
      </c>
      <c r="E64" s="16">
        <f t="shared" si="21"/>
        <v>0.933333</v>
      </c>
      <c r="F64" s="16">
        <f t="shared" si="21"/>
        <v>0.857143</v>
      </c>
      <c r="G64" s="16">
        <f t="shared" si="21"/>
        <v>0.789474</v>
      </c>
      <c r="H64" s="16" t="str">
        <f t="shared" si="21"/>
        <v>0</v>
      </c>
      <c r="I64" s="16" t="str">
        <f t="shared" si="21"/>
        <v>0</v>
      </c>
      <c r="J64" s="16" t="str">
        <f t="shared" si="21"/>
        <v>0</v>
      </c>
      <c r="K64" s="16">
        <f t="shared" si="21"/>
        <v>1</v>
      </c>
      <c r="L64" s="17" t="str">
        <f t="shared" si="21"/>
        <v>0</v>
      </c>
    </row>
    <row r="65">
      <c r="A65" s="6">
        <f>B62</f>
        <v>46064</v>
      </c>
      <c r="B65" s="11"/>
      <c r="C65" s="12" t="s">
        <v>14</v>
      </c>
      <c r="D65" s="18">
        <f>SUMIFS('渠道充值成功率_底稿'!$D:$D,'渠道充值成功率_底稿'!$A:$A,$A66,'渠道充值成功率_底稿'!$B:$B,D$1)</f>
        <v>45098</v>
      </c>
      <c r="E65" s="18">
        <f>SUMIFS('渠道充值成功率_底稿'!$D:$D,'渠道充值成功率_底稿'!$A:$A,$A65,'渠道充值成功率_底稿'!$B:$B,E$1)</f>
        <v>9270</v>
      </c>
      <c r="F65" s="18">
        <f>SUMIFS('渠道充值成功率_底稿'!$D:$D,'渠道充值成功率_底稿'!$A:$A,$A65,'渠道充值成功率_底稿'!$B:$B,F$1)</f>
        <v>700</v>
      </c>
      <c r="G65" s="18">
        <f>SUMIFS('渠道充值成功率_底稿'!$D:$D,'渠道充值成功率_底稿'!$A:$A,$A65,'渠道充值成功率_底稿'!$B:$B,G$1)</f>
        <v>6415</v>
      </c>
      <c r="H65" s="18">
        <f>SUMIFS('渠道充值成功率_底稿'!$D:$D,'渠道充值成功率_底稿'!$A:$A,$A65,'渠道充值成功率_底稿'!$B:$B,H$1)</f>
        <v>0</v>
      </c>
      <c r="I65" s="18">
        <f>SUMIFS('渠道充值成功率_底稿'!$D:$D,'渠道充值成功率_底稿'!$A:$A,$A65,'渠道充值成功率_底稿'!$B:$B,I$1)</f>
        <v>0</v>
      </c>
      <c r="J65" s="18">
        <f>SUMIFS('渠道充值成功率_底稿'!$D:$D,'渠道充值成功率_底稿'!$A:$A,$A65,'渠道充值成功率_底稿'!$B:$B,J$1)</f>
        <v>0</v>
      </c>
      <c r="K65" s="18">
        <f>SUMIFS('渠道充值成功率_底稿'!$D:$D,'渠道充值成功率_底稿'!$A:$A,$A65,'渠道充值成功率_底稿'!$B:$B,K$1)</f>
        <v>400</v>
      </c>
      <c r="L65" s="14">
        <f>SUMIFS('渠道充值成功率_底稿'!$D:$D,'渠道充值成功率_底稿'!$A:$A,$A65,'渠道充值成功率_底稿'!$B:$B,L$1)</f>
        <v>0</v>
      </c>
    </row>
    <row r="66">
      <c r="A66" s="6">
        <f>B62</f>
        <v>46064</v>
      </c>
      <c r="B66" s="11"/>
      <c r="C66" s="19" t="s">
        <v>15</v>
      </c>
      <c r="D66" s="18">
        <f>SUMIFS('渠道充值成功率_底稿'!$G:$G,'渠道充值成功率_底稿'!$A:$A,$A67,'渠道充值成功率_底稿'!$B:$B,D$1)</f>
        <v>34978</v>
      </c>
      <c r="E66" s="18">
        <f>SUMIFS('渠道充值成功率_底稿'!$G:$G,'渠道充值成功率_底稿'!$A:$A,$A66,'渠道充值成功率_底稿'!$B:$B,E$1)</f>
        <v>9070</v>
      </c>
      <c r="F66" s="18">
        <f>SUMIFS('渠道充值成功率_底稿'!$G:$G,'渠道充值成功率_底稿'!$A:$A,$A66,'渠道充值成功率_底稿'!$B:$B,F$1)</f>
        <v>600</v>
      </c>
      <c r="G66" s="18">
        <f>SUMIFS('渠道充值成功率_底稿'!$G:$G,'渠道充值成功率_底稿'!$A:$A,$A66,'渠道充值成功率_底稿'!$B:$B,G$1)</f>
        <v>5665</v>
      </c>
      <c r="H66" s="18">
        <f>SUMIFS('渠道充值成功率_底稿'!$G:$G,'渠道充值成功率_底稿'!$A:$A,$A66,'渠道充值成功率_底稿'!$B:$B,H$1)</f>
        <v>0</v>
      </c>
      <c r="I66" s="18">
        <f>SUMIFS('渠道充值成功率_底稿'!$G:$G,'渠道充值成功率_底稿'!$A:$A,$A66,'渠道充值成功率_底稿'!$B:$B,I$1)</f>
        <v>0</v>
      </c>
      <c r="J66" s="18">
        <f>SUMIFS('渠道充值成功率_底稿'!$G:$G,'渠道充值成功率_底稿'!$A:$A,$A66,'渠道充值成功率_底稿'!$B:$B,J$1)</f>
        <v>0</v>
      </c>
      <c r="K66" s="18">
        <f>SUMIFS('渠道充值成功率_底稿'!$G:$G,'渠道充值成功率_底稿'!$A:$A,$A66,'渠道充值成功率_底稿'!$B:$B,K$1)</f>
        <v>400</v>
      </c>
      <c r="L66" s="14">
        <f>SUMIFS('渠道充值成功率_底稿'!$G:$G,'渠道充值成功率_底稿'!$A:$A,$A66,'渠道充值成功率_底稿'!$B:$B,L$1)</f>
        <v>0</v>
      </c>
    </row>
    <row r="67">
      <c r="A67" s="6">
        <f>B62</f>
        <v>46064</v>
      </c>
      <c r="B67" s="20"/>
      <c r="C67" s="21" t="s">
        <v>16</v>
      </c>
      <c r="D67" s="22">
        <f t="shared" ref="D67:L67" si="22">IFERROR(ROUND(D66/D65,6),"0")</f>
        <v>0.7756</v>
      </c>
      <c r="E67" s="22">
        <f t="shared" si="22"/>
        <v>0.978425</v>
      </c>
      <c r="F67" s="22">
        <f t="shared" si="22"/>
        <v>0.857143</v>
      </c>
      <c r="G67" s="22">
        <f t="shared" si="22"/>
        <v>0.883087</v>
      </c>
      <c r="H67" s="22" t="str">
        <f t="shared" si="22"/>
        <v>0</v>
      </c>
      <c r="I67" s="22" t="str">
        <f t="shared" si="22"/>
        <v>0</v>
      </c>
      <c r="J67" s="22" t="str">
        <f t="shared" si="22"/>
        <v>0</v>
      </c>
      <c r="K67" s="22">
        <f t="shared" si="22"/>
        <v>1</v>
      </c>
      <c r="L67" s="23" t="str">
        <f t="shared" si="22"/>
        <v>0</v>
      </c>
    </row>
    <row r="68">
      <c r="A68" s="6">
        <f>B68</f>
        <v>46065</v>
      </c>
      <c r="B68" s="24">
        <f>B62+1</f>
        <v>46065</v>
      </c>
      <c r="C68" s="8" t="s">
        <v>11</v>
      </c>
      <c r="D68" s="9">
        <f>SUMIFS('渠道充值成功率_底稿'!$C:$C,'渠道充值成功率_底稿'!$A:$A,$A68,'渠道充值成功率_底稿'!$B:$B,D$1)</f>
        <v>3522</v>
      </c>
      <c r="E68" s="9">
        <f>SUMIFS('渠道充值成功率_底稿'!$C:$C,'渠道充值成功率_底稿'!$A:$A,$A68,'渠道充值成功率_底稿'!$B:$B,E$1)</f>
        <v>176</v>
      </c>
      <c r="F68" s="9">
        <f>SUMIFS('渠道充值成功率_底稿'!$C:$C,'渠道充值成功率_底稿'!$A:$A,$A68,'渠道充值成功率_底稿'!$B:$B,F$1)</f>
        <v>238</v>
      </c>
      <c r="G68" s="9">
        <f>SUMIFS('渠道充值成功率_底稿'!$C:$C,'渠道充值成功率_底稿'!$A:$A,$A68,'渠道充值成功率_底稿'!$B:$B,G$1)</f>
        <v>609</v>
      </c>
      <c r="H68" s="9">
        <f>SUMIFS('渠道充值成功率_底稿'!$C:$C,'渠道充值成功率_底稿'!$A:$A,$A68,'渠道充值成功率_底稿'!$B:$B,H$1)</f>
        <v>0</v>
      </c>
      <c r="I68" s="9">
        <f>SUMIFS('渠道充值成功率_底稿'!$C:$C,'渠道充值成功率_底稿'!$A:$A,$A68,'渠道充值成功率_底稿'!$B:$B,I$1)</f>
        <v>0</v>
      </c>
      <c r="J68" s="9">
        <f>SUMIFS('渠道充值成功率_底稿'!$C:$C,'渠道充值成功率_底稿'!$A:$A,$A68,'渠道充值成功率_底稿'!$B:$B,J$1)</f>
        <v>0</v>
      </c>
      <c r="K68" s="9">
        <f>SUMIFS('渠道充值成功率_底稿'!$C:$C,'渠道充值成功率_底稿'!$A:$A,$A68,'渠道充值成功率_底稿'!$B:$B,K$1)</f>
        <v>17</v>
      </c>
      <c r="L68" s="10">
        <f>SUMIFS('渠道充值成功率_底稿'!$C:$C,'渠道充值成功率_底稿'!$A:$A,$A68,'渠道充值成功率_底稿'!$B:$B,L$1)</f>
        <v>0</v>
      </c>
    </row>
    <row r="69">
      <c r="A69" s="6">
        <f>B68</f>
        <v>46065</v>
      </c>
      <c r="B69" s="11"/>
      <c r="C69" s="12" t="s">
        <v>12</v>
      </c>
      <c r="D69" s="13">
        <f>SUMIFS('渠道充值成功率_底稿'!$F:$F,'渠道充值成功率_底稿'!$A:$A,$A69,'渠道充值成功率_底稿'!$B:$B,D$1)</f>
        <v>2658</v>
      </c>
      <c r="E69" s="13">
        <f>SUMIFS('渠道充值成功率_底稿'!$F:$F,'渠道充值成功率_底稿'!$A:$A,$A69,'渠道充值成功率_底稿'!$B:$B,E$1)</f>
        <v>151</v>
      </c>
      <c r="F69" s="13">
        <f>SUMIFS('渠道充值成功率_底稿'!$F:$F,'渠道充值成功率_底稿'!$A:$A,$A69,'渠道充值成功率_底稿'!$B:$B,F$1)</f>
        <v>132</v>
      </c>
      <c r="G69" s="13">
        <f>SUMIFS('渠道充值成功率_底稿'!$F:$F,'渠道充值成功率_底稿'!$A:$A,$A69,'渠道充值成功率_底稿'!$B:$B,G$1)</f>
        <v>487</v>
      </c>
      <c r="H69" s="13">
        <f>SUMIFS('渠道充值成功率_底稿'!$F:$F,'渠道充值成功率_底稿'!$A:$A,$A69,'渠道充值成功率_底稿'!$B:$B,H$1)</f>
        <v>0</v>
      </c>
      <c r="I69" s="13">
        <f>SUMIFS('渠道充值成功率_底稿'!$F:$F,'渠道充值成功率_底稿'!$A:$A,$A69,'渠道充值成功率_底稿'!$B:$B,I$1)</f>
        <v>0</v>
      </c>
      <c r="J69" s="13">
        <f>SUMIFS('渠道充值成功率_底稿'!$F:$F,'渠道充值成功率_底稿'!$A:$A,$A69,'渠道充值成功率_底稿'!$B:$B,J$1)</f>
        <v>0</v>
      </c>
      <c r="K69" s="13">
        <f>SUMIFS('渠道充值成功率_底稿'!$F:$F,'渠道充值成功率_底稿'!$A:$A,$A69,'渠道充值成功率_底稿'!$B:$B,K$1)</f>
        <v>16</v>
      </c>
      <c r="L69" s="14">
        <f>SUMIFS('渠道充值成功率_底稿'!$F:$F,'渠道充值成功率_底稿'!$A:$A,$A69,'渠道充值成功率_底稿'!$B:$B,L$1)</f>
        <v>0</v>
      </c>
    </row>
    <row r="70">
      <c r="A70" s="6">
        <f>B68</f>
        <v>46065</v>
      </c>
      <c r="B70" s="11"/>
      <c r="C70" s="15" t="s">
        <v>13</v>
      </c>
      <c r="D70" s="16">
        <f t="shared" ref="D70:L70" si="23">IFERROR(ROUND(D69/D68,6),"0")</f>
        <v>0.754685</v>
      </c>
      <c r="E70" s="16">
        <f t="shared" si="23"/>
        <v>0.857955</v>
      </c>
      <c r="F70" s="16">
        <f t="shared" si="23"/>
        <v>0.554622</v>
      </c>
      <c r="G70" s="16">
        <f t="shared" si="23"/>
        <v>0.799672</v>
      </c>
      <c r="H70" s="16" t="str">
        <f t="shared" si="23"/>
        <v>0</v>
      </c>
      <c r="I70" s="16" t="str">
        <f t="shared" si="23"/>
        <v>0</v>
      </c>
      <c r="J70" s="16" t="str">
        <f t="shared" si="23"/>
        <v>0</v>
      </c>
      <c r="K70" s="16">
        <f t="shared" si="23"/>
        <v>0.941176</v>
      </c>
      <c r="L70" s="17" t="str">
        <f t="shared" si="23"/>
        <v>0</v>
      </c>
    </row>
    <row r="71">
      <c r="A71" s="6">
        <f>B68</f>
        <v>46065</v>
      </c>
      <c r="B71" s="11"/>
      <c r="C71" s="12" t="s">
        <v>14</v>
      </c>
      <c r="D71" s="18">
        <f>SUMIFS('渠道充值成功率_底稿'!$D:$D,'渠道充值成功率_底稿'!$A:$A,$A72,'渠道充值成功率_底稿'!$B:$B,D$1)</f>
        <v>594748</v>
      </c>
      <c r="E71" s="18">
        <f>SUMIFS('渠道充值成功率_底稿'!$D:$D,'渠道充值成功率_底稿'!$A:$A,$A71,'渠道充值成功率_底稿'!$B:$B,E$1)</f>
        <v>41417</v>
      </c>
      <c r="F71" s="18">
        <f>SUMIFS('渠道充值成功率_底稿'!$D:$D,'渠道充值成功率_底稿'!$A:$A,$A71,'渠道充值成功率_底稿'!$B:$B,F$1)</f>
        <v>45503</v>
      </c>
      <c r="G71" s="18">
        <f>SUMIFS('渠道充值成功率_底稿'!$D:$D,'渠道充值成功率_底稿'!$A:$A,$A71,'渠道充值成功率_底稿'!$B:$B,G$1)</f>
        <v>114956</v>
      </c>
      <c r="H71" s="18">
        <f>SUMIFS('渠道充值成功率_底稿'!$D:$D,'渠道充值成功率_底稿'!$A:$A,$A71,'渠道充值成功率_底稿'!$B:$B,H$1)</f>
        <v>0</v>
      </c>
      <c r="I71" s="18">
        <f>SUMIFS('渠道充值成功率_底稿'!$D:$D,'渠道充值成功率_底稿'!$A:$A,$A71,'渠道充值成功率_底稿'!$B:$B,I$1)</f>
        <v>0</v>
      </c>
      <c r="J71" s="18">
        <f>SUMIFS('渠道充值成功率_底稿'!$D:$D,'渠道充值成功率_底稿'!$A:$A,$A71,'渠道充值成功率_底稿'!$B:$B,J$1)</f>
        <v>0</v>
      </c>
      <c r="K71" s="18">
        <f>SUMIFS('渠道充值成功率_底稿'!$D:$D,'渠道充值成功率_底稿'!$A:$A,$A71,'渠道充值成功率_底稿'!$B:$B,K$1)</f>
        <v>3970</v>
      </c>
      <c r="L71" s="14">
        <f>SUMIFS('渠道充值成功率_底稿'!$D:$D,'渠道充值成功率_底稿'!$A:$A,$A71,'渠道充值成功率_底稿'!$B:$B,L$1)</f>
        <v>0</v>
      </c>
    </row>
    <row r="72">
      <c r="A72" s="6">
        <f>B68</f>
        <v>46065</v>
      </c>
      <c r="B72" s="11"/>
      <c r="C72" s="19" t="s">
        <v>15</v>
      </c>
      <c r="D72" s="18">
        <f>SUMIFS('渠道充值成功率_底稿'!$G:$G,'渠道充值成功率_底稿'!$A:$A,$A73,'渠道充值成功率_底稿'!$B:$B,D$1)</f>
        <v>393917</v>
      </c>
      <c r="E72" s="18">
        <f>SUMIFS('渠道充值成功率_底稿'!$G:$G,'渠道充值成功率_底稿'!$A:$A,$A72,'渠道充值成功率_底稿'!$B:$B,E$1)</f>
        <v>35097</v>
      </c>
      <c r="F72" s="18">
        <f>SUMIFS('渠道充值成功率_底稿'!$G:$G,'渠道充值成功率_底稿'!$A:$A,$A72,'渠道充值成功率_底稿'!$B:$B,F$1)</f>
        <v>26162</v>
      </c>
      <c r="G72" s="18">
        <f>SUMIFS('渠道充值成功率_底稿'!$G:$G,'渠道充值成功率_底稿'!$A:$A,$A72,'渠道充值成功率_底稿'!$B:$B,G$1)</f>
        <v>89690</v>
      </c>
      <c r="H72" s="18">
        <f>SUMIFS('渠道充值成功率_底稿'!$G:$G,'渠道充值成功率_底稿'!$A:$A,$A72,'渠道充值成功率_底稿'!$B:$B,H$1)</f>
        <v>0</v>
      </c>
      <c r="I72" s="18">
        <f>SUMIFS('渠道充值成功率_底稿'!$G:$G,'渠道充值成功率_底稿'!$A:$A,$A72,'渠道充值成功率_底稿'!$B:$B,I$1)</f>
        <v>0</v>
      </c>
      <c r="J72" s="18">
        <f>SUMIFS('渠道充值成功率_底稿'!$G:$G,'渠道充值成功率_底稿'!$A:$A,$A72,'渠道充值成功率_底稿'!$B:$B,J$1)</f>
        <v>0</v>
      </c>
      <c r="K72" s="18">
        <f>SUMIFS('渠道充值成功率_底稿'!$G:$G,'渠道充值成功率_底稿'!$A:$A,$A72,'渠道充值成功率_底稿'!$B:$B,K$1)</f>
        <v>3870</v>
      </c>
      <c r="L72" s="14">
        <f>SUMIFS('渠道充值成功率_底稿'!$G:$G,'渠道充值成功率_底稿'!$A:$A,$A72,'渠道充值成功率_底稿'!$B:$B,L$1)</f>
        <v>0</v>
      </c>
    </row>
    <row r="73">
      <c r="A73" s="6">
        <f>B68</f>
        <v>46065</v>
      </c>
      <c r="B73" s="20"/>
      <c r="C73" s="21" t="s">
        <v>16</v>
      </c>
      <c r="D73" s="22">
        <f t="shared" ref="D73:L73" si="24">IFERROR(ROUND(D72/D71,6),"0")</f>
        <v>0.662326</v>
      </c>
      <c r="E73" s="22">
        <f t="shared" si="24"/>
        <v>0.847406</v>
      </c>
      <c r="F73" s="22">
        <f t="shared" si="24"/>
        <v>0.574951</v>
      </c>
      <c r="G73" s="22">
        <f t="shared" si="24"/>
        <v>0.780212</v>
      </c>
      <c r="H73" s="22" t="str">
        <f t="shared" si="24"/>
        <v>0</v>
      </c>
      <c r="I73" s="22" t="str">
        <f t="shared" si="24"/>
        <v>0</v>
      </c>
      <c r="J73" s="22" t="str">
        <f t="shared" si="24"/>
        <v>0</v>
      </c>
      <c r="K73" s="22">
        <f t="shared" si="24"/>
        <v>0.974811</v>
      </c>
      <c r="L73" s="23" t="str">
        <f t="shared" si="24"/>
        <v>0</v>
      </c>
    </row>
    <row r="74">
      <c r="A74" s="6">
        <f>B74</f>
        <v>46066</v>
      </c>
      <c r="B74" s="24">
        <f>B68+1</f>
        <v>46066</v>
      </c>
      <c r="C74" s="8" t="s">
        <v>11</v>
      </c>
      <c r="D74" s="9">
        <f>SUMIFS('渠道充值成功率_底稿'!$C:$C,'渠道充值成功率_底稿'!$A:$A,$A74,'渠道充值成功率_底稿'!$B:$B,D$1)</f>
        <v>3138</v>
      </c>
      <c r="E74" s="9">
        <f>SUMIFS('渠道充值成功率_底稿'!$C:$C,'渠道充值成功率_底稿'!$A:$A,$A74,'渠道充值成功率_底稿'!$B:$B,E$1)</f>
        <v>145</v>
      </c>
      <c r="F74" s="9">
        <f>SUMIFS('渠道充值成功率_底稿'!$C:$C,'渠道充值成功率_底稿'!$A:$A,$A74,'渠道充值成功率_底稿'!$B:$B,F$1)</f>
        <v>221</v>
      </c>
      <c r="G74" s="9">
        <f>SUMIFS('渠道充值成功率_底稿'!$C:$C,'渠道充值成功率_底稿'!$A:$A,$A74,'渠道充值成功率_底稿'!$B:$B,G$1)</f>
        <v>574</v>
      </c>
      <c r="H74" s="9">
        <f>SUMIFS('渠道充值成功率_底稿'!$C:$C,'渠道充值成功率_底稿'!$A:$A,$A74,'渠道充值成功率_底稿'!$B:$B,H$1)</f>
        <v>0</v>
      </c>
      <c r="I74" s="9">
        <f>SUMIFS('渠道充值成功率_底稿'!$C:$C,'渠道充值成功率_底稿'!$A:$A,$A74,'渠道充值成功率_底稿'!$B:$B,I$1)</f>
        <v>0</v>
      </c>
      <c r="J74" s="9">
        <f>SUMIFS('渠道充值成功率_底稿'!$C:$C,'渠道充值成功率_底稿'!$A:$A,$A74,'渠道充值成功率_底稿'!$B:$B,J$1)</f>
        <v>0</v>
      </c>
      <c r="K74" s="9">
        <f>SUMIFS('渠道充值成功率_底稿'!$C:$C,'渠道充值成功率_底稿'!$A:$A,$A74,'渠道充值成功率_底稿'!$B:$B,K$1)</f>
        <v>76</v>
      </c>
      <c r="L74" s="10">
        <f>SUMIFS('渠道充值成功率_底稿'!$C:$C,'渠道充值成功率_底稿'!$A:$A,$A74,'渠道充值成功率_底稿'!$B:$B,L$1)</f>
        <v>0</v>
      </c>
    </row>
    <row r="75">
      <c r="A75" s="6">
        <f>B74</f>
        <v>46066</v>
      </c>
      <c r="B75" s="11"/>
      <c r="C75" s="12" t="s">
        <v>12</v>
      </c>
      <c r="D75" s="13">
        <f>SUMIFS('渠道充值成功率_底稿'!$F:$F,'渠道充值成功率_底稿'!$A:$A,$A75,'渠道充值成功率_底稿'!$B:$B,D$1)</f>
        <v>2662</v>
      </c>
      <c r="E75" s="13">
        <f>SUMIFS('渠道充值成功率_底稿'!$F:$F,'渠道充值成功率_底稿'!$A:$A,$A75,'渠道充值成功率_底稿'!$B:$B,E$1)</f>
        <v>123</v>
      </c>
      <c r="F75" s="13">
        <f>SUMIFS('渠道充值成功率_底稿'!$F:$F,'渠道充值成功率_底稿'!$A:$A,$A75,'渠道充值成功率_底稿'!$B:$B,F$1)</f>
        <v>155</v>
      </c>
      <c r="G75" s="13">
        <f>SUMIFS('渠道充值成功率_底稿'!$F:$F,'渠道充值成功率_底稿'!$A:$A,$A75,'渠道充值成功率_底稿'!$B:$B,G$1)</f>
        <v>471</v>
      </c>
      <c r="H75" s="13">
        <f>SUMIFS('渠道充值成功率_底稿'!$F:$F,'渠道充值成功率_底稿'!$A:$A,$A75,'渠道充值成功率_底稿'!$B:$B,H$1)</f>
        <v>0</v>
      </c>
      <c r="I75" s="13">
        <f>SUMIFS('渠道充值成功率_底稿'!$F:$F,'渠道充值成功率_底稿'!$A:$A,$A75,'渠道充值成功率_底稿'!$B:$B,I$1)</f>
        <v>0</v>
      </c>
      <c r="J75" s="13">
        <f>SUMIFS('渠道充值成功率_底稿'!$F:$F,'渠道充值成功率_底稿'!$A:$A,$A75,'渠道充值成功率_底稿'!$B:$B,J$1)</f>
        <v>0</v>
      </c>
      <c r="K75" s="13">
        <f>SUMIFS('渠道充值成功率_底稿'!$F:$F,'渠道充值成功率_底稿'!$A:$A,$A75,'渠道充值成功率_底稿'!$B:$B,K$1)</f>
        <v>59</v>
      </c>
      <c r="L75" s="14">
        <f>SUMIFS('渠道充值成功率_底稿'!$F:$F,'渠道充值成功率_底稿'!$A:$A,$A75,'渠道充值成功率_底稿'!$B:$B,L$1)</f>
        <v>0</v>
      </c>
    </row>
    <row r="76">
      <c r="A76" s="6">
        <f>B74</f>
        <v>46066</v>
      </c>
      <c r="B76" s="11"/>
      <c r="C76" s="15" t="s">
        <v>13</v>
      </c>
      <c r="D76" s="16">
        <f t="shared" ref="D76:L76" si="25">IFERROR(ROUND(D75/D74,6),"0")</f>
        <v>0.848311</v>
      </c>
      <c r="E76" s="16">
        <f t="shared" si="25"/>
        <v>0.848276</v>
      </c>
      <c r="F76" s="16">
        <f t="shared" si="25"/>
        <v>0.701357</v>
      </c>
      <c r="G76" s="16">
        <f t="shared" si="25"/>
        <v>0.820557</v>
      </c>
      <c r="H76" s="16" t="str">
        <f t="shared" si="25"/>
        <v>0</v>
      </c>
      <c r="I76" s="16" t="str">
        <f t="shared" si="25"/>
        <v>0</v>
      </c>
      <c r="J76" s="16" t="str">
        <f t="shared" si="25"/>
        <v>0</v>
      </c>
      <c r="K76" s="16">
        <f t="shared" si="25"/>
        <v>0.776316</v>
      </c>
      <c r="L76" s="17" t="str">
        <f t="shared" si="25"/>
        <v>0</v>
      </c>
    </row>
    <row r="77">
      <c r="A77" s="6">
        <f>B74</f>
        <v>46066</v>
      </c>
      <c r="B77" s="11"/>
      <c r="C77" s="12" t="s">
        <v>14</v>
      </c>
      <c r="D77" s="18">
        <f>SUMIFS('渠道充值成功率_底稿'!$D:$D,'渠道充值成功率_底稿'!$A:$A,$A78,'渠道充值成功率_底稿'!$B:$B,D$1)</f>
        <v>480873</v>
      </c>
      <c r="E77" s="18">
        <f>SUMIFS('渠道充值成功率_底稿'!$D:$D,'渠道充值成功率_底稿'!$A:$A,$A77,'渠道充值成功率_底稿'!$B:$B,E$1)</f>
        <v>33078</v>
      </c>
      <c r="F77" s="18">
        <f>SUMIFS('渠道充值成功率_底稿'!$D:$D,'渠道充值成功率_底稿'!$A:$A,$A77,'渠道充值成功率_底稿'!$B:$B,F$1)</f>
        <v>45857</v>
      </c>
      <c r="G77" s="18">
        <f>SUMIFS('渠道充值成功率_底稿'!$D:$D,'渠道充值成功率_底稿'!$A:$A,$A77,'渠道充值成功率_底稿'!$B:$B,G$1)</f>
        <v>101172</v>
      </c>
      <c r="H77" s="18">
        <f>SUMIFS('渠道充值成功率_底稿'!$D:$D,'渠道充值成功率_底稿'!$A:$A,$A77,'渠道充值成功率_底稿'!$B:$B,H$1)</f>
        <v>0</v>
      </c>
      <c r="I77" s="18">
        <f>SUMIFS('渠道充值成功率_底稿'!$D:$D,'渠道充值成功率_底稿'!$A:$A,$A77,'渠道充值成功率_底稿'!$B:$B,I$1)</f>
        <v>0</v>
      </c>
      <c r="J77" s="18">
        <f>SUMIFS('渠道充值成功率_底稿'!$D:$D,'渠道充值成功率_底稿'!$A:$A,$A77,'渠道充值成功率_底稿'!$B:$B,J$1)</f>
        <v>0</v>
      </c>
      <c r="K77" s="18">
        <f>SUMIFS('渠道充值成功率_底稿'!$D:$D,'渠道充值成功率_底稿'!$A:$A,$A77,'渠道充值成功率_底稿'!$B:$B,K$1)</f>
        <v>23630</v>
      </c>
      <c r="L77" s="14">
        <f>SUMIFS('渠道充值成功率_底稿'!$D:$D,'渠道充值成功率_底稿'!$A:$A,$A77,'渠道充值成功率_底稿'!$B:$B,L$1)</f>
        <v>0</v>
      </c>
    </row>
    <row r="78">
      <c r="A78" s="6">
        <f>B74</f>
        <v>46066</v>
      </c>
      <c r="B78" s="11"/>
      <c r="C78" s="19" t="s">
        <v>15</v>
      </c>
      <c r="D78" s="18">
        <f>SUMIFS('渠道充值成功率_底稿'!$G:$G,'渠道充值成功率_底稿'!$A:$A,$A79,'渠道充值成功率_底稿'!$B:$B,D$1)</f>
        <v>388877</v>
      </c>
      <c r="E78" s="18">
        <f>SUMIFS('渠道充值成功率_底稿'!$G:$G,'渠道充值成功率_底稿'!$A:$A,$A78,'渠道充值成功率_底稿'!$B:$B,E$1)</f>
        <v>28478</v>
      </c>
      <c r="F78" s="18">
        <f>SUMIFS('渠道充值成功率_底稿'!$G:$G,'渠道充值成功率_底稿'!$A:$A,$A78,'渠道充值成功率_底稿'!$B:$B,F$1)</f>
        <v>30188</v>
      </c>
      <c r="G78" s="18">
        <f>SUMIFS('渠道充值成功率_底稿'!$G:$G,'渠道充值成功率_底稿'!$A:$A,$A78,'渠道充值成功率_底稿'!$B:$B,G$1)</f>
        <v>83453</v>
      </c>
      <c r="H78" s="18">
        <f>SUMIFS('渠道充值成功率_底稿'!$G:$G,'渠道充值成功率_底稿'!$A:$A,$A78,'渠道充值成功率_底稿'!$B:$B,H$1)</f>
        <v>0</v>
      </c>
      <c r="I78" s="18">
        <f>SUMIFS('渠道充值成功率_底稿'!$G:$G,'渠道充值成功率_底稿'!$A:$A,$A78,'渠道充值成功率_底稿'!$B:$B,I$1)</f>
        <v>0</v>
      </c>
      <c r="J78" s="18">
        <f>SUMIFS('渠道充值成功率_底稿'!$G:$G,'渠道充值成功率_底稿'!$A:$A,$A78,'渠道充值成功率_底稿'!$B:$B,J$1)</f>
        <v>0</v>
      </c>
      <c r="K78" s="18">
        <f>SUMIFS('渠道充值成功率_底稿'!$G:$G,'渠道充值成功率_底稿'!$A:$A,$A78,'渠道充值成功率_底稿'!$B:$B,K$1)</f>
        <v>18270</v>
      </c>
      <c r="L78" s="14">
        <f>SUMIFS('渠道充值成功率_底稿'!$G:$G,'渠道充值成功率_底稿'!$A:$A,$A78,'渠道充值成功率_底稿'!$B:$B,L$1)</f>
        <v>0</v>
      </c>
    </row>
    <row r="79">
      <c r="A79" s="6">
        <f>B74</f>
        <v>46066</v>
      </c>
      <c r="B79" s="20"/>
      <c r="C79" s="21" t="s">
        <v>16</v>
      </c>
      <c r="D79" s="22">
        <f t="shared" ref="D79:L79" si="26">IFERROR(ROUND(D78/D77,6),"0")</f>
        <v>0.80869</v>
      </c>
      <c r="E79" s="22">
        <f t="shared" si="26"/>
        <v>0.860935</v>
      </c>
      <c r="F79" s="22">
        <f t="shared" si="26"/>
        <v>0.658307</v>
      </c>
      <c r="G79" s="22">
        <f t="shared" si="26"/>
        <v>0.824863</v>
      </c>
      <c r="H79" s="22" t="str">
        <f t="shared" si="26"/>
        <v>0</v>
      </c>
      <c r="I79" s="22" t="str">
        <f t="shared" si="26"/>
        <v>0</v>
      </c>
      <c r="J79" s="22" t="str">
        <f t="shared" si="26"/>
        <v>0</v>
      </c>
      <c r="K79" s="22">
        <f t="shared" si="26"/>
        <v>0.77317</v>
      </c>
      <c r="L79" s="23" t="str">
        <f t="shared" si="26"/>
        <v>0</v>
      </c>
    </row>
    <row r="80">
      <c r="A80" s="6">
        <f>B80</f>
        <v>46067</v>
      </c>
      <c r="B80" s="24">
        <f>B74+1</f>
        <v>46067</v>
      </c>
      <c r="C80" s="8" t="s">
        <v>11</v>
      </c>
      <c r="D80" s="9">
        <f>SUMIFS('渠道充值成功率_底稿'!$C:$C,'渠道充值成功率_底稿'!$A:$A,$A80,'渠道充值成功率_底稿'!$B:$B,D$1)</f>
        <v>2086</v>
      </c>
      <c r="E80" s="9">
        <f>SUMIFS('渠道充值成功率_底稿'!$C:$C,'渠道充值成功率_底稿'!$A:$A,$A80,'渠道充值成功率_底稿'!$B:$B,E$1)</f>
        <v>104</v>
      </c>
      <c r="F80" s="9">
        <f>SUMIFS('渠道充值成功率_底稿'!$C:$C,'渠道充值成功率_底稿'!$A:$A,$A80,'渠道充值成功率_底稿'!$B:$B,F$1)</f>
        <v>101</v>
      </c>
      <c r="G80" s="9">
        <f>SUMIFS('渠道充值成功率_底稿'!$C:$C,'渠道充值成功率_底稿'!$A:$A,$A80,'渠道充值成功率_底稿'!$B:$B,G$1)</f>
        <v>349</v>
      </c>
      <c r="H80" s="9">
        <f>SUMIFS('渠道充值成功率_底稿'!$C:$C,'渠道充值成功率_底稿'!$A:$A,$A80,'渠道充值成功率_底稿'!$B:$B,H$1)</f>
        <v>0</v>
      </c>
      <c r="I80" s="9">
        <f>SUMIFS('渠道充值成功率_底稿'!$C:$C,'渠道充值成功率_底稿'!$A:$A,$A80,'渠道充值成功率_底稿'!$B:$B,I$1)</f>
        <v>0</v>
      </c>
      <c r="J80" s="9">
        <f>SUMIFS('渠道充值成功率_底稿'!$C:$C,'渠道充值成功率_底稿'!$A:$A,$A80,'渠道充值成功率_底稿'!$B:$B,J$1)</f>
        <v>0</v>
      </c>
      <c r="K80" s="9">
        <f>SUMIFS('渠道充值成功率_底稿'!$C:$C,'渠道充值成功率_底稿'!$A:$A,$A80,'渠道充值成功率_底稿'!$B:$B,K$1)</f>
        <v>64</v>
      </c>
      <c r="L80" s="10">
        <f>SUMIFS('渠道充值成功率_底稿'!$C:$C,'渠道充值成功率_底稿'!$A:$A,$A80,'渠道充值成功率_底稿'!$B:$B,L$1)</f>
        <v>0</v>
      </c>
    </row>
    <row r="81">
      <c r="A81" s="6">
        <f>B80</f>
        <v>46067</v>
      </c>
      <c r="B81" s="11"/>
      <c r="C81" s="12" t="s">
        <v>12</v>
      </c>
      <c r="D81" s="13">
        <f>SUMIFS('渠道充值成功率_底稿'!$F:$F,'渠道充值成功率_底稿'!$A:$A,$A81,'渠道充值成功率_底稿'!$B:$B,D$1)</f>
        <v>1749</v>
      </c>
      <c r="E81" s="13">
        <f>SUMIFS('渠道充值成功率_底稿'!$F:$F,'渠道充值成功率_底稿'!$A:$A,$A81,'渠道充值成功率_底稿'!$B:$B,E$1)</f>
        <v>93</v>
      </c>
      <c r="F81" s="13">
        <f>SUMIFS('渠道充值成功率_底稿'!$F:$F,'渠道充值成功率_底稿'!$A:$A,$A81,'渠道充值成功率_底稿'!$B:$B,F$1)</f>
        <v>71</v>
      </c>
      <c r="G81" s="13">
        <f>SUMIFS('渠道充值成功率_底稿'!$F:$F,'渠道充值成功率_底稿'!$A:$A,$A81,'渠道充值成功率_底稿'!$B:$B,G$1)</f>
        <v>297</v>
      </c>
      <c r="H81" s="13">
        <f>SUMIFS('渠道充值成功率_底稿'!$F:$F,'渠道充值成功率_底稿'!$A:$A,$A81,'渠道充值成功率_底稿'!$B:$B,H$1)</f>
        <v>0</v>
      </c>
      <c r="I81" s="13">
        <f>SUMIFS('渠道充值成功率_底稿'!$F:$F,'渠道充值成功率_底稿'!$A:$A,$A81,'渠道充值成功率_底稿'!$B:$B,I$1)</f>
        <v>0</v>
      </c>
      <c r="J81" s="13">
        <f>SUMIFS('渠道充值成功率_底稿'!$F:$F,'渠道充值成功率_底稿'!$A:$A,$A81,'渠道充值成功率_底稿'!$B:$B,J$1)</f>
        <v>0</v>
      </c>
      <c r="K81" s="13">
        <f>SUMIFS('渠道充值成功率_底稿'!$F:$F,'渠道充值成功率_底稿'!$A:$A,$A81,'渠道充值成功率_底稿'!$B:$B,K$1)</f>
        <v>62</v>
      </c>
      <c r="L81" s="14">
        <f>SUMIFS('渠道充值成功率_底稿'!$F:$F,'渠道充值成功率_底稿'!$A:$A,$A81,'渠道充值成功率_底稿'!$B:$B,L$1)</f>
        <v>0</v>
      </c>
    </row>
    <row r="82">
      <c r="A82" s="6">
        <f>B80</f>
        <v>46067</v>
      </c>
      <c r="B82" s="11"/>
      <c r="C82" s="15" t="s">
        <v>13</v>
      </c>
      <c r="D82" s="16">
        <f t="shared" ref="D82:L82" si="27">IFERROR(ROUND(D81/D80,6),"0")</f>
        <v>0.838447</v>
      </c>
      <c r="E82" s="16">
        <f t="shared" si="27"/>
        <v>0.894231</v>
      </c>
      <c r="F82" s="16">
        <f t="shared" si="27"/>
        <v>0.70297</v>
      </c>
      <c r="G82" s="16">
        <f t="shared" si="27"/>
        <v>0.851003</v>
      </c>
      <c r="H82" s="16" t="str">
        <f t="shared" si="27"/>
        <v>0</v>
      </c>
      <c r="I82" s="16" t="str">
        <f t="shared" si="27"/>
        <v>0</v>
      </c>
      <c r="J82" s="16" t="str">
        <f t="shared" si="27"/>
        <v>0</v>
      </c>
      <c r="K82" s="16">
        <f t="shared" si="27"/>
        <v>0.96875</v>
      </c>
      <c r="L82" s="17" t="str">
        <f t="shared" si="27"/>
        <v>0</v>
      </c>
    </row>
    <row r="83">
      <c r="A83" s="6">
        <f>B80</f>
        <v>46067</v>
      </c>
      <c r="B83" s="11"/>
      <c r="C83" s="12" t="s">
        <v>14</v>
      </c>
      <c r="D83" s="18">
        <f>SUMIFS('渠道充值成功率_底稿'!$D:$D,'渠道充值成功率_底稿'!$A:$A,$A84,'渠道充值成功率_底稿'!$B:$B,D$1)</f>
        <v>341824</v>
      </c>
      <c r="E83" s="18">
        <f>SUMIFS('渠道充值成功率_底稿'!$D:$D,'渠道充值成功率_底稿'!$A:$A,$A83,'渠道充值成功率_底稿'!$B:$B,E$1)</f>
        <v>47720</v>
      </c>
      <c r="F83" s="18">
        <f>SUMIFS('渠道充值成功率_底稿'!$D:$D,'渠道充值成功率_底稿'!$A:$A,$A83,'渠道充值成功率_底稿'!$B:$B,F$1)</f>
        <v>22175</v>
      </c>
      <c r="G83" s="18">
        <f>SUMIFS('渠道充值成功率_底稿'!$D:$D,'渠道充值成功率_底稿'!$A:$A,$A83,'渠道充值成功率_底稿'!$B:$B,G$1)</f>
        <v>88258</v>
      </c>
      <c r="H83" s="18">
        <f>SUMIFS('渠道充值成功率_底稿'!$D:$D,'渠道充值成功率_底稿'!$A:$A,$A83,'渠道充值成功率_底稿'!$B:$B,H$1)</f>
        <v>0</v>
      </c>
      <c r="I83" s="18">
        <f>SUMIFS('渠道充值成功率_底稿'!$D:$D,'渠道充值成功率_底稿'!$A:$A,$A83,'渠道充值成功率_底稿'!$B:$B,I$1)</f>
        <v>0</v>
      </c>
      <c r="J83" s="18">
        <f>SUMIFS('渠道充值成功率_底稿'!$D:$D,'渠道充值成功率_底稿'!$A:$A,$A83,'渠道充值成功率_底稿'!$B:$B,J$1)</f>
        <v>0</v>
      </c>
      <c r="K83" s="18">
        <f>SUMIFS('渠道充值成功率_底稿'!$D:$D,'渠道充值成功率_底稿'!$A:$A,$A83,'渠道充值成功率_底稿'!$B:$B,K$1)</f>
        <v>21990</v>
      </c>
      <c r="L83" s="14">
        <f>SUMIFS('渠道充值成功率_底稿'!$D:$D,'渠道充值成功率_底稿'!$A:$A,$A83,'渠道充值成功率_底稿'!$B:$B,L$1)</f>
        <v>0</v>
      </c>
    </row>
    <row r="84">
      <c r="A84" s="6">
        <f>B80</f>
        <v>46067</v>
      </c>
      <c r="B84" s="11"/>
      <c r="C84" s="19" t="s">
        <v>15</v>
      </c>
      <c r="D84" s="18">
        <f>SUMIFS('渠道充值成功率_底稿'!$G:$G,'渠道充值成功率_底稿'!$A:$A,$A85,'渠道充值成功率_底稿'!$B:$B,D$1)</f>
        <v>283234</v>
      </c>
      <c r="E84" s="18">
        <f>SUMIFS('渠道充值成功率_底稿'!$G:$G,'渠道充值成功率_底稿'!$A:$A,$A84,'渠道充值成功率_底稿'!$B:$B,E$1)</f>
        <v>44710</v>
      </c>
      <c r="F84" s="18">
        <f>SUMIFS('渠道充值成功率_底稿'!$G:$G,'渠道充值成功率_底稿'!$A:$A,$A84,'渠道充值成功率_底稿'!$B:$B,F$1)</f>
        <v>12977</v>
      </c>
      <c r="G84" s="18">
        <f>SUMIFS('渠道充值成功率_底稿'!$G:$G,'渠道充值成功率_底稿'!$A:$A,$A84,'渠道充值成功率_底稿'!$B:$B,G$1)</f>
        <v>79670</v>
      </c>
      <c r="H84" s="18">
        <f>SUMIFS('渠道充值成功率_底稿'!$G:$G,'渠道充值成功率_底稿'!$A:$A,$A84,'渠道充值成功率_底稿'!$B:$B,H$1)</f>
        <v>0</v>
      </c>
      <c r="I84" s="18">
        <f>SUMIFS('渠道充值成功率_底稿'!$G:$G,'渠道充值成功率_底稿'!$A:$A,$A84,'渠道充值成功率_底稿'!$B:$B,I$1)</f>
        <v>0</v>
      </c>
      <c r="J84" s="18">
        <f>SUMIFS('渠道充值成功率_底稿'!$G:$G,'渠道充值成功率_底稿'!$A:$A,$A84,'渠道充值成功率_底稿'!$B:$B,J$1)</f>
        <v>0</v>
      </c>
      <c r="K84" s="18">
        <f>SUMIFS('渠道充值成功率_底稿'!$G:$G,'渠道充值成功率_底稿'!$A:$A,$A84,'渠道充值成功率_底稿'!$B:$B,K$1)</f>
        <v>21390</v>
      </c>
      <c r="L84" s="14">
        <f>SUMIFS('渠道充值成功率_底稿'!$G:$G,'渠道充值成功率_底稿'!$A:$A,$A84,'渠道充值成功率_底稿'!$B:$B,L$1)</f>
        <v>0</v>
      </c>
    </row>
    <row r="85">
      <c r="A85" s="6">
        <f>B80</f>
        <v>46067</v>
      </c>
      <c r="B85" s="20"/>
      <c r="C85" s="21" t="s">
        <v>16</v>
      </c>
      <c r="D85" s="22">
        <f t="shared" ref="D85:L85" si="28">IFERROR(ROUND(D84/D83,6),"0")</f>
        <v>0.828596</v>
      </c>
      <c r="E85" s="22">
        <f t="shared" si="28"/>
        <v>0.936924</v>
      </c>
      <c r="F85" s="22">
        <f t="shared" si="28"/>
        <v>0.585209</v>
      </c>
      <c r="G85" s="22">
        <f t="shared" si="28"/>
        <v>0.902694</v>
      </c>
      <c r="H85" s="22" t="str">
        <f t="shared" si="28"/>
        <v>0</v>
      </c>
      <c r="I85" s="22" t="str">
        <f t="shared" si="28"/>
        <v>0</v>
      </c>
      <c r="J85" s="22" t="str">
        <f t="shared" si="28"/>
        <v>0</v>
      </c>
      <c r="K85" s="22">
        <f t="shared" si="28"/>
        <v>0.972715</v>
      </c>
      <c r="L85" s="23" t="str">
        <f t="shared" si="28"/>
        <v>0</v>
      </c>
    </row>
    <row r="86">
      <c r="A86" s="6">
        <f>B86</f>
        <v>46068</v>
      </c>
      <c r="B86" s="24">
        <f>B80+1</f>
        <v>46068</v>
      </c>
      <c r="C86" s="8" t="s">
        <v>11</v>
      </c>
      <c r="D86" s="9">
        <f>SUMIFS('渠道充值成功率_底稿'!$C:$C,'渠道充值成功率_底稿'!$A:$A,$A86,'渠道充值成功率_底稿'!$B:$B,D$1)</f>
        <v>1356</v>
      </c>
      <c r="E86" s="9">
        <f>SUMIFS('渠道充值成功率_底稿'!$C:$C,'渠道充值成功率_底稿'!$A:$A,$A86,'渠道充值成功率_底稿'!$B:$B,E$1)</f>
        <v>33</v>
      </c>
      <c r="F86" s="9">
        <f>SUMIFS('渠道充值成功率_底稿'!$C:$C,'渠道充值成功率_底稿'!$A:$A,$A86,'渠道充值成功率_底稿'!$B:$B,F$1)</f>
        <v>124</v>
      </c>
      <c r="G86" s="9">
        <f>SUMIFS('渠道充值成功率_底稿'!$C:$C,'渠道充值成功率_底稿'!$A:$A,$A86,'渠道充值成功率_底稿'!$B:$B,G$1)</f>
        <v>177</v>
      </c>
      <c r="H86" s="9">
        <f>SUMIFS('渠道充值成功率_底稿'!$C:$C,'渠道充值成功率_底稿'!$A:$A,$A86,'渠道充值成功率_底稿'!$B:$B,H$1)</f>
        <v>0</v>
      </c>
      <c r="I86" s="9">
        <f>SUMIFS('渠道充值成功率_底稿'!$C:$C,'渠道充值成功率_底稿'!$A:$A,$A86,'渠道充值成功率_底稿'!$B:$B,I$1)</f>
        <v>0</v>
      </c>
      <c r="J86" s="9">
        <f>SUMIFS('渠道充值成功率_底稿'!$C:$C,'渠道充值成功率_底稿'!$A:$A,$A86,'渠道充值成功率_底稿'!$B:$B,J$1)</f>
        <v>0</v>
      </c>
      <c r="K86" s="9">
        <f>SUMIFS('渠道充值成功率_底稿'!$C:$C,'渠道充值成功率_底稿'!$A:$A,$A86,'渠道充值成功率_底稿'!$B:$B,K$1)</f>
        <v>8</v>
      </c>
      <c r="L86" s="10">
        <f>SUMIFS('渠道充值成功率_底稿'!$C:$C,'渠道充值成功率_底稿'!$A:$A,$A86,'渠道充值成功率_底稿'!$B:$B,L$1)</f>
        <v>0</v>
      </c>
    </row>
    <row r="87">
      <c r="A87" s="6">
        <f>B86</f>
        <v>46068</v>
      </c>
      <c r="B87" s="11"/>
      <c r="C87" s="12" t="s">
        <v>12</v>
      </c>
      <c r="D87" s="13">
        <f>SUMIFS('渠道充值成功率_底稿'!$F:$F,'渠道充值成功率_底稿'!$A:$A,$A87,'渠道充值成功率_底稿'!$B:$B,D$1)</f>
        <v>1073</v>
      </c>
      <c r="E87" s="13">
        <f>SUMIFS('渠道充值成功率_底稿'!$F:$F,'渠道充值成功率_底稿'!$A:$A,$A87,'渠道充值成功率_底稿'!$B:$B,E$1)</f>
        <v>22</v>
      </c>
      <c r="F87" s="13">
        <f>SUMIFS('渠道充值成功率_底稿'!$F:$F,'渠道充值成功率_底稿'!$A:$A,$A87,'渠道充值成功率_底稿'!$B:$B,F$1)</f>
        <v>59</v>
      </c>
      <c r="G87" s="13">
        <f>SUMIFS('渠道充值成功率_底稿'!$F:$F,'渠道充值成功率_底稿'!$A:$A,$A87,'渠道充值成功率_底稿'!$B:$B,G$1)</f>
        <v>150</v>
      </c>
      <c r="H87" s="13">
        <f>SUMIFS('渠道充值成功率_底稿'!$F:$F,'渠道充值成功率_底稿'!$A:$A,$A87,'渠道充值成功率_底稿'!$B:$B,H$1)</f>
        <v>0</v>
      </c>
      <c r="I87" s="13">
        <f>SUMIFS('渠道充值成功率_底稿'!$F:$F,'渠道充值成功率_底稿'!$A:$A,$A87,'渠道充值成功率_底稿'!$B:$B,I$1)</f>
        <v>0</v>
      </c>
      <c r="J87" s="13">
        <f>SUMIFS('渠道充值成功率_底稿'!$F:$F,'渠道充值成功率_底稿'!$A:$A,$A87,'渠道充值成功率_底稿'!$B:$B,J$1)</f>
        <v>0</v>
      </c>
      <c r="K87" s="13">
        <f>SUMIFS('渠道充值成功率_底稿'!$F:$F,'渠道充值成功率_底稿'!$A:$A,$A87,'渠道充值成功率_底稿'!$B:$B,K$1)</f>
        <v>6</v>
      </c>
      <c r="L87" s="14">
        <f>SUMIFS('渠道充值成功率_底稿'!$F:$F,'渠道充值成功率_底稿'!$A:$A,$A87,'渠道充值成功率_底稿'!$B:$B,L$1)</f>
        <v>0</v>
      </c>
    </row>
    <row r="88">
      <c r="A88" s="6">
        <f>B86</f>
        <v>46068</v>
      </c>
      <c r="B88" s="11"/>
      <c r="C88" s="15" t="s">
        <v>13</v>
      </c>
      <c r="D88" s="16">
        <f t="shared" ref="D88:L88" si="29">IFERROR(ROUND(D87/D86,6),"0")</f>
        <v>0.791298</v>
      </c>
      <c r="E88" s="16">
        <f t="shared" si="29"/>
        <v>0.666667</v>
      </c>
      <c r="F88" s="16">
        <f t="shared" si="29"/>
        <v>0.475806</v>
      </c>
      <c r="G88" s="16">
        <f t="shared" si="29"/>
        <v>0.847458</v>
      </c>
      <c r="H88" s="16" t="str">
        <f t="shared" si="29"/>
        <v>0</v>
      </c>
      <c r="I88" s="16" t="str">
        <f t="shared" si="29"/>
        <v>0</v>
      </c>
      <c r="J88" s="16" t="str">
        <f t="shared" si="29"/>
        <v>0</v>
      </c>
      <c r="K88" s="16">
        <f t="shared" si="29"/>
        <v>0.75</v>
      </c>
      <c r="L88" s="17" t="str">
        <f t="shared" si="29"/>
        <v>0</v>
      </c>
    </row>
    <row r="89">
      <c r="A89" s="6">
        <f>B86</f>
        <v>46068</v>
      </c>
      <c r="B89" s="11"/>
      <c r="C89" s="12" t="s">
        <v>14</v>
      </c>
      <c r="D89" s="18">
        <f>SUMIFS('渠道充值成功率_底稿'!$D:$D,'渠道充值成功率_底稿'!$A:$A,$A90,'渠道充值成功率_底稿'!$B:$B,D$1)</f>
        <v>190005</v>
      </c>
      <c r="E89" s="18">
        <f>SUMIFS('渠道充值成功率_底稿'!$D:$D,'渠道充值成功率_底稿'!$A:$A,$A89,'渠道充值成功率_底稿'!$B:$B,E$1)</f>
        <v>4520</v>
      </c>
      <c r="F89" s="18">
        <f>SUMIFS('渠道充值成功率_底稿'!$D:$D,'渠道充值成功率_底稿'!$A:$A,$A89,'渠道充值成功率_底稿'!$B:$B,F$1)</f>
        <v>21716</v>
      </c>
      <c r="G89" s="18">
        <f>SUMIFS('渠道充值成功率_底稿'!$D:$D,'渠道充值成功率_底稿'!$A:$A,$A89,'渠道充值成功率_底稿'!$B:$B,G$1)</f>
        <v>21445</v>
      </c>
      <c r="H89" s="18">
        <f>SUMIFS('渠道充值成功率_底稿'!$D:$D,'渠道充值成功率_底稿'!$A:$A,$A89,'渠道充值成功率_底稿'!$B:$B,H$1)</f>
        <v>0</v>
      </c>
      <c r="I89" s="18">
        <f>SUMIFS('渠道充值成功率_底稿'!$D:$D,'渠道充值成功率_底稿'!$A:$A,$A89,'渠道充值成功率_底稿'!$B:$B,I$1)</f>
        <v>0</v>
      </c>
      <c r="J89" s="18">
        <f>SUMIFS('渠道充值成功率_底稿'!$D:$D,'渠道充值成功率_底稿'!$A:$A,$A89,'渠道充值成功率_底稿'!$B:$B,J$1)</f>
        <v>0</v>
      </c>
      <c r="K89" s="18">
        <f>SUMIFS('渠道充值成功率_底稿'!$D:$D,'渠道充值成功率_底稿'!$A:$A,$A89,'渠道充值成功率_底稿'!$B:$B,K$1)</f>
        <v>2980</v>
      </c>
      <c r="L89" s="14">
        <f>SUMIFS('渠道充值成功率_底稿'!$D:$D,'渠道充值成功率_底稿'!$A:$A,$A89,'渠道充值成功率_底稿'!$B:$B,L$1)</f>
        <v>0</v>
      </c>
    </row>
    <row r="90">
      <c r="A90" s="6">
        <f>B86</f>
        <v>46068</v>
      </c>
      <c r="B90" s="11"/>
      <c r="C90" s="19" t="s">
        <v>15</v>
      </c>
      <c r="D90" s="18">
        <f>SUMIFS('渠道充值成功率_底稿'!$G:$G,'渠道充值成功率_底稿'!$A:$A,$A91,'渠道充值成功率_底稿'!$B:$B,D$1)</f>
        <v>153442</v>
      </c>
      <c r="E90" s="18">
        <f>SUMIFS('渠道充值成功率_底稿'!$G:$G,'渠道充值成功率_底稿'!$A:$A,$A90,'渠道充值成功率_底稿'!$B:$B,E$1)</f>
        <v>3120</v>
      </c>
      <c r="F90" s="18">
        <f>SUMIFS('渠道充值成功率_底稿'!$G:$G,'渠道充值成功率_底稿'!$A:$A,$A90,'渠道充值成功率_底稿'!$B:$B,F$1)</f>
        <v>10656</v>
      </c>
      <c r="G90" s="18">
        <f>SUMIFS('渠道充值成功率_底稿'!$G:$G,'渠道充值成功率_底稿'!$A:$A,$A90,'渠道充值成功率_底稿'!$B:$B,G$1)</f>
        <v>17255</v>
      </c>
      <c r="H90" s="18">
        <f>SUMIFS('渠道充值成功率_底稿'!$G:$G,'渠道充值成功率_底稿'!$A:$A,$A90,'渠道充值成功率_底稿'!$B:$B,H$1)</f>
        <v>0</v>
      </c>
      <c r="I90" s="18">
        <f>SUMIFS('渠道充值成功率_底稿'!$G:$G,'渠道充值成功率_底稿'!$A:$A,$A90,'渠道充值成功率_底稿'!$B:$B,I$1)</f>
        <v>0</v>
      </c>
      <c r="J90" s="18">
        <f>SUMIFS('渠道充值成功率_底稿'!$G:$G,'渠道充值成功率_底稿'!$A:$A,$A90,'渠道充值成功率_底稿'!$B:$B,J$1)</f>
        <v>0</v>
      </c>
      <c r="K90" s="18">
        <f>SUMIFS('渠道充值成功率_底稿'!$G:$G,'渠道充值成功率_底稿'!$A:$A,$A90,'渠道充值成功率_底稿'!$B:$B,K$1)</f>
        <v>2480</v>
      </c>
      <c r="L90" s="14">
        <f>SUMIFS('渠道充值成功率_底稿'!$G:$G,'渠道充值成功率_底稿'!$A:$A,$A90,'渠道充值成功率_底稿'!$B:$B,L$1)</f>
        <v>0</v>
      </c>
    </row>
    <row r="91">
      <c r="A91" s="6">
        <f>B86</f>
        <v>46068</v>
      </c>
      <c r="B91" s="20"/>
      <c r="C91" s="21" t="s">
        <v>16</v>
      </c>
      <c r="D91" s="22">
        <f t="shared" ref="D91:L91" si="30">IFERROR(ROUND(D90/D89,6),"0")</f>
        <v>0.807568</v>
      </c>
      <c r="E91" s="22">
        <f t="shared" si="30"/>
        <v>0.690265</v>
      </c>
      <c r="F91" s="22">
        <f t="shared" si="30"/>
        <v>0.490698</v>
      </c>
      <c r="G91" s="22">
        <f t="shared" si="30"/>
        <v>0.804616</v>
      </c>
      <c r="H91" s="22" t="str">
        <f t="shared" si="30"/>
        <v>0</v>
      </c>
      <c r="I91" s="22" t="str">
        <f t="shared" si="30"/>
        <v>0</v>
      </c>
      <c r="J91" s="22" t="str">
        <f t="shared" si="30"/>
        <v>0</v>
      </c>
      <c r="K91" s="22">
        <f t="shared" si="30"/>
        <v>0.832215</v>
      </c>
      <c r="L91" s="23" t="str">
        <f t="shared" si="30"/>
        <v>0</v>
      </c>
    </row>
    <row r="92">
      <c r="A92" s="6">
        <f>B92</f>
        <v>46069</v>
      </c>
      <c r="B92" s="24">
        <f>B86+1</f>
        <v>46069</v>
      </c>
      <c r="C92" s="8" t="s">
        <v>11</v>
      </c>
      <c r="D92" s="9">
        <f>SUMIFS('渠道充值成功率_底稿'!$C:$C,'渠道充值成功率_底稿'!$A:$A,$A92,'渠道充值成功率_底稿'!$B:$B,D$1)</f>
        <v>1232</v>
      </c>
      <c r="E92" s="9">
        <f>SUMIFS('渠道充值成功率_底稿'!$C:$C,'渠道充值成功率_底稿'!$A:$A,$A92,'渠道充值成功率_底稿'!$B:$B,E$1)</f>
        <v>63</v>
      </c>
      <c r="F92" s="9">
        <f>SUMIFS('渠道充值成功率_底稿'!$C:$C,'渠道充值成功率_底稿'!$A:$A,$A92,'渠道充值成功率_底稿'!$B:$B,F$1)</f>
        <v>76</v>
      </c>
      <c r="G92" s="9">
        <f>SUMIFS('渠道充值成功率_底稿'!$C:$C,'渠道充值成功率_底稿'!$A:$A,$A92,'渠道充值成功率_底稿'!$B:$B,G$1)</f>
        <v>162</v>
      </c>
      <c r="H92" s="9">
        <f>SUMIFS('渠道充值成功率_底稿'!$C:$C,'渠道充值成功率_底稿'!$A:$A,$A92,'渠道充值成功率_底稿'!$B:$B,H$1)</f>
        <v>0</v>
      </c>
      <c r="I92" s="9">
        <f>SUMIFS('渠道充值成功率_底稿'!$C:$C,'渠道充值成功率_底稿'!$A:$A,$A92,'渠道充值成功率_底稿'!$B:$B,I$1)</f>
        <v>0</v>
      </c>
      <c r="J92" s="9">
        <f>SUMIFS('渠道充值成功率_底稿'!$C:$C,'渠道充值成功率_底稿'!$A:$A,$A92,'渠道充值成功率_底稿'!$B:$B,J$1)</f>
        <v>0</v>
      </c>
      <c r="K92" s="9">
        <f>SUMIFS('渠道充值成功率_底稿'!$C:$C,'渠道充值成功率_底稿'!$A:$A,$A92,'渠道充值成功率_底稿'!$B:$B,K$1)</f>
        <v>6</v>
      </c>
      <c r="L92" s="10">
        <f>SUMIFS('渠道充值成功率_底稿'!$C:$C,'渠道充值成功率_底稿'!$A:$A,$A92,'渠道充值成功率_底稿'!$B:$B,L$1)</f>
        <v>0</v>
      </c>
    </row>
    <row r="93">
      <c r="A93" s="6">
        <f>B92</f>
        <v>46069</v>
      </c>
      <c r="B93" s="11"/>
      <c r="C93" s="12" t="s">
        <v>12</v>
      </c>
      <c r="D93" s="13">
        <f>SUMIFS('渠道充值成功率_底稿'!$F:$F,'渠道充值成功率_底稿'!$A:$A,$A93,'渠道充值成功率_底稿'!$B:$B,D$1)</f>
        <v>907</v>
      </c>
      <c r="E93" s="13">
        <f>SUMIFS('渠道充值成功率_底稿'!$F:$F,'渠道充值成功率_底稿'!$A:$A,$A93,'渠道充值成功率_底稿'!$B:$B,E$1)</f>
        <v>24</v>
      </c>
      <c r="F93" s="13">
        <f>SUMIFS('渠道充值成功率_底稿'!$F:$F,'渠道充值成功率_底稿'!$A:$A,$A93,'渠道充值成功率_底稿'!$B:$B,F$1)</f>
        <v>38</v>
      </c>
      <c r="G93" s="13">
        <f>SUMIFS('渠道充值成功率_底稿'!$F:$F,'渠道充值成功率_底稿'!$A:$A,$A93,'渠道充值成功率_底稿'!$B:$B,G$1)</f>
        <v>121</v>
      </c>
      <c r="H93" s="13">
        <f>SUMIFS('渠道充值成功率_底稿'!$F:$F,'渠道充值成功率_底稿'!$A:$A,$A93,'渠道充值成功率_底稿'!$B:$B,H$1)</f>
        <v>0</v>
      </c>
      <c r="I93" s="13">
        <f>SUMIFS('渠道充值成功率_底稿'!$F:$F,'渠道充值成功率_底稿'!$A:$A,$A93,'渠道充值成功率_底稿'!$B:$B,I$1)</f>
        <v>0</v>
      </c>
      <c r="J93" s="13">
        <f>SUMIFS('渠道充值成功率_底稿'!$F:$F,'渠道充值成功率_底稿'!$A:$A,$A93,'渠道充值成功率_底稿'!$B:$B,J$1)</f>
        <v>0</v>
      </c>
      <c r="K93" s="13">
        <f>SUMIFS('渠道充值成功率_底稿'!$F:$F,'渠道充值成功率_底稿'!$A:$A,$A93,'渠道充值成功率_底稿'!$B:$B,K$1)</f>
        <v>4</v>
      </c>
      <c r="L93" s="14">
        <f>SUMIFS('渠道充值成功率_底稿'!$F:$F,'渠道充值成功率_底稿'!$A:$A,$A93,'渠道充值成功率_底稿'!$B:$B,L$1)</f>
        <v>0</v>
      </c>
    </row>
    <row r="94">
      <c r="A94" s="6">
        <f>B92</f>
        <v>46069</v>
      </c>
      <c r="B94" s="11"/>
      <c r="C94" s="15" t="s">
        <v>13</v>
      </c>
      <c r="D94" s="16">
        <f t="shared" ref="D94:L94" si="31">IFERROR(ROUND(D93/D92,6),"0")</f>
        <v>0.736201</v>
      </c>
      <c r="E94" s="16">
        <f t="shared" si="31"/>
        <v>0.380952</v>
      </c>
      <c r="F94" s="16">
        <f t="shared" si="31"/>
        <v>0.5</v>
      </c>
      <c r="G94" s="16">
        <f t="shared" si="31"/>
        <v>0.746914</v>
      </c>
      <c r="H94" s="16" t="str">
        <f t="shared" si="31"/>
        <v>0</v>
      </c>
      <c r="I94" s="16" t="str">
        <f t="shared" si="31"/>
        <v>0</v>
      </c>
      <c r="J94" s="16" t="str">
        <f t="shared" si="31"/>
        <v>0</v>
      </c>
      <c r="K94" s="16">
        <f t="shared" si="31"/>
        <v>0.666667</v>
      </c>
      <c r="L94" s="17" t="str">
        <f t="shared" si="31"/>
        <v>0</v>
      </c>
    </row>
    <row r="95">
      <c r="A95" s="6">
        <f>B92</f>
        <v>46069</v>
      </c>
      <c r="B95" s="11"/>
      <c r="C95" s="12" t="s">
        <v>14</v>
      </c>
      <c r="D95" s="18">
        <f>SUMIFS('渠道充值成功率_底稿'!$D:$D,'渠道充值成功率_底稿'!$A:$A,$A96,'渠道充值成功率_底稿'!$B:$B,D$1)</f>
        <v>190784</v>
      </c>
      <c r="E95" s="18">
        <f>SUMIFS('渠道充值成功率_底稿'!$D:$D,'渠道充值成功率_底稿'!$A:$A,$A95,'渠道充值成功率_底稿'!$B:$B,E$1)</f>
        <v>11471</v>
      </c>
      <c r="F95" s="18">
        <f>SUMIFS('渠道充值成功率_底稿'!$D:$D,'渠道充值成功率_底稿'!$A:$A,$A95,'渠道充值成功率_底稿'!$B:$B,F$1)</f>
        <v>10714</v>
      </c>
      <c r="G95" s="18">
        <f>SUMIFS('渠道充值成功率_底稿'!$D:$D,'渠道充值成功率_底稿'!$A:$A,$A95,'渠道充值成功率_底稿'!$B:$B,G$1)</f>
        <v>19899</v>
      </c>
      <c r="H95" s="18">
        <f>SUMIFS('渠道充值成功率_底稿'!$D:$D,'渠道充值成功率_底稿'!$A:$A,$A95,'渠道充值成功率_底稿'!$B:$B,H$1)</f>
        <v>0</v>
      </c>
      <c r="I95" s="18">
        <f>SUMIFS('渠道充值成功率_底稿'!$D:$D,'渠道充值成功率_底稿'!$A:$A,$A95,'渠道充值成功率_底稿'!$B:$B,I$1)</f>
        <v>0</v>
      </c>
      <c r="J95" s="18">
        <f>SUMIFS('渠道充值成功率_底稿'!$D:$D,'渠道充值成功率_底稿'!$A:$A,$A95,'渠道充值成功率_底稿'!$B:$B,J$1)</f>
        <v>0</v>
      </c>
      <c r="K95" s="18">
        <f>SUMIFS('渠道充值成功率_底稿'!$D:$D,'渠道充值成功率_底稿'!$A:$A,$A95,'渠道充值成功率_底稿'!$B:$B,K$1)</f>
        <v>1000</v>
      </c>
      <c r="L95" s="14">
        <f>SUMIFS('渠道充值成功率_底稿'!$D:$D,'渠道充值成功率_底稿'!$A:$A,$A95,'渠道充值成功率_底稿'!$B:$B,L$1)</f>
        <v>0</v>
      </c>
    </row>
    <row r="96">
      <c r="A96" s="6">
        <f>B92</f>
        <v>46069</v>
      </c>
      <c r="B96" s="11"/>
      <c r="C96" s="19" t="s">
        <v>15</v>
      </c>
      <c r="D96" s="18">
        <f>SUMIFS('渠道充值成功率_底稿'!$G:$G,'渠道充值成功率_底稿'!$A:$A,$A97,'渠道充值成功率_底稿'!$B:$B,D$1)</f>
        <v>137585</v>
      </c>
      <c r="E96" s="18">
        <f>SUMIFS('渠道充值成功率_底稿'!$G:$G,'渠道充值成功率_底稿'!$A:$A,$A96,'渠道充值成功率_底稿'!$B:$B,E$1)</f>
        <v>3026</v>
      </c>
      <c r="F96" s="18">
        <f>SUMIFS('渠道充值成功率_底稿'!$G:$G,'渠道充值成功率_底稿'!$A:$A,$A96,'渠道充值成功率_底稿'!$B:$B,F$1)</f>
        <v>5000</v>
      </c>
      <c r="G96" s="18">
        <f>SUMIFS('渠道充值成功率_底稿'!$G:$G,'渠道充值成功率_底稿'!$A:$A,$A96,'渠道充值成功率_底稿'!$B:$B,G$1)</f>
        <v>15053</v>
      </c>
      <c r="H96" s="18">
        <f>SUMIFS('渠道充值成功率_底稿'!$G:$G,'渠道充值成功率_底稿'!$A:$A,$A96,'渠道充值成功率_底稿'!$B:$B,H$1)</f>
        <v>0</v>
      </c>
      <c r="I96" s="18">
        <f>SUMIFS('渠道充值成功率_底稿'!$G:$G,'渠道充值成功率_底稿'!$A:$A,$A96,'渠道充值成功率_底稿'!$B:$B,I$1)</f>
        <v>0</v>
      </c>
      <c r="J96" s="18">
        <f>SUMIFS('渠道充值成功率_底稿'!$G:$G,'渠道充值成功率_底稿'!$A:$A,$A96,'渠道充值成功率_底稿'!$B:$B,J$1)</f>
        <v>0</v>
      </c>
      <c r="K96" s="18">
        <f>SUMIFS('渠道充值成功率_底稿'!$G:$G,'渠道充值成功率_底稿'!$A:$A,$A96,'渠道充值成功率_底稿'!$B:$B,K$1)</f>
        <v>800</v>
      </c>
      <c r="L96" s="14">
        <f>SUMIFS('渠道充值成功率_底稿'!$G:$G,'渠道充值成功率_底稿'!$A:$A,$A96,'渠道充值成功率_底稿'!$B:$B,L$1)</f>
        <v>0</v>
      </c>
    </row>
    <row r="97">
      <c r="A97" s="6">
        <f>B92</f>
        <v>46069</v>
      </c>
      <c r="B97" s="20"/>
      <c r="C97" s="21" t="s">
        <v>16</v>
      </c>
      <c r="D97" s="22">
        <f t="shared" ref="D97:L97" si="32">IFERROR(ROUND(D96/D95,6),"0")</f>
        <v>0.721156</v>
      </c>
      <c r="E97" s="22">
        <f t="shared" si="32"/>
        <v>0.263796</v>
      </c>
      <c r="F97" s="22">
        <f t="shared" si="32"/>
        <v>0.466679</v>
      </c>
      <c r="G97" s="22">
        <f t="shared" si="32"/>
        <v>0.75647</v>
      </c>
      <c r="H97" s="22" t="str">
        <f t="shared" si="32"/>
        <v>0</v>
      </c>
      <c r="I97" s="22" t="str">
        <f t="shared" si="32"/>
        <v>0</v>
      </c>
      <c r="J97" s="22" t="str">
        <f t="shared" si="32"/>
        <v>0</v>
      </c>
      <c r="K97" s="22">
        <f t="shared" si="32"/>
        <v>0.8</v>
      </c>
      <c r="L97" s="23" t="str">
        <f t="shared" si="32"/>
        <v>0</v>
      </c>
    </row>
    <row r="98">
      <c r="A98" s="6">
        <f>B98</f>
        <v>46070</v>
      </c>
      <c r="B98" s="24">
        <f>B92+1</f>
        <v>46070</v>
      </c>
      <c r="C98" s="8" t="s">
        <v>11</v>
      </c>
      <c r="D98" s="9">
        <f>SUMIFS('渠道充值成功率_底稿'!$C:$C,'渠道充值成功率_底稿'!$A:$A,$A98,'渠道充值成功率_底稿'!$B:$B,D$1)</f>
        <v>1081</v>
      </c>
      <c r="E98" s="9">
        <f>SUMIFS('渠道充值成功率_底稿'!$C:$C,'渠道充值成功率_底稿'!$A:$A,$A98,'渠道充值成功率_底稿'!$B:$B,E$1)</f>
        <v>30</v>
      </c>
      <c r="F98" s="9">
        <f>SUMIFS('渠道充值成功率_底稿'!$C:$C,'渠道充值成功率_底稿'!$A:$A,$A98,'渠道充值成功率_底稿'!$B:$B,F$1)</f>
        <v>53</v>
      </c>
      <c r="G98" s="9">
        <f>SUMIFS('渠道充值成功率_底稿'!$C:$C,'渠道充值成功率_底稿'!$A:$A,$A98,'渠道充值成功率_底稿'!$B:$B,G$1)</f>
        <v>138</v>
      </c>
      <c r="H98" s="9">
        <f>SUMIFS('渠道充值成功率_底稿'!$C:$C,'渠道充值成功率_底稿'!$A:$A,$A98,'渠道充值成功率_底稿'!$B:$B,H$1)</f>
        <v>0</v>
      </c>
      <c r="I98" s="9">
        <f>SUMIFS('渠道充值成功率_底稿'!$C:$C,'渠道充值成功率_底稿'!$A:$A,$A98,'渠道充值成功率_底稿'!$B:$B,I$1)</f>
        <v>0</v>
      </c>
      <c r="J98" s="9">
        <f>SUMIFS('渠道充值成功率_底稿'!$C:$C,'渠道充值成功率_底稿'!$A:$A,$A98,'渠道充值成功率_底稿'!$B:$B,J$1)</f>
        <v>0</v>
      </c>
      <c r="K98" s="9">
        <f>SUMIFS('渠道充值成功率_底稿'!$C:$C,'渠道充值成功率_底稿'!$A:$A,$A98,'渠道充值成功率_底稿'!$B:$B,K$1)</f>
        <v>22</v>
      </c>
      <c r="L98" s="10">
        <f>SUMIFS('渠道充值成功率_底稿'!$C:$C,'渠道充值成功率_底稿'!$A:$A,$A98,'渠道充值成功率_底稿'!$B:$B,L$1)</f>
        <v>0</v>
      </c>
    </row>
    <row r="99">
      <c r="A99" s="6">
        <f>B98</f>
        <v>46070</v>
      </c>
      <c r="B99" s="11"/>
      <c r="C99" s="12" t="s">
        <v>12</v>
      </c>
      <c r="D99" s="13">
        <f>SUMIFS('渠道充值成功率_底稿'!$F:$F,'渠道充值成功率_底稿'!$A:$A,$A99,'渠道充值成功率_底稿'!$B:$B,D$1)</f>
        <v>859</v>
      </c>
      <c r="E99" s="13">
        <f>SUMIFS('渠道充值成功率_底稿'!$F:$F,'渠道充值成功率_底稿'!$A:$A,$A99,'渠道充值成功率_底稿'!$B:$B,E$1)</f>
        <v>28</v>
      </c>
      <c r="F99" s="13">
        <f>SUMIFS('渠道充值成功率_底稿'!$F:$F,'渠道充值成功率_底稿'!$A:$A,$A99,'渠道充值成功率_底稿'!$B:$B,F$1)</f>
        <v>33</v>
      </c>
      <c r="G99" s="13">
        <f>SUMIFS('渠道充值成功率_底稿'!$F:$F,'渠道充值成功率_底稿'!$A:$A,$A99,'渠道充值成功率_底稿'!$B:$B,G$1)</f>
        <v>112</v>
      </c>
      <c r="H99" s="13">
        <f>SUMIFS('渠道充值成功率_底稿'!$F:$F,'渠道充值成功率_底稿'!$A:$A,$A99,'渠道充值成功率_底稿'!$B:$B,H$1)</f>
        <v>0</v>
      </c>
      <c r="I99" s="13">
        <f>SUMIFS('渠道充值成功率_底稿'!$F:$F,'渠道充值成功率_底稿'!$A:$A,$A99,'渠道充值成功率_底稿'!$B:$B,I$1)</f>
        <v>0</v>
      </c>
      <c r="J99" s="13">
        <f>SUMIFS('渠道充值成功率_底稿'!$F:$F,'渠道充值成功率_底稿'!$A:$A,$A99,'渠道充值成功率_底稿'!$B:$B,J$1)</f>
        <v>0</v>
      </c>
      <c r="K99" s="13">
        <f>SUMIFS('渠道充值成功率_底稿'!$F:$F,'渠道充值成功率_底稿'!$A:$A,$A99,'渠道充值成功率_底稿'!$B:$B,K$1)</f>
        <v>20</v>
      </c>
      <c r="L99" s="14">
        <f>SUMIFS('渠道充值成功率_底稿'!$F:$F,'渠道充值成功率_底稿'!$A:$A,$A99,'渠道充值成功率_底稿'!$B:$B,L$1)</f>
        <v>0</v>
      </c>
    </row>
    <row r="100">
      <c r="A100" s="6">
        <f>B98</f>
        <v>46070</v>
      </c>
      <c r="B100" s="11"/>
      <c r="C100" s="15" t="s">
        <v>13</v>
      </c>
      <c r="D100" s="16">
        <f t="shared" ref="D100:L100" si="33">IFERROR(ROUND(D99/D98,6),"0")</f>
        <v>0.794635</v>
      </c>
      <c r="E100" s="16">
        <f t="shared" si="33"/>
        <v>0.933333</v>
      </c>
      <c r="F100" s="16">
        <f t="shared" si="33"/>
        <v>0.622642</v>
      </c>
      <c r="G100" s="16">
        <f t="shared" si="33"/>
        <v>0.811594</v>
      </c>
      <c r="H100" s="16" t="str">
        <f t="shared" si="33"/>
        <v>0</v>
      </c>
      <c r="I100" s="16" t="str">
        <f t="shared" si="33"/>
        <v>0</v>
      </c>
      <c r="J100" s="16" t="str">
        <f t="shared" si="33"/>
        <v>0</v>
      </c>
      <c r="K100" s="16">
        <f t="shared" si="33"/>
        <v>0.909091</v>
      </c>
      <c r="L100" s="17" t="str">
        <f t="shared" si="33"/>
        <v>0</v>
      </c>
    </row>
    <row r="101">
      <c r="A101" s="6">
        <f>B98</f>
        <v>46070</v>
      </c>
      <c r="B101" s="11"/>
      <c r="C101" s="12" t="s">
        <v>14</v>
      </c>
      <c r="D101" s="18">
        <f>SUMIFS('渠道充值成功率_底稿'!$D:$D,'渠道充值成功率_底稿'!$A:$A,$A102,'渠道充值成功率_底稿'!$B:$B,D$1)</f>
        <v>166483</v>
      </c>
      <c r="E101" s="18">
        <f>SUMIFS('渠道充值成功率_底稿'!$D:$D,'渠道充值成功率_底稿'!$A:$A,$A101,'渠道充值成功率_底稿'!$B:$B,E$1)</f>
        <v>6485</v>
      </c>
      <c r="F101" s="18">
        <f>SUMIFS('渠道充值成功率_底稿'!$D:$D,'渠道充值成功率_底稿'!$A:$A,$A101,'渠道充值成功率_底稿'!$B:$B,F$1)</f>
        <v>7970</v>
      </c>
      <c r="G101" s="18">
        <f>SUMIFS('渠道充值成功率_底稿'!$D:$D,'渠道充值成功率_底稿'!$A:$A,$A101,'渠道充值成功率_底稿'!$B:$B,G$1)</f>
        <v>15328</v>
      </c>
      <c r="H101" s="18">
        <f>SUMIFS('渠道充值成功率_底稿'!$D:$D,'渠道充值成功率_底稿'!$A:$A,$A101,'渠道充值成功率_底稿'!$B:$B,H$1)</f>
        <v>0</v>
      </c>
      <c r="I101" s="18">
        <f>SUMIFS('渠道充值成功率_底稿'!$D:$D,'渠道充值成功率_底稿'!$A:$A,$A101,'渠道充值成功率_底稿'!$B:$B,I$1)</f>
        <v>0</v>
      </c>
      <c r="J101" s="18">
        <f>SUMIFS('渠道充值成功率_底稿'!$D:$D,'渠道充值成功率_底稿'!$A:$A,$A101,'渠道充值成功率_底稿'!$B:$B,J$1)</f>
        <v>0</v>
      </c>
      <c r="K101" s="18">
        <f>SUMIFS('渠道充值成功率_底稿'!$D:$D,'渠道充值成功率_底稿'!$A:$A,$A101,'渠道充值成功率_底稿'!$B:$B,K$1)</f>
        <v>5800</v>
      </c>
      <c r="L101" s="14">
        <f>SUMIFS('渠道充值成功率_底稿'!$D:$D,'渠道充值成功率_底稿'!$A:$A,$A101,'渠道充值成功率_底稿'!$B:$B,L$1)</f>
        <v>0</v>
      </c>
    </row>
    <row r="102">
      <c r="A102" s="6">
        <f>B98</f>
        <v>46070</v>
      </c>
      <c r="B102" s="11"/>
      <c r="C102" s="19" t="s">
        <v>15</v>
      </c>
      <c r="D102" s="18">
        <f>SUMIFS('渠道充值成功率_底稿'!$G:$G,'渠道充值成功率_底稿'!$A:$A,$A103,'渠道充值成功率_底稿'!$B:$B,D$1)</f>
        <v>136348</v>
      </c>
      <c r="E102" s="18">
        <f>SUMIFS('渠道充值成功率_底稿'!$G:$G,'渠道充值成功率_底稿'!$A:$A,$A102,'渠道充值成功率_底稿'!$B:$B,E$1)</f>
        <v>6185</v>
      </c>
      <c r="F102" s="18">
        <f>SUMIFS('渠道充值成功率_底稿'!$G:$G,'渠道充值成功率_底稿'!$A:$A,$A102,'渠道充值成功率_底稿'!$B:$B,F$1)</f>
        <v>5050</v>
      </c>
      <c r="G102" s="18">
        <f>SUMIFS('渠道充值成功率_底稿'!$G:$G,'渠道充值成功率_底稿'!$A:$A,$A102,'渠道充值成功率_底稿'!$B:$B,G$1)</f>
        <v>12483</v>
      </c>
      <c r="H102" s="18">
        <f>SUMIFS('渠道充值成功率_底稿'!$G:$G,'渠道充值成功率_底稿'!$A:$A,$A102,'渠道充值成功率_底稿'!$B:$B,H$1)</f>
        <v>0</v>
      </c>
      <c r="I102" s="18">
        <f>SUMIFS('渠道充值成功率_底稿'!$G:$G,'渠道充值成功率_底稿'!$A:$A,$A102,'渠道充值成功率_底稿'!$B:$B,I$1)</f>
        <v>0</v>
      </c>
      <c r="J102" s="18">
        <f>SUMIFS('渠道充值成功率_底稿'!$G:$G,'渠道充值成功率_底稿'!$A:$A,$A102,'渠道充值成功率_底稿'!$B:$B,J$1)</f>
        <v>0</v>
      </c>
      <c r="K102" s="18">
        <f>SUMIFS('渠道充值成功率_底稿'!$G:$G,'渠道充值成功率_底稿'!$A:$A,$A102,'渠道充值成功率_底稿'!$B:$B,K$1)</f>
        <v>5600</v>
      </c>
      <c r="L102" s="14">
        <f>SUMIFS('渠道充值成功率_底稿'!$G:$G,'渠道充值成功率_底稿'!$A:$A,$A102,'渠道充值成功率_底稿'!$B:$B,L$1)</f>
        <v>0</v>
      </c>
    </row>
    <row r="103">
      <c r="A103" s="6">
        <f>B98</f>
        <v>46070</v>
      </c>
      <c r="B103" s="20"/>
      <c r="C103" s="21" t="s">
        <v>16</v>
      </c>
      <c r="D103" s="22">
        <f t="shared" ref="D103:L103" si="34">IFERROR(ROUND(D102/D101,6),"0")</f>
        <v>0.818991</v>
      </c>
      <c r="E103" s="22">
        <f t="shared" si="34"/>
        <v>0.953739</v>
      </c>
      <c r="F103" s="22">
        <f t="shared" si="34"/>
        <v>0.633626</v>
      </c>
      <c r="G103" s="22">
        <f t="shared" si="34"/>
        <v>0.814392</v>
      </c>
      <c r="H103" s="22" t="str">
        <f t="shared" si="34"/>
        <v>0</v>
      </c>
      <c r="I103" s="22" t="str">
        <f t="shared" si="34"/>
        <v>0</v>
      </c>
      <c r="J103" s="22" t="str">
        <f t="shared" si="34"/>
        <v>0</v>
      </c>
      <c r="K103" s="22">
        <f t="shared" si="34"/>
        <v>0.965517</v>
      </c>
      <c r="L103" s="23" t="str">
        <f t="shared" si="34"/>
        <v>0</v>
      </c>
    </row>
    <row r="104">
      <c r="A104" s="6">
        <f>B104</f>
        <v>46071</v>
      </c>
      <c r="B104" s="24">
        <f>B98+1</f>
        <v>46071</v>
      </c>
      <c r="C104" s="8" t="s">
        <v>11</v>
      </c>
      <c r="D104" s="9">
        <f>SUMIFS('渠道充值成功率_底稿'!$C:$C,'渠道充值成功率_底稿'!$A:$A,$A104,'渠道充值成功率_底稿'!$B:$B,D$1)</f>
        <v>888</v>
      </c>
      <c r="E104" s="9">
        <f>SUMIFS('渠道充值成功率_底稿'!$C:$C,'渠道充值成功率_底稿'!$A:$A,$A104,'渠道充值成功率_底稿'!$B:$B,E$1)</f>
        <v>50</v>
      </c>
      <c r="F104" s="9">
        <f>SUMIFS('渠道充值成功率_底稿'!$C:$C,'渠道充值成功率_底稿'!$A:$A,$A104,'渠道充值成功率_底稿'!$B:$B,F$1)</f>
        <v>50</v>
      </c>
      <c r="G104" s="9">
        <f>SUMIFS('渠道充值成功率_底稿'!$C:$C,'渠道充值成功率_底稿'!$A:$A,$A104,'渠道充值成功率_底稿'!$B:$B,G$1)</f>
        <v>140</v>
      </c>
      <c r="H104" s="9">
        <f>SUMIFS('渠道充值成功率_底稿'!$C:$C,'渠道充值成功率_底稿'!$A:$A,$A104,'渠道充值成功率_底稿'!$B:$B,H$1)</f>
        <v>0</v>
      </c>
      <c r="I104" s="9">
        <f>SUMIFS('渠道充值成功率_底稿'!$C:$C,'渠道充值成功率_底稿'!$A:$A,$A104,'渠道充值成功率_底稿'!$B:$B,I$1)</f>
        <v>0</v>
      </c>
      <c r="J104" s="9">
        <f>SUMIFS('渠道充值成功率_底稿'!$C:$C,'渠道充值成功率_底稿'!$A:$A,$A104,'渠道充值成功率_底稿'!$B:$B,J$1)</f>
        <v>0</v>
      </c>
      <c r="K104" s="9">
        <f>SUMIFS('渠道充值成功率_底稿'!$C:$C,'渠道充值成功率_底稿'!$A:$A,$A104,'渠道充值成功率_底稿'!$B:$B,K$1)</f>
        <v>58</v>
      </c>
      <c r="L104" s="10">
        <f>SUMIFS('渠道充值成功率_底稿'!$C:$C,'渠道充值成功率_底稿'!$A:$A,$A104,'渠道充值成功率_底稿'!$B:$B,L$1)</f>
        <v>0</v>
      </c>
    </row>
    <row r="105">
      <c r="A105" s="6">
        <f>B104</f>
        <v>46071</v>
      </c>
      <c r="B105" s="11"/>
      <c r="C105" s="12" t="s">
        <v>12</v>
      </c>
      <c r="D105" s="13">
        <f>SUMIFS('渠道充值成功率_底稿'!$F:$F,'渠道充值成功率_底稿'!$A:$A,$A105,'渠道充值成功率_底稿'!$B:$B,D$1)</f>
        <v>699</v>
      </c>
      <c r="E105" s="13">
        <f>SUMIFS('渠道充值成功率_底稿'!$F:$F,'渠道充值成功率_底稿'!$A:$A,$A105,'渠道充值成功率_底稿'!$B:$B,E$1)</f>
        <v>46</v>
      </c>
      <c r="F105" s="13">
        <f>SUMIFS('渠道充值成功率_底稿'!$F:$F,'渠道充值成功率_底稿'!$A:$A,$A105,'渠道充值成功率_底稿'!$B:$B,F$1)</f>
        <v>29</v>
      </c>
      <c r="G105" s="13">
        <f>SUMIFS('渠道充值成功率_底稿'!$F:$F,'渠道充值成功率_底稿'!$A:$A,$A105,'渠道充值成功率_底稿'!$B:$B,G$1)</f>
        <v>102</v>
      </c>
      <c r="H105" s="13">
        <f>SUMIFS('渠道充值成功率_底稿'!$F:$F,'渠道充值成功率_底稿'!$A:$A,$A105,'渠道充值成功率_底稿'!$B:$B,H$1)</f>
        <v>0</v>
      </c>
      <c r="I105" s="13">
        <f>SUMIFS('渠道充值成功率_底稿'!$F:$F,'渠道充值成功率_底稿'!$A:$A,$A105,'渠道充值成功率_底稿'!$B:$B,I$1)</f>
        <v>0</v>
      </c>
      <c r="J105" s="13">
        <f>SUMIFS('渠道充值成功率_底稿'!$F:$F,'渠道充值成功率_底稿'!$A:$A,$A105,'渠道充值成功率_底稿'!$B:$B,J$1)</f>
        <v>0</v>
      </c>
      <c r="K105" s="13">
        <f>SUMIFS('渠道充值成功率_底稿'!$F:$F,'渠道充值成功率_底稿'!$A:$A,$A105,'渠道充值成功率_底稿'!$B:$B,K$1)</f>
        <v>34</v>
      </c>
      <c r="L105" s="14">
        <f>SUMIFS('渠道充值成功率_底稿'!$F:$F,'渠道充值成功率_底稿'!$A:$A,$A105,'渠道充值成功率_底稿'!$B:$B,L$1)</f>
        <v>0</v>
      </c>
    </row>
    <row r="106">
      <c r="A106" s="6">
        <f>B104</f>
        <v>46071</v>
      </c>
      <c r="B106" s="11"/>
      <c r="C106" s="15" t="s">
        <v>13</v>
      </c>
      <c r="D106" s="16">
        <f t="shared" ref="D106:L106" si="35">IFERROR(ROUND(D105/D104,6),"0")</f>
        <v>0.787162</v>
      </c>
      <c r="E106" s="16">
        <f t="shared" si="35"/>
        <v>0.92</v>
      </c>
      <c r="F106" s="16">
        <f t="shared" si="35"/>
        <v>0.58</v>
      </c>
      <c r="G106" s="16">
        <f t="shared" si="35"/>
        <v>0.728571</v>
      </c>
      <c r="H106" s="16" t="str">
        <f t="shared" si="35"/>
        <v>0</v>
      </c>
      <c r="I106" s="16" t="str">
        <f t="shared" si="35"/>
        <v>0</v>
      </c>
      <c r="J106" s="16" t="str">
        <f t="shared" si="35"/>
        <v>0</v>
      </c>
      <c r="K106" s="16">
        <f t="shared" si="35"/>
        <v>0.586207</v>
      </c>
      <c r="L106" s="17" t="str">
        <f t="shared" si="35"/>
        <v>0</v>
      </c>
    </row>
    <row r="107">
      <c r="A107" s="6">
        <f>B104</f>
        <v>46071</v>
      </c>
      <c r="B107" s="11"/>
      <c r="C107" s="12" t="s">
        <v>14</v>
      </c>
      <c r="D107" s="18">
        <f>SUMIFS('渠道充值成功率_底稿'!$D:$D,'渠道充值成功率_底稿'!$A:$A,$A108,'渠道充值成功率_底稿'!$B:$B,D$1)</f>
        <v>122582</v>
      </c>
      <c r="E107" s="18">
        <f>SUMIFS('渠道充值成功率_底稿'!$D:$D,'渠道充值成功率_底稿'!$A:$A,$A107,'渠道充值成功率_底稿'!$B:$B,E$1)</f>
        <v>9007</v>
      </c>
      <c r="F107" s="18">
        <f>SUMIFS('渠道充值成功率_底稿'!$D:$D,'渠道充值成功率_底稿'!$A:$A,$A107,'渠道充值成功率_底稿'!$B:$B,F$1)</f>
        <v>12006</v>
      </c>
      <c r="G107" s="18">
        <f>SUMIFS('渠道充值成功率_底稿'!$D:$D,'渠道充值成功率_底稿'!$A:$A,$A107,'渠道充值成功率_底稿'!$B:$B,G$1)</f>
        <v>15164</v>
      </c>
      <c r="H107" s="18">
        <f>SUMIFS('渠道充值成功率_底稿'!$D:$D,'渠道充值成功率_底稿'!$A:$A,$A107,'渠道充值成功率_底稿'!$B:$B,H$1)</f>
        <v>0</v>
      </c>
      <c r="I107" s="18">
        <f>SUMIFS('渠道充值成功率_底稿'!$D:$D,'渠道充值成功率_底稿'!$A:$A,$A107,'渠道充值成功率_底稿'!$B:$B,I$1)</f>
        <v>0</v>
      </c>
      <c r="J107" s="18">
        <f>SUMIFS('渠道充值成功率_底稿'!$D:$D,'渠道充值成功率_底稿'!$A:$A,$A107,'渠道充值成功率_底稿'!$B:$B,J$1)</f>
        <v>0</v>
      </c>
      <c r="K107" s="18">
        <f>SUMIFS('渠道充值成功率_底稿'!$D:$D,'渠道充值成功率_底稿'!$A:$A,$A107,'渠道充值成功率_底稿'!$B:$B,K$1)</f>
        <v>30880</v>
      </c>
      <c r="L107" s="14">
        <f>SUMIFS('渠道充值成功率_底稿'!$D:$D,'渠道充值成功率_底稿'!$A:$A,$A107,'渠道充值成功率_底稿'!$B:$B,L$1)</f>
        <v>0</v>
      </c>
    </row>
    <row r="108">
      <c r="A108" s="6">
        <f>B104</f>
        <v>46071</v>
      </c>
      <c r="B108" s="11"/>
      <c r="C108" s="19" t="s">
        <v>15</v>
      </c>
      <c r="D108" s="18">
        <f>SUMIFS('渠道充值成功率_底稿'!$G:$G,'渠道充值成功率_底稿'!$A:$A,$A109,'渠道充值成功率_底稿'!$B:$B,D$1)</f>
        <v>94531</v>
      </c>
      <c r="E108" s="18">
        <f>SUMIFS('渠道充值成功率_底稿'!$G:$G,'渠道充值成功率_底稿'!$A:$A,$A108,'渠道充值成功率_底稿'!$B:$B,E$1)</f>
        <v>8387</v>
      </c>
      <c r="F108" s="18">
        <f>SUMIFS('渠道充值成功率_底稿'!$G:$G,'渠道充值成功率_底稿'!$A:$A,$A108,'渠道充值成功率_底稿'!$B:$B,F$1)</f>
        <v>6828</v>
      </c>
      <c r="G108" s="18">
        <f>SUMIFS('渠道充值成功率_底稿'!$G:$G,'渠道充值成功率_底稿'!$A:$A,$A108,'渠道充值成功率_底稿'!$B:$B,G$1)</f>
        <v>11062</v>
      </c>
      <c r="H108" s="18">
        <f>SUMIFS('渠道充值成功率_底稿'!$G:$G,'渠道充值成功率_底稿'!$A:$A,$A108,'渠道充值成功率_底稿'!$B:$B,H$1)</f>
        <v>0</v>
      </c>
      <c r="I108" s="18">
        <f>SUMIFS('渠道充值成功率_底稿'!$G:$G,'渠道充值成功率_底稿'!$A:$A,$A108,'渠道充值成功率_底稿'!$B:$B,I$1)</f>
        <v>0</v>
      </c>
      <c r="J108" s="18">
        <f>SUMIFS('渠道充值成功率_底稿'!$G:$G,'渠道充值成功率_底稿'!$A:$A,$A108,'渠道充值成功率_底稿'!$B:$B,J$1)</f>
        <v>0</v>
      </c>
      <c r="K108" s="18">
        <f>SUMIFS('渠道充值成功率_底稿'!$G:$G,'渠道充值成功率_底稿'!$A:$A,$A108,'渠道充值成功率_底稿'!$B:$B,K$1)</f>
        <v>10280</v>
      </c>
      <c r="L108" s="14">
        <f>SUMIFS('渠道充值成功率_底稿'!$G:$G,'渠道充值成功率_底稿'!$A:$A,$A108,'渠道充值成功率_底稿'!$B:$B,L$1)</f>
        <v>0</v>
      </c>
    </row>
    <row r="109">
      <c r="A109" s="6">
        <f>B104</f>
        <v>46071</v>
      </c>
      <c r="B109" s="20"/>
      <c r="C109" s="21" t="s">
        <v>16</v>
      </c>
      <c r="D109" s="22">
        <f t="shared" ref="D109:L109" si="36">IFERROR(ROUND(D108/D107,6),"0")</f>
        <v>0.771165</v>
      </c>
      <c r="E109" s="22">
        <f t="shared" si="36"/>
        <v>0.931165</v>
      </c>
      <c r="F109" s="22">
        <f t="shared" si="36"/>
        <v>0.568716</v>
      </c>
      <c r="G109" s="22">
        <f t="shared" si="36"/>
        <v>0.729491</v>
      </c>
      <c r="H109" s="22" t="str">
        <f t="shared" si="36"/>
        <v>0</v>
      </c>
      <c r="I109" s="22" t="str">
        <f t="shared" si="36"/>
        <v>0</v>
      </c>
      <c r="J109" s="22" t="str">
        <f t="shared" si="36"/>
        <v>0</v>
      </c>
      <c r="K109" s="22">
        <f t="shared" si="36"/>
        <v>0.332902</v>
      </c>
      <c r="L109" s="23" t="str">
        <f t="shared" si="36"/>
        <v>0</v>
      </c>
    </row>
    <row r="110">
      <c r="A110" s="6">
        <f>B110</f>
        <v>46072</v>
      </c>
      <c r="B110" s="24">
        <f>B104+1</f>
        <v>46072</v>
      </c>
      <c r="C110" s="8" t="s">
        <v>11</v>
      </c>
      <c r="D110" s="9">
        <f>SUMIFS('渠道充值成功率_底稿'!$C:$C,'渠道充值成功率_底稿'!$A:$A,$A110,'渠道充值成功率_底稿'!$B:$B,D$1)</f>
        <v>1002</v>
      </c>
      <c r="E110" s="9">
        <f>SUMIFS('渠道充值成功率_底稿'!$C:$C,'渠道充值成功率_底稿'!$A:$A,$A110,'渠道充值成功率_底稿'!$B:$B,E$1)</f>
        <v>30</v>
      </c>
      <c r="F110" s="9">
        <f>SUMIFS('渠道充值成功率_底稿'!$C:$C,'渠道充值成功率_底稿'!$A:$A,$A110,'渠道充值成功率_底稿'!$B:$B,F$1)</f>
        <v>67</v>
      </c>
      <c r="G110" s="9">
        <f>SUMIFS('渠道充值成功率_底稿'!$C:$C,'渠道充值成功率_底稿'!$A:$A,$A110,'渠道充值成功率_底稿'!$B:$B,G$1)</f>
        <v>146</v>
      </c>
      <c r="H110" s="9">
        <f>SUMIFS('渠道充值成功率_底稿'!$C:$C,'渠道充值成功率_底稿'!$A:$A,$A110,'渠道充值成功率_底稿'!$B:$B,H$1)</f>
        <v>0</v>
      </c>
      <c r="I110" s="9">
        <f>SUMIFS('渠道充值成功率_底稿'!$C:$C,'渠道充值成功率_底稿'!$A:$A,$A110,'渠道充值成功率_底稿'!$B:$B,I$1)</f>
        <v>0</v>
      </c>
      <c r="J110" s="9">
        <f>SUMIFS('渠道充值成功率_底稿'!$C:$C,'渠道充值成功率_底稿'!$A:$A,$A110,'渠道充值成功率_底稿'!$B:$B,J$1)</f>
        <v>0</v>
      </c>
      <c r="K110" s="9">
        <f>SUMIFS('渠道充值成功率_底稿'!$C:$C,'渠道充值成功率_底稿'!$A:$A,$A110,'渠道充值成功率_底稿'!$B:$B,K$1)</f>
        <v>19</v>
      </c>
      <c r="L110" s="10">
        <f>SUMIFS('渠道充值成功率_底稿'!$C:$C,'渠道充值成功率_底稿'!$A:$A,$A110,'渠道充值成功率_底稿'!$B:$B,L$1)</f>
        <v>0</v>
      </c>
    </row>
    <row r="111">
      <c r="A111" s="6">
        <f>B110</f>
        <v>46072</v>
      </c>
      <c r="B111" s="11"/>
      <c r="C111" s="12" t="s">
        <v>12</v>
      </c>
      <c r="D111" s="13">
        <f>SUMIFS('渠道充值成功率_底稿'!$F:$F,'渠道充值成功率_底稿'!$A:$A,$A111,'渠道充值成功率_底稿'!$B:$B,D$1)</f>
        <v>766</v>
      </c>
      <c r="E111" s="13">
        <f>SUMIFS('渠道充值成功率_底稿'!$F:$F,'渠道充值成功率_底稿'!$A:$A,$A111,'渠道充值成功率_底稿'!$B:$B,E$1)</f>
        <v>23</v>
      </c>
      <c r="F111" s="13">
        <f>SUMIFS('渠道充值成功率_底稿'!$F:$F,'渠道充值成功率_底稿'!$A:$A,$A111,'渠道充值成功率_底稿'!$B:$B,F$1)</f>
        <v>34</v>
      </c>
      <c r="G111" s="13">
        <f>SUMIFS('渠道充值成功率_底稿'!$F:$F,'渠道充值成功率_底稿'!$A:$A,$A111,'渠道充值成功率_底稿'!$B:$B,G$1)</f>
        <v>100</v>
      </c>
      <c r="H111" s="13">
        <f>SUMIFS('渠道充值成功率_底稿'!$F:$F,'渠道充值成功率_底稿'!$A:$A,$A111,'渠道充值成功率_底稿'!$B:$B,H$1)</f>
        <v>0</v>
      </c>
      <c r="I111" s="13">
        <f>SUMIFS('渠道充值成功率_底稿'!$F:$F,'渠道充值成功率_底稿'!$A:$A,$A111,'渠道充值成功率_底稿'!$B:$B,I$1)</f>
        <v>0</v>
      </c>
      <c r="J111" s="13">
        <f>SUMIFS('渠道充值成功率_底稿'!$F:$F,'渠道充值成功率_底稿'!$A:$A,$A111,'渠道充值成功率_底稿'!$B:$B,J$1)</f>
        <v>0</v>
      </c>
      <c r="K111" s="13">
        <f>SUMIFS('渠道充值成功率_底稿'!$F:$F,'渠道充值成功率_底稿'!$A:$A,$A111,'渠道充值成功率_底稿'!$B:$B,K$1)</f>
        <v>15</v>
      </c>
      <c r="L111" s="14">
        <f>SUMIFS('渠道充值成功率_底稿'!$F:$F,'渠道充值成功率_底稿'!$A:$A,$A111,'渠道充值成功率_底稿'!$B:$B,L$1)</f>
        <v>0</v>
      </c>
    </row>
    <row r="112">
      <c r="A112" s="6">
        <f>B110</f>
        <v>46072</v>
      </c>
      <c r="B112" s="11"/>
      <c r="C112" s="15" t="s">
        <v>13</v>
      </c>
      <c r="D112" s="16">
        <f t="shared" ref="D112:L112" si="37">IFERROR(ROUND(D111/D110,6),"0")</f>
        <v>0.764471</v>
      </c>
      <c r="E112" s="16">
        <f t="shared" si="37"/>
        <v>0.766667</v>
      </c>
      <c r="F112" s="16">
        <f t="shared" si="37"/>
        <v>0.507463</v>
      </c>
      <c r="G112" s="16">
        <f t="shared" si="37"/>
        <v>0.684932</v>
      </c>
      <c r="H112" s="16" t="str">
        <f t="shared" si="37"/>
        <v>0</v>
      </c>
      <c r="I112" s="16" t="str">
        <f t="shared" si="37"/>
        <v>0</v>
      </c>
      <c r="J112" s="16" t="str">
        <f t="shared" si="37"/>
        <v>0</v>
      </c>
      <c r="K112" s="16">
        <f t="shared" si="37"/>
        <v>0.789474</v>
      </c>
      <c r="L112" s="17" t="str">
        <f t="shared" si="37"/>
        <v>0</v>
      </c>
    </row>
    <row r="113">
      <c r="A113" s="6">
        <f>B110</f>
        <v>46072</v>
      </c>
      <c r="B113" s="11"/>
      <c r="C113" s="12" t="s">
        <v>14</v>
      </c>
      <c r="D113" s="18">
        <f>SUMIFS('渠道充值成功率_底稿'!$D:$D,'渠道充值成功率_底稿'!$A:$A,$A114,'渠道充值成功率_底稿'!$B:$B,D$1)</f>
        <v>148648</v>
      </c>
      <c r="E113" s="18">
        <f>SUMIFS('渠道充值成功率_底稿'!$D:$D,'渠道充值成功率_底稿'!$A:$A,$A113,'渠道充值成功率_底稿'!$B:$B,E$1)</f>
        <v>6175</v>
      </c>
      <c r="F113" s="18">
        <f>SUMIFS('渠道充值成功率_底稿'!$D:$D,'渠道充值成功率_底稿'!$A:$A,$A113,'渠道充值成功率_底稿'!$B:$B,F$1)</f>
        <v>15380</v>
      </c>
      <c r="G113" s="18">
        <f>SUMIFS('渠道充值成功率_底稿'!$D:$D,'渠道充值成功率_底稿'!$A:$A,$A113,'渠道充值成功率_底稿'!$B:$B,G$1)</f>
        <v>17389</v>
      </c>
      <c r="H113" s="18">
        <f>SUMIFS('渠道充值成功率_底稿'!$D:$D,'渠道充值成功率_底稿'!$A:$A,$A113,'渠道充值成功率_底稿'!$B:$B,H$1)</f>
        <v>0</v>
      </c>
      <c r="I113" s="18">
        <f>SUMIFS('渠道充值成功率_底稿'!$D:$D,'渠道充值成功率_底稿'!$A:$A,$A113,'渠道充值成功率_底稿'!$B:$B,I$1)</f>
        <v>0</v>
      </c>
      <c r="J113" s="18">
        <f>SUMIFS('渠道充值成功率_底稿'!$D:$D,'渠道充值成功率_底稿'!$A:$A,$A113,'渠道充值成功率_底稿'!$B:$B,J$1)</f>
        <v>0</v>
      </c>
      <c r="K113" s="18">
        <f>SUMIFS('渠道充值成功率_底稿'!$D:$D,'渠道充值成功率_底稿'!$A:$A,$A113,'渠道充值成功率_底稿'!$B:$B,K$1)</f>
        <v>5180</v>
      </c>
      <c r="L113" s="14">
        <f>SUMIFS('渠道充值成功率_底稿'!$D:$D,'渠道充值成功率_底稿'!$A:$A,$A113,'渠道充值成功率_底稿'!$B:$B,L$1)</f>
        <v>0</v>
      </c>
    </row>
    <row r="114">
      <c r="A114" s="6">
        <f>B110</f>
        <v>46072</v>
      </c>
      <c r="B114" s="11"/>
      <c r="C114" s="19" t="s">
        <v>15</v>
      </c>
      <c r="D114" s="18">
        <f>SUMIFS('渠道充值成功率_底稿'!$G:$G,'渠道充值成功率_底稿'!$A:$A,$A115,'渠道充值成功率_底稿'!$B:$B,D$1)</f>
        <v>117392</v>
      </c>
      <c r="E114" s="18">
        <f>SUMIFS('渠道充值成功率_底稿'!$G:$G,'渠道充值成功率_底稿'!$A:$A,$A114,'渠道充值成功率_底稿'!$B:$B,E$1)</f>
        <v>5170</v>
      </c>
      <c r="F114" s="18">
        <f>SUMIFS('渠道充值成功率_底稿'!$G:$G,'渠道充值成功率_底稿'!$A:$A,$A114,'渠道充值成功率_底稿'!$B:$B,F$1)</f>
        <v>6660</v>
      </c>
      <c r="G114" s="18">
        <f>SUMIFS('渠道充值成功率_底稿'!$G:$G,'渠道充值成功率_底稿'!$A:$A,$A114,'渠道充值成功率_底稿'!$B:$B,G$1)</f>
        <v>12519</v>
      </c>
      <c r="H114" s="18">
        <f>SUMIFS('渠道充值成功率_底稿'!$G:$G,'渠道充值成功率_底稿'!$A:$A,$A114,'渠道充值成功率_底稿'!$B:$B,H$1)</f>
        <v>0</v>
      </c>
      <c r="I114" s="18">
        <f>SUMIFS('渠道充值成功率_底稿'!$G:$G,'渠道充值成功率_底稿'!$A:$A,$A114,'渠道充值成功率_底稿'!$B:$B,I$1)</f>
        <v>0</v>
      </c>
      <c r="J114" s="18">
        <f>SUMIFS('渠道充值成功率_底稿'!$G:$G,'渠道充值成功率_底稿'!$A:$A,$A114,'渠道充值成功率_底稿'!$B:$B,J$1)</f>
        <v>0</v>
      </c>
      <c r="K114" s="18">
        <f>SUMIFS('渠道充值成功率_底稿'!$G:$G,'渠道充值成功率_底稿'!$A:$A,$A114,'渠道充值成功率_底稿'!$B:$B,K$1)</f>
        <v>4780</v>
      </c>
      <c r="L114" s="14">
        <f>SUMIFS('渠道充值成功率_底稿'!$G:$G,'渠道充值成功率_底稿'!$A:$A,$A114,'渠道充值成功率_底稿'!$B:$B,L$1)</f>
        <v>0</v>
      </c>
    </row>
    <row r="115">
      <c r="A115" s="6">
        <f>B110</f>
        <v>46072</v>
      </c>
      <c r="B115" s="20"/>
      <c r="C115" s="21" t="s">
        <v>16</v>
      </c>
      <c r="D115" s="22">
        <f t="shared" ref="D115:L115" si="38">IFERROR(ROUND(D114/D113,6),"0")</f>
        <v>0.789731</v>
      </c>
      <c r="E115" s="22">
        <f t="shared" si="38"/>
        <v>0.837247</v>
      </c>
      <c r="F115" s="22">
        <f t="shared" si="38"/>
        <v>0.43303</v>
      </c>
      <c r="G115" s="22">
        <f t="shared" si="38"/>
        <v>0.719938</v>
      </c>
      <c r="H115" s="22" t="str">
        <f t="shared" si="38"/>
        <v>0</v>
      </c>
      <c r="I115" s="22" t="str">
        <f t="shared" si="38"/>
        <v>0</v>
      </c>
      <c r="J115" s="22" t="str">
        <f t="shared" si="38"/>
        <v>0</v>
      </c>
      <c r="K115" s="22">
        <f t="shared" si="38"/>
        <v>0.92278</v>
      </c>
      <c r="L115" s="23" t="str">
        <f t="shared" si="38"/>
        <v>0</v>
      </c>
    </row>
    <row r="116">
      <c r="A116" s="6">
        <f>B116</f>
        <v>46073</v>
      </c>
      <c r="B116" s="24">
        <f>B110+1</f>
        <v>46073</v>
      </c>
      <c r="C116" s="8" t="s">
        <v>11</v>
      </c>
      <c r="D116" s="9">
        <f>SUMIFS('渠道充值成功率_底稿'!$C:$C,'渠道充值成功率_底稿'!$A:$A,$A116,'渠道充值成功率_底稿'!$B:$B,D$1)</f>
        <v>962</v>
      </c>
      <c r="E116" s="9">
        <f>SUMIFS('渠道充值成功率_底稿'!$C:$C,'渠道充值成功率_底稿'!$A:$A,$A116,'渠道充值成功率_底稿'!$B:$B,E$1)</f>
        <v>46</v>
      </c>
      <c r="F116" s="9">
        <f>SUMIFS('渠道充值成功率_底稿'!$C:$C,'渠道充值成功率_底稿'!$A:$A,$A116,'渠道充值成功率_底稿'!$B:$B,F$1)</f>
        <v>66</v>
      </c>
      <c r="G116" s="9">
        <f>SUMIFS('渠道充值成功率_底稿'!$C:$C,'渠道充值成功率_底稿'!$A:$A,$A116,'渠道充值成功率_底稿'!$B:$B,G$1)</f>
        <v>111</v>
      </c>
      <c r="H116" s="9">
        <f>SUMIFS('渠道充值成功率_底稿'!$C:$C,'渠道充值成功率_底稿'!$A:$A,$A116,'渠道充值成功率_底稿'!$B:$B,H$1)</f>
        <v>0</v>
      </c>
      <c r="I116" s="9">
        <f>SUMIFS('渠道充值成功率_底稿'!$C:$C,'渠道充值成功率_底稿'!$A:$A,$A116,'渠道充值成功率_底稿'!$B:$B,I$1)</f>
        <v>0</v>
      </c>
      <c r="J116" s="9">
        <f>SUMIFS('渠道充值成功率_底稿'!$C:$C,'渠道充值成功率_底稿'!$A:$A,$A116,'渠道充值成功率_底稿'!$B:$B,J$1)</f>
        <v>0</v>
      </c>
      <c r="K116" s="9">
        <f>SUMIFS('渠道充值成功率_底稿'!$C:$C,'渠道充值成功率_底稿'!$A:$A,$A116,'渠道充值成功率_底稿'!$B:$B,K$1)</f>
        <v>2</v>
      </c>
      <c r="L116" s="10">
        <f>SUMIFS('渠道充值成功率_底稿'!$C:$C,'渠道充值成功率_底稿'!$A:$A,$A116,'渠道充值成功率_底稿'!$B:$B,L$1)</f>
        <v>0</v>
      </c>
    </row>
    <row r="117">
      <c r="A117" s="6">
        <f>B116</f>
        <v>46073</v>
      </c>
      <c r="B117" s="11"/>
      <c r="C117" s="12" t="s">
        <v>12</v>
      </c>
      <c r="D117" s="13">
        <f>SUMIFS('渠道充值成功率_底稿'!$F:$F,'渠道充值成功率_底稿'!$A:$A,$A117,'渠道充值成功率_底稿'!$B:$B,D$1)</f>
        <v>733</v>
      </c>
      <c r="E117" s="13">
        <f>SUMIFS('渠道充值成功率_底稿'!$F:$F,'渠道充值成功率_底稿'!$A:$A,$A117,'渠道充值成功率_底稿'!$B:$B,E$1)</f>
        <v>38</v>
      </c>
      <c r="F117" s="13">
        <f>SUMIFS('渠道充值成功率_底稿'!$F:$F,'渠道充值成功率_底稿'!$A:$A,$A117,'渠道充值成功率_底稿'!$B:$B,F$1)</f>
        <v>42</v>
      </c>
      <c r="G117" s="13">
        <f>SUMIFS('渠道充值成功率_底稿'!$F:$F,'渠道充值成功率_底稿'!$A:$A,$A117,'渠道充值成功率_底稿'!$B:$B,G$1)</f>
        <v>88</v>
      </c>
      <c r="H117" s="13">
        <f>SUMIFS('渠道充值成功率_底稿'!$F:$F,'渠道充值成功率_底稿'!$A:$A,$A117,'渠道充值成功率_底稿'!$B:$B,H$1)</f>
        <v>0</v>
      </c>
      <c r="I117" s="13">
        <f>SUMIFS('渠道充值成功率_底稿'!$F:$F,'渠道充值成功率_底稿'!$A:$A,$A117,'渠道充值成功率_底稿'!$B:$B,I$1)</f>
        <v>0</v>
      </c>
      <c r="J117" s="13">
        <f>SUMIFS('渠道充值成功率_底稿'!$F:$F,'渠道充值成功率_底稿'!$A:$A,$A117,'渠道充值成功率_底稿'!$B:$B,J$1)</f>
        <v>0</v>
      </c>
      <c r="K117" s="13">
        <f>SUMIFS('渠道充值成功率_底稿'!$F:$F,'渠道充值成功率_底稿'!$A:$A,$A117,'渠道充值成功率_底稿'!$B:$B,K$1)</f>
        <v>2</v>
      </c>
      <c r="L117" s="14">
        <f>SUMIFS('渠道充值成功率_底稿'!$F:$F,'渠道充值成功率_底稿'!$A:$A,$A117,'渠道充值成功率_底稿'!$B:$B,L$1)</f>
        <v>0</v>
      </c>
    </row>
    <row r="118">
      <c r="A118" s="6">
        <f>B116</f>
        <v>46073</v>
      </c>
      <c r="B118" s="11"/>
      <c r="C118" s="15" t="s">
        <v>13</v>
      </c>
      <c r="D118" s="16">
        <f t="shared" ref="D118:L118" si="39">IFERROR(ROUND(D117/D116,6),"0")</f>
        <v>0.761954</v>
      </c>
      <c r="E118" s="16">
        <f t="shared" si="39"/>
        <v>0.826087</v>
      </c>
      <c r="F118" s="16">
        <f t="shared" si="39"/>
        <v>0.636364</v>
      </c>
      <c r="G118" s="16">
        <f t="shared" si="39"/>
        <v>0.792793</v>
      </c>
      <c r="H118" s="16" t="str">
        <f t="shared" si="39"/>
        <v>0</v>
      </c>
      <c r="I118" s="16" t="str">
        <f t="shared" si="39"/>
        <v>0</v>
      </c>
      <c r="J118" s="16" t="str">
        <f t="shared" si="39"/>
        <v>0</v>
      </c>
      <c r="K118" s="16">
        <f t="shared" si="39"/>
        <v>1</v>
      </c>
      <c r="L118" s="17" t="str">
        <f t="shared" si="39"/>
        <v>0</v>
      </c>
    </row>
    <row r="119">
      <c r="A119" s="6">
        <f>B116</f>
        <v>46073</v>
      </c>
      <c r="B119" s="11"/>
      <c r="C119" s="12" t="s">
        <v>14</v>
      </c>
      <c r="D119" s="18">
        <f>SUMIFS('渠道充值成功率_底稿'!$D:$D,'渠道充值成功率_底稿'!$A:$A,$A120,'渠道充值成功率_底稿'!$B:$B,D$1)</f>
        <v>143445</v>
      </c>
      <c r="E119" s="18">
        <f>SUMIFS('渠道充值成功率_底稿'!$D:$D,'渠道充值成功率_底稿'!$A:$A,$A119,'渠道充值成功率_底稿'!$B:$B,E$1)</f>
        <v>10820</v>
      </c>
      <c r="F119" s="18">
        <f>SUMIFS('渠道充值成功率_底稿'!$D:$D,'渠道充值成功率_底稿'!$A:$A,$A119,'渠道充值成功率_底稿'!$B:$B,F$1)</f>
        <v>11966</v>
      </c>
      <c r="G119" s="18">
        <f>SUMIFS('渠道充值成功率_底稿'!$D:$D,'渠道充值成功率_底稿'!$A:$A,$A119,'渠道充值成功率_底稿'!$B:$B,G$1)</f>
        <v>12922</v>
      </c>
      <c r="H119" s="18">
        <f>SUMIFS('渠道充值成功率_底稿'!$D:$D,'渠道充值成功率_底稿'!$A:$A,$A119,'渠道充值成功率_底稿'!$B:$B,H$1)</f>
        <v>0</v>
      </c>
      <c r="I119" s="18">
        <f>SUMIFS('渠道充值成功率_底稿'!$D:$D,'渠道充值成功率_底稿'!$A:$A,$A119,'渠道充值成功率_底稿'!$B:$B,I$1)</f>
        <v>0</v>
      </c>
      <c r="J119" s="18">
        <f>SUMIFS('渠道充值成功率_底稿'!$D:$D,'渠道充值成功率_底稿'!$A:$A,$A119,'渠道充值成功率_底稿'!$B:$B,J$1)</f>
        <v>0</v>
      </c>
      <c r="K119" s="18">
        <f>SUMIFS('渠道充值成功率_底稿'!$D:$D,'渠道充值成功率_底稿'!$A:$A,$A119,'渠道充值成功率_底稿'!$B:$B,K$1)</f>
        <v>200</v>
      </c>
      <c r="L119" s="14">
        <f>SUMIFS('渠道充值成功率_底稿'!$D:$D,'渠道充值成功率_底稿'!$A:$A,$A119,'渠道充值成功率_底稿'!$B:$B,L$1)</f>
        <v>0</v>
      </c>
    </row>
    <row r="120">
      <c r="A120" s="6">
        <f>B116</f>
        <v>46073</v>
      </c>
      <c r="B120" s="11"/>
      <c r="C120" s="19" t="s">
        <v>15</v>
      </c>
      <c r="D120" s="18">
        <f>SUMIFS('渠道充值成功率_底稿'!$G:$G,'渠道充值成功率_底稿'!$A:$A,$A121,'渠道充值成功率_底稿'!$B:$B,D$1)</f>
        <v>112003</v>
      </c>
      <c r="E120" s="18">
        <f>SUMIFS('渠道充值成功率_底稿'!$G:$G,'渠道充值成功率_底稿'!$A:$A,$A120,'渠道充值成功率_底稿'!$B:$B,E$1)</f>
        <v>9120</v>
      </c>
      <c r="F120" s="18">
        <f>SUMIFS('渠道充值成功率_底稿'!$G:$G,'渠道充值成功率_底稿'!$A:$A,$A120,'渠道充值成功率_底稿'!$B:$B,F$1)</f>
        <v>8073</v>
      </c>
      <c r="G120" s="18">
        <f>SUMIFS('渠道充值成功率_底稿'!$G:$G,'渠道充值成功率_底稿'!$A:$A,$A120,'渠道充值成功率_底稿'!$B:$B,G$1)</f>
        <v>9872</v>
      </c>
      <c r="H120" s="18">
        <f>SUMIFS('渠道充值成功率_底稿'!$G:$G,'渠道充值成功率_底稿'!$A:$A,$A120,'渠道充值成功率_底稿'!$B:$B,H$1)</f>
        <v>0</v>
      </c>
      <c r="I120" s="18">
        <f>SUMIFS('渠道充值成功率_底稿'!$G:$G,'渠道充值成功率_底稿'!$A:$A,$A120,'渠道充值成功率_底稿'!$B:$B,I$1)</f>
        <v>0</v>
      </c>
      <c r="J120" s="18">
        <f>SUMIFS('渠道充值成功率_底稿'!$G:$G,'渠道充值成功率_底稿'!$A:$A,$A120,'渠道充值成功率_底稿'!$B:$B,J$1)</f>
        <v>0</v>
      </c>
      <c r="K120" s="18">
        <f>SUMIFS('渠道充值成功率_底稿'!$G:$G,'渠道充值成功率_底稿'!$A:$A,$A120,'渠道充值成功率_底稿'!$B:$B,K$1)</f>
        <v>200</v>
      </c>
      <c r="L120" s="14">
        <f>SUMIFS('渠道充值成功率_底稿'!$G:$G,'渠道充值成功率_底稿'!$A:$A,$A120,'渠道充值成功率_底稿'!$B:$B,L$1)</f>
        <v>0</v>
      </c>
    </row>
    <row r="121">
      <c r="A121" s="6">
        <f>B116</f>
        <v>46073</v>
      </c>
      <c r="B121" s="20"/>
      <c r="C121" s="21" t="s">
        <v>16</v>
      </c>
      <c r="D121" s="22">
        <f t="shared" ref="D121:L121" si="40">IFERROR(ROUND(D120/D119,6),"0")</f>
        <v>0.780808</v>
      </c>
      <c r="E121" s="22">
        <f t="shared" si="40"/>
        <v>0.842884</v>
      </c>
      <c r="F121" s="22">
        <f t="shared" si="40"/>
        <v>0.674662</v>
      </c>
      <c r="G121" s="22">
        <f t="shared" si="40"/>
        <v>0.763968</v>
      </c>
      <c r="H121" s="22" t="str">
        <f t="shared" si="40"/>
        <v>0</v>
      </c>
      <c r="I121" s="22" t="str">
        <f t="shared" si="40"/>
        <v>0</v>
      </c>
      <c r="J121" s="22" t="str">
        <f t="shared" si="40"/>
        <v>0</v>
      </c>
      <c r="K121" s="22">
        <f t="shared" si="40"/>
        <v>1</v>
      </c>
      <c r="L121" s="23" t="str">
        <f t="shared" si="40"/>
        <v>0</v>
      </c>
    </row>
    <row r="122">
      <c r="A122" s="6">
        <f>B122</f>
        <v>46074</v>
      </c>
      <c r="B122" s="24">
        <f>B116+1</f>
        <v>46074</v>
      </c>
      <c r="C122" s="8" t="s">
        <v>11</v>
      </c>
      <c r="D122" s="9">
        <f>SUMIFS('渠道充值成功率_底稿'!$C:$C,'渠道充值成功率_底稿'!$A:$A,$A122,'渠道充值成功率_底稿'!$B:$B,D$1)</f>
        <v>889</v>
      </c>
      <c r="E122" s="9">
        <f>SUMIFS('渠道充值成功率_底稿'!$C:$C,'渠道充值成功率_底稿'!$A:$A,$A122,'渠道充值成功率_底稿'!$B:$B,E$1)</f>
        <v>29</v>
      </c>
      <c r="F122" s="9">
        <f>SUMIFS('渠道充值成功率_底稿'!$C:$C,'渠道充值成功率_底稿'!$A:$A,$A122,'渠道充值成功率_底稿'!$B:$B,F$1)</f>
        <v>55</v>
      </c>
      <c r="G122" s="9">
        <f>SUMIFS('渠道充值成功率_底稿'!$C:$C,'渠道充值成功率_底稿'!$A:$A,$A122,'渠道充值成功率_底稿'!$B:$B,G$1)</f>
        <v>101</v>
      </c>
      <c r="H122" s="9">
        <f>SUMIFS('渠道充值成功率_底稿'!$C:$C,'渠道充值成功率_底稿'!$A:$A,$A122,'渠道充值成功率_底稿'!$B:$B,H$1)</f>
        <v>0</v>
      </c>
      <c r="I122" s="9">
        <f>SUMIFS('渠道充值成功率_底稿'!$C:$C,'渠道充值成功率_底稿'!$A:$A,$A122,'渠道充值成功率_底稿'!$B:$B,I$1)</f>
        <v>0</v>
      </c>
      <c r="J122" s="9">
        <f>SUMIFS('渠道充值成功率_底稿'!$C:$C,'渠道充值成功率_底稿'!$A:$A,$A122,'渠道充值成功率_底稿'!$B:$B,J$1)</f>
        <v>0</v>
      </c>
      <c r="K122" s="9">
        <f>SUMIFS('渠道充值成功率_底稿'!$C:$C,'渠道充值成功率_底稿'!$A:$A,$A122,'渠道充值成功率_底稿'!$B:$B,K$1)</f>
        <v>10</v>
      </c>
      <c r="L122" s="10">
        <f>SUMIFS('渠道充值成功率_底稿'!$C:$C,'渠道充值成功率_底稿'!$A:$A,$A122,'渠道充值成功率_底稿'!$B:$B,L$1)</f>
        <v>0</v>
      </c>
    </row>
    <row r="123">
      <c r="A123" s="6">
        <f>B122</f>
        <v>46074</v>
      </c>
      <c r="B123" s="11"/>
      <c r="C123" s="12" t="s">
        <v>12</v>
      </c>
      <c r="D123" s="13">
        <f>SUMIFS('渠道充值成功率_底稿'!$F:$F,'渠道充值成功率_底稿'!$A:$A,$A123,'渠道充值成功率_底稿'!$B:$B,D$1)</f>
        <v>642</v>
      </c>
      <c r="E123" s="13">
        <f>SUMIFS('渠道充值成功率_底稿'!$F:$F,'渠道充值成功率_底稿'!$A:$A,$A123,'渠道充值成功率_底稿'!$B:$B,E$1)</f>
        <v>20</v>
      </c>
      <c r="F123" s="13">
        <f>SUMIFS('渠道充值成功率_底稿'!$F:$F,'渠道充值成功率_底稿'!$A:$A,$A123,'渠道充值成功率_底稿'!$B:$B,F$1)</f>
        <v>28</v>
      </c>
      <c r="G123" s="13">
        <f>SUMIFS('渠道充值成功率_底稿'!$F:$F,'渠道充值成功率_底稿'!$A:$A,$A123,'渠道充值成功率_底稿'!$B:$B,G$1)</f>
        <v>79</v>
      </c>
      <c r="H123" s="13">
        <f>SUMIFS('渠道充值成功率_底稿'!$F:$F,'渠道充值成功率_底稿'!$A:$A,$A123,'渠道充值成功率_底稿'!$B:$B,H$1)</f>
        <v>0</v>
      </c>
      <c r="I123" s="13">
        <f>SUMIFS('渠道充值成功率_底稿'!$F:$F,'渠道充值成功率_底稿'!$A:$A,$A123,'渠道充值成功率_底稿'!$B:$B,I$1)</f>
        <v>0</v>
      </c>
      <c r="J123" s="13">
        <f>SUMIFS('渠道充值成功率_底稿'!$F:$F,'渠道充值成功率_底稿'!$A:$A,$A123,'渠道充值成功率_底稿'!$B:$B,J$1)</f>
        <v>0</v>
      </c>
      <c r="K123" s="13">
        <f>SUMIFS('渠道充值成功率_底稿'!$F:$F,'渠道充值成功率_底稿'!$A:$A,$A123,'渠道充值成功率_底稿'!$B:$B,K$1)</f>
        <v>4</v>
      </c>
      <c r="L123" s="14">
        <f>SUMIFS('渠道充值成功率_底稿'!$F:$F,'渠道充值成功率_底稿'!$A:$A,$A123,'渠道充值成功率_底稿'!$B:$B,L$1)</f>
        <v>0</v>
      </c>
    </row>
    <row r="124">
      <c r="A124" s="6">
        <f>B122</f>
        <v>46074</v>
      </c>
      <c r="B124" s="11"/>
      <c r="C124" s="15" t="s">
        <v>13</v>
      </c>
      <c r="D124" s="16">
        <f t="shared" ref="D124:L124" si="41">IFERROR(ROUND(D123/D122,6),"0")</f>
        <v>0.72216</v>
      </c>
      <c r="E124" s="16">
        <f t="shared" si="41"/>
        <v>0.689655</v>
      </c>
      <c r="F124" s="16">
        <f t="shared" si="41"/>
        <v>0.509091</v>
      </c>
      <c r="G124" s="16">
        <f t="shared" si="41"/>
        <v>0.782178</v>
      </c>
      <c r="H124" s="16" t="str">
        <f t="shared" si="41"/>
        <v>0</v>
      </c>
      <c r="I124" s="16" t="str">
        <f t="shared" si="41"/>
        <v>0</v>
      </c>
      <c r="J124" s="16" t="str">
        <f t="shared" si="41"/>
        <v>0</v>
      </c>
      <c r="K124" s="16">
        <f t="shared" si="41"/>
        <v>0.4</v>
      </c>
      <c r="L124" s="17" t="str">
        <f t="shared" si="41"/>
        <v>0</v>
      </c>
    </row>
    <row r="125">
      <c r="A125" s="6">
        <f>B122</f>
        <v>46074</v>
      </c>
      <c r="B125" s="11"/>
      <c r="C125" s="12" t="s">
        <v>14</v>
      </c>
      <c r="D125" s="18">
        <f>SUMIFS('渠道充值成功率_底稿'!$D:$D,'渠道充值成功率_底稿'!$A:$A,$A126,'渠道充值成功率_底稿'!$B:$B,D$1)</f>
        <v>134725</v>
      </c>
      <c r="E125" s="18">
        <f>SUMIFS('渠道充值成功率_底稿'!$D:$D,'渠道充值成功率_底稿'!$A:$A,$A125,'渠道充值成功率_底稿'!$B:$B,E$1)</f>
        <v>13088</v>
      </c>
      <c r="F125" s="18">
        <f>SUMIFS('渠道充值成功率_底稿'!$D:$D,'渠道充值成功率_底稿'!$A:$A,$A125,'渠道充值成功率_底稿'!$B:$B,F$1)</f>
        <v>10579</v>
      </c>
      <c r="G125" s="18">
        <f>SUMIFS('渠道充值成功率_底稿'!$D:$D,'渠道充值成功率_底稿'!$A:$A,$A125,'渠道充值成功率_底稿'!$B:$B,G$1)</f>
        <v>13957</v>
      </c>
      <c r="H125" s="18">
        <f>SUMIFS('渠道充值成功率_底稿'!$D:$D,'渠道充值成功率_底稿'!$A:$A,$A125,'渠道充值成功率_底稿'!$B:$B,H$1)</f>
        <v>0</v>
      </c>
      <c r="I125" s="18">
        <f>SUMIFS('渠道充值成功率_底稿'!$D:$D,'渠道充值成功率_底稿'!$A:$A,$A125,'渠道充值成功率_底稿'!$B:$B,I$1)</f>
        <v>0</v>
      </c>
      <c r="J125" s="18">
        <f>SUMIFS('渠道充值成功率_底稿'!$D:$D,'渠道充值成功率_底稿'!$A:$A,$A125,'渠道充值成功率_底稿'!$B:$B,J$1)</f>
        <v>0</v>
      </c>
      <c r="K125" s="18">
        <f>SUMIFS('渠道充值成功率_底稿'!$D:$D,'渠道充值成功率_底稿'!$A:$A,$A125,'渠道充值成功率_底稿'!$B:$B,K$1)</f>
        <v>15900</v>
      </c>
      <c r="L125" s="14">
        <f>SUMIFS('渠道充值成功率_底稿'!$D:$D,'渠道充值成功率_底稿'!$A:$A,$A125,'渠道充值成功率_底稿'!$B:$B,L$1)</f>
        <v>0</v>
      </c>
    </row>
    <row r="126">
      <c r="A126" s="6">
        <f>B122</f>
        <v>46074</v>
      </c>
      <c r="B126" s="11"/>
      <c r="C126" s="19" t="s">
        <v>15</v>
      </c>
      <c r="D126" s="18">
        <f>SUMIFS('渠道充值成功率_底稿'!$G:$G,'渠道充值成功率_底稿'!$A:$A,$A127,'渠道充值成功率_底稿'!$B:$B,D$1)</f>
        <v>98587</v>
      </c>
      <c r="E126" s="18">
        <f>SUMIFS('渠道充值成功率_底稿'!$G:$G,'渠道充值成功率_底稿'!$A:$A,$A126,'渠道充值成功率_底稿'!$B:$B,E$1)</f>
        <v>11170</v>
      </c>
      <c r="F126" s="18">
        <f>SUMIFS('渠道充值成功率_底稿'!$G:$G,'渠道充值成功率_底稿'!$A:$A,$A126,'渠道充值成功率_底稿'!$B:$B,F$1)</f>
        <v>4179</v>
      </c>
      <c r="G126" s="18">
        <f>SUMIFS('渠道充值成功率_底稿'!$G:$G,'渠道充值成功率_底稿'!$A:$A,$A126,'渠道充值成功率_底稿'!$B:$B,G$1)</f>
        <v>10907</v>
      </c>
      <c r="H126" s="18">
        <f>SUMIFS('渠道充值成功率_底稿'!$G:$G,'渠道充值成功率_底稿'!$A:$A,$A126,'渠道充值成功率_底稿'!$B:$B,H$1)</f>
        <v>0</v>
      </c>
      <c r="I126" s="18">
        <f>SUMIFS('渠道充值成功率_底稿'!$G:$G,'渠道充值成功率_底稿'!$A:$A,$A126,'渠道充值成功率_底稿'!$B:$B,I$1)</f>
        <v>0</v>
      </c>
      <c r="J126" s="18">
        <f>SUMIFS('渠道充值成功率_底稿'!$G:$G,'渠道充值成功率_底稿'!$A:$A,$A126,'渠道充值成功率_底稿'!$B:$B,J$1)</f>
        <v>0</v>
      </c>
      <c r="K126" s="18">
        <f>SUMIFS('渠道充值成功率_底稿'!$G:$G,'渠道充值成功率_底稿'!$A:$A,$A126,'渠道充值成功率_底稿'!$B:$B,K$1)</f>
        <v>3400</v>
      </c>
      <c r="L126" s="14">
        <f>SUMIFS('渠道充值成功率_底稿'!$G:$G,'渠道充值成功率_底稿'!$A:$A,$A126,'渠道充值成功率_底稿'!$B:$B,L$1)</f>
        <v>0</v>
      </c>
    </row>
    <row r="127">
      <c r="A127" s="6">
        <f>B122</f>
        <v>46074</v>
      </c>
      <c r="B127" s="20"/>
      <c r="C127" s="21" t="s">
        <v>16</v>
      </c>
      <c r="D127" s="22">
        <f t="shared" ref="D127:L127" si="42">IFERROR(ROUND(D126/D125,6),"0")</f>
        <v>0.731765</v>
      </c>
      <c r="E127" s="22">
        <f t="shared" si="42"/>
        <v>0.853454</v>
      </c>
      <c r="F127" s="22">
        <f t="shared" si="42"/>
        <v>0.395028</v>
      </c>
      <c r="G127" s="22">
        <f t="shared" si="42"/>
        <v>0.781472</v>
      </c>
      <c r="H127" s="22" t="str">
        <f t="shared" si="42"/>
        <v>0</v>
      </c>
      <c r="I127" s="22" t="str">
        <f t="shared" si="42"/>
        <v>0</v>
      </c>
      <c r="J127" s="22" t="str">
        <f t="shared" si="42"/>
        <v>0</v>
      </c>
      <c r="K127" s="22">
        <f t="shared" si="42"/>
        <v>0.213836</v>
      </c>
      <c r="L127" s="23" t="str">
        <f t="shared" si="42"/>
        <v>0</v>
      </c>
    </row>
    <row r="128">
      <c r="A128" s="6">
        <f>B128</f>
        <v>46075</v>
      </c>
      <c r="B128" s="24">
        <f>B122+1</f>
        <v>46075</v>
      </c>
      <c r="C128" s="8" t="s">
        <v>11</v>
      </c>
      <c r="D128" s="9">
        <f>SUMIFS('渠道充值成功率_底稿'!$C:$C,'渠道充值成功率_底稿'!$A:$A,$A128,'渠道充值成功率_底稿'!$B:$B,D$1)</f>
        <v>746</v>
      </c>
      <c r="E128" s="9">
        <f>SUMIFS('渠道充值成功率_底稿'!$C:$C,'渠道充值成功率_底稿'!$A:$A,$A128,'渠道充值成功率_底稿'!$B:$B,E$1)</f>
        <v>18</v>
      </c>
      <c r="F128" s="9">
        <f>SUMIFS('渠道充值成功率_底稿'!$C:$C,'渠道充值成功率_底稿'!$A:$A,$A128,'渠道充值成功率_底稿'!$B:$B,F$1)</f>
        <v>43</v>
      </c>
      <c r="G128" s="9">
        <f>SUMIFS('渠道充值成功率_底稿'!$C:$C,'渠道充值成功率_底稿'!$A:$A,$A128,'渠道充值成功率_底稿'!$B:$B,G$1)</f>
        <v>85</v>
      </c>
      <c r="H128" s="9">
        <f>SUMIFS('渠道充值成功率_底稿'!$C:$C,'渠道充值成功率_底稿'!$A:$A,$A128,'渠道充值成功率_底稿'!$B:$B,H$1)</f>
        <v>0</v>
      </c>
      <c r="I128" s="9">
        <f>SUMIFS('渠道充值成功率_底稿'!$C:$C,'渠道充值成功率_底稿'!$A:$A,$A128,'渠道充值成功率_底稿'!$B:$B,I$1)</f>
        <v>0</v>
      </c>
      <c r="J128" s="9">
        <f>SUMIFS('渠道充值成功率_底稿'!$C:$C,'渠道充值成功率_底稿'!$A:$A,$A128,'渠道充值成功率_底稿'!$B:$B,J$1)</f>
        <v>0</v>
      </c>
      <c r="K128" s="9">
        <f>SUMIFS('渠道充值成功率_底稿'!$C:$C,'渠道充值成功率_底稿'!$A:$A,$A128,'渠道充值成功率_底稿'!$B:$B,K$1)</f>
        <v>4</v>
      </c>
      <c r="L128" s="10">
        <f>SUMIFS('渠道充值成功率_底稿'!$C:$C,'渠道充值成功率_底稿'!$A:$A,$A128,'渠道充值成功率_底稿'!$B:$B,L$1)</f>
        <v>0</v>
      </c>
    </row>
    <row r="129">
      <c r="A129" s="6">
        <f>B128</f>
        <v>46075</v>
      </c>
      <c r="B129" s="11"/>
      <c r="C129" s="12" t="s">
        <v>12</v>
      </c>
      <c r="D129" s="13">
        <f>SUMIFS('渠道充值成功率_底稿'!$F:$F,'渠道充值成功率_底稿'!$A:$A,$A129,'渠道充值成功率_底稿'!$B:$B,D$1)</f>
        <v>616</v>
      </c>
      <c r="E129" s="13">
        <f>SUMIFS('渠道充值成功率_底稿'!$F:$F,'渠道充值成功率_底稿'!$A:$A,$A129,'渠道充值成功率_底稿'!$B:$B,E$1)</f>
        <v>16</v>
      </c>
      <c r="F129" s="13">
        <f>SUMIFS('渠道充值成功率_底稿'!$F:$F,'渠道充值成功率_底稿'!$A:$A,$A129,'渠道充值成功率_底稿'!$B:$B,F$1)</f>
        <v>35</v>
      </c>
      <c r="G129" s="13">
        <f>SUMIFS('渠道充值成功率_底稿'!$F:$F,'渠道充值成功率_底稿'!$A:$A,$A129,'渠道充值成功率_底稿'!$B:$B,G$1)</f>
        <v>63</v>
      </c>
      <c r="H129" s="13">
        <f>SUMIFS('渠道充值成功率_底稿'!$F:$F,'渠道充值成功率_底稿'!$A:$A,$A129,'渠道充值成功率_底稿'!$B:$B,H$1)</f>
        <v>0</v>
      </c>
      <c r="I129" s="13">
        <f>SUMIFS('渠道充值成功率_底稿'!$F:$F,'渠道充值成功率_底稿'!$A:$A,$A129,'渠道充值成功率_底稿'!$B:$B,I$1)</f>
        <v>0</v>
      </c>
      <c r="J129" s="13">
        <f>SUMIFS('渠道充值成功率_底稿'!$F:$F,'渠道充值成功率_底稿'!$A:$A,$A129,'渠道充值成功率_底稿'!$B:$B,J$1)</f>
        <v>0</v>
      </c>
      <c r="K129" s="13">
        <f>SUMIFS('渠道充值成功率_底稿'!$F:$F,'渠道充值成功率_底稿'!$A:$A,$A129,'渠道充值成功率_底稿'!$B:$B,K$1)</f>
        <v>1</v>
      </c>
      <c r="L129" s="14">
        <f>SUMIFS('渠道充值成功率_底稿'!$F:$F,'渠道充值成功率_底稿'!$A:$A,$A129,'渠道充值成功率_底稿'!$B:$B,L$1)</f>
        <v>0</v>
      </c>
    </row>
    <row r="130">
      <c r="A130" s="6">
        <f>B128</f>
        <v>46075</v>
      </c>
      <c r="B130" s="11"/>
      <c r="C130" s="15" t="s">
        <v>13</v>
      </c>
      <c r="D130" s="16">
        <f t="shared" ref="D130:L130" si="43">IFERROR(ROUND(D129/D128,6),"0")</f>
        <v>0.825737</v>
      </c>
      <c r="E130" s="16">
        <f t="shared" si="43"/>
        <v>0.888889</v>
      </c>
      <c r="F130" s="16">
        <f t="shared" si="43"/>
        <v>0.813953</v>
      </c>
      <c r="G130" s="16">
        <f t="shared" si="43"/>
        <v>0.741176</v>
      </c>
      <c r="H130" s="16" t="str">
        <f t="shared" si="43"/>
        <v>0</v>
      </c>
      <c r="I130" s="16" t="str">
        <f t="shared" si="43"/>
        <v>0</v>
      </c>
      <c r="J130" s="16" t="str">
        <f t="shared" si="43"/>
        <v>0</v>
      </c>
      <c r="K130" s="16">
        <f t="shared" si="43"/>
        <v>0.25</v>
      </c>
      <c r="L130" s="17" t="str">
        <f t="shared" si="43"/>
        <v>0</v>
      </c>
    </row>
    <row r="131">
      <c r="A131" s="6">
        <f>B128</f>
        <v>46075</v>
      </c>
      <c r="B131" s="11"/>
      <c r="C131" s="12" t="s">
        <v>14</v>
      </c>
      <c r="D131" s="18">
        <f>SUMIFS('渠道充值成功率_底稿'!$D:$D,'渠道充值成功率_底稿'!$A:$A,$A132,'渠道充值成功率_底稿'!$B:$B,D$1)</f>
        <v>123852</v>
      </c>
      <c r="E131" s="18">
        <f>SUMIFS('渠道充值成功率_底稿'!$D:$D,'渠道充值成功率_底稿'!$A:$A,$A131,'渠道充值成功率_底稿'!$B:$B,E$1)</f>
        <v>3550</v>
      </c>
      <c r="F131" s="18">
        <f>SUMIFS('渠道充值成功率_底稿'!$D:$D,'渠道充值成功率_底稿'!$A:$A,$A131,'渠道充值成功率_底稿'!$B:$B,F$1)</f>
        <v>5970</v>
      </c>
      <c r="G131" s="18">
        <f>SUMIFS('渠道充值成功率_底稿'!$D:$D,'渠道充值成功率_底稿'!$A:$A,$A131,'渠道充值成功率_底稿'!$B:$B,G$1)</f>
        <v>11793</v>
      </c>
      <c r="H131" s="18">
        <f>SUMIFS('渠道充值成功率_底稿'!$D:$D,'渠道充值成功率_底稿'!$A:$A,$A131,'渠道充值成功率_底稿'!$B:$B,H$1)</f>
        <v>0</v>
      </c>
      <c r="I131" s="18">
        <f>SUMIFS('渠道充值成功率_底稿'!$D:$D,'渠道充值成功率_底稿'!$A:$A,$A131,'渠道充值成功率_底稿'!$B:$B,I$1)</f>
        <v>0</v>
      </c>
      <c r="J131" s="18">
        <f>SUMIFS('渠道充值成功率_底稿'!$D:$D,'渠道充值成功率_底稿'!$A:$A,$A131,'渠道充值成功率_底稿'!$B:$B,J$1)</f>
        <v>0</v>
      </c>
      <c r="K131" s="18">
        <f>SUMIFS('渠道充值成功率_底稿'!$D:$D,'渠道充值成功率_底稿'!$A:$A,$A131,'渠道充值成功率_底稿'!$B:$B,K$1)</f>
        <v>900</v>
      </c>
      <c r="L131" s="14">
        <f>SUMIFS('渠道充值成功率_底稿'!$D:$D,'渠道充值成功率_底稿'!$A:$A,$A131,'渠道充值成功率_底稿'!$B:$B,L$1)</f>
        <v>0</v>
      </c>
    </row>
    <row r="132">
      <c r="A132" s="6">
        <f>B128</f>
        <v>46075</v>
      </c>
      <c r="B132" s="11"/>
      <c r="C132" s="19" t="s">
        <v>15</v>
      </c>
      <c r="D132" s="18">
        <f>SUMIFS('渠道充值成功率_底稿'!$G:$G,'渠道充值成功率_底稿'!$A:$A,$A133,'渠道充值成功率_底稿'!$B:$B,D$1)</f>
        <v>107008</v>
      </c>
      <c r="E132" s="18">
        <f>SUMIFS('渠道充值成功率_底稿'!$G:$G,'渠道充值成功率_底稿'!$A:$A,$A132,'渠道充值成功率_底稿'!$B:$B,E$1)</f>
        <v>2350</v>
      </c>
      <c r="F132" s="18">
        <f>SUMIFS('渠道充值成功率_底稿'!$G:$G,'渠道充值成功率_底稿'!$A:$A,$A132,'渠道充值成功率_底稿'!$B:$B,F$1)</f>
        <v>5070</v>
      </c>
      <c r="G132" s="18">
        <f>SUMIFS('渠道充值成功率_底稿'!$G:$G,'渠道充值成功率_底稿'!$A:$A,$A132,'渠道充值成功率_底稿'!$B:$B,G$1)</f>
        <v>8862</v>
      </c>
      <c r="H132" s="18">
        <f>SUMIFS('渠道充值成功率_底稿'!$G:$G,'渠道充值成功率_底稿'!$A:$A,$A132,'渠道充值成功率_底稿'!$B:$B,H$1)</f>
        <v>0</v>
      </c>
      <c r="I132" s="18">
        <f>SUMIFS('渠道充值成功率_底稿'!$G:$G,'渠道充值成功率_底稿'!$A:$A,$A132,'渠道充值成功率_底稿'!$B:$B,I$1)</f>
        <v>0</v>
      </c>
      <c r="J132" s="18">
        <f>SUMIFS('渠道充值成功率_底稿'!$G:$G,'渠道充值成功率_底稿'!$A:$A,$A132,'渠道充值成功率_底稿'!$B:$B,J$1)</f>
        <v>0</v>
      </c>
      <c r="K132" s="18">
        <f>SUMIFS('渠道充值成功率_底稿'!$G:$G,'渠道充值成功率_底稿'!$A:$A,$A132,'渠道充值成功率_底稿'!$B:$B,K$1)</f>
        <v>500</v>
      </c>
      <c r="L132" s="14">
        <f>SUMIFS('渠道充值成功率_底稿'!$G:$G,'渠道充值成功率_底稿'!$A:$A,$A132,'渠道充值成功率_底稿'!$B:$B,L$1)</f>
        <v>0</v>
      </c>
    </row>
    <row r="133">
      <c r="A133" s="6">
        <f>B128</f>
        <v>46075</v>
      </c>
      <c r="B133" s="20"/>
      <c r="C133" s="21" t="s">
        <v>16</v>
      </c>
      <c r="D133" s="22">
        <f t="shared" ref="D133:L133" si="44">IFERROR(ROUND(D132/D131,6),"0")</f>
        <v>0.863999</v>
      </c>
      <c r="E133" s="22">
        <f t="shared" si="44"/>
        <v>0.661972</v>
      </c>
      <c r="F133" s="22">
        <f t="shared" si="44"/>
        <v>0.849246</v>
      </c>
      <c r="G133" s="22">
        <f t="shared" si="44"/>
        <v>0.751463</v>
      </c>
      <c r="H133" s="22" t="str">
        <f t="shared" si="44"/>
        <v>0</v>
      </c>
      <c r="I133" s="22" t="str">
        <f t="shared" si="44"/>
        <v>0</v>
      </c>
      <c r="J133" s="22" t="str">
        <f t="shared" si="44"/>
        <v>0</v>
      </c>
      <c r="K133" s="22">
        <f t="shared" si="44"/>
        <v>0.555556</v>
      </c>
      <c r="L133" s="23" t="str">
        <f t="shared" si="44"/>
        <v>0</v>
      </c>
    </row>
    <row r="134">
      <c r="A134" s="6">
        <f>B134</f>
        <v>46076</v>
      </c>
      <c r="B134" s="24">
        <f>B128+1</f>
        <v>46076</v>
      </c>
      <c r="C134" s="8" t="s">
        <v>11</v>
      </c>
      <c r="D134" s="9">
        <f>SUMIFS('渠道充值成功率_底稿'!$C:$C,'渠道充值成功率_底稿'!$A:$A,$A134,'渠道充值成功率_底稿'!$B:$B,D$1)</f>
        <v>730</v>
      </c>
      <c r="E134" s="9">
        <f>SUMIFS('渠道充值成功率_底稿'!$C:$C,'渠道充值成功率_底稿'!$A:$A,$A134,'渠道充值成功率_底稿'!$B:$B,E$1)</f>
        <v>7</v>
      </c>
      <c r="F134" s="9">
        <f>SUMIFS('渠道充值成功率_底稿'!$C:$C,'渠道充值成功率_底稿'!$A:$A,$A134,'渠道充值成功率_底稿'!$B:$B,F$1)</f>
        <v>36</v>
      </c>
      <c r="G134" s="9">
        <f>SUMIFS('渠道充值成功率_底稿'!$C:$C,'渠道充值成功率_底稿'!$A:$A,$A134,'渠道充值成功率_底稿'!$B:$B,G$1)</f>
        <v>95</v>
      </c>
      <c r="H134" s="9">
        <f>SUMIFS('渠道充值成功率_底稿'!$C:$C,'渠道充值成功率_底稿'!$A:$A,$A134,'渠道充值成功率_底稿'!$B:$B,H$1)</f>
        <v>0</v>
      </c>
      <c r="I134" s="9">
        <f>SUMIFS('渠道充值成功率_底稿'!$C:$C,'渠道充值成功率_底稿'!$A:$A,$A134,'渠道充值成功率_底稿'!$B:$B,I$1)</f>
        <v>0</v>
      </c>
      <c r="J134" s="9">
        <f>SUMIFS('渠道充值成功率_底稿'!$C:$C,'渠道充值成功率_底稿'!$A:$A,$A134,'渠道充值成功率_底稿'!$B:$B,J$1)</f>
        <v>0</v>
      </c>
      <c r="K134" s="9">
        <f>SUMIFS('渠道充值成功率_底稿'!$C:$C,'渠道充值成功率_底稿'!$A:$A,$A134,'渠道充值成功率_底稿'!$B:$B,K$1)</f>
        <v>6</v>
      </c>
      <c r="L134" s="10">
        <f>SUMIFS('渠道充值成功率_底稿'!$C:$C,'渠道充值成功率_底稿'!$A:$A,$A134,'渠道充值成功率_底稿'!$B:$B,L$1)</f>
        <v>0</v>
      </c>
    </row>
    <row r="135">
      <c r="A135" s="6">
        <f>B134</f>
        <v>46076</v>
      </c>
      <c r="B135" s="11"/>
      <c r="C135" s="12" t="s">
        <v>12</v>
      </c>
      <c r="D135" s="13">
        <f>SUMIFS('渠道充值成功率_底稿'!$F:$F,'渠道充值成功率_底稿'!$A:$A,$A135,'渠道充值成功率_底稿'!$B:$B,D$1)</f>
        <v>484</v>
      </c>
      <c r="E135" s="13">
        <f>SUMIFS('渠道充值成功率_底稿'!$F:$F,'渠道充值成功率_底稿'!$A:$A,$A135,'渠道充值成功率_底稿'!$B:$B,E$1)</f>
        <v>6</v>
      </c>
      <c r="F135" s="13">
        <f>SUMIFS('渠道充值成功率_底稿'!$F:$F,'渠道充值成功率_底稿'!$A:$A,$A135,'渠道充值成功率_底稿'!$B:$B,F$1)</f>
        <v>18</v>
      </c>
      <c r="G135" s="13">
        <f>SUMIFS('渠道充值成功率_底稿'!$F:$F,'渠道充值成功率_底稿'!$A:$A,$A135,'渠道充值成功率_底稿'!$B:$B,G$1)</f>
        <v>64</v>
      </c>
      <c r="H135" s="13">
        <f>SUMIFS('渠道充值成功率_底稿'!$F:$F,'渠道充值成功率_底稿'!$A:$A,$A135,'渠道充值成功率_底稿'!$B:$B,H$1)</f>
        <v>0</v>
      </c>
      <c r="I135" s="13">
        <f>SUMIFS('渠道充值成功率_底稿'!$F:$F,'渠道充值成功率_底稿'!$A:$A,$A135,'渠道充值成功率_底稿'!$B:$B,I$1)</f>
        <v>0</v>
      </c>
      <c r="J135" s="13">
        <f>SUMIFS('渠道充值成功率_底稿'!$F:$F,'渠道充值成功率_底稿'!$A:$A,$A135,'渠道充值成功率_底稿'!$B:$B,J$1)</f>
        <v>0</v>
      </c>
      <c r="K135" s="13">
        <f>SUMIFS('渠道充值成功率_底稿'!$F:$F,'渠道充值成功率_底稿'!$A:$A,$A135,'渠道充值成功率_底稿'!$B:$B,K$1)</f>
        <v>6</v>
      </c>
      <c r="L135" s="14">
        <f>SUMIFS('渠道充值成功率_底稿'!$F:$F,'渠道充值成功率_底稿'!$A:$A,$A135,'渠道充值成功率_底稿'!$B:$B,L$1)</f>
        <v>0</v>
      </c>
    </row>
    <row r="136">
      <c r="A136" s="6">
        <f>B134</f>
        <v>46076</v>
      </c>
      <c r="B136" s="11"/>
      <c r="C136" s="15" t="s">
        <v>13</v>
      </c>
      <c r="D136" s="16">
        <f t="shared" ref="D136:L136" si="45">IFERROR(ROUND(D135/D134,6),"0")</f>
        <v>0.663014</v>
      </c>
      <c r="E136" s="16">
        <f t="shared" si="45"/>
        <v>0.857143</v>
      </c>
      <c r="F136" s="16">
        <f t="shared" si="45"/>
        <v>0.5</v>
      </c>
      <c r="G136" s="16">
        <f t="shared" si="45"/>
        <v>0.673684</v>
      </c>
      <c r="H136" s="16" t="str">
        <f t="shared" si="45"/>
        <v>0</v>
      </c>
      <c r="I136" s="16" t="str">
        <f t="shared" si="45"/>
        <v>0</v>
      </c>
      <c r="J136" s="16" t="str">
        <f t="shared" si="45"/>
        <v>0</v>
      </c>
      <c r="K136" s="16">
        <f t="shared" si="45"/>
        <v>1</v>
      </c>
      <c r="L136" s="17" t="str">
        <f t="shared" si="45"/>
        <v>0</v>
      </c>
    </row>
    <row r="137">
      <c r="A137" s="6">
        <f>A134</f>
        <v>46076</v>
      </c>
      <c r="B137" s="11"/>
      <c r="C137" s="12" t="s">
        <v>14</v>
      </c>
      <c r="D137" s="18">
        <f>SUMIFS('渠道充值成功率_底稿'!$D:$D,'渠道充值成功率_底稿'!$A:$A,$A138,'渠道充值成功率_底稿'!$B:$B,D$1)</f>
        <v>98903</v>
      </c>
      <c r="E137" s="18">
        <f>SUMIFS('渠道充值成功率_底稿'!$D:$D,'渠道充值成功率_底稿'!$A:$A,$A137,'渠道充值成功率_底稿'!$B:$B,E$1)</f>
        <v>795</v>
      </c>
      <c r="F137" s="18">
        <f>SUMIFS('渠道充值成功率_底稿'!$D:$D,'渠道充值成功率_底稿'!$A:$A,$A137,'渠道充值成功率_底稿'!$B:$B,F$1)</f>
        <v>17540</v>
      </c>
      <c r="G137" s="18">
        <f>SUMIFS('渠道充值成功率_底稿'!$D:$D,'渠道充值成功率_底稿'!$A:$A,$A137,'渠道充值成功率_底稿'!$B:$B,G$1)</f>
        <v>9696</v>
      </c>
      <c r="H137" s="18">
        <f>SUMIFS('渠道充值成功率_底稿'!$D:$D,'渠道充值成功率_底稿'!$A:$A,$A137,'渠道充值成功率_底稿'!$B:$B,H$1)</f>
        <v>0</v>
      </c>
      <c r="I137" s="18">
        <f>SUMIFS('渠道充值成功率_底稿'!$D:$D,'渠道充值成功率_底稿'!$A:$A,$A137,'渠道充值成功率_底稿'!$B:$B,I$1)</f>
        <v>0</v>
      </c>
      <c r="J137" s="18">
        <f>SUMIFS('渠道充值成功率_底稿'!$D:$D,'渠道充值成功率_底稿'!$A:$A,$A137,'渠道充值成功率_底稿'!$B:$B,J$1)</f>
        <v>0</v>
      </c>
      <c r="K137" s="18">
        <f>SUMIFS('渠道充值成功率_底稿'!$D:$D,'渠道充值成功率_底稿'!$A:$A,$A137,'渠道充值成功率_底稿'!$B:$B,K$1)</f>
        <v>1300</v>
      </c>
      <c r="L137" s="14">
        <f>SUMIFS('渠道充值成功率_底稿'!$D:$D,'渠道充值成功率_底稿'!$A:$A,$A137,'渠道充值成功率_底稿'!$B:$B,L$1)</f>
        <v>0</v>
      </c>
    </row>
    <row r="138">
      <c r="A138" s="6">
        <f>B134</f>
        <v>46076</v>
      </c>
      <c r="B138" s="11"/>
      <c r="C138" s="19" t="s">
        <v>15</v>
      </c>
      <c r="D138" s="18">
        <f>SUMIFS('渠道充值成功率_底稿'!$G:$G,'渠道充值成功率_底稿'!$A:$A,$A139,'渠道充值成功率_底稿'!$B:$B,D$1)</f>
        <v>64207</v>
      </c>
      <c r="E138" s="18">
        <f>SUMIFS('渠道充值成功率_底稿'!$G:$G,'渠道充值成功率_底稿'!$A:$A,$A138,'渠道充值成功率_底稿'!$B:$B,E$1)</f>
        <v>695</v>
      </c>
      <c r="F138" s="18">
        <f>SUMIFS('渠道充值成功率_底稿'!$G:$G,'渠道充值成功率_底稿'!$A:$A,$A138,'渠道充值成功率_底稿'!$B:$B,F$1)</f>
        <v>2605</v>
      </c>
      <c r="G138" s="18">
        <f>SUMIFS('渠道充值成功率_底稿'!$G:$G,'渠道充值成功率_底稿'!$A:$A,$A138,'渠道充值成功率_底稿'!$B:$B,G$1)</f>
        <v>6296</v>
      </c>
      <c r="H138" s="18">
        <f>SUMIFS('渠道充值成功率_底稿'!$G:$G,'渠道充值成功率_底稿'!$A:$A,$A138,'渠道充值成功率_底稿'!$B:$B,H$1)</f>
        <v>0</v>
      </c>
      <c r="I138" s="18">
        <f>SUMIFS('渠道充值成功率_底稿'!$G:$G,'渠道充值成功率_底稿'!$A:$A,$A138,'渠道充值成功率_底稿'!$B:$B,I$1)</f>
        <v>0</v>
      </c>
      <c r="J138" s="18">
        <f>SUMIFS('渠道充值成功率_底稿'!$G:$G,'渠道充值成功率_底稿'!$A:$A,$A138,'渠道充值成功率_底稿'!$B:$B,J$1)</f>
        <v>0</v>
      </c>
      <c r="K138" s="18">
        <f>SUMIFS('渠道充值成功率_底稿'!$G:$G,'渠道充值成功率_底稿'!$A:$A,$A138,'渠道充值成功率_底稿'!$B:$B,K$1)</f>
        <v>1300</v>
      </c>
      <c r="L138" s="14">
        <f>SUMIFS('渠道充值成功率_底稿'!$G:$G,'渠道充值成功率_底稿'!$A:$A,$A138,'渠道充值成功率_底稿'!$B:$B,L$1)</f>
        <v>0</v>
      </c>
    </row>
    <row r="139">
      <c r="A139" s="6">
        <f>B134</f>
        <v>46076</v>
      </c>
      <c r="B139" s="20"/>
      <c r="C139" s="21" t="s">
        <v>16</v>
      </c>
      <c r="D139" s="22">
        <f t="shared" ref="D139:L139" si="46">IFERROR(ROUND(D138/D137,6),"0")</f>
        <v>0.649192</v>
      </c>
      <c r="E139" s="22">
        <f t="shared" si="46"/>
        <v>0.874214</v>
      </c>
      <c r="F139" s="22">
        <f t="shared" si="46"/>
        <v>0.148518</v>
      </c>
      <c r="G139" s="22">
        <f t="shared" si="46"/>
        <v>0.64934</v>
      </c>
      <c r="H139" s="22" t="str">
        <f t="shared" si="46"/>
        <v>0</v>
      </c>
      <c r="I139" s="22" t="str">
        <f t="shared" si="46"/>
        <v>0</v>
      </c>
      <c r="J139" s="22" t="str">
        <f t="shared" si="46"/>
        <v>0</v>
      </c>
      <c r="K139" s="22">
        <f t="shared" si="46"/>
        <v>1</v>
      </c>
      <c r="L139" s="23" t="str">
        <f t="shared" si="46"/>
        <v>0</v>
      </c>
    </row>
    <row r="140">
      <c r="A140" s="6">
        <f>B140</f>
        <v>46077</v>
      </c>
      <c r="B140" s="24">
        <f>B134+1</f>
        <v>46077</v>
      </c>
      <c r="C140" s="8" t="s">
        <v>11</v>
      </c>
      <c r="D140" s="9">
        <f>SUMIFS('渠道充值成功率_底稿'!$C:$C,'渠道充值成功率_底稿'!$A:$A,$A140,'渠道充值成功率_底稿'!$B:$B,D$1)</f>
        <v>723</v>
      </c>
      <c r="E140" s="9">
        <f>SUMIFS('渠道充值成功率_底稿'!$C:$C,'渠道充值成功率_底稿'!$A:$A,$A140,'渠道充值成功率_底稿'!$B:$B,E$1)</f>
        <v>27</v>
      </c>
      <c r="F140" s="9">
        <f>SUMIFS('渠道充值成功率_底稿'!$C:$C,'渠道充值成功率_底稿'!$A:$A,$A140,'渠道充值成功率_底稿'!$B:$B,F$1)</f>
        <v>53</v>
      </c>
      <c r="G140" s="9">
        <f>SUMIFS('渠道充值成功率_底稿'!$C:$C,'渠道充值成功率_底稿'!$A:$A,$A140,'渠道充值成功率_底稿'!$B:$B,G$1)</f>
        <v>90</v>
      </c>
      <c r="H140" s="9">
        <f>SUMIFS('渠道充值成功率_底稿'!$C:$C,'渠道充值成功率_底稿'!$A:$A,$A140,'渠道充值成功率_底稿'!$B:$B,H$1)</f>
        <v>0</v>
      </c>
      <c r="I140" s="9">
        <f>SUMIFS('渠道充值成功率_底稿'!$C:$C,'渠道充值成功率_底稿'!$A:$A,$A140,'渠道充值成功率_底稿'!$B:$B,I$1)</f>
        <v>0</v>
      </c>
      <c r="J140" s="9">
        <f>SUMIFS('渠道充值成功率_底稿'!$C:$C,'渠道充值成功率_底稿'!$A:$A,$A140,'渠道充值成功率_底稿'!$B:$B,J$1)</f>
        <v>0</v>
      </c>
      <c r="K140" s="9">
        <f>SUMIFS('渠道充值成功率_底稿'!$C:$C,'渠道充值成功率_底稿'!$A:$A,$A140,'渠道充值成功率_底稿'!$B:$B,K$1)</f>
        <v>1</v>
      </c>
      <c r="L140" s="10">
        <f>SUMIFS('渠道充值成功率_底稿'!$C:$C,'渠道充值成功率_底稿'!$A:$A,$A140,'渠道充值成功率_底稿'!$B:$B,L$1)</f>
        <v>0</v>
      </c>
    </row>
    <row r="141">
      <c r="A141" s="6">
        <f>B140</f>
        <v>46077</v>
      </c>
      <c r="B141" s="11"/>
      <c r="C141" s="12" t="s">
        <v>12</v>
      </c>
      <c r="D141" s="13">
        <f>SUMIFS('渠道充值成功率_底稿'!$F:$F,'渠道充值成功率_底稿'!$A:$A,$A141,'渠道充值成功率_底稿'!$B:$B,D$1)</f>
        <v>587</v>
      </c>
      <c r="E141" s="13">
        <f>SUMIFS('渠道充值成功率_底稿'!$F:$F,'渠道充值成功率_底稿'!$A:$A,$A141,'渠道充值成功率_底稿'!$B:$B,E$1)</f>
        <v>19</v>
      </c>
      <c r="F141" s="13">
        <f>SUMIFS('渠道充值成功率_底稿'!$F:$F,'渠道充值成功率_底稿'!$A:$A,$A141,'渠道充值成功率_底稿'!$B:$B,F$1)</f>
        <v>31</v>
      </c>
      <c r="G141" s="13">
        <f>SUMIFS('渠道充值成功率_底稿'!$F:$F,'渠道充值成功率_底稿'!$A:$A,$A141,'渠道充值成功率_底稿'!$B:$B,G$1)</f>
        <v>61</v>
      </c>
      <c r="H141" s="13">
        <f>SUMIFS('渠道充值成功率_底稿'!$F:$F,'渠道充值成功率_底稿'!$A:$A,$A141,'渠道充值成功率_底稿'!$B:$B,H$1)</f>
        <v>0</v>
      </c>
      <c r="I141" s="13">
        <f>SUMIFS('渠道充值成功率_底稿'!$F:$F,'渠道充值成功率_底稿'!$A:$A,$A141,'渠道充值成功率_底稿'!$B:$B,I$1)</f>
        <v>0</v>
      </c>
      <c r="J141" s="13">
        <f>SUMIFS('渠道充值成功率_底稿'!$F:$F,'渠道充值成功率_底稿'!$A:$A,$A141,'渠道充值成功率_底稿'!$B:$B,J$1)</f>
        <v>0</v>
      </c>
      <c r="K141" s="13">
        <f>SUMIFS('渠道充值成功率_底稿'!$F:$F,'渠道充值成功率_底稿'!$A:$A,$A141,'渠道充值成功率_底稿'!$B:$B,K$1)</f>
        <v>1</v>
      </c>
      <c r="L141" s="14">
        <f>SUMIFS('渠道充值成功率_底稿'!$F:$F,'渠道充值成功率_底稿'!$A:$A,$A141,'渠道充值成功率_底稿'!$B:$B,L$1)</f>
        <v>0</v>
      </c>
    </row>
    <row r="142">
      <c r="A142" s="6">
        <f>B140</f>
        <v>46077</v>
      </c>
      <c r="B142" s="11"/>
      <c r="C142" s="15" t="s">
        <v>13</v>
      </c>
      <c r="D142" s="16">
        <f t="shared" ref="D142:L142" si="47">IFERROR(ROUND(D141/D140,6),"0")</f>
        <v>0.811895</v>
      </c>
      <c r="E142" s="16">
        <f t="shared" si="47"/>
        <v>0.703704</v>
      </c>
      <c r="F142" s="16">
        <f t="shared" si="47"/>
        <v>0.584906</v>
      </c>
      <c r="G142" s="16">
        <f t="shared" si="47"/>
        <v>0.677778</v>
      </c>
      <c r="H142" s="16" t="str">
        <f t="shared" si="47"/>
        <v>0</v>
      </c>
      <c r="I142" s="16" t="str">
        <f t="shared" si="47"/>
        <v>0</v>
      </c>
      <c r="J142" s="16" t="str">
        <f t="shared" si="47"/>
        <v>0</v>
      </c>
      <c r="K142" s="16">
        <f t="shared" si="47"/>
        <v>1</v>
      </c>
      <c r="L142" s="17" t="str">
        <f t="shared" si="47"/>
        <v>0</v>
      </c>
    </row>
    <row r="143">
      <c r="A143" s="6">
        <f>B140</f>
        <v>46077</v>
      </c>
      <c r="B143" s="11"/>
      <c r="C143" s="12" t="s">
        <v>14</v>
      </c>
      <c r="D143" s="18">
        <f>SUMIFS('渠道充值成功率_底稿'!$D:$D,'渠道充值成功率_底稿'!$A:$A,$A144,'渠道充值成功率_底稿'!$B:$B,D$1)</f>
        <v>123683</v>
      </c>
      <c r="E143" s="18">
        <f>SUMIFS('渠道充值成功率_底稿'!$D:$D,'渠道充值成功率_底稿'!$A:$A,$A143,'渠道充值成功率_底稿'!$B:$B,E$1)</f>
        <v>5940</v>
      </c>
      <c r="F143" s="18">
        <f>SUMIFS('渠道充值成功率_底稿'!$D:$D,'渠道充值成功率_底稿'!$A:$A,$A143,'渠道充值成功率_底稿'!$B:$B,F$1)</f>
        <v>9175</v>
      </c>
      <c r="G143" s="18">
        <f>SUMIFS('渠道充值成功率_底稿'!$D:$D,'渠道充值成功率_底稿'!$A:$A,$A143,'渠道充值成功率_底稿'!$B:$B,G$1)</f>
        <v>11628</v>
      </c>
      <c r="H143" s="18">
        <f>SUMIFS('渠道充值成功率_底稿'!$D:$D,'渠道充值成功率_底稿'!$A:$A,$A143,'渠道充值成功率_底稿'!$B:$B,H$1)</f>
        <v>0</v>
      </c>
      <c r="I143" s="18">
        <f>SUMIFS('渠道充值成功率_底稿'!$D:$D,'渠道充值成功率_底稿'!$A:$A,$A143,'渠道充值成功率_底稿'!$B:$B,I$1)</f>
        <v>0</v>
      </c>
      <c r="J143" s="18">
        <f>SUMIFS('渠道充值成功率_底稿'!$D:$D,'渠道充值成功率_底稿'!$A:$A,$A143,'渠道充值成功率_底稿'!$B:$B,J$1)</f>
        <v>0</v>
      </c>
      <c r="K143" s="18">
        <f>SUMIFS('渠道充值成功率_底稿'!$D:$D,'渠道充值成功率_底稿'!$A:$A,$A143,'渠道充值成功率_底稿'!$B:$B,K$1)</f>
        <v>150</v>
      </c>
      <c r="L143" s="14">
        <f>SUMIFS('渠道充值成功率_底稿'!$D:$D,'渠道充值成功率_底稿'!$A:$A,$A143,'渠道充值成功率_底稿'!$B:$B,L$1)</f>
        <v>0</v>
      </c>
    </row>
    <row r="144">
      <c r="A144" s="6">
        <f>B140</f>
        <v>46077</v>
      </c>
      <c r="B144" s="11"/>
      <c r="C144" s="19" t="s">
        <v>15</v>
      </c>
      <c r="D144" s="18">
        <f>SUMIFS('渠道充值成功率_底稿'!$G:$G,'渠道充值成功率_底稿'!$A:$A,$A145,'渠道充值成功率_底稿'!$B:$B,D$1)</f>
        <v>101730</v>
      </c>
      <c r="E144" s="18">
        <f>SUMIFS('渠道充值成功率_底稿'!$G:$G,'渠道充值成功率_底稿'!$A:$A,$A144,'渠道充值成功率_底稿'!$B:$B,E$1)</f>
        <v>4690</v>
      </c>
      <c r="F144" s="18">
        <f>SUMIFS('渠道充值成功率_底稿'!$G:$G,'渠道充值成功率_底稿'!$A:$A,$A144,'渠道充值成功率_底稿'!$B:$B,F$1)</f>
        <v>4895</v>
      </c>
      <c r="G144" s="18">
        <f>SUMIFS('渠道充值成功率_底稿'!$G:$G,'渠道充值成功率_底稿'!$A:$A,$A144,'渠道充值成功率_底稿'!$B:$B,G$1)</f>
        <v>9378</v>
      </c>
      <c r="H144" s="18">
        <f>SUMIFS('渠道充值成功率_底稿'!$G:$G,'渠道充值成功率_底稿'!$A:$A,$A144,'渠道充值成功率_底稿'!$B:$B,H$1)</f>
        <v>0</v>
      </c>
      <c r="I144" s="18">
        <f>SUMIFS('渠道充值成功率_底稿'!$G:$G,'渠道充值成功率_底稿'!$A:$A,$A144,'渠道充值成功率_底稿'!$B:$B,I$1)</f>
        <v>0</v>
      </c>
      <c r="J144" s="18">
        <f>SUMIFS('渠道充值成功率_底稿'!$G:$G,'渠道充值成功率_底稿'!$A:$A,$A144,'渠道充值成功率_底稿'!$B:$B,J$1)</f>
        <v>0</v>
      </c>
      <c r="K144" s="18">
        <f>SUMIFS('渠道充值成功率_底稿'!$G:$G,'渠道充值成功率_底稿'!$A:$A,$A144,'渠道充值成功率_底稿'!$B:$B,K$1)</f>
        <v>150</v>
      </c>
      <c r="L144" s="14">
        <f>SUMIFS('渠道充值成功率_底稿'!$G:$G,'渠道充值成功率_底稿'!$A:$A,$A144,'渠道充值成功率_底稿'!$B:$B,L$1)</f>
        <v>0</v>
      </c>
    </row>
    <row r="145">
      <c r="A145" s="6">
        <f>B140</f>
        <v>46077</v>
      </c>
      <c r="B145" s="20"/>
      <c r="C145" s="21" t="s">
        <v>16</v>
      </c>
      <c r="D145" s="22">
        <f t="shared" ref="D145:L145" si="48">IFERROR(ROUND(D144/D143,6),"0")</f>
        <v>0.822506</v>
      </c>
      <c r="E145" s="22">
        <f t="shared" si="48"/>
        <v>0.789562</v>
      </c>
      <c r="F145" s="22">
        <f t="shared" si="48"/>
        <v>0.533515</v>
      </c>
      <c r="G145" s="22">
        <f t="shared" si="48"/>
        <v>0.806502</v>
      </c>
      <c r="H145" s="22" t="str">
        <f t="shared" si="48"/>
        <v>0</v>
      </c>
      <c r="I145" s="22" t="str">
        <f t="shared" si="48"/>
        <v>0</v>
      </c>
      <c r="J145" s="22" t="str">
        <f t="shared" si="48"/>
        <v>0</v>
      </c>
      <c r="K145" s="22">
        <f t="shared" si="48"/>
        <v>1</v>
      </c>
      <c r="L145" s="23" t="str">
        <f t="shared" si="48"/>
        <v>0</v>
      </c>
    </row>
    <row r="146">
      <c r="A146" s="6">
        <f>B146</f>
        <v>46078</v>
      </c>
      <c r="B146" s="24">
        <f>B140+1</f>
        <v>46078</v>
      </c>
      <c r="C146" s="8" t="s">
        <v>11</v>
      </c>
      <c r="D146" s="9">
        <f>SUMIFS('渠道充值成功率_底稿'!$C:$C,'渠道充值成功率_底稿'!$A:$A,$A146,'渠道充值成功率_底稿'!$B:$B,D$1)</f>
        <v>772</v>
      </c>
      <c r="E146" s="9">
        <f>SUMIFS('渠道充值成功率_底稿'!$C:$C,'渠道充值成功率_底稿'!$A:$A,$A146,'渠道充值成功率_底稿'!$B:$B,E$1)</f>
        <v>28</v>
      </c>
      <c r="F146" s="9">
        <f>SUMIFS('渠道充值成功率_底稿'!$C:$C,'渠道充值成功率_底稿'!$A:$A,$A146,'渠道充值成功率_底稿'!$B:$B,F$1)</f>
        <v>41</v>
      </c>
      <c r="G146" s="9">
        <f>SUMIFS('渠道充值成功率_底稿'!$C:$C,'渠道充值成功率_底稿'!$A:$A,$A146,'渠道充值成功率_底稿'!$B:$B,G$1)</f>
        <v>94</v>
      </c>
      <c r="H146" s="9">
        <f>SUMIFS('渠道充值成功率_底稿'!$C:$C,'渠道充值成功率_底稿'!$A:$A,$A146,'渠道充值成功率_底稿'!$B:$B,H$1)</f>
        <v>0</v>
      </c>
      <c r="I146" s="9">
        <f>SUMIFS('渠道充值成功率_底稿'!$C:$C,'渠道充值成功率_底稿'!$A:$A,$A146,'渠道充值成功率_底稿'!$B:$B,I$1)</f>
        <v>0</v>
      </c>
      <c r="J146" s="9">
        <f>SUMIFS('渠道充值成功率_底稿'!$C:$C,'渠道充值成功率_底稿'!$A:$A,$A146,'渠道充值成功率_底稿'!$B:$B,J$1)</f>
        <v>0</v>
      </c>
      <c r="K146" s="9">
        <f>SUMIFS('渠道充值成功率_底稿'!$C:$C,'渠道充值成功率_底稿'!$A:$A,$A146,'渠道充值成功率_底稿'!$B:$B,K$1)</f>
        <v>2</v>
      </c>
      <c r="L146" s="10">
        <f>SUMIFS('渠道充值成功率_底稿'!$C:$C,'渠道充值成功率_底稿'!$A:$A,$A146,'渠道充值成功率_底稿'!$B:$B,L$1)</f>
        <v>0</v>
      </c>
    </row>
    <row r="147">
      <c r="A147" s="6">
        <f>B146</f>
        <v>46078</v>
      </c>
      <c r="B147" s="11"/>
      <c r="C147" s="12" t="s">
        <v>12</v>
      </c>
      <c r="D147" s="13">
        <f>SUMIFS('渠道充值成功率_底稿'!$F:$F,'渠道充值成功率_底稿'!$A:$A,$A147,'渠道充值成功率_底稿'!$B:$B,D$1)</f>
        <v>563</v>
      </c>
      <c r="E147" s="13">
        <f>SUMIFS('渠道充值成功率_底稿'!$F:$F,'渠道充值成功率_底稿'!$A:$A,$A147,'渠道充值成功率_底稿'!$B:$B,E$1)</f>
        <v>17</v>
      </c>
      <c r="F147" s="13">
        <f>SUMIFS('渠道充值成功率_底稿'!$F:$F,'渠道充值成功率_底稿'!$A:$A,$A147,'渠道充值成功率_底稿'!$B:$B,F$1)</f>
        <v>16</v>
      </c>
      <c r="G147" s="13">
        <f>SUMIFS('渠道充值成功率_底稿'!$F:$F,'渠道充值成功率_底稿'!$A:$A,$A147,'渠道充值成功率_底稿'!$B:$B,G$1)</f>
        <v>59</v>
      </c>
      <c r="H147" s="13">
        <f>SUMIFS('渠道充值成功率_底稿'!$F:$F,'渠道充值成功率_底稿'!$A:$A,$A147,'渠道充值成功率_底稿'!$B:$B,H$1)</f>
        <v>0</v>
      </c>
      <c r="I147" s="13">
        <f>SUMIFS('渠道充值成功率_底稿'!$F:$F,'渠道充值成功率_底稿'!$A:$A,$A147,'渠道充值成功率_底稿'!$B:$B,I$1)</f>
        <v>0</v>
      </c>
      <c r="J147" s="13">
        <f>SUMIFS('渠道充值成功率_底稿'!$F:$F,'渠道充值成功率_底稿'!$A:$A,$A147,'渠道充值成功率_底稿'!$B:$B,J$1)</f>
        <v>0</v>
      </c>
      <c r="K147" s="13">
        <f>SUMIFS('渠道充值成功率_底稿'!$F:$F,'渠道充值成功率_底稿'!$A:$A,$A147,'渠道充值成功率_底稿'!$B:$B,K$1)</f>
        <v>2</v>
      </c>
      <c r="L147" s="14">
        <f>SUMIFS('渠道充值成功率_底稿'!$F:$F,'渠道充值成功率_底稿'!$A:$A,$A147,'渠道充值成功率_底稿'!$B:$B,L$1)</f>
        <v>0</v>
      </c>
    </row>
    <row r="148">
      <c r="A148" s="6">
        <f>B146</f>
        <v>46078</v>
      </c>
      <c r="B148" s="11"/>
      <c r="C148" s="15" t="s">
        <v>13</v>
      </c>
      <c r="D148" s="16">
        <f t="shared" ref="D148:L148" si="49">IFERROR(ROUND(D147/D146,6),"0")</f>
        <v>0.729275</v>
      </c>
      <c r="E148" s="16">
        <f t="shared" si="49"/>
        <v>0.607143</v>
      </c>
      <c r="F148" s="16">
        <f t="shared" si="49"/>
        <v>0.390244</v>
      </c>
      <c r="G148" s="16">
        <f t="shared" si="49"/>
        <v>0.62766</v>
      </c>
      <c r="H148" s="16" t="str">
        <f t="shared" si="49"/>
        <v>0</v>
      </c>
      <c r="I148" s="16" t="str">
        <f t="shared" si="49"/>
        <v>0</v>
      </c>
      <c r="J148" s="16" t="str">
        <f t="shared" si="49"/>
        <v>0</v>
      </c>
      <c r="K148" s="16">
        <f t="shared" si="49"/>
        <v>1</v>
      </c>
      <c r="L148" s="17" t="str">
        <f t="shared" si="49"/>
        <v>0</v>
      </c>
    </row>
    <row r="149">
      <c r="A149" s="6">
        <f>B146</f>
        <v>46078</v>
      </c>
      <c r="B149" s="11"/>
      <c r="C149" s="12" t="s">
        <v>14</v>
      </c>
      <c r="D149" s="18">
        <f>SUMIFS('渠道充值成功率_底稿'!$D:$D,'渠道充值成功率_底稿'!$A:$A,$A150,'渠道充值成功率_底稿'!$B:$B,D$1)</f>
        <v>109417</v>
      </c>
      <c r="E149" s="18">
        <f>SUMIFS('渠道充值成功率_底稿'!$D:$D,'渠道充值成功率_底稿'!$A:$A,$A149,'渠道充值成功率_底稿'!$B:$B,E$1)</f>
        <v>4250</v>
      </c>
      <c r="F149" s="18">
        <f>SUMIFS('渠道充值成功率_底稿'!$D:$D,'渠道充值成功率_底稿'!$A:$A,$A149,'渠道充值成功率_底稿'!$B:$B,F$1)</f>
        <v>4395</v>
      </c>
      <c r="G149" s="18">
        <f>SUMIFS('渠道充值成功率_底稿'!$D:$D,'渠道充值成功率_底稿'!$A:$A,$A149,'渠道充值成功率_底稿'!$B:$B,G$1)</f>
        <v>9267</v>
      </c>
      <c r="H149" s="18">
        <f>SUMIFS('渠道充值成功率_底稿'!$D:$D,'渠道充值成功率_底稿'!$A:$A,$A149,'渠道充值成功率_底稿'!$B:$B,H$1)</f>
        <v>0</v>
      </c>
      <c r="I149" s="18">
        <f>SUMIFS('渠道充值成功率_底稿'!$D:$D,'渠道充值成功率_底稿'!$A:$A,$A149,'渠道充值成功率_底稿'!$B:$B,I$1)</f>
        <v>0</v>
      </c>
      <c r="J149" s="18">
        <f>SUMIFS('渠道充值成功率_底稿'!$D:$D,'渠道充值成功率_底稿'!$A:$A,$A149,'渠道充值成功率_底稿'!$B:$B,J$1)</f>
        <v>0</v>
      </c>
      <c r="K149" s="18">
        <f>SUMIFS('渠道充值成功率_底稿'!$D:$D,'渠道充值成功率_底稿'!$A:$A,$A149,'渠道充值成功率_底稿'!$B:$B,K$1)</f>
        <v>300</v>
      </c>
      <c r="L149" s="14">
        <f>SUMIFS('渠道充值成功率_底稿'!$D:$D,'渠道充值成功率_底稿'!$A:$A,$A149,'渠道充值成功率_底稿'!$B:$B,L$1)</f>
        <v>0</v>
      </c>
    </row>
    <row r="150">
      <c r="A150" s="6">
        <f>B146</f>
        <v>46078</v>
      </c>
      <c r="B150" s="11"/>
      <c r="C150" s="19" t="s">
        <v>15</v>
      </c>
      <c r="D150" s="18">
        <f>SUMIFS('渠道充值成功率_底稿'!$G:$G,'渠道充值成功率_底稿'!$A:$A,$A151,'渠道充值成功率_底稿'!$B:$B,D$1)</f>
        <v>82152</v>
      </c>
      <c r="E150" s="18">
        <f>SUMIFS('渠道充值成功率_底稿'!$G:$G,'渠道充值成功率_底稿'!$A:$A,$A150,'渠道充值成功率_底稿'!$B:$B,E$1)</f>
        <v>2650</v>
      </c>
      <c r="F150" s="18">
        <f>SUMIFS('渠道充值成功率_底稿'!$G:$G,'渠道充值成功率_底稿'!$A:$A,$A150,'渠道充值成功率_底稿'!$B:$B,F$1)</f>
        <v>1650</v>
      </c>
      <c r="G150" s="18">
        <f>SUMIFS('渠道充值成功率_底稿'!$G:$G,'渠道充值成功率_底稿'!$A:$A,$A150,'渠道充值成功率_底稿'!$B:$B,G$1)</f>
        <v>5967</v>
      </c>
      <c r="H150" s="18">
        <f>SUMIFS('渠道充值成功率_底稿'!$G:$G,'渠道充值成功率_底稿'!$A:$A,$A150,'渠道充值成功率_底稿'!$B:$B,H$1)</f>
        <v>0</v>
      </c>
      <c r="I150" s="18">
        <f>SUMIFS('渠道充值成功率_底稿'!$G:$G,'渠道充值成功率_底稿'!$A:$A,$A150,'渠道充值成功率_底稿'!$B:$B,I$1)</f>
        <v>0</v>
      </c>
      <c r="J150" s="18">
        <f>SUMIFS('渠道充值成功率_底稿'!$G:$G,'渠道充值成功率_底稿'!$A:$A,$A150,'渠道充值成功率_底稿'!$B:$B,J$1)</f>
        <v>0</v>
      </c>
      <c r="K150" s="18">
        <f>SUMIFS('渠道充值成功率_底稿'!$G:$G,'渠道充值成功率_底稿'!$A:$A,$A150,'渠道充值成功率_底稿'!$B:$B,K$1)</f>
        <v>300</v>
      </c>
      <c r="L150" s="14">
        <f>SUMIFS('渠道充值成功率_底稿'!$G:$G,'渠道充值成功率_底稿'!$A:$A,$A150,'渠道充值成功率_底稿'!$B:$B,L$1)</f>
        <v>0</v>
      </c>
    </row>
    <row r="151">
      <c r="A151" s="6">
        <f>B146</f>
        <v>46078</v>
      </c>
      <c r="B151" s="20"/>
      <c r="C151" s="21" t="s">
        <v>16</v>
      </c>
      <c r="D151" s="22">
        <f t="shared" ref="D151:L151" si="50">IFERROR(ROUND(D150/D149,6),"0")</f>
        <v>0.750816</v>
      </c>
      <c r="E151" s="22">
        <f t="shared" si="50"/>
        <v>0.623529</v>
      </c>
      <c r="F151" s="22">
        <f t="shared" si="50"/>
        <v>0.375427</v>
      </c>
      <c r="G151" s="22">
        <f t="shared" si="50"/>
        <v>0.643898</v>
      </c>
      <c r="H151" s="22" t="str">
        <f t="shared" si="50"/>
        <v>0</v>
      </c>
      <c r="I151" s="22" t="str">
        <f t="shared" si="50"/>
        <v>0</v>
      </c>
      <c r="J151" s="22" t="str">
        <f t="shared" si="50"/>
        <v>0</v>
      </c>
      <c r="K151" s="22">
        <f t="shared" si="50"/>
        <v>1</v>
      </c>
      <c r="L151" s="23" t="str">
        <f t="shared" si="50"/>
        <v>0</v>
      </c>
    </row>
    <row r="152">
      <c r="A152" s="6">
        <f>B152</f>
        <v>46079</v>
      </c>
      <c r="B152" s="24">
        <f>B146+1</f>
        <v>46079</v>
      </c>
      <c r="C152" s="8" t="s">
        <v>11</v>
      </c>
      <c r="D152" s="9">
        <f>SUMIFS('渠道充值成功率_底稿'!$C:$C,'渠道充值成功率_底稿'!$A:$A,$A152,'渠道充值成功率_底稿'!$B:$B,D$1)</f>
        <v>772</v>
      </c>
      <c r="E152" s="9">
        <f>SUMIFS('渠道充值成功率_底稿'!$C:$C,'渠道充值成功率_底稿'!$A:$A,$A152,'渠道充值成功率_底稿'!$B:$B,E$1)</f>
        <v>17</v>
      </c>
      <c r="F152" s="9">
        <f>SUMIFS('渠道充值成功率_底稿'!$C:$C,'渠道充值成功率_底稿'!$A:$A,$A152,'渠道充值成功率_底稿'!$B:$B,F$1)</f>
        <v>43</v>
      </c>
      <c r="G152" s="9">
        <f>SUMIFS('渠道充值成功率_底稿'!$C:$C,'渠道充值成功率_底稿'!$A:$A,$A152,'渠道充值成功率_底稿'!$B:$B,G$1)</f>
        <v>111</v>
      </c>
      <c r="H152" s="9">
        <f>SUMIFS('渠道充值成功率_底稿'!$C:$C,'渠道充值成功率_底稿'!$A:$A,$A152,'渠道充值成功率_底稿'!$B:$B,H$1)</f>
        <v>0</v>
      </c>
      <c r="I152" s="9">
        <f>SUMIFS('渠道充值成功率_底稿'!$C:$C,'渠道充值成功率_底稿'!$A:$A,$A152,'渠道充值成功率_底稿'!$B:$B,I$1)</f>
        <v>0</v>
      </c>
      <c r="J152" s="9">
        <f>SUMIFS('渠道充值成功率_底稿'!$C:$C,'渠道充值成功率_底稿'!$A:$A,$A152,'渠道充值成功率_底稿'!$B:$B,J$1)</f>
        <v>0</v>
      </c>
      <c r="K152" s="9">
        <f>SUMIFS('渠道充值成功率_底稿'!$C:$C,'渠道充值成功率_底稿'!$A:$A,$A152,'渠道充值成功率_底稿'!$B:$B,K$1)</f>
        <v>1</v>
      </c>
      <c r="L152" s="10">
        <f>SUMIFS('渠道充值成功率_底稿'!$C:$C,'渠道充值成功率_底稿'!$A:$A,$A152,'渠道充值成功率_底稿'!$B:$B,L$1)</f>
        <v>0</v>
      </c>
    </row>
    <row r="153">
      <c r="A153" s="6">
        <f>B152</f>
        <v>46079</v>
      </c>
      <c r="B153" s="11"/>
      <c r="C153" s="12" t="s">
        <v>12</v>
      </c>
      <c r="D153" s="13">
        <f>SUMIFS('渠道充值成功率_底稿'!$F:$F,'渠道充值成功率_底稿'!$A:$A,$A153,'渠道充值成功率_底稿'!$B:$B,D$1)</f>
        <v>519</v>
      </c>
      <c r="E153" s="13">
        <f>SUMIFS('渠道充值成功率_底稿'!$F:$F,'渠道充值成功率_底稿'!$A:$A,$A153,'渠道充值成功率_底稿'!$B:$B,E$1)</f>
        <v>8</v>
      </c>
      <c r="F153" s="13">
        <f>SUMIFS('渠道充值成功率_底稿'!$F:$F,'渠道充值成功率_底稿'!$A:$A,$A153,'渠道充值成功率_底稿'!$B:$B,F$1)</f>
        <v>20</v>
      </c>
      <c r="G153" s="13">
        <f>SUMIFS('渠道充值成功率_底稿'!$F:$F,'渠道充值成功率_底稿'!$A:$A,$A153,'渠道充值成功率_底稿'!$B:$B,G$1)</f>
        <v>86</v>
      </c>
      <c r="H153" s="13">
        <f>SUMIFS('渠道充值成功率_底稿'!$F:$F,'渠道充值成功率_底稿'!$A:$A,$A153,'渠道充值成功率_底稿'!$B:$B,H$1)</f>
        <v>0</v>
      </c>
      <c r="I153" s="13">
        <f>SUMIFS('渠道充值成功率_底稿'!$F:$F,'渠道充值成功率_底稿'!$A:$A,$A153,'渠道充值成功率_底稿'!$B:$B,I$1)</f>
        <v>0</v>
      </c>
      <c r="J153" s="13">
        <f>SUMIFS('渠道充值成功率_底稿'!$F:$F,'渠道充值成功率_底稿'!$A:$A,$A153,'渠道充值成功率_底稿'!$B:$B,J$1)</f>
        <v>0</v>
      </c>
      <c r="K153" s="13">
        <f>SUMIFS('渠道充值成功率_底稿'!$F:$F,'渠道充值成功率_底稿'!$A:$A,$A153,'渠道充值成功率_底稿'!$B:$B,K$1)</f>
        <v>1</v>
      </c>
      <c r="L153" s="14">
        <f>SUMIFS('渠道充值成功率_底稿'!$F:$F,'渠道充值成功率_底稿'!$A:$A,$A153,'渠道充值成功率_底稿'!$B:$B,L$1)</f>
        <v>0</v>
      </c>
    </row>
    <row r="154">
      <c r="A154" s="6">
        <f>B152</f>
        <v>46079</v>
      </c>
      <c r="B154" s="11"/>
      <c r="C154" s="15" t="s">
        <v>13</v>
      </c>
      <c r="D154" s="16">
        <f t="shared" ref="D154:L154" si="51">IFERROR(ROUND(D153/D152,6),"0")</f>
        <v>0.67228</v>
      </c>
      <c r="E154" s="16">
        <f t="shared" si="51"/>
        <v>0.470588</v>
      </c>
      <c r="F154" s="16">
        <f t="shared" si="51"/>
        <v>0.465116</v>
      </c>
      <c r="G154" s="16">
        <f t="shared" si="51"/>
        <v>0.774775</v>
      </c>
      <c r="H154" s="16" t="str">
        <f t="shared" si="51"/>
        <v>0</v>
      </c>
      <c r="I154" s="16" t="str">
        <f t="shared" si="51"/>
        <v>0</v>
      </c>
      <c r="J154" s="16" t="str">
        <f t="shared" si="51"/>
        <v>0</v>
      </c>
      <c r="K154" s="16">
        <f t="shared" si="51"/>
        <v>1</v>
      </c>
      <c r="L154" s="17" t="str">
        <f t="shared" si="51"/>
        <v>0</v>
      </c>
    </row>
    <row r="155">
      <c r="A155" s="6">
        <f>B152</f>
        <v>46079</v>
      </c>
      <c r="B155" s="11"/>
      <c r="C155" s="12" t="s">
        <v>14</v>
      </c>
      <c r="D155" s="18">
        <f>SUMIFS('渠道充值成功率_底稿'!$D:$D,'渠道充值成功率_底稿'!$A:$A,$A156,'渠道充值成功率_底稿'!$B:$B,D$1)</f>
        <v>114142</v>
      </c>
      <c r="E155" s="18">
        <f>SUMIFS('渠道充值成功率_底稿'!$D:$D,'渠道充值成功率_底稿'!$A:$A,$A155,'渠道充值成功率_底稿'!$B:$B,E$1)</f>
        <v>4990</v>
      </c>
      <c r="F155" s="18">
        <f>SUMIFS('渠道充值成功率_底稿'!$D:$D,'渠道充值成功率_底稿'!$A:$A,$A155,'渠道充值成功率_底稿'!$B:$B,F$1)</f>
        <v>6230</v>
      </c>
      <c r="G155" s="18">
        <f>SUMIFS('渠道充值成功率_底稿'!$D:$D,'渠道充值成功率_底稿'!$A:$A,$A155,'渠道充值成功率_底稿'!$B:$B,G$1)</f>
        <v>13964</v>
      </c>
      <c r="H155" s="18">
        <f>SUMIFS('渠道充值成功率_底稿'!$D:$D,'渠道充值成功率_底稿'!$A:$A,$A155,'渠道充值成功率_底稿'!$B:$B,H$1)</f>
        <v>0</v>
      </c>
      <c r="I155" s="18">
        <f>SUMIFS('渠道充值成功率_底稿'!$D:$D,'渠道充值成功率_底稿'!$A:$A,$A155,'渠道充值成功率_底稿'!$B:$B,I$1)</f>
        <v>0</v>
      </c>
      <c r="J155" s="18">
        <f>SUMIFS('渠道充值成功率_底稿'!$D:$D,'渠道充值成功率_底稿'!$A:$A,$A155,'渠道充值成功率_底稿'!$B:$B,J$1)</f>
        <v>0</v>
      </c>
      <c r="K155" s="18">
        <f>SUMIFS('渠道充值成功率_底稿'!$D:$D,'渠道充值成功率_底稿'!$A:$A,$A155,'渠道充值成功率_底稿'!$B:$B,K$1)</f>
        <v>200</v>
      </c>
      <c r="L155" s="14">
        <f>SUMIFS('渠道充值成功率_底稿'!$D:$D,'渠道充值成功率_底稿'!$A:$A,$A155,'渠道充值成功率_底稿'!$B:$B,L$1)</f>
        <v>0</v>
      </c>
    </row>
    <row r="156">
      <c r="A156" s="6">
        <f>B152</f>
        <v>46079</v>
      </c>
      <c r="B156" s="11"/>
      <c r="C156" s="19" t="s">
        <v>15</v>
      </c>
      <c r="D156" s="18">
        <f>SUMIFS('渠道充值成功率_底稿'!$G:$G,'渠道充值成功率_底稿'!$A:$A,$A157,'渠道充值成功率_底稿'!$B:$B,D$1)</f>
        <v>78137</v>
      </c>
      <c r="E156" s="18">
        <f>SUMIFS('渠道充值成功率_底稿'!$G:$G,'渠道充值成功率_底稿'!$A:$A,$A156,'渠道充值成功率_底稿'!$B:$B,E$1)</f>
        <v>4090</v>
      </c>
      <c r="F156" s="18">
        <f>SUMIFS('渠道充值成功率_底稿'!$G:$G,'渠道充值成功率_底稿'!$A:$A,$A156,'渠道充值成功率_底稿'!$B:$B,F$1)</f>
        <v>2830</v>
      </c>
      <c r="G156" s="18">
        <f>SUMIFS('渠道充值成功率_底稿'!$G:$G,'渠道充值成功率_底稿'!$A:$A,$A156,'渠道充值成功率_底稿'!$B:$B,G$1)</f>
        <v>11216</v>
      </c>
      <c r="H156" s="18">
        <f>SUMIFS('渠道充值成功率_底稿'!$G:$G,'渠道充值成功率_底稿'!$A:$A,$A156,'渠道充值成功率_底稿'!$B:$B,H$1)</f>
        <v>0</v>
      </c>
      <c r="I156" s="18">
        <f>SUMIFS('渠道充值成功率_底稿'!$G:$G,'渠道充值成功率_底稿'!$A:$A,$A156,'渠道充值成功率_底稿'!$B:$B,I$1)</f>
        <v>0</v>
      </c>
      <c r="J156" s="18">
        <f>SUMIFS('渠道充值成功率_底稿'!$G:$G,'渠道充值成功率_底稿'!$A:$A,$A156,'渠道充值成功率_底稿'!$B:$B,J$1)</f>
        <v>0</v>
      </c>
      <c r="K156" s="18">
        <f>SUMIFS('渠道充值成功率_底稿'!$G:$G,'渠道充值成功率_底稿'!$A:$A,$A156,'渠道充值成功率_底稿'!$B:$B,K$1)</f>
        <v>200</v>
      </c>
      <c r="L156" s="14">
        <f>SUMIFS('渠道充值成功率_底稿'!$G:$G,'渠道充值成功率_底稿'!$A:$A,$A156,'渠道充值成功率_底稿'!$B:$B,L$1)</f>
        <v>0</v>
      </c>
    </row>
    <row r="157">
      <c r="A157" s="6">
        <f>B152</f>
        <v>46079</v>
      </c>
      <c r="B157" s="20"/>
      <c r="C157" s="21" t="s">
        <v>16</v>
      </c>
      <c r="D157" s="22">
        <f t="shared" ref="D157:L157" si="52">IFERROR(ROUND(D156/D155,6),"0")</f>
        <v>0.68456</v>
      </c>
      <c r="E157" s="22">
        <f t="shared" si="52"/>
        <v>0.819639</v>
      </c>
      <c r="F157" s="22">
        <f t="shared" si="52"/>
        <v>0.454254</v>
      </c>
      <c r="G157" s="22">
        <f t="shared" si="52"/>
        <v>0.803208</v>
      </c>
      <c r="H157" s="22" t="str">
        <f t="shared" si="52"/>
        <v>0</v>
      </c>
      <c r="I157" s="22" t="str">
        <f t="shared" si="52"/>
        <v>0</v>
      </c>
      <c r="J157" s="22" t="str">
        <f t="shared" si="52"/>
        <v>0</v>
      </c>
      <c r="K157" s="22">
        <f t="shared" si="52"/>
        <v>1</v>
      </c>
      <c r="L157" s="23" t="str">
        <f t="shared" si="52"/>
        <v>0</v>
      </c>
    </row>
    <row r="158">
      <c r="A158" s="6">
        <f>B158</f>
        <v>46080</v>
      </c>
      <c r="B158" s="24">
        <f>B152+1</f>
        <v>46080</v>
      </c>
      <c r="C158" s="8" t="s">
        <v>11</v>
      </c>
      <c r="D158" s="9">
        <f>SUMIFS('渠道充值成功率_底稿'!$C:$C,'渠道充值成功率_底稿'!$A:$A,$A158,'渠道充值成功率_底稿'!$B:$B,D$1)</f>
        <v>529</v>
      </c>
      <c r="E158" s="9">
        <f>SUMIFS('渠道充值成功率_底稿'!$C:$C,'渠道充值成功率_底稿'!$A:$A,$A158,'渠道充值成功率_底稿'!$B:$B,E$1)</f>
        <v>17</v>
      </c>
      <c r="F158" s="9">
        <f>SUMIFS('渠道充值成功率_底稿'!$C:$C,'渠道充值成功率_底稿'!$A:$A,$A158,'渠道充值成功率_底稿'!$B:$B,F$1)</f>
        <v>45</v>
      </c>
      <c r="G158" s="9">
        <f>SUMIFS('渠道充值成功率_底稿'!$C:$C,'渠道充值成功率_底稿'!$A:$A,$A158,'渠道充值成功率_底稿'!$B:$B,G$1)</f>
        <v>66</v>
      </c>
      <c r="H158" s="9">
        <f>SUMIFS('渠道充值成功率_底稿'!$C:$C,'渠道充值成功率_底稿'!$A:$A,$A158,'渠道充值成功率_底稿'!$B:$B,H$1)</f>
        <v>0</v>
      </c>
      <c r="I158" s="9">
        <f>SUMIFS('渠道充值成功率_底稿'!$C:$C,'渠道充值成功率_底稿'!$A:$A,$A158,'渠道充值成功率_底稿'!$B:$B,I$1)</f>
        <v>0</v>
      </c>
      <c r="J158" s="9">
        <f>SUMIFS('渠道充值成功率_底稿'!$C:$C,'渠道充值成功率_底稿'!$A:$A,$A158,'渠道充值成功率_底稿'!$B:$B,J$1)</f>
        <v>0</v>
      </c>
      <c r="K158" s="9">
        <f>SUMIFS('渠道充值成功率_底稿'!$C:$C,'渠道充值成功率_底稿'!$A:$A,$A158,'渠道充值成功率_底稿'!$B:$B,K$1)</f>
        <v>1</v>
      </c>
      <c r="L158" s="10">
        <f>SUMIFS('渠道充值成功率_底稿'!$C:$C,'渠道充值成功率_底稿'!$A:$A,$A158,'渠道充值成功率_底稿'!$B:$B,L$1)</f>
        <v>0</v>
      </c>
    </row>
    <row r="159">
      <c r="A159" s="6">
        <f>B158</f>
        <v>46080</v>
      </c>
      <c r="B159" s="11"/>
      <c r="C159" s="12" t="s">
        <v>12</v>
      </c>
      <c r="D159" s="13">
        <f>SUMIFS('渠道充值成功率_底稿'!$F:$F,'渠道充值成功率_底稿'!$A:$A,$A159,'渠道充值成功率_底稿'!$B:$B,D$1)</f>
        <v>421</v>
      </c>
      <c r="E159" s="13">
        <f>SUMIFS('渠道充值成功率_底稿'!$F:$F,'渠道充值成功率_底稿'!$A:$A,$A159,'渠道充值成功率_底稿'!$B:$B,E$1)</f>
        <v>16</v>
      </c>
      <c r="F159" s="13">
        <f>SUMIFS('渠道充值成功率_底稿'!$F:$F,'渠道充值成功率_底稿'!$A:$A,$A159,'渠道充值成功率_底稿'!$B:$B,F$1)</f>
        <v>29</v>
      </c>
      <c r="G159" s="13">
        <f>SUMIFS('渠道充值成功率_底稿'!$F:$F,'渠道充值成功率_底稿'!$A:$A,$A159,'渠道充值成功率_底稿'!$B:$B,G$1)</f>
        <v>52</v>
      </c>
      <c r="H159" s="13">
        <f>SUMIFS('渠道充值成功率_底稿'!$F:$F,'渠道充值成功率_底稿'!$A:$A,$A159,'渠道充值成功率_底稿'!$B:$B,H$1)</f>
        <v>0</v>
      </c>
      <c r="I159" s="13">
        <f>SUMIFS('渠道充值成功率_底稿'!$F:$F,'渠道充值成功率_底稿'!$A:$A,$A159,'渠道充值成功率_底稿'!$B:$B,I$1)</f>
        <v>0</v>
      </c>
      <c r="J159" s="13">
        <f>SUMIFS('渠道充值成功率_底稿'!$F:$F,'渠道充值成功率_底稿'!$A:$A,$A159,'渠道充值成功率_底稿'!$B:$B,J$1)</f>
        <v>0</v>
      </c>
      <c r="K159" s="13">
        <f>SUMIFS('渠道充值成功率_底稿'!$F:$F,'渠道充值成功率_底稿'!$A:$A,$A159,'渠道充值成功率_底稿'!$B:$B,K$1)</f>
        <v>1</v>
      </c>
      <c r="L159" s="14">
        <f>SUMIFS('渠道充值成功率_底稿'!$F:$F,'渠道充值成功率_底稿'!$A:$A,$A159,'渠道充值成功率_底稿'!$B:$B,L$1)</f>
        <v>0</v>
      </c>
    </row>
    <row r="160">
      <c r="A160" s="6">
        <f>B158</f>
        <v>46080</v>
      </c>
      <c r="B160" s="11"/>
      <c r="C160" s="15" t="s">
        <v>13</v>
      </c>
      <c r="D160" s="16">
        <f t="shared" ref="D160:L160" si="53">IFERROR(ROUND(D159/D158,6),"0")</f>
        <v>0.795841</v>
      </c>
      <c r="E160" s="16">
        <f t="shared" si="53"/>
        <v>0.941176</v>
      </c>
      <c r="F160" s="16">
        <f t="shared" si="53"/>
        <v>0.644444</v>
      </c>
      <c r="G160" s="16">
        <f t="shared" si="53"/>
        <v>0.787879</v>
      </c>
      <c r="H160" s="16" t="str">
        <f t="shared" si="53"/>
        <v>0</v>
      </c>
      <c r="I160" s="16" t="str">
        <f t="shared" si="53"/>
        <v>0</v>
      </c>
      <c r="J160" s="16" t="str">
        <f t="shared" si="53"/>
        <v>0</v>
      </c>
      <c r="K160" s="16">
        <f t="shared" si="53"/>
        <v>1</v>
      </c>
      <c r="L160" s="17" t="str">
        <f t="shared" si="53"/>
        <v>0</v>
      </c>
    </row>
    <row r="161">
      <c r="A161" s="6">
        <f>B158</f>
        <v>46080</v>
      </c>
      <c r="B161" s="11"/>
      <c r="C161" s="12" t="s">
        <v>14</v>
      </c>
      <c r="D161" s="18">
        <f>SUMIFS('渠道充值成功率_底稿'!$D:$D,'渠道充值成功率_底稿'!$A:$A,$A162,'渠道充值成功率_底稿'!$B:$B,D$1)</f>
        <v>95028</v>
      </c>
      <c r="E161" s="18">
        <f>SUMIFS('渠道充值成功率_底稿'!$D:$D,'渠道充值成功率_底稿'!$A:$A,$A161,'渠道充值成功率_底稿'!$B:$B,E$1)</f>
        <v>10960</v>
      </c>
      <c r="F161" s="18">
        <f>SUMIFS('渠道充值成功率_底稿'!$D:$D,'渠道充值成功率_底稿'!$A:$A,$A161,'渠道充值成功率_底稿'!$B:$B,F$1)</f>
        <v>9700</v>
      </c>
      <c r="G161" s="18">
        <f>SUMIFS('渠道充值成功率_底稿'!$D:$D,'渠道充值成功率_底稿'!$A:$A,$A161,'渠道充值成功率_底稿'!$B:$B,G$1)</f>
        <v>6499</v>
      </c>
      <c r="H161" s="18">
        <f>SUMIFS('渠道充值成功率_底稿'!$D:$D,'渠道充值成功率_底稿'!$A:$A,$A161,'渠道充值成功率_底稿'!$B:$B,H$1)</f>
        <v>0</v>
      </c>
      <c r="I161" s="18">
        <f>SUMIFS('渠道充值成功率_底稿'!$D:$D,'渠道充值成功率_底稿'!$A:$A,$A161,'渠道充值成功率_底稿'!$B:$B,I$1)</f>
        <v>0</v>
      </c>
      <c r="J161" s="18">
        <f>SUMIFS('渠道充值成功率_底稿'!$D:$D,'渠道充值成功率_底稿'!$A:$A,$A161,'渠道充值成功率_底稿'!$B:$B,J$1)</f>
        <v>0</v>
      </c>
      <c r="K161" s="18">
        <f>SUMIFS('渠道充值成功率_底稿'!$D:$D,'渠道充值成功率_底稿'!$A:$A,$A161,'渠道充值成功率_底稿'!$B:$B,K$1)</f>
        <v>100</v>
      </c>
      <c r="L161" s="14">
        <f>SUMIFS('渠道充值成功率_底稿'!$D:$D,'渠道充值成功率_底稿'!$A:$A,$A161,'渠道充值成功率_底稿'!$B:$B,L$1)</f>
        <v>0</v>
      </c>
    </row>
    <row r="162">
      <c r="A162" s="6">
        <f>B158</f>
        <v>46080</v>
      </c>
      <c r="B162" s="11"/>
      <c r="C162" s="19" t="s">
        <v>15</v>
      </c>
      <c r="D162" s="18">
        <f>SUMIFS('渠道充值成功率_底稿'!$G:$G,'渠道充值成功率_底稿'!$A:$A,$A163,'渠道充值成功率_底稿'!$B:$B,D$1)</f>
        <v>73303</v>
      </c>
      <c r="E162" s="18">
        <f>SUMIFS('渠道充值成功率_底稿'!$G:$G,'渠道充值成功率_底稿'!$A:$A,$A162,'渠道充值成功率_底稿'!$B:$B,E$1)</f>
        <v>9960</v>
      </c>
      <c r="F162" s="18">
        <f>SUMIFS('渠道充值成功率_底稿'!$G:$G,'渠道充值成功率_底稿'!$A:$A,$A162,'渠道充值成功率_底稿'!$B:$B,F$1)</f>
        <v>6300</v>
      </c>
      <c r="G162" s="18">
        <f>SUMIFS('渠道充值成功率_底稿'!$G:$G,'渠道充值成功率_底稿'!$A:$A,$A162,'渠道充值成功率_底稿'!$B:$B,G$1)</f>
        <v>5299</v>
      </c>
      <c r="H162" s="18">
        <f>SUMIFS('渠道充值成功率_底稿'!$G:$G,'渠道充值成功率_底稿'!$A:$A,$A162,'渠道充值成功率_底稿'!$B:$B,H$1)</f>
        <v>0</v>
      </c>
      <c r="I162" s="18">
        <f>SUMIFS('渠道充值成功率_底稿'!$G:$G,'渠道充值成功率_底稿'!$A:$A,$A162,'渠道充值成功率_底稿'!$B:$B,I$1)</f>
        <v>0</v>
      </c>
      <c r="J162" s="18">
        <f>SUMIFS('渠道充值成功率_底稿'!$G:$G,'渠道充值成功率_底稿'!$A:$A,$A162,'渠道充值成功率_底稿'!$B:$B,J$1)</f>
        <v>0</v>
      </c>
      <c r="K162" s="18">
        <f>SUMIFS('渠道充值成功率_底稿'!$G:$G,'渠道充值成功率_底稿'!$A:$A,$A162,'渠道充值成功率_底稿'!$B:$B,K$1)</f>
        <v>100</v>
      </c>
      <c r="L162" s="14">
        <f>SUMIFS('渠道充值成功率_底稿'!$G:$G,'渠道充值成功率_底稿'!$A:$A,$A162,'渠道充值成功率_底稿'!$B:$B,L$1)</f>
        <v>0</v>
      </c>
    </row>
    <row r="163">
      <c r="A163" s="6">
        <f>B158</f>
        <v>46080</v>
      </c>
      <c r="B163" s="20"/>
      <c r="C163" s="21" t="s">
        <v>16</v>
      </c>
      <c r="D163" s="22">
        <f t="shared" ref="D163:L163" si="54">IFERROR(ROUND(D162/D161,6),"0")</f>
        <v>0.771383</v>
      </c>
      <c r="E163" s="22">
        <f t="shared" si="54"/>
        <v>0.908759</v>
      </c>
      <c r="F163" s="22">
        <f t="shared" si="54"/>
        <v>0.649485</v>
      </c>
      <c r="G163" s="22">
        <f t="shared" si="54"/>
        <v>0.815356</v>
      </c>
      <c r="H163" s="22" t="str">
        <f t="shared" si="54"/>
        <v>0</v>
      </c>
      <c r="I163" s="22" t="str">
        <f t="shared" si="54"/>
        <v>0</v>
      </c>
      <c r="J163" s="22" t="str">
        <f t="shared" si="54"/>
        <v>0</v>
      </c>
      <c r="K163" s="22">
        <f t="shared" si="54"/>
        <v>1</v>
      </c>
      <c r="L163" s="23" t="str">
        <f t="shared" si="54"/>
        <v>0</v>
      </c>
    </row>
    <row r="164">
      <c r="A164" s="6">
        <f>B164</f>
        <v>46081</v>
      </c>
      <c r="B164" s="24">
        <f>B158+1</f>
        <v>46081</v>
      </c>
      <c r="C164" s="8" t="s">
        <v>11</v>
      </c>
      <c r="D164" s="9">
        <f>SUMIFS('渠道充值成功率_底稿'!$C:$C,'渠道充值成功率_底稿'!$A:$A,$A164,'渠道充值成功率_底稿'!$B:$B,D$1)</f>
        <v>1227</v>
      </c>
      <c r="E164" s="9">
        <f>SUMIFS('渠道充值成功率_底稿'!$C:$C,'渠道充值成功率_底稿'!$A:$A,$A164,'渠道充值成功率_底稿'!$B:$B,E$1)</f>
        <v>41</v>
      </c>
      <c r="F164" s="9">
        <f>SUMIFS('渠道充值成功率_底稿'!$C:$C,'渠道充值成功率_底稿'!$A:$A,$A164,'渠道充值成功率_底稿'!$B:$B,F$1)</f>
        <v>131</v>
      </c>
      <c r="G164" s="9">
        <f>SUMIFS('渠道充值成功率_底稿'!$C:$C,'渠道充值成功率_底稿'!$A:$A,$A164,'渠道充值成功率_底稿'!$B:$B,G$1)</f>
        <v>125</v>
      </c>
      <c r="H164" s="9">
        <f>SUMIFS('渠道充值成功率_底稿'!$C:$C,'渠道充值成功率_底稿'!$A:$A,$A164,'渠道充值成功率_底稿'!$B:$B,H$1)</f>
        <v>0</v>
      </c>
      <c r="I164" s="9">
        <f>SUMIFS('渠道充值成功率_底稿'!$C:$C,'渠道充值成功率_底稿'!$A:$A,$A164,'渠道充值成功率_底稿'!$B:$B,I$1)</f>
        <v>0</v>
      </c>
      <c r="J164" s="9">
        <f>SUMIFS('渠道充值成功率_底稿'!$C:$C,'渠道充值成功率_底稿'!$A:$A,$A164,'渠道充值成功率_底稿'!$B:$B,J$1)</f>
        <v>0</v>
      </c>
      <c r="K164" s="9">
        <f>SUMIFS('渠道充值成功率_底稿'!$C:$C,'渠道充值成功率_底稿'!$A:$A,$A164,'渠道充值成功率_底稿'!$B:$B,K$1)</f>
        <v>0</v>
      </c>
      <c r="L164" s="10">
        <f>SUMIFS('渠道充值成功率_底稿'!$C:$C,'渠道充值成功率_底稿'!$A:$A,$A164,'渠道充值成功率_底稿'!$B:$B,L$1)</f>
        <v>0</v>
      </c>
    </row>
    <row r="165">
      <c r="A165" s="6">
        <f>B164</f>
        <v>46081</v>
      </c>
      <c r="B165" s="11"/>
      <c r="C165" s="12" t="s">
        <v>12</v>
      </c>
      <c r="D165" s="13">
        <f>SUMIFS('渠道充值成功率_底稿'!$F:$F,'渠道充值成功率_底稿'!$A:$A,$A165,'渠道充值成功率_底稿'!$B:$B,D$1)</f>
        <v>526</v>
      </c>
      <c r="E165" s="13">
        <f>SUMIFS('渠道充值成功率_底稿'!$F:$F,'渠道充值成功率_底稿'!$A:$A,$A165,'渠道充值成功率_底稿'!$B:$B,E$1)</f>
        <v>37</v>
      </c>
      <c r="F165" s="13">
        <f>SUMIFS('渠道充值成功率_底稿'!$F:$F,'渠道充值成功率_底稿'!$A:$A,$A165,'渠道充值成功率_底稿'!$B:$B,F$1)</f>
        <v>19</v>
      </c>
      <c r="G165" s="13">
        <f>SUMIFS('渠道充值成功率_底稿'!$F:$F,'渠道充值成功率_底稿'!$A:$A,$A165,'渠道充值成功率_底稿'!$B:$B,G$1)</f>
        <v>97</v>
      </c>
      <c r="H165" s="13">
        <f>SUMIFS('渠道充值成功率_底稿'!$F:$F,'渠道充值成功率_底稿'!$A:$A,$A165,'渠道充值成功率_底稿'!$B:$B,H$1)</f>
        <v>0</v>
      </c>
      <c r="I165" s="13">
        <f>SUMIFS('渠道充值成功率_底稿'!$F:$F,'渠道充值成功率_底稿'!$A:$A,$A165,'渠道充值成功率_底稿'!$B:$B,I$1)</f>
        <v>0</v>
      </c>
      <c r="J165" s="13">
        <f>SUMIFS('渠道充值成功率_底稿'!$F:$F,'渠道充值成功率_底稿'!$A:$A,$A165,'渠道充值成功率_底稿'!$B:$B,J$1)</f>
        <v>0</v>
      </c>
      <c r="K165" s="13">
        <f>SUMIFS('渠道充值成功率_底稿'!$F:$F,'渠道充值成功率_底稿'!$A:$A,$A165,'渠道充值成功率_底稿'!$B:$B,K$1)</f>
        <v>0</v>
      </c>
      <c r="L165" s="14">
        <f>SUMIFS('渠道充值成功率_底稿'!$F:$F,'渠道充值成功率_底稿'!$A:$A,$A165,'渠道充值成功率_底稿'!$B:$B,L$1)</f>
        <v>0</v>
      </c>
    </row>
    <row r="166">
      <c r="A166" s="6">
        <f>B164</f>
        <v>46081</v>
      </c>
      <c r="B166" s="11"/>
      <c r="C166" s="15" t="s">
        <v>13</v>
      </c>
      <c r="D166" s="16">
        <f t="shared" ref="D166:L166" si="55">IFERROR(ROUND(D165/D164,6),"0")</f>
        <v>0.428688</v>
      </c>
      <c r="E166" s="16">
        <f t="shared" si="55"/>
        <v>0.902439</v>
      </c>
      <c r="F166" s="16">
        <f t="shared" si="55"/>
        <v>0.145038</v>
      </c>
      <c r="G166" s="16">
        <f t="shared" si="55"/>
        <v>0.776</v>
      </c>
      <c r="H166" s="16" t="str">
        <f t="shared" si="55"/>
        <v>0</v>
      </c>
      <c r="I166" s="16" t="str">
        <f t="shared" si="55"/>
        <v>0</v>
      </c>
      <c r="J166" s="16" t="str">
        <f t="shared" si="55"/>
        <v>0</v>
      </c>
      <c r="K166" s="16" t="str">
        <f t="shared" si="55"/>
        <v>0</v>
      </c>
      <c r="L166" s="17" t="str">
        <f t="shared" si="55"/>
        <v>0</v>
      </c>
    </row>
    <row r="167">
      <c r="A167" s="6">
        <f>B164</f>
        <v>46081</v>
      </c>
      <c r="B167" s="11"/>
      <c r="C167" s="12" t="s">
        <v>14</v>
      </c>
      <c r="D167" s="18">
        <f>SUMIFS('渠道充值成功率_底稿'!$D:$D,'渠道充值成功率_底稿'!$A:$A,$A168,'渠道充值成功率_底稿'!$B:$B,D$1)</f>
        <v>156739</v>
      </c>
      <c r="E167" s="18">
        <f>SUMIFS('渠道充值成功率_底稿'!$D:$D,'渠道充值成功率_底稿'!$A:$A,$A167,'渠道充值成功率_底稿'!$B:$B,E$1)</f>
        <v>11904</v>
      </c>
      <c r="F167" s="18">
        <f>SUMIFS('渠道充值成功率_底稿'!$D:$D,'渠道充值成功率_底稿'!$A:$A,$A167,'渠道充值成功率_底稿'!$B:$B,F$1)</f>
        <v>18626</v>
      </c>
      <c r="G167" s="18">
        <f>SUMIFS('渠道充值成功率_底稿'!$D:$D,'渠道充值成功率_底稿'!$A:$A,$A167,'渠道充值成功率_底稿'!$B:$B,G$1)</f>
        <v>15376</v>
      </c>
      <c r="H167" s="18">
        <f>SUMIFS('渠道充值成功率_底稿'!$D:$D,'渠道充值成功率_底稿'!$A:$A,$A167,'渠道充值成功率_底稿'!$B:$B,H$1)</f>
        <v>0</v>
      </c>
      <c r="I167" s="18">
        <f>SUMIFS('渠道充值成功率_底稿'!$D:$D,'渠道充值成功率_底稿'!$A:$A,$A167,'渠道充值成功率_底稿'!$B:$B,I$1)</f>
        <v>0</v>
      </c>
      <c r="J167" s="18">
        <f>SUMIFS('渠道充值成功率_底稿'!$D:$D,'渠道充值成功率_底稿'!$A:$A,$A167,'渠道充值成功率_底稿'!$B:$B,J$1)</f>
        <v>0</v>
      </c>
      <c r="K167" s="18">
        <f>SUMIFS('渠道充值成功率_底稿'!$D:$D,'渠道充值成功率_底稿'!$A:$A,$A167,'渠道充值成功率_底稿'!$B:$B,K$1)</f>
        <v>0</v>
      </c>
      <c r="L167" s="14">
        <f>SUMIFS('渠道充值成功率_底稿'!$D:$D,'渠道充值成功率_底稿'!$A:$A,$A167,'渠道充值成功率_底稿'!$B:$B,L$1)</f>
        <v>0</v>
      </c>
    </row>
    <row r="168">
      <c r="A168" s="6">
        <f>B164</f>
        <v>46081</v>
      </c>
      <c r="B168" s="11"/>
      <c r="C168" s="19" t="s">
        <v>15</v>
      </c>
      <c r="D168" s="18">
        <f>SUMIFS('渠道充值成功率_底稿'!$G:$G,'渠道充值成功率_底稿'!$A:$A,$A169,'渠道充值成功率_底稿'!$B:$B,D$1)</f>
        <v>77741</v>
      </c>
      <c r="E168" s="18">
        <f>SUMIFS('渠道充值成功率_底稿'!$G:$G,'渠道充值成功率_底稿'!$A:$A,$A168,'渠道充值成功率_底稿'!$B:$B,E$1)</f>
        <v>10704</v>
      </c>
      <c r="F168" s="18">
        <f>SUMIFS('渠道充值成功率_底稿'!$G:$G,'渠道充值成功率_底稿'!$A:$A,$A168,'渠道充值成功率_底稿'!$B:$B,F$1)</f>
        <v>3824</v>
      </c>
      <c r="G168" s="18">
        <f>SUMIFS('渠道充值成功率_底稿'!$G:$G,'渠道充值成功率_底稿'!$A:$A,$A168,'渠道充值成功率_底稿'!$B:$B,G$1)</f>
        <v>11476</v>
      </c>
      <c r="H168" s="18">
        <f>SUMIFS('渠道充值成功率_底稿'!$G:$G,'渠道充值成功率_底稿'!$A:$A,$A168,'渠道充值成功率_底稿'!$B:$B,H$1)</f>
        <v>0</v>
      </c>
      <c r="I168" s="18">
        <f>SUMIFS('渠道充值成功率_底稿'!$G:$G,'渠道充值成功率_底稿'!$A:$A,$A168,'渠道充值成功率_底稿'!$B:$B,I$1)</f>
        <v>0</v>
      </c>
      <c r="J168" s="18">
        <f>SUMIFS('渠道充值成功率_底稿'!$G:$G,'渠道充值成功率_底稿'!$A:$A,$A168,'渠道充值成功率_底稿'!$B:$B,J$1)</f>
        <v>0</v>
      </c>
      <c r="K168" s="18">
        <f>SUMIFS('渠道充值成功率_底稿'!$G:$G,'渠道充值成功率_底稿'!$A:$A,$A168,'渠道充值成功率_底稿'!$B:$B,K$1)</f>
        <v>0</v>
      </c>
      <c r="L168" s="14">
        <f>SUMIFS('渠道充值成功率_底稿'!$G:$G,'渠道充值成功率_底稿'!$A:$A,$A168,'渠道充值成功率_底稿'!$B:$B,L$1)</f>
        <v>0</v>
      </c>
    </row>
    <row r="169">
      <c r="A169" s="6">
        <f>B164</f>
        <v>46081</v>
      </c>
      <c r="B169" s="20"/>
      <c r="C169" s="21" t="s">
        <v>16</v>
      </c>
      <c r="D169" s="22">
        <f t="shared" ref="D169:L169" si="56">IFERROR(ROUND(D168/D167,6),"0")</f>
        <v>0.49599</v>
      </c>
      <c r="E169" s="22">
        <f t="shared" si="56"/>
        <v>0.899194</v>
      </c>
      <c r="F169" s="22">
        <f t="shared" si="56"/>
        <v>0.205304</v>
      </c>
      <c r="G169" s="22">
        <f t="shared" si="56"/>
        <v>0.746358</v>
      </c>
      <c r="H169" s="22" t="str">
        <f t="shared" si="56"/>
        <v>0</v>
      </c>
      <c r="I169" s="22" t="str">
        <f t="shared" si="56"/>
        <v>0</v>
      </c>
      <c r="J169" s="22" t="str">
        <f t="shared" si="56"/>
        <v>0</v>
      </c>
      <c r="K169" s="22" t="str">
        <f t="shared" si="56"/>
        <v>0</v>
      </c>
      <c r="L169" s="23" t="str">
        <f t="shared" si="56"/>
        <v>0</v>
      </c>
    </row>
  </sheetData>
  <mergeCells count="28">
    <mergeCell ref="B2:B7"/>
    <mergeCell ref="B8:B13"/>
    <mergeCell ref="B14:B19"/>
    <mergeCell ref="B20:B25"/>
    <mergeCell ref="B26:B31"/>
    <mergeCell ref="B32:B37"/>
    <mergeCell ref="B38:B43"/>
    <mergeCell ref="B44:B49"/>
    <mergeCell ref="B50:B55"/>
    <mergeCell ref="B56:B61"/>
    <mergeCell ref="B62:B67"/>
    <mergeCell ref="B68:B73"/>
    <mergeCell ref="B74:B79"/>
    <mergeCell ref="B80:B85"/>
    <mergeCell ref="B128:B133"/>
    <mergeCell ref="B134:B139"/>
    <mergeCell ref="B140:B145"/>
    <mergeCell ref="B146:B151"/>
    <mergeCell ref="B152:B157"/>
    <mergeCell ref="B158:B163"/>
    <mergeCell ref="B164:B169"/>
    <mergeCell ref="B86:B91"/>
    <mergeCell ref="B92:B97"/>
    <mergeCell ref="B98:B103"/>
    <mergeCell ref="B104:B109"/>
    <mergeCell ref="B110:B115"/>
    <mergeCell ref="B116:B121"/>
    <mergeCell ref="B122:B127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5.88"/>
  </cols>
  <sheetData>
    <row r="1">
      <c r="A1" s="25"/>
      <c r="B1" s="25" t="s">
        <v>1</v>
      </c>
    </row>
    <row r="2">
      <c r="A2" s="26" t="s">
        <v>17</v>
      </c>
      <c r="B2" s="26" t="s">
        <v>18</v>
      </c>
      <c r="C2" s="26" t="s">
        <v>11</v>
      </c>
      <c r="D2" s="26" t="s">
        <v>14</v>
      </c>
      <c r="E2" s="26" t="s">
        <v>19</v>
      </c>
      <c r="F2" s="26" t="s">
        <v>12</v>
      </c>
      <c r="G2" s="26" t="s">
        <v>15</v>
      </c>
      <c r="H2" s="26" t="s">
        <v>20</v>
      </c>
      <c r="I2" s="26" t="s">
        <v>21</v>
      </c>
      <c r="J2" s="26" t="s">
        <v>22</v>
      </c>
      <c r="K2" s="26" t="s">
        <v>23</v>
      </c>
      <c r="L2" s="26" t="s">
        <v>24</v>
      </c>
      <c r="M2" s="26" t="s">
        <v>25</v>
      </c>
    </row>
    <row r="3">
      <c r="A3" s="27">
        <v>46064.0</v>
      </c>
      <c r="B3" s="28" t="s">
        <v>9</v>
      </c>
      <c r="C3" s="29">
        <v>2.0</v>
      </c>
      <c r="D3" s="29">
        <v>400.0</v>
      </c>
      <c r="E3" s="29">
        <v>2.0</v>
      </c>
      <c r="F3" s="29">
        <v>2.0</v>
      </c>
      <c r="G3" s="29">
        <v>400.0</v>
      </c>
      <c r="H3" s="29">
        <v>2.0</v>
      </c>
      <c r="I3" s="29">
        <v>2.0</v>
      </c>
      <c r="J3" s="29">
        <v>400.0</v>
      </c>
      <c r="K3" s="29" t="s">
        <v>26</v>
      </c>
      <c r="L3" s="29" t="s">
        <v>27</v>
      </c>
      <c r="M3" s="30">
        <v>8.564814814814815E-4</v>
      </c>
    </row>
    <row r="4">
      <c r="A4" s="27">
        <v>46064.0</v>
      </c>
      <c r="B4" s="31" t="s">
        <v>3</v>
      </c>
      <c r="C4" s="32">
        <v>15.0</v>
      </c>
      <c r="D4" s="33">
        <v>9270.0</v>
      </c>
      <c r="E4" s="32">
        <v>11.0</v>
      </c>
      <c r="F4" s="32">
        <v>14.0</v>
      </c>
      <c r="G4" s="33">
        <v>9070.0</v>
      </c>
      <c r="H4" s="32">
        <v>10.0</v>
      </c>
      <c r="I4" s="32">
        <v>10.0</v>
      </c>
      <c r="J4" s="33">
        <v>2270.0</v>
      </c>
      <c r="K4" s="32" t="s">
        <v>28</v>
      </c>
      <c r="L4" s="32" t="s">
        <v>29</v>
      </c>
      <c r="M4" s="34">
        <v>6.134259259259259E-4</v>
      </c>
    </row>
    <row r="5">
      <c r="A5" s="27">
        <v>46064.0</v>
      </c>
      <c r="B5" s="28" t="s">
        <v>2</v>
      </c>
      <c r="C5" s="29">
        <v>336.0</v>
      </c>
      <c r="D5" s="35">
        <v>45098.0</v>
      </c>
      <c r="E5" s="29">
        <v>261.0</v>
      </c>
      <c r="F5" s="29">
        <v>264.0</v>
      </c>
      <c r="G5" s="35">
        <v>34978.0</v>
      </c>
      <c r="H5" s="29">
        <v>234.0</v>
      </c>
      <c r="I5" s="29">
        <v>233.0</v>
      </c>
      <c r="J5" s="35">
        <v>30238.0</v>
      </c>
      <c r="K5" s="29" t="s">
        <v>30</v>
      </c>
      <c r="L5" s="29" t="s">
        <v>31</v>
      </c>
      <c r="M5" s="30">
        <v>9.953703703703704E-4</v>
      </c>
    </row>
    <row r="6">
      <c r="A6" s="27">
        <v>46064.0</v>
      </c>
      <c r="B6" s="31" t="s">
        <v>4</v>
      </c>
      <c r="C6" s="32">
        <v>7.0</v>
      </c>
      <c r="D6" s="32">
        <v>700.0</v>
      </c>
      <c r="E6" s="32">
        <v>6.0</v>
      </c>
      <c r="F6" s="32">
        <v>6.0</v>
      </c>
      <c r="G6" s="32">
        <v>600.0</v>
      </c>
      <c r="H6" s="32">
        <v>6.0</v>
      </c>
      <c r="I6" s="32">
        <v>6.0</v>
      </c>
      <c r="J6" s="32">
        <v>600.0</v>
      </c>
      <c r="K6" s="32" t="s">
        <v>32</v>
      </c>
      <c r="L6" s="32" t="s">
        <v>33</v>
      </c>
      <c r="M6" s="34">
        <v>6.828703703703704E-4</v>
      </c>
    </row>
    <row r="7">
      <c r="A7" s="27">
        <v>46064.0</v>
      </c>
      <c r="B7" s="28" t="s">
        <v>5</v>
      </c>
      <c r="C7" s="29">
        <v>57.0</v>
      </c>
      <c r="D7" s="35">
        <v>6415.0</v>
      </c>
      <c r="E7" s="29">
        <v>46.0</v>
      </c>
      <c r="F7" s="29">
        <v>45.0</v>
      </c>
      <c r="G7" s="35">
        <v>5665.0</v>
      </c>
      <c r="H7" s="29">
        <v>43.0</v>
      </c>
      <c r="I7" s="29">
        <v>43.0</v>
      </c>
      <c r="J7" s="35">
        <v>5415.0</v>
      </c>
      <c r="K7" s="29" t="s">
        <v>34</v>
      </c>
      <c r="L7" s="29" t="s">
        <v>35</v>
      </c>
      <c r="M7" s="30">
        <v>6.018518518518519E-4</v>
      </c>
    </row>
    <row r="8">
      <c r="A8" s="36"/>
      <c r="B8" s="37"/>
      <c r="C8" s="38"/>
      <c r="D8" s="38"/>
      <c r="E8" s="38"/>
      <c r="F8" s="38"/>
      <c r="G8" s="38"/>
      <c r="H8" s="38"/>
      <c r="I8" s="38"/>
      <c r="J8" s="38"/>
      <c r="K8" s="38"/>
      <c r="L8" s="38"/>
      <c r="M8" s="39"/>
    </row>
    <row r="9">
      <c r="A9" s="27">
        <v>46065.0</v>
      </c>
      <c r="B9" s="28" t="s">
        <v>9</v>
      </c>
      <c r="C9" s="29">
        <v>17.0</v>
      </c>
      <c r="D9" s="35">
        <v>3970.0</v>
      </c>
      <c r="E9" s="29">
        <v>12.0</v>
      </c>
      <c r="F9" s="29">
        <v>16.0</v>
      </c>
      <c r="G9" s="35">
        <v>3870.0</v>
      </c>
      <c r="H9" s="29">
        <v>12.0</v>
      </c>
      <c r="I9" s="29">
        <v>12.0</v>
      </c>
      <c r="J9" s="35">
        <v>3270.0</v>
      </c>
      <c r="K9" s="29" t="s">
        <v>36</v>
      </c>
      <c r="L9" s="29" t="s">
        <v>37</v>
      </c>
      <c r="M9" s="30">
        <v>7.291666666666667E-4</v>
      </c>
    </row>
    <row r="10">
      <c r="A10" s="27">
        <v>46065.0</v>
      </c>
      <c r="B10" s="31" t="s">
        <v>3</v>
      </c>
      <c r="C10" s="40">
        <v>176.0</v>
      </c>
      <c r="D10" s="41">
        <v>41417.0</v>
      </c>
      <c r="E10" s="40">
        <v>145.0</v>
      </c>
      <c r="F10" s="40">
        <v>151.0</v>
      </c>
      <c r="G10" s="41">
        <v>35097.0</v>
      </c>
      <c r="H10" s="40">
        <v>139.0</v>
      </c>
      <c r="I10" s="40">
        <v>125.0</v>
      </c>
      <c r="J10" s="41">
        <v>28610.0</v>
      </c>
      <c r="K10" s="40" t="s">
        <v>38</v>
      </c>
      <c r="L10" s="40" t="s">
        <v>39</v>
      </c>
      <c r="M10" s="42">
        <v>7.407407407407407E-4</v>
      </c>
    </row>
    <row r="11">
      <c r="A11" s="27">
        <v>46065.0</v>
      </c>
      <c r="B11" s="28" t="s">
        <v>2</v>
      </c>
      <c r="C11" s="43">
        <v>3522.0</v>
      </c>
      <c r="D11" s="35">
        <v>594748.0</v>
      </c>
      <c r="E11" s="43">
        <v>2253.0</v>
      </c>
      <c r="F11" s="43">
        <v>2658.0</v>
      </c>
      <c r="G11" s="35">
        <v>393917.0</v>
      </c>
      <c r="H11" s="43">
        <v>2124.0</v>
      </c>
      <c r="I11" s="43">
        <v>2026.0</v>
      </c>
      <c r="J11" s="35">
        <v>297423.0</v>
      </c>
      <c r="K11" s="29" t="s">
        <v>40</v>
      </c>
      <c r="L11" s="29" t="s">
        <v>41</v>
      </c>
      <c r="M11" s="30">
        <v>8.796296296296296E-4</v>
      </c>
    </row>
    <row r="12">
      <c r="A12" s="27">
        <v>46065.0</v>
      </c>
      <c r="B12" s="31" t="s">
        <v>4</v>
      </c>
      <c r="C12" s="32">
        <v>238.0</v>
      </c>
      <c r="D12" s="33">
        <v>45503.0</v>
      </c>
      <c r="E12" s="32">
        <v>170.0</v>
      </c>
      <c r="F12" s="32">
        <v>132.0</v>
      </c>
      <c r="G12" s="33">
        <v>26162.0</v>
      </c>
      <c r="H12" s="32">
        <v>122.0</v>
      </c>
      <c r="I12" s="32">
        <v>107.0</v>
      </c>
      <c r="J12" s="33">
        <v>21600.0</v>
      </c>
      <c r="K12" s="32" t="s">
        <v>42</v>
      </c>
      <c r="L12" s="32" t="s">
        <v>43</v>
      </c>
      <c r="M12" s="34">
        <v>7.060185185185185E-4</v>
      </c>
    </row>
    <row r="13" ht="20.25" customHeight="1">
      <c r="A13" s="27">
        <v>46065.0</v>
      </c>
      <c r="B13" s="28" t="s">
        <v>5</v>
      </c>
      <c r="C13" s="29">
        <v>609.0</v>
      </c>
      <c r="D13" s="35">
        <v>114956.0</v>
      </c>
      <c r="E13" s="29">
        <v>427.0</v>
      </c>
      <c r="F13" s="29">
        <v>487.0</v>
      </c>
      <c r="G13" s="35">
        <v>89690.0</v>
      </c>
      <c r="H13" s="29">
        <v>402.0</v>
      </c>
      <c r="I13" s="29">
        <v>359.0</v>
      </c>
      <c r="J13" s="35">
        <v>60636.0</v>
      </c>
      <c r="K13" s="29" t="s">
        <v>44</v>
      </c>
      <c r="L13" s="29" t="s">
        <v>45</v>
      </c>
      <c r="M13" s="30">
        <v>6.712962962962962E-4</v>
      </c>
    </row>
    <row r="14">
      <c r="A14" s="36"/>
      <c r="B14" s="37"/>
      <c r="C14" s="38"/>
      <c r="D14" s="38"/>
      <c r="E14" s="38"/>
      <c r="F14" s="38"/>
      <c r="G14" s="38"/>
      <c r="H14" s="38"/>
      <c r="I14" s="38"/>
      <c r="J14" s="38"/>
      <c r="K14" s="38"/>
      <c r="L14" s="38"/>
      <c r="M14" s="39"/>
    </row>
    <row r="15">
      <c r="A15" s="27">
        <v>46066.0</v>
      </c>
      <c r="B15" s="44" t="s">
        <v>9</v>
      </c>
      <c r="C15" s="45">
        <v>76.0</v>
      </c>
      <c r="D15" s="45">
        <v>23630.0</v>
      </c>
      <c r="E15" s="45">
        <v>62.0</v>
      </c>
      <c r="F15" s="45">
        <v>59.0</v>
      </c>
      <c r="G15" s="45">
        <v>18270.0</v>
      </c>
      <c r="H15" s="45">
        <v>56.0</v>
      </c>
      <c r="I15" s="45">
        <v>54.0</v>
      </c>
      <c r="J15" s="45">
        <v>16470.0</v>
      </c>
      <c r="K15" s="45">
        <v>77.63</v>
      </c>
      <c r="L15" s="45">
        <v>3.32</v>
      </c>
      <c r="M15" s="46">
        <v>7.060185185185185E-4</v>
      </c>
    </row>
    <row r="16">
      <c r="A16" s="27">
        <v>46066.0</v>
      </c>
      <c r="B16" s="44" t="s">
        <v>3</v>
      </c>
      <c r="C16" s="45">
        <v>145.0</v>
      </c>
      <c r="D16" s="45">
        <v>33078.0</v>
      </c>
      <c r="E16" s="45">
        <v>115.0</v>
      </c>
      <c r="F16" s="45">
        <v>123.0</v>
      </c>
      <c r="G16" s="45">
        <v>28478.0</v>
      </c>
      <c r="H16" s="45">
        <v>106.0</v>
      </c>
      <c r="I16" s="45">
        <v>82.0</v>
      </c>
      <c r="J16" s="45">
        <v>18755.0</v>
      </c>
      <c r="K16" s="45">
        <v>84.82</v>
      </c>
      <c r="L16" s="45">
        <v>5.18</v>
      </c>
      <c r="M16" s="46">
        <v>7.291666666666667E-4</v>
      </c>
    </row>
    <row r="17">
      <c r="A17" s="27">
        <v>46066.0</v>
      </c>
      <c r="B17" s="44" t="s">
        <v>2</v>
      </c>
      <c r="C17" s="45">
        <v>3138.0</v>
      </c>
      <c r="D17" s="45">
        <v>480873.0</v>
      </c>
      <c r="E17" s="45">
        <v>2198.0</v>
      </c>
      <c r="F17" s="45">
        <v>2662.0</v>
      </c>
      <c r="G17" s="45">
        <v>388877.0</v>
      </c>
      <c r="H17" s="45">
        <v>2102.0</v>
      </c>
      <c r="I17" s="45">
        <v>1668.0</v>
      </c>
      <c r="J17" s="45">
        <v>245396.0</v>
      </c>
      <c r="K17" s="45">
        <v>84.83</v>
      </c>
      <c r="L17" s="45">
        <v>70.79</v>
      </c>
      <c r="M17" s="46">
        <v>9.25925925925926E-4</v>
      </c>
    </row>
    <row r="18">
      <c r="A18" s="27">
        <v>46066.0</v>
      </c>
      <c r="B18" s="44" t="s">
        <v>4</v>
      </c>
      <c r="C18" s="45">
        <v>221.0</v>
      </c>
      <c r="D18" s="45">
        <v>45857.0</v>
      </c>
      <c r="E18" s="45">
        <v>163.0</v>
      </c>
      <c r="F18" s="45">
        <v>155.0</v>
      </c>
      <c r="G18" s="45">
        <v>30188.0</v>
      </c>
      <c r="H18" s="45">
        <v>140.0</v>
      </c>
      <c r="I18" s="45">
        <v>103.0</v>
      </c>
      <c r="J18" s="45">
        <v>21798.0</v>
      </c>
      <c r="K18" s="45">
        <v>70.13</v>
      </c>
      <c r="L18" s="45">
        <v>5.49</v>
      </c>
      <c r="M18" s="46">
        <v>0.0010185185185185184</v>
      </c>
    </row>
    <row r="19">
      <c r="A19" s="27">
        <v>46066.0</v>
      </c>
      <c r="B19" s="44" t="s">
        <v>5</v>
      </c>
      <c r="C19" s="45">
        <v>574.0</v>
      </c>
      <c r="D19" s="45">
        <v>101172.0</v>
      </c>
      <c r="E19" s="45">
        <v>427.0</v>
      </c>
      <c r="F19" s="45">
        <v>471.0</v>
      </c>
      <c r="G19" s="45">
        <v>83453.0</v>
      </c>
      <c r="H19" s="45">
        <v>408.0</v>
      </c>
      <c r="I19" s="45">
        <v>337.0</v>
      </c>
      <c r="J19" s="45">
        <v>65947.0</v>
      </c>
      <c r="K19" s="45">
        <v>82.05</v>
      </c>
      <c r="L19" s="45">
        <v>15.19</v>
      </c>
      <c r="M19" s="46">
        <v>6.597222222222222E-4</v>
      </c>
    </row>
    <row r="20">
      <c r="A20" s="36"/>
      <c r="B20" s="37"/>
      <c r="C20" s="38"/>
      <c r="D20" s="38"/>
      <c r="E20" s="38"/>
      <c r="F20" s="38"/>
      <c r="G20" s="38"/>
      <c r="H20" s="38"/>
      <c r="I20" s="38"/>
      <c r="J20" s="38"/>
      <c r="K20" s="38"/>
      <c r="L20" s="38"/>
      <c r="M20" s="39"/>
    </row>
    <row r="21">
      <c r="A21" s="27">
        <v>46067.0</v>
      </c>
      <c r="B21" s="28" t="s">
        <v>2</v>
      </c>
      <c r="C21" s="43">
        <v>2086.0</v>
      </c>
      <c r="D21" s="35">
        <v>341824.0</v>
      </c>
      <c r="E21" s="43">
        <v>1415.0</v>
      </c>
      <c r="F21" s="43">
        <v>1749.0</v>
      </c>
      <c r="G21" s="35">
        <v>283234.0</v>
      </c>
      <c r="H21" s="43">
        <v>1328.0</v>
      </c>
      <c r="I21" s="29">
        <v>859.0</v>
      </c>
      <c r="J21" s="35">
        <v>136474.0</v>
      </c>
      <c r="K21" s="29" t="s">
        <v>46</v>
      </c>
      <c r="L21" s="29" t="s">
        <v>47</v>
      </c>
      <c r="M21" s="30">
        <v>8.680555555555555E-4</v>
      </c>
    </row>
    <row r="22">
      <c r="A22" s="27">
        <v>46067.0</v>
      </c>
      <c r="B22" s="31" t="s">
        <v>3</v>
      </c>
      <c r="C22" s="32">
        <v>104.0</v>
      </c>
      <c r="D22" s="33">
        <v>47720.0</v>
      </c>
      <c r="E22" s="32">
        <v>84.0</v>
      </c>
      <c r="F22" s="32">
        <v>93.0</v>
      </c>
      <c r="G22" s="33">
        <v>44710.0</v>
      </c>
      <c r="H22" s="32">
        <v>80.0</v>
      </c>
      <c r="I22" s="32">
        <v>59.0</v>
      </c>
      <c r="J22" s="33">
        <v>15099.0</v>
      </c>
      <c r="K22" s="32" t="s">
        <v>48</v>
      </c>
      <c r="L22" s="32" t="s">
        <v>49</v>
      </c>
      <c r="M22" s="34">
        <v>7.291666666666667E-4</v>
      </c>
    </row>
    <row r="23">
      <c r="A23" s="27">
        <v>46067.0</v>
      </c>
      <c r="B23" s="28" t="s">
        <v>9</v>
      </c>
      <c r="C23" s="29">
        <v>64.0</v>
      </c>
      <c r="D23" s="35">
        <v>21990.0</v>
      </c>
      <c r="E23" s="29">
        <v>60.0</v>
      </c>
      <c r="F23" s="29">
        <v>62.0</v>
      </c>
      <c r="G23" s="35">
        <v>21390.0</v>
      </c>
      <c r="H23" s="29">
        <v>60.0</v>
      </c>
      <c r="I23" s="29">
        <v>57.0</v>
      </c>
      <c r="J23" s="35">
        <v>20640.0</v>
      </c>
      <c r="K23" s="29" t="s">
        <v>50</v>
      </c>
      <c r="L23" s="29" t="s">
        <v>51</v>
      </c>
      <c r="M23" s="30">
        <v>6.365740740740741E-4</v>
      </c>
    </row>
    <row r="24">
      <c r="A24" s="27">
        <v>46067.0</v>
      </c>
      <c r="B24" s="31" t="s">
        <v>4</v>
      </c>
      <c r="C24" s="32">
        <v>101.0</v>
      </c>
      <c r="D24" s="33">
        <v>22175.0</v>
      </c>
      <c r="E24" s="32">
        <v>74.0</v>
      </c>
      <c r="F24" s="32">
        <v>71.0</v>
      </c>
      <c r="G24" s="33">
        <v>12977.0</v>
      </c>
      <c r="H24" s="32">
        <v>61.0</v>
      </c>
      <c r="I24" s="32">
        <v>39.0</v>
      </c>
      <c r="J24" s="33">
        <v>6280.0</v>
      </c>
      <c r="K24" s="32" t="s">
        <v>52</v>
      </c>
      <c r="L24" s="32" t="s">
        <v>53</v>
      </c>
      <c r="M24" s="34">
        <v>8.101851851851852E-4</v>
      </c>
    </row>
    <row r="25">
      <c r="A25" s="27">
        <v>46067.0</v>
      </c>
      <c r="B25" s="28" t="s">
        <v>5</v>
      </c>
      <c r="C25" s="29">
        <v>349.0</v>
      </c>
      <c r="D25" s="35">
        <v>88258.0</v>
      </c>
      <c r="E25" s="29">
        <v>263.0</v>
      </c>
      <c r="F25" s="29">
        <v>297.0</v>
      </c>
      <c r="G25" s="35">
        <v>79670.0</v>
      </c>
      <c r="H25" s="29">
        <v>249.0</v>
      </c>
      <c r="I25" s="29">
        <v>165.0</v>
      </c>
      <c r="J25" s="35">
        <v>28343.0</v>
      </c>
      <c r="K25" s="29" t="s">
        <v>54</v>
      </c>
      <c r="L25" s="29" t="s">
        <v>55</v>
      </c>
      <c r="M25" s="30">
        <v>7.060185185185185E-4</v>
      </c>
    </row>
    <row r="26">
      <c r="A26" s="36"/>
      <c r="B26" s="37"/>
      <c r="C26" s="38"/>
      <c r="D26" s="38"/>
      <c r="E26" s="38"/>
      <c r="F26" s="38"/>
      <c r="G26" s="38"/>
      <c r="H26" s="38"/>
      <c r="I26" s="38"/>
      <c r="J26" s="38"/>
      <c r="K26" s="38"/>
      <c r="L26" s="38"/>
      <c r="M26" s="39"/>
    </row>
    <row r="27">
      <c r="A27" s="27">
        <v>46068.0</v>
      </c>
      <c r="B27" s="28" t="s">
        <v>2</v>
      </c>
      <c r="C27" s="43">
        <v>1356.0</v>
      </c>
      <c r="D27" s="35">
        <v>190005.0</v>
      </c>
      <c r="E27" s="29">
        <v>848.0</v>
      </c>
      <c r="F27" s="43">
        <v>1073.0</v>
      </c>
      <c r="G27" s="35">
        <v>153442.0</v>
      </c>
      <c r="H27" s="29">
        <v>775.0</v>
      </c>
      <c r="I27" s="29">
        <v>414.0</v>
      </c>
      <c r="J27" s="35">
        <v>56094.0</v>
      </c>
      <c r="K27" s="29" t="s">
        <v>56</v>
      </c>
      <c r="L27" s="29" t="s">
        <v>57</v>
      </c>
      <c r="M27" s="30">
        <v>8.680555555555555E-4</v>
      </c>
    </row>
    <row r="28">
      <c r="A28" s="27">
        <v>46068.0</v>
      </c>
      <c r="B28" s="31" t="s">
        <v>9</v>
      </c>
      <c r="C28" s="32">
        <v>8.0</v>
      </c>
      <c r="D28" s="33">
        <v>2980.0</v>
      </c>
      <c r="E28" s="32">
        <v>6.0</v>
      </c>
      <c r="F28" s="32">
        <v>6.0</v>
      </c>
      <c r="G28" s="33">
        <v>2480.0</v>
      </c>
      <c r="H28" s="32">
        <v>5.0</v>
      </c>
      <c r="I28" s="32">
        <v>4.0</v>
      </c>
      <c r="J28" s="33">
        <v>2280.0</v>
      </c>
      <c r="K28" s="32" t="s">
        <v>58</v>
      </c>
      <c r="L28" s="32" t="s">
        <v>59</v>
      </c>
      <c r="M28" s="34">
        <v>6.597222222222222E-4</v>
      </c>
    </row>
    <row r="29">
      <c r="A29" s="27">
        <v>46068.0</v>
      </c>
      <c r="B29" s="28" t="s">
        <v>3</v>
      </c>
      <c r="C29" s="29">
        <v>33.0</v>
      </c>
      <c r="D29" s="35">
        <v>4520.0</v>
      </c>
      <c r="E29" s="29">
        <v>20.0</v>
      </c>
      <c r="F29" s="29">
        <v>22.0</v>
      </c>
      <c r="G29" s="35">
        <v>3120.0</v>
      </c>
      <c r="H29" s="29">
        <v>14.0</v>
      </c>
      <c r="I29" s="29">
        <v>3.0</v>
      </c>
      <c r="J29" s="29">
        <v>300.0</v>
      </c>
      <c r="K29" s="29" t="s">
        <v>60</v>
      </c>
      <c r="L29" s="29" t="s">
        <v>61</v>
      </c>
      <c r="M29" s="30">
        <v>7.523148148148148E-4</v>
      </c>
    </row>
    <row r="30">
      <c r="A30" s="27">
        <v>46068.0</v>
      </c>
      <c r="B30" s="31" t="s">
        <v>5</v>
      </c>
      <c r="C30" s="32">
        <v>177.0</v>
      </c>
      <c r="D30" s="33">
        <v>21445.0</v>
      </c>
      <c r="E30" s="32">
        <v>121.0</v>
      </c>
      <c r="F30" s="32">
        <v>150.0</v>
      </c>
      <c r="G30" s="33">
        <v>17255.0</v>
      </c>
      <c r="H30" s="32">
        <v>109.0</v>
      </c>
      <c r="I30" s="32">
        <v>51.0</v>
      </c>
      <c r="J30" s="33">
        <v>5420.0</v>
      </c>
      <c r="K30" s="32" t="s">
        <v>62</v>
      </c>
      <c r="L30" s="32" t="s">
        <v>63</v>
      </c>
      <c r="M30" s="34">
        <v>6.597222222222222E-4</v>
      </c>
    </row>
    <row r="31">
      <c r="A31" s="27">
        <v>46068.0</v>
      </c>
      <c r="B31" s="28" t="s">
        <v>4</v>
      </c>
      <c r="C31" s="29">
        <v>124.0</v>
      </c>
      <c r="D31" s="35">
        <v>21716.0</v>
      </c>
      <c r="E31" s="29">
        <v>58.0</v>
      </c>
      <c r="F31" s="29">
        <v>59.0</v>
      </c>
      <c r="G31" s="35">
        <v>10656.0</v>
      </c>
      <c r="H31" s="29">
        <v>36.0</v>
      </c>
      <c r="I31" s="29">
        <v>18.0</v>
      </c>
      <c r="J31" s="35">
        <v>2735.0</v>
      </c>
      <c r="K31" s="29" t="s">
        <v>64</v>
      </c>
      <c r="L31" s="29" t="s">
        <v>65</v>
      </c>
      <c r="M31" s="30">
        <v>8.564814814814815E-4</v>
      </c>
    </row>
    <row r="32">
      <c r="A32" s="36"/>
      <c r="B32" s="37"/>
      <c r="C32" s="38"/>
      <c r="D32" s="38"/>
      <c r="E32" s="38"/>
      <c r="F32" s="38"/>
      <c r="G32" s="38"/>
      <c r="H32" s="38"/>
      <c r="I32" s="38"/>
      <c r="J32" s="38"/>
      <c r="K32" s="38"/>
      <c r="L32" s="38"/>
      <c r="M32" s="39"/>
    </row>
    <row r="33">
      <c r="A33" s="47">
        <v>46069.0</v>
      </c>
      <c r="B33" s="28" t="s">
        <v>2</v>
      </c>
      <c r="C33" s="43">
        <v>1232.0</v>
      </c>
      <c r="D33" s="35">
        <v>190784.0</v>
      </c>
      <c r="E33" s="29">
        <v>756.0</v>
      </c>
      <c r="F33" s="29">
        <v>907.0</v>
      </c>
      <c r="G33" s="35">
        <v>137585.0</v>
      </c>
      <c r="H33" s="29">
        <v>688.0</v>
      </c>
      <c r="I33" s="29">
        <v>339.0</v>
      </c>
      <c r="J33" s="35">
        <v>49268.0</v>
      </c>
      <c r="K33" s="29" t="s">
        <v>66</v>
      </c>
      <c r="L33" s="29" t="s">
        <v>67</v>
      </c>
      <c r="M33" s="30">
        <v>9.837962962962962E-4</v>
      </c>
    </row>
    <row r="34">
      <c r="A34" s="47">
        <v>46069.0</v>
      </c>
      <c r="B34" s="31" t="s">
        <v>3</v>
      </c>
      <c r="C34" s="32">
        <v>63.0</v>
      </c>
      <c r="D34" s="33">
        <v>11471.0</v>
      </c>
      <c r="E34" s="32">
        <v>19.0</v>
      </c>
      <c r="F34" s="32">
        <v>24.0</v>
      </c>
      <c r="G34" s="33">
        <v>3026.0</v>
      </c>
      <c r="H34" s="32">
        <v>17.0</v>
      </c>
      <c r="I34" s="32">
        <v>8.0</v>
      </c>
      <c r="J34" s="32">
        <v>900.0</v>
      </c>
      <c r="K34" s="32" t="s">
        <v>68</v>
      </c>
      <c r="L34" s="32" t="s">
        <v>69</v>
      </c>
      <c r="M34" s="34">
        <v>7.407407407407407E-4</v>
      </c>
    </row>
    <row r="35">
      <c r="A35" s="47">
        <v>46069.0</v>
      </c>
      <c r="B35" s="28" t="s">
        <v>9</v>
      </c>
      <c r="C35" s="29">
        <v>6.0</v>
      </c>
      <c r="D35" s="35">
        <v>1000.0</v>
      </c>
      <c r="E35" s="29">
        <v>4.0</v>
      </c>
      <c r="F35" s="29">
        <v>4.0</v>
      </c>
      <c r="G35" s="29">
        <v>800.0</v>
      </c>
      <c r="H35" s="29">
        <v>3.0</v>
      </c>
      <c r="I35" s="29">
        <v>2.0</v>
      </c>
      <c r="J35" s="29">
        <v>600.0</v>
      </c>
      <c r="K35" s="29" t="s">
        <v>60</v>
      </c>
      <c r="L35" s="29" t="s">
        <v>70</v>
      </c>
      <c r="M35" s="30">
        <v>0.0010763888888888889</v>
      </c>
    </row>
    <row r="36">
      <c r="A36" s="47">
        <v>46069.0</v>
      </c>
      <c r="B36" s="31" t="s">
        <v>5</v>
      </c>
      <c r="C36" s="32">
        <v>162.0</v>
      </c>
      <c r="D36" s="33">
        <v>19899.0</v>
      </c>
      <c r="E36" s="32">
        <v>115.0</v>
      </c>
      <c r="F36" s="32">
        <v>121.0</v>
      </c>
      <c r="G36" s="33">
        <v>15053.0</v>
      </c>
      <c r="H36" s="32">
        <v>101.0</v>
      </c>
      <c r="I36" s="32">
        <v>47.0</v>
      </c>
      <c r="J36" s="33">
        <v>6155.0</v>
      </c>
      <c r="K36" s="32" t="s">
        <v>71</v>
      </c>
      <c r="L36" s="32" t="s">
        <v>72</v>
      </c>
      <c r="M36" s="34">
        <v>6.712962962962962E-4</v>
      </c>
    </row>
    <row r="37">
      <c r="A37" s="47">
        <v>46069.0</v>
      </c>
      <c r="B37" s="28" t="s">
        <v>4</v>
      </c>
      <c r="C37" s="29">
        <v>76.0</v>
      </c>
      <c r="D37" s="35">
        <v>10714.0</v>
      </c>
      <c r="E37" s="29">
        <v>52.0</v>
      </c>
      <c r="F37" s="29">
        <v>38.0</v>
      </c>
      <c r="G37" s="35">
        <v>5000.0</v>
      </c>
      <c r="H37" s="29">
        <v>30.0</v>
      </c>
      <c r="I37" s="29">
        <v>16.0</v>
      </c>
      <c r="J37" s="35">
        <v>2300.0</v>
      </c>
      <c r="K37" s="29" t="s">
        <v>73</v>
      </c>
      <c r="L37" s="29" t="s">
        <v>74</v>
      </c>
      <c r="M37" s="30">
        <v>7.291666666666667E-4</v>
      </c>
    </row>
    <row r="38">
      <c r="A38" s="36"/>
      <c r="B38" s="37"/>
      <c r="C38" s="38"/>
      <c r="D38" s="38"/>
      <c r="E38" s="38"/>
      <c r="F38" s="38"/>
      <c r="G38" s="38"/>
      <c r="H38" s="38"/>
      <c r="I38" s="38"/>
      <c r="J38" s="38"/>
      <c r="K38" s="38"/>
      <c r="L38" s="38"/>
      <c r="M38" s="39"/>
    </row>
    <row r="39">
      <c r="A39" s="47">
        <v>46070.0</v>
      </c>
      <c r="B39" s="26" t="s">
        <v>9</v>
      </c>
      <c r="C39" s="48">
        <v>22.0</v>
      </c>
      <c r="D39" s="48">
        <v>5800.0</v>
      </c>
      <c r="E39" s="48">
        <v>21.0</v>
      </c>
      <c r="F39" s="48">
        <v>20.0</v>
      </c>
      <c r="G39" s="48">
        <v>5600.0</v>
      </c>
      <c r="H39" s="48">
        <v>20.0</v>
      </c>
      <c r="I39" s="48">
        <v>20.0</v>
      </c>
      <c r="J39" s="48">
        <v>5600.0</v>
      </c>
      <c r="K39" s="48">
        <v>90.9</v>
      </c>
      <c r="L39" s="48">
        <v>3.38</v>
      </c>
      <c r="M39" s="49">
        <v>6.25E-4</v>
      </c>
    </row>
    <row r="40">
      <c r="A40" s="47">
        <v>46070.0</v>
      </c>
      <c r="B40" s="26" t="s">
        <v>3</v>
      </c>
      <c r="C40" s="48">
        <v>30.0</v>
      </c>
      <c r="D40" s="48">
        <v>6485.0</v>
      </c>
      <c r="E40" s="48">
        <v>21.0</v>
      </c>
      <c r="F40" s="48">
        <v>28.0</v>
      </c>
      <c r="G40" s="48">
        <v>6185.0</v>
      </c>
      <c r="H40" s="48">
        <v>21.0</v>
      </c>
      <c r="I40" s="48">
        <v>5.0</v>
      </c>
      <c r="J40" s="48">
        <v>1355.0</v>
      </c>
      <c r="K40" s="48">
        <v>93.33</v>
      </c>
      <c r="L40" s="48">
        <v>3.73</v>
      </c>
      <c r="M40" s="49">
        <v>5.671296296296297E-4</v>
      </c>
    </row>
    <row r="41">
      <c r="A41" s="47">
        <v>46070.0</v>
      </c>
      <c r="B41" s="26" t="s">
        <v>2</v>
      </c>
      <c r="C41" s="48">
        <v>1081.0</v>
      </c>
      <c r="D41" s="48">
        <v>166483.0</v>
      </c>
      <c r="E41" s="48">
        <v>708.0</v>
      </c>
      <c r="F41" s="48">
        <v>859.0</v>
      </c>
      <c r="G41" s="48">
        <v>136348.0</v>
      </c>
      <c r="H41" s="48">
        <v>640.0</v>
      </c>
      <c r="I41" s="48">
        <v>306.0</v>
      </c>
      <c r="J41" s="48">
        <v>44430.0</v>
      </c>
      <c r="K41" s="48">
        <v>79.46</v>
      </c>
      <c r="L41" s="48">
        <v>82.3</v>
      </c>
      <c r="M41" s="49">
        <v>7.87037037037037E-4</v>
      </c>
    </row>
    <row r="42">
      <c r="A42" s="47">
        <v>46070.0</v>
      </c>
      <c r="B42" s="26" t="s">
        <v>4</v>
      </c>
      <c r="C42" s="48">
        <v>53.0</v>
      </c>
      <c r="D42" s="48">
        <v>7970.0</v>
      </c>
      <c r="E42" s="48">
        <v>43.0</v>
      </c>
      <c r="F42" s="48">
        <v>33.0</v>
      </c>
      <c r="G42" s="48">
        <v>5050.0</v>
      </c>
      <c r="H42" s="48">
        <v>30.0</v>
      </c>
      <c r="I42" s="48">
        <v>11.0</v>
      </c>
      <c r="J42" s="48">
        <v>1650.0</v>
      </c>
      <c r="K42" s="48">
        <v>62.26</v>
      </c>
      <c r="L42" s="48">
        <v>3.04</v>
      </c>
      <c r="M42" s="49">
        <v>7.754629629629629E-4</v>
      </c>
    </row>
    <row r="43">
      <c r="A43" s="47">
        <v>46070.0</v>
      </c>
      <c r="B43" s="26" t="s">
        <v>5</v>
      </c>
      <c r="C43" s="48">
        <v>138.0</v>
      </c>
      <c r="D43" s="48">
        <v>15328.0</v>
      </c>
      <c r="E43" s="48">
        <v>105.0</v>
      </c>
      <c r="F43" s="48">
        <v>112.0</v>
      </c>
      <c r="G43" s="48">
        <v>12483.0</v>
      </c>
      <c r="H43" s="48">
        <v>91.0</v>
      </c>
      <c r="I43" s="48">
        <v>36.0</v>
      </c>
      <c r="J43" s="48">
        <v>4696.0</v>
      </c>
      <c r="K43" s="48">
        <v>81.15</v>
      </c>
      <c r="L43" s="48">
        <v>7.53</v>
      </c>
      <c r="M43" s="49">
        <v>6.828703703703704E-4</v>
      </c>
    </row>
    <row r="44">
      <c r="A44" s="36"/>
      <c r="B44" s="37"/>
      <c r="C44" s="38"/>
      <c r="D44" s="38"/>
      <c r="E44" s="38"/>
      <c r="F44" s="38"/>
      <c r="G44" s="38"/>
      <c r="H44" s="38"/>
      <c r="I44" s="38"/>
      <c r="J44" s="38"/>
      <c r="K44" s="38"/>
      <c r="L44" s="38"/>
      <c r="M44" s="39"/>
    </row>
    <row r="45">
      <c r="A45" s="47">
        <v>46071.0</v>
      </c>
      <c r="B45" s="28" t="s">
        <v>9</v>
      </c>
      <c r="C45" s="29">
        <v>58.0</v>
      </c>
      <c r="D45" s="35">
        <v>30880.0</v>
      </c>
      <c r="E45" s="29">
        <v>28.0</v>
      </c>
      <c r="F45" s="29">
        <v>34.0</v>
      </c>
      <c r="G45" s="35">
        <v>10280.0</v>
      </c>
      <c r="H45" s="29">
        <v>26.0</v>
      </c>
      <c r="I45" s="29">
        <v>24.0</v>
      </c>
      <c r="J45" s="35">
        <v>9280.0</v>
      </c>
      <c r="K45" s="29" t="s">
        <v>75</v>
      </c>
      <c r="L45" s="29" t="s">
        <v>76</v>
      </c>
      <c r="M45" s="30">
        <v>8.217592592592593E-4</v>
      </c>
    </row>
    <row r="46">
      <c r="A46" s="47">
        <v>46071.0</v>
      </c>
      <c r="B46" s="31" t="s">
        <v>3</v>
      </c>
      <c r="C46" s="32">
        <v>50.0</v>
      </c>
      <c r="D46" s="33">
        <v>9007.0</v>
      </c>
      <c r="E46" s="32">
        <v>26.0</v>
      </c>
      <c r="F46" s="32">
        <v>46.0</v>
      </c>
      <c r="G46" s="33">
        <v>8387.0</v>
      </c>
      <c r="H46" s="32">
        <v>25.0</v>
      </c>
      <c r="I46" s="32">
        <v>13.0</v>
      </c>
      <c r="J46" s="33">
        <v>2317.0</v>
      </c>
      <c r="K46" s="32" t="s">
        <v>77</v>
      </c>
      <c r="L46" s="32" t="s">
        <v>39</v>
      </c>
      <c r="M46" s="34">
        <v>6.481481481481481E-4</v>
      </c>
    </row>
    <row r="47">
      <c r="A47" s="47">
        <v>46071.0</v>
      </c>
      <c r="B47" s="28" t="s">
        <v>2</v>
      </c>
      <c r="C47" s="29">
        <v>888.0</v>
      </c>
      <c r="D47" s="35">
        <v>122582.0</v>
      </c>
      <c r="E47" s="29">
        <v>571.0</v>
      </c>
      <c r="F47" s="29">
        <v>699.0</v>
      </c>
      <c r="G47" s="35">
        <v>94531.0</v>
      </c>
      <c r="H47" s="29">
        <v>529.0</v>
      </c>
      <c r="I47" s="29">
        <v>209.0</v>
      </c>
      <c r="J47" s="35">
        <v>26798.0</v>
      </c>
      <c r="K47" s="29" t="s">
        <v>78</v>
      </c>
      <c r="L47" s="29" t="s">
        <v>79</v>
      </c>
      <c r="M47" s="30">
        <v>7.638888888888889E-4</v>
      </c>
    </row>
    <row r="48">
      <c r="A48" s="47">
        <v>46071.0</v>
      </c>
      <c r="B48" s="31" t="s">
        <v>4</v>
      </c>
      <c r="C48" s="40">
        <v>50.0</v>
      </c>
      <c r="D48" s="41">
        <v>12006.0</v>
      </c>
      <c r="E48" s="40">
        <v>35.0</v>
      </c>
      <c r="F48" s="40">
        <v>29.0</v>
      </c>
      <c r="G48" s="41">
        <v>6828.0</v>
      </c>
      <c r="H48" s="40">
        <v>22.0</v>
      </c>
      <c r="I48" s="40">
        <v>9.0</v>
      </c>
      <c r="J48" s="41">
        <v>1430.0</v>
      </c>
      <c r="K48" s="40" t="s">
        <v>80</v>
      </c>
      <c r="L48" s="40" t="s">
        <v>81</v>
      </c>
      <c r="M48" s="42">
        <v>5.787037037037037E-4</v>
      </c>
    </row>
    <row r="49">
      <c r="A49" s="47">
        <v>46071.0</v>
      </c>
      <c r="B49" s="28" t="s">
        <v>5</v>
      </c>
      <c r="C49" s="29">
        <v>140.0</v>
      </c>
      <c r="D49" s="35">
        <v>15164.0</v>
      </c>
      <c r="E49" s="29">
        <v>101.0</v>
      </c>
      <c r="F49" s="29">
        <v>102.0</v>
      </c>
      <c r="G49" s="35">
        <v>11062.0</v>
      </c>
      <c r="H49" s="29">
        <v>86.0</v>
      </c>
      <c r="I49" s="29">
        <v>36.0</v>
      </c>
      <c r="J49" s="35">
        <v>3239.0</v>
      </c>
      <c r="K49" s="29" t="s">
        <v>82</v>
      </c>
      <c r="L49" s="29" t="s">
        <v>83</v>
      </c>
      <c r="M49" s="30">
        <v>6.481481481481481E-4</v>
      </c>
    </row>
    <row r="50">
      <c r="A50" s="36"/>
      <c r="B50" s="37"/>
      <c r="C50" s="38"/>
      <c r="D50" s="38"/>
      <c r="E50" s="38"/>
      <c r="F50" s="38"/>
      <c r="G50" s="38"/>
      <c r="H50" s="38"/>
      <c r="I50" s="38"/>
      <c r="J50" s="38"/>
      <c r="K50" s="38"/>
      <c r="L50" s="38"/>
      <c r="M50" s="39"/>
    </row>
    <row r="51">
      <c r="A51" s="47">
        <v>46072.0</v>
      </c>
      <c r="B51" s="28" t="s">
        <v>9</v>
      </c>
      <c r="C51" s="29">
        <v>19.0</v>
      </c>
      <c r="D51" s="35">
        <v>5180.0</v>
      </c>
      <c r="E51" s="29">
        <v>15.0</v>
      </c>
      <c r="F51" s="29">
        <v>15.0</v>
      </c>
      <c r="G51" s="35">
        <v>4780.0</v>
      </c>
      <c r="H51" s="29">
        <v>14.0</v>
      </c>
      <c r="I51" s="29">
        <v>12.0</v>
      </c>
      <c r="J51" s="35">
        <v>4480.0</v>
      </c>
      <c r="K51" s="29" t="s">
        <v>34</v>
      </c>
      <c r="L51" s="29" t="s">
        <v>84</v>
      </c>
      <c r="M51" s="30">
        <v>8.333333333333334E-4</v>
      </c>
    </row>
    <row r="52">
      <c r="A52" s="47">
        <v>46072.0</v>
      </c>
      <c r="B52" s="31" t="s">
        <v>3</v>
      </c>
      <c r="C52" s="32">
        <v>30.0</v>
      </c>
      <c r="D52" s="33">
        <v>6175.0</v>
      </c>
      <c r="E52" s="32">
        <v>24.0</v>
      </c>
      <c r="F52" s="32">
        <v>23.0</v>
      </c>
      <c r="G52" s="33">
        <v>5170.0</v>
      </c>
      <c r="H52" s="32">
        <v>20.0</v>
      </c>
      <c r="I52" s="32">
        <v>10.0</v>
      </c>
      <c r="J52" s="33">
        <v>3100.0</v>
      </c>
      <c r="K52" s="32" t="s">
        <v>85</v>
      </c>
      <c r="L52" s="32" t="s">
        <v>86</v>
      </c>
      <c r="M52" s="34">
        <v>6.712962962962962E-4</v>
      </c>
    </row>
    <row r="53">
      <c r="A53" s="47">
        <v>46072.0</v>
      </c>
      <c r="B53" s="28" t="s">
        <v>2</v>
      </c>
      <c r="C53" s="43">
        <v>1002.0</v>
      </c>
      <c r="D53" s="35">
        <v>148648.0</v>
      </c>
      <c r="E53" s="29">
        <v>611.0</v>
      </c>
      <c r="F53" s="29">
        <v>766.0</v>
      </c>
      <c r="G53" s="35">
        <v>117392.0</v>
      </c>
      <c r="H53" s="29">
        <v>555.0</v>
      </c>
      <c r="I53" s="29">
        <v>278.0</v>
      </c>
      <c r="J53" s="35">
        <v>38137.0</v>
      </c>
      <c r="K53" s="29" t="s">
        <v>87</v>
      </c>
      <c r="L53" s="29" t="s">
        <v>88</v>
      </c>
      <c r="M53" s="30">
        <v>8.564814814814815E-4</v>
      </c>
    </row>
    <row r="54">
      <c r="A54" s="47">
        <v>46072.0</v>
      </c>
      <c r="B54" s="31" t="s">
        <v>4</v>
      </c>
      <c r="C54" s="32">
        <v>67.0</v>
      </c>
      <c r="D54" s="33">
        <v>15380.0</v>
      </c>
      <c r="E54" s="32">
        <v>40.0</v>
      </c>
      <c r="F54" s="32">
        <v>34.0</v>
      </c>
      <c r="G54" s="33">
        <v>6660.0</v>
      </c>
      <c r="H54" s="32">
        <v>26.0</v>
      </c>
      <c r="I54" s="32">
        <v>12.0</v>
      </c>
      <c r="J54" s="33">
        <v>1930.0</v>
      </c>
      <c r="K54" s="32" t="s">
        <v>89</v>
      </c>
      <c r="L54" s="32" t="s">
        <v>90</v>
      </c>
      <c r="M54" s="34">
        <v>5.324074074074074E-4</v>
      </c>
    </row>
    <row r="55">
      <c r="A55" s="47">
        <v>46072.0</v>
      </c>
      <c r="B55" s="28" t="s">
        <v>5</v>
      </c>
      <c r="C55" s="29">
        <v>146.0</v>
      </c>
      <c r="D55" s="35">
        <v>17389.0</v>
      </c>
      <c r="E55" s="29">
        <v>83.0</v>
      </c>
      <c r="F55" s="29">
        <v>100.0</v>
      </c>
      <c r="G55" s="35">
        <v>12519.0</v>
      </c>
      <c r="H55" s="29">
        <v>69.0</v>
      </c>
      <c r="I55" s="29">
        <v>32.0</v>
      </c>
      <c r="J55" s="35">
        <v>3361.0</v>
      </c>
      <c r="K55" s="29" t="s">
        <v>91</v>
      </c>
      <c r="L55" s="29" t="s">
        <v>92</v>
      </c>
      <c r="M55" s="30">
        <v>6.828703703703704E-4</v>
      </c>
    </row>
    <row r="56">
      <c r="A56" s="36"/>
      <c r="B56" s="37"/>
      <c r="C56" s="38"/>
      <c r="D56" s="38"/>
      <c r="E56" s="38"/>
      <c r="F56" s="38"/>
      <c r="G56" s="38"/>
      <c r="H56" s="38"/>
      <c r="I56" s="38"/>
      <c r="J56" s="38"/>
      <c r="K56" s="38"/>
      <c r="L56" s="38"/>
      <c r="M56" s="39"/>
    </row>
    <row r="57">
      <c r="A57" s="47">
        <v>46073.0</v>
      </c>
      <c r="B57" s="28" t="s">
        <v>9</v>
      </c>
      <c r="C57" s="29">
        <v>2.0</v>
      </c>
      <c r="D57" s="29">
        <v>200.0</v>
      </c>
      <c r="E57" s="29">
        <v>2.0</v>
      </c>
      <c r="F57" s="29">
        <v>2.0</v>
      </c>
      <c r="G57" s="29">
        <v>200.0</v>
      </c>
      <c r="H57" s="29">
        <v>2.0</v>
      </c>
      <c r="I57" s="29">
        <v>2.0</v>
      </c>
      <c r="J57" s="29">
        <v>200.0</v>
      </c>
      <c r="K57" s="29" t="s">
        <v>26</v>
      </c>
      <c r="L57" s="29" t="s">
        <v>93</v>
      </c>
      <c r="M57" s="30">
        <v>8.912037037037037E-4</v>
      </c>
    </row>
    <row r="58">
      <c r="A58" s="47">
        <v>46073.0</v>
      </c>
      <c r="B58" s="31" t="s">
        <v>3</v>
      </c>
      <c r="C58" s="32">
        <v>46.0</v>
      </c>
      <c r="D58" s="33">
        <v>10820.0</v>
      </c>
      <c r="E58" s="32">
        <v>26.0</v>
      </c>
      <c r="F58" s="32">
        <v>38.0</v>
      </c>
      <c r="G58" s="33">
        <v>9120.0</v>
      </c>
      <c r="H58" s="32">
        <v>24.0</v>
      </c>
      <c r="I58" s="32">
        <v>14.0</v>
      </c>
      <c r="J58" s="33">
        <v>3400.0</v>
      </c>
      <c r="K58" s="32" t="s">
        <v>94</v>
      </c>
      <c r="L58" s="32" t="s">
        <v>95</v>
      </c>
      <c r="M58" s="34">
        <v>6.828703703703704E-4</v>
      </c>
    </row>
    <row r="59">
      <c r="A59" s="47">
        <v>46073.0</v>
      </c>
      <c r="B59" s="28" t="s">
        <v>2</v>
      </c>
      <c r="C59" s="29">
        <v>962.0</v>
      </c>
      <c r="D59" s="35">
        <v>143445.0</v>
      </c>
      <c r="E59" s="29">
        <v>545.0</v>
      </c>
      <c r="F59" s="29">
        <v>733.0</v>
      </c>
      <c r="G59" s="35">
        <v>112003.0</v>
      </c>
      <c r="H59" s="29">
        <v>507.0</v>
      </c>
      <c r="I59" s="29">
        <v>220.0</v>
      </c>
      <c r="J59" s="35">
        <v>32727.0</v>
      </c>
      <c r="K59" s="29" t="s">
        <v>96</v>
      </c>
      <c r="L59" s="29" t="s">
        <v>97</v>
      </c>
      <c r="M59" s="30">
        <v>6.944444444444445E-4</v>
      </c>
    </row>
    <row r="60">
      <c r="A60" s="47">
        <v>46073.0</v>
      </c>
      <c r="B60" s="31" t="s">
        <v>4</v>
      </c>
      <c r="C60" s="32">
        <v>66.0</v>
      </c>
      <c r="D60" s="33">
        <v>11966.0</v>
      </c>
      <c r="E60" s="32">
        <v>41.0</v>
      </c>
      <c r="F60" s="32">
        <v>42.0</v>
      </c>
      <c r="G60" s="33">
        <v>8073.0</v>
      </c>
      <c r="H60" s="32">
        <v>34.0</v>
      </c>
      <c r="I60" s="32">
        <v>12.0</v>
      </c>
      <c r="J60" s="33">
        <v>1793.0</v>
      </c>
      <c r="K60" s="32" t="s">
        <v>98</v>
      </c>
      <c r="L60" s="32" t="s">
        <v>99</v>
      </c>
      <c r="M60" s="34">
        <v>7.175925925925926E-4</v>
      </c>
    </row>
    <row r="61">
      <c r="A61" s="47">
        <v>46073.0</v>
      </c>
      <c r="B61" s="28" t="s">
        <v>5</v>
      </c>
      <c r="C61" s="29">
        <v>111.0</v>
      </c>
      <c r="D61" s="35">
        <v>12922.0</v>
      </c>
      <c r="E61" s="29">
        <v>72.0</v>
      </c>
      <c r="F61" s="29">
        <v>88.0</v>
      </c>
      <c r="G61" s="35">
        <v>9872.0</v>
      </c>
      <c r="H61" s="29">
        <v>66.0</v>
      </c>
      <c r="I61" s="29">
        <v>24.0</v>
      </c>
      <c r="J61" s="35">
        <v>2610.0</v>
      </c>
      <c r="K61" s="29" t="s">
        <v>100</v>
      </c>
      <c r="L61" s="29" t="s">
        <v>101</v>
      </c>
      <c r="M61" s="30">
        <v>5.671296296296297E-4</v>
      </c>
    </row>
    <row r="62">
      <c r="A62" s="36"/>
      <c r="B62" s="37"/>
      <c r="C62" s="38"/>
      <c r="D62" s="38"/>
      <c r="E62" s="38"/>
      <c r="F62" s="38"/>
      <c r="G62" s="38"/>
      <c r="H62" s="38"/>
      <c r="I62" s="38"/>
      <c r="J62" s="38"/>
      <c r="K62" s="38"/>
      <c r="L62" s="38"/>
      <c r="M62" s="39"/>
    </row>
    <row r="63">
      <c r="A63" s="47">
        <v>46074.0</v>
      </c>
      <c r="B63" s="28" t="s">
        <v>9</v>
      </c>
      <c r="C63" s="29">
        <v>10.0</v>
      </c>
      <c r="D63" s="35">
        <v>15900.0</v>
      </c>
      <c r="E63" s="29">
        <v>2.0</v>
      </c>
      <c r="F63" s="29">
        <v>4.0</v>
      </c>
      <c r="G63" s="35">
        <v>3400.0</v>
      </c>
      <c r="H63" s="29">
        <v>2.0</v>
      </c>
      <c r="I63" s="29">
        <v>1.0</v>
      </c>
      <c r="J63" s="29">
        <v>200.0</v>
      </c>
      <c r="K63" s="29" t="s">
        <v>102</v>
      </c>
      <c r="L63" s="29" t="s">
        <v>103</v>
      </c>
      <c r="M63" s="30">
        <v>6.018518518518519E-4</v>
      </c>
    </row>
    <row r="64">
      <c r="A64" s="47">
        <v>46074.0</v>
      </c>
      <c r="B64" s="31" t="s">
        <v>3</v>
      </c>
      <c r="C64" s="32">
        <v>29.0</v>
      </c>
      <c r="D64" s="33">
        <v>13088.0</v>
      </c>
      <c r="E64" s="32">
        <v>16.0</v>
      </c>
      <c r="F64" s="32">
        <v>20.0</v>
      </c>
      <c r="G64" s="33">
        <v>11170.0</v>
      </c>
      <c r="H64" s="32">
        <v>12.0</v>
      </c>
      <c r="I64" s="32">
        <v>3.0</v>
      </c>
      <c r="J64" s="32">
        <v>300.0</v>
      </c>
      <c r="K64" s="32" t="s">
        <v>104</v>
      </c>
      <c r="L64" s="32" t="s">
        <v>105</v>
      </c>
      <c r="M64" s="34">
        <v>0.0013425925925925925</v>
      </c>
    </row>
    <row r="65">
      <c r="A65" s="47">
        <v>46074.0</v>
      </c>
      <c r="B65" s="28" t="s">
        <v>2</v>
      </c>
      <c r="C65" s="29">
        <v>889.0</v>
      </c>
      <c r="D65" s="35">
        <v>134725.0</v>
      </c>
      <c r="E65" s="29">
        <v>518.0</v>
      </c>
      <c r="F65" s="29">
        <v>642.0</v>
      </c>
      <c r="G65" s="35">
        <v>98587.0</v>
      </c>
      <c r="H65" s="29">
        <v>476.0</v>
      </c>
      <c r="I65" s="29">
        <v>205.0</v>
      </c>
      <c r="J65" s="35">
        <v>28748.0</v>
      </c>
      <c r="K65" s="29" t="s">
        <v>106</v>
      </c>
      <c r="L65" s="29" t="s">
        <v>107</v>
      </c>
      <c r="M65" s="30">
        <v>7.407407407407407E-4</v>
      </c>
    </row>
    <row r="66">
      <c r="A66" s="47">
        <v>46074.0</v>
      </c>
      <c r="B66" s="31" t="s">
        <v>4</v>
      </c>
      <c r="C66" s="32">
        <v>55.0</v>
      </c>
      <c r="D66" s="33">
        <v>10579.0</v>
      </c>
      <c r="E66" s="32">
        <v>40.0</v>
      </c>
      <c r="F66" s="32">
        <v>28.0</v>
      </c>
      <c r="G66" s="33">
        <v>4179.0</v>
      </c>
      <c r="H66" s="32">
        <v>24.0</v>
      </c>
      <c r="I66" s="32">
        <v>3.0</v>
      </c>
      <c r="J66" s="32">
        <v>329.0</v>
      </c>
      <c r="K66" s="32" t="s">
        <v>108</v>
      </c>
      <c r="L66" s="32" t="s">
        <v>109</v>
      </c>
      <c r="M66" s="34">
        <v>5.787037037037037E-4</v>
      </c>
    </row>
    <row r="67">
      <c r="A67" s="47">
        <v>46074.0</v>
      </c>
      <c r="B67" s="28" t="s">
        <v>5</v>
      </c>
      <c r="C67" s="29">
        <v>101.0</v>
      </c>
      <c r="D67" s="35">
        <v>13957.0</v>
      </c>
      <c r="E67" s="29">
        <v>60.0</v>
      </c>
      <c r="F67" s="29">
        <v>79.0</v>
      </c>
      <c r="G67" s="35">
        <v>10907.0</v>
      </c>
      <c r="H67" s="29">
        <v>53.0</v>
      </c>
      <c r="I67" s="29">
        <v>15.0</v>
      </c>
      <c r="J67" s="35">
        <v>2950.0</v>
      </c>
      <c r="K67" s="29" t="s">
        <v>110</v>
      </c>
      <c r="L67" s="29" t="s">
        <v>111</v>
      </c>
      <c r="M67" s="30">
        <v>7.175925925925926E-4</v>
      </c>
    </row>
    <row r="68">
      <c r="A68" s="36"/>
      <c r="B68" s="37"/>
      <c r="C68" s="38"/>
      <c r="D68" s="38"/>
      <c r="E68" s="38"/>
      <c r="F68" s="38"/>
      <c r="G68" s="38"/>
      <c r="H68" s="38"/>
      <c r="I68" s="38"/>
      <c r="J68" s="38"/>
      <c r="K68" s="38"/>
      <c r="L68" s="38"/>
      <c r="M68" s="39"/>
    </row>
    <row r="69">
      <c r="A69" s="47">
        <v>46075.0</v>
      </c>
      <c r="B69" s="28" t="s">
        <v>9</v>
      </c>
      <c r="C69" s="29">
        <v>4.0</v>
      </c>
      <c r="D69" s="29">
        <v>900.0</v>
      </c>
      <c r="E69" s="29">
        <v>2.0</v>
      </c>
      <c r="F69" s="29">
        <v>1.0</v>
      </c>
      <c r="G69" s="29">
        <v>500.0</v>
      </c>
      <c r="H69" s="29">
        <v>1.0</v>
      </c>
      <c r="I69" s="29">
        <v>0.0</v>
      </c>
      <c r="J69" s="29">
        <v>0.0</v>
      </c>
      <c r="K69" s="29" t="s">
        <v>112</v>
      </c>
      <c r="L69" s="29" t="s">
        <v>113</v>
      </c>
      <c r="M69" s="30">
        <v>4.62962962962963E-4</v>
      </c>
    </row>
    <row r="70">
      <c r="A70" s="47">
        <v>46075.0</v>
      </c>
      <c r="B70" s="31" t="s">
        <v>3</v>
      </c>
      <c r="C70" s="32">
        <v>18.0</v>
      </c>
      <c r="D70" s="33">
        <v>3550.0</v>
      </c>
      <c r="E70" s="32">
        <v>15.0</v>
      </c>
      <c r="F70" s="32">
        <v>16.0</v>
      </c>
      <c r="G70" s="33">
        <v>2350.0</v>
      </c>
      <c r="H70" s="32">
        <v>14.0</v>
      </c>
      <c r="I70" s="32">
        <v>6.0</v>
      </c>
      <c r="J70" s="32">
        <v>800.0</v>
      </c>
      <c r="K70" s="32" t="s">
        <v>114</v>
      </c>
      <c r="L70" s="32" t="s">
        <v>115</v>
      </c>
      <c r="M70" s="34">
        <v>6.828703703703704E-4</v>
      </c>
    </row>
    <row r="71">
      <c r="A71" s="47">
        <v>46075.0</v>
      </c>
      <c r="B71" s="28" t="s">
        <v>2</v>
      </c>
      <c r="C71" s="29">
        <v>746.0</v>
      </c>
      <c r="D71" s="35">
        <v>123852.0</v>
      </c>
      <c r="E71" s="29">
        <v>467.0</v>
      </c>
      <c r="F71" s="29">
        <v>616.0</v>
      </c>
      <c r="G71" s="35">
        <v>107008.0</v>
      </c>
      <c r="H71" s="29">
        <v>433.0</v>
      </c>
      <c r="I71" s="29">
        <v>178.0</v>
      </c>
      <c r="J71" s="35">
        <v>24180.0</v>
      </c>
      <c r="K71" s="29" t="s">
        <v>116</v>
      </c>
      <c r="L71" s="29" t="s">
        <v>117</v>
      </c>
      <c r="M71" s="30">
        <v>8.912037037037037E-4</v>
      </c>
    </row>
    <row r="72">
      <c r="A72" s="47">
        <v>46075.0</v>
      </c>
      <c r="B72" s="31" t="s">
        <v>4</v>
      </c>
      <c r="C72" s="32">
        <v>43.0</v>
      </c>
      <c r="D72" s="33">
        <v>5970.0</v>
      </c>
      <c r="E72" s="32">
        <v>27.0</v>
      </c>
      <c r="F72" s="32">
        <v>35.0</v>
      </c>
      <c r="G72" s="33">
        <v>5070.0</v>
      </c>
      <c r="H72" s="32">
        <v>25.0</v>
      </c>
      <c r="I72" s="32">
        <v>9.0</v>
      </c>
      <c r="J72" s="33">
        <v>1100.0</v>
      </c>
      <c r="K72" s="32" t="s">
        <v>118</v>
      </c>
      <c r="L72" s="32" t="s">
        <v>119</v>
      </c>
      <c r="M72" s="34">
        <v>6.365740740740741E-4</v>
      </c>
    </row>
    <row r="73">
      <c r="A73" s="47">
        <v>46075.0</v>
      </c>
      <c r="B73" s="28" t="s">
        <v>5</v>
      </c>
      <c r="C73" s="29">
        <v>85.0</v>
      </c>
      <c r="D73" s="35">
        <v>11793.0</v>
      </c>
      <c r="E73" s="29">
        <v>58.0</v>
      </c>
      <c r="F73" s="29">
        <v>63.0</v>
      </c>
      <c r="G73" s="35">
        <v>8862.0</v>
      </c>
      <c r="H73" s="29">
        <v>48.0</v>
      </c>
      <c r="I73" s="29">
        <v>15.0</v>
      </c>
      <c r="J73" s="35">
        <v>1290.0</v>
      </c>
      <c r="K73" s="29" t="s">
        <v>120</v>
      </c>
      <c r="L73" s="29" t="s">
        <v>121</v>
      </c>
      <c r="M73" s="30">
        <v>7.754629629629629E-4</v>
      </c>
    </row>
    <row r="74">
      <c r="A74" s="36"/>
      <c r="B74" s="37"/>
      <c r="C74" s="38"/>
      <c r="D74" s="38"/>
      <c r="E74" s="38"/>
      <c r="F74" s="38"/>
      <c r="G74" s="38"/>
      <c r="H74" s="38"/>
      <c r="I74" s="38"/>
      <c r="J74" s="38"/>
      <c r="K74" s="38"/>
      <c r="L74" s="38"/>
      <c r="M74" s="39"/>
    </row>
    <row r="75">
      <c r="A75" s="47">
        <v>46076.0</v>
      </c>
      <c r="B75" s="28" t="s">
        <v>9</v>
      </c>
      <c r="C75" s="29">
        <v>6.0</v>
      </c>
      <c r="D75" s="35">
        <v>1300.0</v>
      </c>
      <c r="E75" s="29">
        <v>4.0</v>
      </c>
      <c r="F75" s="29">
        <v>6.0</v>
      </c>
      <c r="G75" s="35">
        <v>1300.0</v>
      </c>
      <c r="H75" s="29">
        <v>4.0</v>
      </c>
      <c r="I75" s="29">
        <v>2.0</v>
      </c>
      <c r="J75" s="29">
        <v>600.0</v>
      </c>
      <c r="K75" s="29" t="s">
        <v>26</v>
      </c>
      <c r="L75" s="29" t="s">
        <v>122</v>
      </c>
      <c r="M75" s="30">
        <v>8.680555555555555E-4</v>
      </c>
    </row>
    <row r="76">
      <c r="A76" s="47">
        <v>46076.0</v>
      </c>
      <c r="B76" s="31" t="s">
        <v>3</v>
      </c>
      <c r="C76" s="32">
        <v>7.0</v>
      </c>
      <c r="D76" s="32">
        <v>795.0</v>
      </c>
      <c r="E76" s="32">
        <v>7.0</v>
      </c>
      <c r="F76" s="32">
        <v>6.0</v>
      </c>
      <c r="G76" s="32">
        <v>695.0</v>
      </c>
      <c r="H76" s="32">
        <v>6.0</v>
      </c>
      <c r="I76" s="32">
        <v>3.0</v>
      </c>
      <c r="J76" s="32">
        <v>300.0</v>
      </c>
      <c r="K76" s="32" t="s">
        <v>32</v>
      </c>
      <c r="L76" s="32" t="s">
        <v>123</v>
      </c>
      <c r="M76" s="34">
        <v>3.7037037037037035E-4</v>
      </c>
    </row>
    <row r="77">
      <c r="A77" s="47">
        <v>46076.0</v>
      </c>
      <c r="B77" s="28" t="s">
        <v>2</v>
      </c>
      <c r="C77" s="29">
        <v>730.0</v>
      </c>
      <c r="D77" s="35">
        <v>98903.0</v>
      </c>
      <c r="E77" s="29">
        <v>394.0</v>
      </c>
      <c r="F77" s="29">
        <v>484.0</v>
      </c>
      <c r="G77" s="35">
        <v>64207.0</v>
      </c>
      <c r="H77" s="29">
        <v>348.0</v>
      </c>
      <c r="I77" s="29">
        <v>132.0</v>
      </c>
      <c r="J77" s="35">
        <v>18409.0</v>
      </c>
      <c r="K77" s="29" t="s">
        <v>124</v>
      </c>
      <c r="L77" s="29" t="s">
        <v>125</v>
      </c>
      <c r="M77" s="30">
        <v>9.606481481481482E-4</v>
      </c>
    </row>
    <row r="78">
      <c r="A78" s="47">
        <v>46076.0</v>
      </c>
      <c r="B78" s="31" t="s">
        <v>4</v>
      </c>
      <c r="C78" s="32">
        <v>36.0</v>
      </c>
      <c r="D78" s="33">
        <v>17540.0</v>
      </c>
      <c r="E78" s="32">
        <v>26.0</v>
      </c>
      <c r="F78" s="32">
        <v>18.0</v>
      </c>
      <c r="G78" s="33">
        <v>2605.0</v>
      </c>
      <c r="H78" s="32">
        <v>16.0</v>
      </c>
      <c r="I78" s="32">
        <v>9.0</v>
      </c>
      <c r="J78" s="33">
        <v>1120.0</v>
      </c>
      <c r="K78" s="32" t="s">
        <v>73</v>
      </c>
      <c r="L78" s="32" t="s">
        <v>126</v>
      </c>
      <c r="M78" s="34">
        <v>6.597222222222222E-4</v>
      </c>
    </row>
    <row r="79">
      <c r="A79" s="47">
        <v>46076.0</v>
      </c>
      <c r="B79" s="28" t="s">
        <v>5</v>
      </c>
      <c r="C79" s="29">
        <v>95.0</v>
      </c>
      <c r="D79" s="35">
        <v>9696.0</v>
      </c>
      <c r="E79" s="29">
        <v>63.0</v>
      </c>
      <c r="F79" s="29">
        <v>64.0</v>
      </c>
      <c r="G79" s="35">
        <v>6296.0</v>
      </c>
      <c r="H79" s="29">
        <v>53.0</v>
      </c>
      <c r="I79" s="29">
        <v>15.0</v>
      </c>
      <c r="J79" s="35">
        <v>1130.0</v>
      </c>
      <c r="K79" s="29" t="s">
        <v>127</v>
      </c>
      <c r="L79" s="29" t="s">
        <v>128</v>
      </c>
      <c r="M79" s="30">
        <v>6.944444444444445E-4</v>
      </c>
    </row>
    <row r="80">
      <c r="A80" s="36"/>
      <c r="B80" s="37"/>
      <c r="C80" s="38"/>
      <c r="D80" s="38"/>
      <c r="E80" s="38"/>
      <c r="F80" s="38"/>
      <c r="G80" s="38"/>
      <c r="H80" s="38"/>
      <c r="I80" s="38"/>
      <c r="J80" s="38"/>
      <c r="K80" s="38"/>
      <c r="L80" s="38"/>
      <c r="M80" s="39"/>
    </row>
    <row r="81">
      <c r="A81" s="47">
        <v>46077.0</v>
      </c>
      <c r="B81" s="28" t="s">
        <v>9</v>
      </c>
      <c r="C81" s="29">
        <v>1.0</v>
      </c>
      <c r="D81" s="29">
        <v>150.0</v>
      </c>
      <c r="E81" s="29">
        <v>1.0</v>
      </c>
      <c r="F81" s="29">
        <v>1.0</v>
      </c>
      <c r="G81" s="29">
        <v>150.0</v>
      </c>
      <c r="H81" s="29">
        <v>1.0</v>
      </c>
      <c r="I81" s="29">
        <v>1.0</v>
      </c>
      <c r="J81" s="29">
        <v>150.0</v>
      </c>
      <c r="K81" s="29" t="s">
        <v>26</v>
      </c>
      <c r="L81" s="29" t="s">
        <v>129</v>
      </c>
      <c r="M81" s="30">
        <v>7.754629629629629E-4</v>
      </c>
    </row>
    <row r="82">
      <c r="A82" s="47">
        <v>46077.0</v>
      </c>
      <c r="B82" s="31" t="s">
        <v>3</v>
      </c>
      <c r="C82" s="32">
        <v>27.0</v>
      </c>
      <c r="D82" s="33">
        <v>5940.0</v>
      </c>
      <c r="E82" s="32">
        <v>16.0</v>
      </c>
      <c r="F82" s="32">
        <v>19.0</v>
      </c>
      <c r="G82" s="33">
        <v>4690.0</v>
      </c>
      <c r="H82" s="32">
        <v>14.0</v>
      </c>
      <c r="I82" s="32">
        <v>3.0</v>
      </c>
      <c r="J82" s="32">
        <v>490.0</v>
      </c>
      <c r="K82" s="32" t="s">
        <v>130</v>
      </c>
      <c r="L82" s="32" t="s">
        <v>131</v>
      </c>
      <c r="M82" s="34">
        <v>6.365740740740741E-4</v>
      </c>
    </row>
    <row r="83">
      <c r="A83" s="47">
        <v>46077.0</v>
      </c>
      <c r="B83" s="28" t="s">
        <v>2</v>
      </c>
      <c r="C83" s="29">
        <v>723.0</v>
      </c>
      <c r="D83" s="35">
        <v>123683.0</v>
      </c>
      <c r="E83" s="29">
        <v>447.0</v>
      </c>
      <c r="F83" s="29">
        <v>587.0</v>
      </c>
      <c r="G83" s="35">
        <v>101730.0</v>
      </c>
      <c r="H83" s="29">
        <v>415.0</v>
      </c>
      <c r="I83" s="29">
        <v>174.0</v>
      </c>
      <c r="J83" s="35">
        <v>25366.0</v>
      </c>
      <c r="K83" s="29" t="s">
        <v>132</v>
      </c>
      <c r="L83" s="29" t="s">
        <v>133</v>
      </c>
      <c r="M83" s="30">
        <v>7.060185185185185E-4</v>
      </c>
    </row>
    <row r="84">
      <c r="A84" s="47">
        <v>46077.0</v>
      </c>
      <c r="B84" s="31" t="s">
        <v>4</v>
      </c>
      <c r="C84" s="32">
        <v>53.0</v>
      </c>
      <c r="D84" s="33">
        <v>9175.0</v>
      </c>
      <c r="E84" s="32">
        <v>31.0</v>
      </c>
      <c r="F84" s="32">
        <v>31.0</v>
      </c>
      <c r="G84" s="33">
        <v>4895.0</v>
      </c>
      <c r="H84" s="32">
        <v>23.0</v>
      </c>
      <c r="I84" s="32">
        <v>7.0</v>
      </c>
      <c r="J84" s="32">
        <v>950.0</v>
      </c>
      <c r="K84" s="32" t="s">
        <v>134</v>
      </c>
      <c r="L84" s="32" t="s">
        <v>135</v>
      </c>
      <c r="M84" s="34">
        <v>6.25E-4</v>
      </c>
    </row>
    <row r="85">
      <c r="A85" s="47">
        <v>46077.0</v>
      </c>
      <c r="B85" s="28" t="s">
        <v>5</v>
      </c>
      <c r="C85" s="29">
        <v>90.0</v>
      </c>
      <c r="D85" s="35">
        <v>11628.0</v>
      </c>
      <c r="E85" s="29">
        <v>54.0</v>
      </c>
      <c r="F85" s="29">
        <v>61.0</v>
      </c>
      <c r="G85" s="35">
        <v>9378.0</v>
      </c>
      <c r="H85" s="29">
        <v>50.0</v>
      </c>
      <c r="I85" s="29">
        <v>14.0</v>
      </c>
      <c r="J85" s="35">
        <v>2108.0</v>
      </c>
      <c r="K85" s="29" t="s">
        <v>136</v>
      </c>
      <c r="L85" s="29" t="s">
        <v>137</v>
      </c>
      <c r="M85" s="30">
        <v>6.944444444444445E-4</v>
      </c>
    </row>
    <row r="86">
      <c r="A86" s="36"/>
      <c r="B86" s="37"/>
      <c r="C86" s="38"/>
      <c r="D86" s="38"/>
      <c r="E86" s="38"/>
      <c r="F86" s="38"/>
      <c r="G86" s="38"/>
      <c r="H86" s="38"/>
      <c r="I86" s="38"/>
      <c r="J86" s="38"/>
      <c r="K86" s="38"/>
      <c r="L86" s="38"/>
      <c r="M86" s="39"/>
    </row>
    <row r="87">
      <c r="A87" s="47">
        <v>46078.0</v>
      </c>
      <c r="B87" s="28" t="s">
        <v>9</v>
      </c>
      <c r="C87" s="29">
        <v>2.0</v>
      </c>
      <c r="D87" s="29">
        <v>300.0</v>
      </c>
      <c r="E87" s="29">
        <v>2.0</v>
      </c>
      <c r="F87" s="29">
        <v>2.0</v>
      </c>
      <c r="G87" s="29">
        <v>300.0</v>
      </c>
      <c r="H87" s="29">
        <v>2.0</v>
      </c>
      <c r="I87" s="29">
        <v>0.0</v>
      </c>
      <c r="J87" s="29">
        <v>0.0</v>
      </c>
      <c r="K87" s="29" t="s">
        <v>26</v>
      </c>
      <c r="L87" s="29" t="s">
        <v>138</v>
      </c>
      <c r="M87" s="30">
        <v>6.018518518518519E-4</v>
      </c>
    </row>
    <row r="88">
      <c r="A88" s="47">
        <v>46078.0</v>
      </c>
      <c r="B88" s="31" t="s">
        <v>3</v>
      </c>
      <c r="C88" s="32">
        <v>28.0</v>
      </c>
      <c r="D88" s="33">
        <v>4250.0</v>
      </c>
      <c r="E88" s="32">
        <v>14.0</v>
      </c>
      <c r="F88" s="32">
        <v>17.0</v>
      </c>
      <c r="G88" s="33">
        <v>2650.0</v>
      </c>
      <c r="H88" s="32">
        <v>12.0</v>
      </c>
      <c r="I88" s="32">
        <v>5.0</v>
      </c>
      <c r="J88" s="32">
        <v>650.0</v>
      </c>
      <c r="K88" s="32" t="s">
        <v>139</v>
      </c>
      <c r="L88" s="32" t="s">
        <v>140</v>
      </c>
      <c r="M88" s="34">
        <v>9.027777777777777E-4</v>
      </c>
    </row>
    <row r="89">
      <c r="A89" s="47">
        <v>46078.0</v>
      </c>
      <c r="B89" s="28" t="s">
        <v>2</v>
      </c>
      <c r="C89" s="29">
        <v>772.0</v>
      </c>
      <c r="D89" s="35">
        <v>109417.0</v>
      </c>
      <c r="E89" s="29">
        <v>471.0</v>
      </c>
      <c r="F89" s="29">
        <v>563.0</v>
      </c>
      <c r="G89" s="35">
        <v>82152.0</v>
      </c>
      <c r="H89" s="29">
        <v>416.0</v>
      </c>
      <c r="I89" s="29">
        <v>189.0</v>
      </c>
      <c r="J89" s="35">
        <v>25187.0</v>
      </c>
      <c r="K89" s="29" t="s">
        <v>141</v>
      </c>
      <c r="L89" s="29" t="s">
        <v>142</v>
      </c>
      <c r="M89" s="30">
        <v>0.0019328703703703704</v>
      </c>
    </row>
    <row r="90">
      <c r="A90" s="47">
        <v>46078.0</v>
      </c>
      <c r="B90" s="31" t="s">
        <v>4</v>
      </c>
      <c r="C90" s="32">
        <v>41.0</v>
      </c>
      <c r="D90" s="33">
        <v>4395.0</v>
      </c>
      <c r="E90" s="32">
        <v>24.0</v>
      </c>
      <c r="F90" s="32">
        <v>16.0</v>
      </c>
      <c r="G90" s="33">
        <v>1650.0</v>
      </c>
      <c r="H90" s="32">
        <v>12.0</v>
      </c>
      <c r="I90" s="32">
        <v>3.0</v>
      </c>
      <c r="J90" s="32">
        <v>350.0</v>
      </c>
      <c r="K90" s="32" t="s">
        <v>143</v>
      </c>
      <c r="L90" s="32" t="s">
        <v>144</v>
      </c>
      <c r="M90" s="34">
        <v>8.217592592592593E-4</v>
      </c>
    </row>
    <row r="91">
      <c r="A91" s="47">
        <v>46078.0</v>
      </c>
      <c r="B91" s="28" t="s">
        <v>5</v>
      </c>
      <c r="C91" s="29">
        <v>94.0</v>
      </c>
      <c r="D91" s="35">
        <v>9267.0</v>
      </c>
      <c r="E91" s="29">
        <v>59.0</v>
      </c>
      <c r="F91" s="29">
        <v>59.0</v>
      </c>
      <c r="G91" s="35">
        <v>5967.0</v>
      </c>
      <c r="H91" s="29">
        <v>46.0</v>
      </c>
      <c r="I91" s="29">
        <v>16.0</v>
      </c>
      <c r="J91" s="35">
        <v>1500.0</v>
      </c>
      <c r="K91" s="29" t="s">
        <v>145</v>
      </c>
      <c r="L91" s="29" t="s">
        <v>146</v>
      </c>
      <c r="M91" s="30">
        <v>6.018518518518519E-4</v>
      </c>
    </row>
    <row r="92">
      <c r="A92" s="36"/>
      <c r="B92" s="37"/>
      <c r="C92" s="38"/>
      <c r="D92" s="38"/>
      <c r="E92" s="38"/>
      <c r="F92" s="38"/>
      <c r="G92" s="38"/>
      <c r="H92" s="38"/>
      <c r="I92" s="38"/>
      <c r="J92" s="38"/>
      <c r="K92" s="38"/>
      <c r="L92" s="38"/>
      <c r="M92" s="39"/>
    </row>
    <row r="93">
      <c r="A93" s="47">
        <v>46079.0</v>
      </c>
      <c r="B93" s="28" t="s">
        <v>9</v>
      </c>
      <c r="C93" s="29">
        <v>1.0</v>
      </c>
      <c r="D93" s="29">
        <v>200.0</v>
      </c>
      <c r="E93" s="29">
        <v>1.0</v>
      </c>
      <c r="F93" s="29">
        <v>1.0</v>
      </c>
      <c r="G93" s="29">
        <v>200.0</v>
      </c>
      <c r="H93" s="29">
        <v>1.0</v>
      </c>
      <c r="I93" s="29">
        <v>0.0</v>
      </c>
      <c r="J93" s="29">
        <v>0.0</v>
      </c>
      <c r="K93" s="29" t="s">
        <v>26</v>
      </c>
      <c r="L93" s="29" t="s">
        <v>147</v>
      </c>
      <c r="M93" s="30">
        <v>7.754629629629629E-4</v>
      </c>
    </row>
    <row r="94">
      <c r="A94" s="47">
        <v>46079.0</v>
      </c>
      <c r="B94" s="31" t="s">
        <v>3</v>
      </c>
      <c r="C94" s="32">
        <v>17.0</v>
      </c>
      <c r="D94" s="33">
        <v>4990.0</v>
      </c>
      <c r="E94" s="32">
        <v>12.0</v>
      </c>
      <c r="F94" s="32">
        <v>8.0</v>
      </c>
      <c r="G94" s="33">
        <v>4090.0</v>
      </c>
      <c r="H94" s="32">
        <v>8.0</v>
      </c>
      <c r="I94" s="32">
        <v>3.0</v>
      </c>
      <c r="J94" s="33">
        <v>1600.0</v>
      </c>
      <c r="K94" s="32" t="s">
        <v>148</v>
      </c>
      <c r="L94" s="32" t="s">
        <v>149</v>
      </c>
      <c r="M94" s="34">
        <v>5.439814814814814E-4</v>
      </c>
    </row>
    <row r="95">
      <c r="A95" s="47">
        <v>46079.0</v>
      </c>
      <c r="B95" s="28" t="s">
        <v>2</v>
      </c>
      <c r="C95" s="29">
        <v>772.0</v>
      </c>
      <c r="D95" s="35">
        <v>114142.0</v>
      </c>
      <c r="E95" s="29">
        <v>407.0</v>
      </c>
      <c r="F95" s="29">
        <v>519.0</v>
      </c>
      <c r="G95" s="35">
        <v>78137.0</v>
      </c>
      <c r="H95" s="29">
        <v>364.0</v>
      </c>
      <c r="I95" s="29">
        <v>148.0</v>
      </c>
      <c r="J95" s="35">
        <v>19133.0</v>
      </c>
      <c r="K95" s="29" t="s">
        <v>150</v>
      </c>
      <c r="L95" s="29" t="s">
        <v>151</v>
      </c>
      <c r="M95" s="30">
        <v>7.638888888888889E-4</v>
      </c>
    </row>
    <row r="96">
      <c r="A96" s="47">
        <v>46079.0</v>
      </c>
      <c r="B96" s="31" t="s">
        <v>4</v>
      </c>
      <c r="C96" s="32">
        <v>43.0</v>
      </c>
      <c r="D96" s="33">
        <v>6230.0</v>
      </c>
      <c r="E96" s="32">
        <v>28.0</v>
      </c>
      <c r="F96" s="32">
        <v>20.0</v>
      </c>
      <c r="G96" s="33">
        <v>2830.0</v>
      </c>
      <c r="H96" s="32">
        <v>18.0</v>
      </c>
      <c r="I96" s="32">
        <v>7.0</v>
      </c>
      <c r="J96" s="33">
        <v>1050.0</v>
      </c>
      <c r="K96" s="32" t="s">
        <v>152</v>
      </c>
      <c r="L96" s="32" t="s">
        <v>53</v>
      </c>
      <c r="M96" s="34">
        <v>9.837962962962962E-4</v>
      </c>
    </row>
    <row r="97">
      <c r="A97" s="47">
        <v>46079.0</v>
      </c>
      <c r="B97" s="28" t="s">
        <v>5</v>
      </c>
      <c r="C97" s="29">
        <v>111.0</v>
      </c>
      <c r="D97" s="35">
        <v>13964.0</v>
      </c>
      <c r="E97" s="29">
        <v>66.0</v>
      </c>
      <c r="F97" s="29">
        <v>86.0</v>
      </c>
      <c r="G97" s="35">
        <v>11216.0</v>
      </c>
      <c r="H97" s="29">
        <v>57.0</v>
      </c>
      <c r="I97" s="29">
        <v>14.0</v>
      </c>
      <c r="J97" s="35">
        <v>1455.0</v>
      </c>
      <c r="K97" s="29" t="s">
        <v>153</v>
      </c>
      <c r="L97" s="29" t="s">
        <v>154</v>
      </c>
      <c r="M97" s="30">
        <v>6.25E-4</v>
      </c>
    </row>
    <row r="98">
      <c r="A98" s="36"/>
      <c r="B98" s="37"/>
      <c r="C98" s="38"/>
      <c r="D98" s="38"/>
      <c r="E98" s="38"/>
      <c r="F98" s="38"/>
      <c r="G98" s="38"/>
      <c r="H98" s="38"/>
      <c r="I98" s="38"/>
      <c r="J98" s="38"/>
      <c r="K98" s="38"/>
      <c r="L98" s="38"/>
      <c r="M98" s="39"/>
    </row>
    <row r="99">
      <c r="A99" s="47">
        <v>46080.0</v>
      </c>
      <c r="B99" s="28" t="s">
        <v>9</v>
      </c>
      <c r="C99" s="29">
        <v>1.0</v>
      </c>
      <c r="D99" s="29">
        <v>100.0</v>
      </c>
      <c r="E99" s="29">
        <v>1.0</v>
      </c>
      <c r="F99" s="29">
        <v>1.0</v>
      </c>
      <c r="G99" s="29">
        <v>100.0</v>
      </c>
      <c r="H99" s="29">
        <v>1.0</v>
      </c>
      <c r="I99" s="29">
        <v>0.0</v>
      </c>
      <c r="J99" s="29">
        <v>0.0</v>
      </c>
      <c r="K99" s="29" t="s">
        <v>26</v>
      </c>
      <c r="L99" s="29" t="s">
        <v>155</v>
      </c>
      <c r="M99" s="30">
        <v>6.481481481481481E-4</v>
      </c>
    </row>
    <row r="100">
      <c r="A100" s="47">
        <v>46080.0</v>
      </c>
      <c r="B100" s="31" t="s">
        <v>3</v>
      </c>
      <c r="C100" s="32">
        <v>17.0</v>
      </c>
      <c r="D100" s="33">
        <v>10960.0</v>
      </c>
      <c r="E100" s="32">
        <v>9.0</v>
      </c>
      <c r="F100" s="32">
        <v>16.0</v>
      </c>
      <c r="G100" s="33">
        <v>9960.0</v>
      </c>
      <c r="H100" s="32">
        <v>9.0</v>
      </c>
      <c r="I100" s="32">
        <v>0.0</v>
      </c>
      <c r="J100" s="32">
        <v>0.0</v>
      </c>
      <c r="K100" s="32" t="s">
        <v>36</v>
      </c>
      <c r="L100" s="32" t="s">
        <v>156</v>
      </c>
      <c r="M100" s="34">
        <v>6.828703703703704E-4</v>
      </c>
    </row>
    <row r="101">
      <c r="A101" s="47">
        <v>46080.0</v>
      </c>
      <c r="B101" s="28" t="s">
        <v>2</v>
      </c>
      <c r="C101" s="29">
        <v>529.0</v>
      </c>
      <c r="D101" s="35">
        <v>95028.0</v>
      </c>
      <c r="E101" s="29">
        <v>321.0</v>
      </c>
      <c r="F101" s="29">
        <v>421.0</v>
      </c>
      <c r="G101" s="35">
        <v>73303.0</v>
      </c>
      <c r="H101" s="29">
        <v>298.0</v>
      </c>
      <c r="I101" s="29">
        <v>78.0</v>
      </c>
      <c r="J101" s="35">
        <v>10730.0</v>
      </c>
      <c r="K101" s="29" t="s">
        <v>157</v>
      </c>
      <c r="L101" s="29" t="s">
        <v>158</v>
      </c>
      <c r="M101" s="30">
        <v>0.0010763888888888889</v>
      </c>
    </row>
    <row r="102">
      <c r="A102" s="47">
        <v>46080.0</v>
      </c>
      <c r="B102" s="31" t="s">
        <v>4</v>
      </c>
      <c r="C102" s="32">
        <v>45.0</v>
      </c>
      <c r="D102" s="33">
        <v>9700.0</v>
      </c>
      <c r="E102" s="32">
        <v>17.0</v>
      </c>
      <c r="F102" s="32">
        <v>29.0</v>
      </c>
      <c r="G102" s="33">
        <v>6300.0</v>
      </c>
      <c r="H102" s="32">
        <v>11.0</v>
      </c>
      <c r="I102" s="32">
        <v>3.0</v>
      </c>
      <c r="J102" s="32">
        <v>300.0</v>
      </c>
      <c r="K102" s="32" t="s">
        <v>159</v>
      </c>
      <c r="L102" s="32" t="s">
        <v>160</v>
      </c>
      <c r="M102" s="34">
        <v>7.754629629629629E-4</v>
      </c>
    </row>
    <row r="103">
      <c r="A103" s="47">
        <v>46080.0</v>
      </c>
      <c r="B103" s="28" t="s">
        <v>5</v>
      </c>
      <c r="C103" s="29">
        <v>66.0</v>
      </c>
      <c r="D103" s="35">
        <v>6499.0</v>
      </c>
      <c r="E103" s="29">
        <v>48.0</v>
      </c>
      <c r="F103" s="29">
        <v>52.0</v>
      </c>
      <c r="G103" s="35">
        <v>5299.0</v>
      </c>
      <c r="H103" s="29">
        <v>43.0</v>
      </c>
      <c r="I103" s="29">
        <v>8.0</v>
      </c>
      <c r="J103" s="35">
        <v>1270.0</v>
      </c>
      <c r="K103" s="29" t="s">
        <v>161</v>
      </c>
      <c r="L103" s="29" t="s">
        <v>162</v>
      </c>
      <c r="M103" s="30">
        <v>6.481481481481481E-4</v>
      </c>
    </row>
    <row r="104">
      <c r="A104" s="36"/>
      <c r="B104" s="37"/>
      <c r="C104" s="38"/>
      <c r="D104" s="38"/>
      <c r="E104" s="38"/>
      <c r="F104" s="38"/>
      <c r="G104" s="38"/>
      <c r="H104" s="38"/>
      <c r="I104" s="38"/>
      <c r="J104" s="38"/>
      <c r="K104" s="38"/>
      <c r="L104" s="38"/>
      <c r="M104" s="39"/>
    </row>
    <row r="105">
      <c r="A105" s="47">
        <v>46081.0</v>
      </c>
      <c r="B105" s="28" t="s">
        <v>3</v>
      </c>
      <c r="C105" s="29">
        <v>41.0</v>
      </c>
      <c r="D105" s="35">
        <v>11904.0</v>
      </c>
      <c r="E105" s="29">
        <v>27.0</v>
      </c>
      <c r="F105" s="29">
        <v>37.0</v>
      </c>
      <c r="G105" s="35">
        <v>10704.0</v>
      </c>
      <c r="H105" s="29">
        <v>27.0</v>
      </c>
      <c r="I105" s="29">
        <v>14.0</v>
      </c>
      <c r="J105" s="35">
        <v>1740.0</v>
      </c>
      <c r="K105" s="29" t="s">
        <v>163</v>
      </c>
      <c r="L105" s="29" t="s">
        <v>164</v>
      </c>
      <c r="M105" s="30">
        <v>5.671296296296297E-4</v>
      </c>
    </row>
    <row r="106">
      <c r="A106" s="47">
        <v>46081.0</v>
      </c>
      <c r="B106" s="31" t="s">
        <v>2</v>
      </c>
      <c r="C106" s="50">
        <v>1227.0</v>
      </c>
      <c r="D106" s="33">
        <v>156739.0</v>
      </c>
      <c r="E106" s="32">
        <v>547.0</v>
      </c>
      <c r="F106" s="32">
        <v>526.0</v>
      </c>
      <c r="G106" s="33">
        <v>77741.0</v>
      </c>
      <c r="H106" s="32">
        <v>404.0</v>
      </c>
      <c r="I106" s="32">
        <v>174.0</v>
      </c>
      <c r="J106" s="33">
        <v>21831.0</v>
      </c>
      <c r="K106" s="32" t="s">
        <v>165</v>
      </c>
      <c r="L106" s="32" t="s">
        <v>166</v>
      </c>
      <c r="M106" s="34">
        <v>7.523148148148148E-4</v>
      </c>
    </row>
    <row r="107">
      <c r="A107" s="47">
        <v>46081.0</v>
      </c>
      <c r="B107" s="28" t="s">
        <v>4</v>
      </c>
      <c r="C107" s="29">
        <v>131.0</v>
      </c>
      <c r="D107" s="35">
        <v>18626.0</v>
      </c>
      <c r="E107" s="29">
        <v>81.0</v>
      </c>
      <c r="F107" s="29">
        <v>19.0</v>
      </c>
      <c r="G107" s="35">
        <v>3824.0</v>
      </c>
      <c r="H107" s="29">
        <v>17.0</v>
      </c>
      <c r="I107" s="29">
        <v>10.0</v>
      </c>
      <c r="J107" s="35">
        <v>2224.0</v>
      </c>
      <c r="K107" s="29" t="s">
        <v>167</v>
      </c>
      <c r="L107" s="29" t="s">
        <v>168</v>
      </c>
      <c r="M107" s="30">
        <v>7.87037037037037E-4</v>
      </c>
    </row>
    <row r="108">
      <c r="A108" s="47">
        <v>46081.0</v>
      </c>
      <c r="B108" s="31" t="s">
        <v>5</v>
      </c>
      <c r="C108" s="32">
        <v>125.0</v>
      </c>
      <c r="D108" s="33">
        <v>15376.0</v>
      </c>
      <c r="E108" s="32">
        <v>85.0</v>
      </c>
      <c r="F108" s="32">
        <v>97.0</v>
      </c>
      <c r="G108" s="33">
        <v>11476.0</v>
      </c>
      <c r="H108" s="32">
        <v>74.0</v>
      </c>
      <c r="I108" s="32">
        <v>33.0</v>
      </c>
      <c r="J108" s="33">
        <v>4515.0</v>
      </c>
      <c r="K108" s="32" t="s">
        <v>169</v>
      </c>
      <c r="L108" s="32" t="s">
        <v>170</v>
      </c>
      <c r="M108" s="34">
        <v>6.712962962962962E-4</v>
      </c>
    </row>
    <row r="109">
      <c r="A109" s="36"/>
      <c r="B109" s="37"/>
      <c r="C109" s="38"/>
      <c r="D109" s="38"/>
      <c r="E109" s="38"/>
      <c r="F109" s="38"/>
      <c r="G109" s="38"/>
      <c r="H109" s="38"/>
      <c r="I109" s="38"/>
      <c r="J109" s="38"/>
      <c r="K109" s="38"/>
      <c r="L109" s="38"/>
      <c r="M109" s="39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6.0"/>
    <col customWidth="1" min="2" max="2" width="36.0"/>
    <col customWidth="1" min="3" max="3" width="19.0"/>
    <col customWidth="1" min="9" max="9" width="15.63"/>
    <col customWidth="1" min="14" max="14" width="33.38"/>
  </cols>
  <sheetData>
    <row r="2">
      <c r="A2" s="51" t="s">
        <v>171</v>
      </c>
      <c r="B2" s="52">
        <v>46065.0</v>
      </c>
      <c r="C2" s="53">
        <f>B2-1</f>
        <v>46064</v>
      </c>
    </row>
    <row r="4">
      <c r="B4" s="2" t="s">
        <v>0</v>
      </c>
      <c r="C4" s="3" t="s">
        <v>1</v>
      </c>
      <c r="D4" s="4" t="s">
        <v>2</v>
      </c>
      <c r="E4" s="4" t="s">
        <v>3</v>
      </c>
      <c r="F4" s="4" t="s">
        <v>4</v>
      </c>
      <c r="G4" s="4" t="s">
        <v>5</v>
      </c>
      <c r="H4" s="4" t="s">
        <v>6</v>
      </c>
      <c r="I4" s="4" t="s">
        <v>7</v>
      </c>
      <c r="J4" s="4" t="s">
        <v>8</v>
      </c>
      <c r="K4" s="4" t="s">
        <v>9</v>
      </c>
      <c r="L4" s="5" t="s">
        <v>10</v>
      </c>
      <c r="M4" s="51" t="s">
        <v>172</v>
      </c>
      <c r="N4" s="51" t="s">
        <v>173</v>
      </c>
    </row>
    <row r="5">
      <c r="B5" s="24">
        <f>B2</f>
        <v>46065</v>
      </c>
      <c r="C5" s="54" t="s">
        <v>11</v>
      </c>
      <c r="D5" s="55">
        <f>SUMIFS('渠道充值成功率_底稿'!$C:$C,'渠道充值成功率_底稿'!$A:$A,$B$5,'渠道充值成功率_底稿'!$B:$B,D$4)</f>
        <v>3522</v>
      </c>
      <c r="E5" s="55">
        <f>SUMIFS('渠道充值成功率_底稿'!$C:$C,'渠道充值成功率_底稿'!$A:$A,$B$5,'渠道充值成功率_底稿'!$B:$B,E$4)</f>
        <v>176</v>
      </c>
      <c r="F5" s="55">
        <f>SUMIFS('渠道充值成功率_底稿'!$C:$C,'渠道充值成功率_底稿'!$A:$A,$B$5,'渠道充值成功率_底稿'!$B:$B,F$4)</f>
        <v>238</v>
      </c>
      <c r="G5" s="55">
        <f>SUMIFS('渠道充值成功率_底稿'!$C:$C,'渠道充值成功率_底稿'!$A:$A,$B$5,'渠道充值成功率_底稿'!$B:$B,G$4)</f>
        <v>609</v>
      </c>
      <c r="H5" s="55">
        <f>SUMIFS('渠道充值成功率_底稿'!$C:$C,'渠道充值成功率_底稿'!$A:$A,$B$5,'渠道充值成功率_底稿'!$B:$B,H$4)</f>
        <v>0</v>
      </c>
      <c r="I5" s="55">
        <f>SUMIFS('渠道充值成功率_底稿'!$C:$C,'渠道充值成功率_底稿'!$A:$A,$B$5,'渠道充值成功率_底稿'!$B:$B,I$4)</f>
        <v>0</v>
      </c>
      <c r="J5" s="55">
        <f>SUMIFS('渠道充值成功率_底稿'!$C:$C,'渠道充值成功率_底稿'!$A:$A,$B$5,'渠道充值成功率_底稿'!$B:$B,J$4)</f>
        <v>0</v>
      </c>
      <c r="K5" s="55">
        <f>SUMIFS('渠道充值成功率_底稿'!$C:$C,'渠道充值成功率_底稿'!$A:$A,$B$5,'渠道充值成功率_底稿'!$B:$B,K$4)</f>
        <v>17</v>
      </c>
      <c r="L5" s="56">
        <f>SUMIFS('渠道充值成功率_底稿'!$C:$C,'渠道充值成功率_底稿'!$A:$A,$B$5,'渠道充值成功率_底稿'!$B:$B,L$4)</f>
        <v>0</v>
      </c>
      <c r="M5" s="57">
        <f t="shared" ref="M5:M6" si="1">SUM(D5:L5)</f>
        <v>4562</v>
      </c>
      <c r="N5" s="57">
        <f t="shared" ref="N5:N10" si="2">M5-M13</f>
        <v>4145</v>
      </c>
    </row>
    <row r="6">
      <c r="B6" s="11"/>
      <c r="C6" s="58" t="s">
        <v>12</v>
      </c>
      <c r="D6" s="13">
        <f>SUMIFS('渠道充值成功率_底稿'!$F:$F,'渠道充值成功率_底稿'!$A:$A,$B5,'渠道充值成功率_底稿'!$B:$B,D$4)</f>
        <v>2658</v>
      </c>
      <c r="E6" s="13">
        <f>SUMIFS('渠道充值成功率_底稿'!$F:$F,'渠道充值成功率_底稿'!$A:$A,$B5,'渠道充值成功率_底稿'!$B:$B,E$4)</f>
        <v>151</v>
      </c>
      <c r="F6" s="13">
        <f>SUMIFS('渠道充值成功率_底稿'!$F:$F,'渠道充值成功率_底稿'!$A:$A,$B5,'渠道充值成功率_底稿'!$B:$B,F$4)</f>
        <v>132</v>
      </c>
      <c r="G6" s="13">
        <f>SUMIFS('渠道充值成功率_底稿'!$F:$F,'渠道充值成功率_底稿'!$A:$A,$B5,'渠道充值成功率_底稿'!$B:$B,G$4)</f>
        <v>487</v>
      </c>
      <c r="H6" s="13">
        <f>SUMIFS('渠道充值成功率_底稿'!$F:$F,'渠道充值成功率_底稿'!$A:$A,$B5,'渠道充值成功率_底稿'!$B:$B,H$4)</f>
        <v>0</v>
      </c>
      <c r="I6" s="13">
        <f>SUMIFS('渠道充值成功率_底稿'!$F:$F,'渠道充值成功率_底稿'!$A:$A,$B5,'渠道充值成功率_底稿'!$B:$B,I$4)</f>
        <v>0</v>
      </c>
      <c r="J6" s="13">
        <f>SUMIFS('渠道充值成功率_底稿'!$F:$F,'渠道充值成功率_底稿'!$A:$A,$B5,'渠道充值成功率_底稿'!$B:$B,J$4)</f>
        <v>0</v>
      </c>
      <c r="K6" s="13">
        <f>SUMIFS('渠道充值成功率_底稿'!$F:$F,'渠道充值成功率_底稿'!$A:$A,$B5,'渠道充值成功率_底稿'!$B:$B,K$4)</f>
        <v>16</v>
      </c>
      <c r="L6" s="14">
        <f>SUMIFS('渠道充值成功率_底稿'!$F:$F,'渠道充值成功率_底稿'!$A:$A,$B5,'渠道充值成功率_底稿'!$B:$B,L$4)</f>
        <v>0</v>
      </c>
      <c r="M6" s="59">
        <f t="shared" si="1"/>
        <v>3444</v>
      </c>
      <c r="N6" s="59">
        <f t="shared" si="2"/>
        <v>3113</v>
      </c>
    </row>
    <row r="7">
      <c r="B7" s="11"/>
      <c r="C7" s="60" t="s">
        <v>13</v>
      </c>
      <c r="D7" s="16">
        <f t="shared" ref="D7:L7" si="3">IFERROR(ROUND(D6/D5,6),"0")</f>
        <v>0.754685</v>
      </c>
      <c r="E7" s="16">
        <f t="shared" si="3"/>
        <v>0.857955</v>
      </c>
      <c r="F7" s="16">
        <f t="shared" si="3"/>
        <v>0.554622</v>
      </c>
      <c r="G7" s="16">
        <f t="shared" si="3"/>
        <v>0.799672</v>
      </c>
      <c r="H7" s="16" t="str">
        <f t="shared" si="3"/>
        <v>0</v>
      </c>
      <c r="I7" s="16" t="str">
        <f t="shared" si="3"/>
        <v>0</v>
      </c>
      <c r="J7" s="16" t="str">
        <f t="shared" si="3"/>
        <v>0</v>
      </c>
      <c r="K7" s="16">
        <f t="shared" si="3"/>
        <v>0.941176</v>
      </c>
      <c r="L7" s="17" t="str">
        <f t="shared" si="3"/>
        <v>0</v>
      </c>
      <c r="M7" s="61">
        <f>M6/M5</f>
        <v>0.7549320473</v>
      </c>
      <c r="N7" s="61">
        <f t="shared" si="2"/>
        <v>-0.03883294066</v>
      </c>
    </row>
    <row r="8">
      <c r="B8" s="11"/>
      <c r="C8" s="58" t="s">
        <v>14</v>
      </c>
      <c r="D8" s="18">
        <f>SUMIFS('渠道充值成功率_底稿'!$D:$D,'渠道充值成功率_底稿'!$A:$A,$B$2,'渠道充值成功率_底稿'!$B:$B,D$4)</f>
        <v>594748</v>
      </c>
      <c r="E8" s="18">
        <f>SUMIFS('渠道充值成功率_底稿'!$D:$D,'渠道充值成功率_底稿'!$A:$A,$B$2,'渠道充值成功率_底稿'!$B:$B,E$4)</f>
        <v>41417</v>
      </c>
      <c r="F8" s="18">
        <f>SUMIFS('渠道充值成功率_底稿'!$D:$D,'渠道充值成功率_底稿'!$A:$A,$B$2,'渠道充值成功率_底稿'!$B:$B,F$4)</f>
        <v>45503</v>
      </c>
      <c r="G8" s="18">
        <f>SUMIFS('渠道充值成功率_底稿'!$D:$D,'渠道充值成功率_底稿'!$A:$A,$B$2,'渠道充值成功率_底稿'!$B:$B,G$4)</f>
        <v>114956</v>
      </c>
      <c r="H8" s="18">
        <f>SUMIFS('渠道充值成功率_底稿'!$D:$D,'渠道充值成功率_底稿'!$A:$A,$B$2,'渠道充值成功率_底稿'!$B:$B,H$4)</f>
        <v>0</v>
      </c>
      <c r="I8" s="18">
        <f>SUMIFS('渠道充值成功率_底稿'!$D:$D,'渠道充值成功率_底稿'!$A:$A,$B$2,'渠道充值成功率_底稿'!$B:$B,I$4)</f>
        <v>0</v>
      </c>
      <c r="J8" s="18">
        <f>SUMIFS('渠道充值成功率_底稿'!$D:$D,'渠道充值成功率_底稿'!$A:$A,$B$2,'渠道充值成功率_底稿'!$B:$B,J$4)</f>
        <v>0</v>
      </c>
      <c r="K8" s="18">
        <f>SUMIFS('渠道充值成功率_底稿'!$D:$D,'渠道充值成功率_底稿'!$A:$A,$B$2,'渠道充值成功率_底稿'!$B:$B,K$4)</f>
        <v>3970</v>
      </c>
      <c r="L8" s="62">
        <f>SUMIFS('渠道充值成功率_底稿'!$D:$D,'渠道充值成功率_底稿'!$A:$A,$B$2,'渠道充值成功率_底稿'!$B:$B,L$4)</f>
        <v>0</v>
      </c>
      <c r="M8" s="63">
        <f t="shared" ref="M8:M9" si="4">SUM(D8:L8)</f>
        <v>800594</v>
      </c>
      <c r="N8" s="63">
        <f t="shared" si="2"/>
        <v>738711</v>
      </c>
    </row>
    <row r="9">
      <c r="B9" s="11"/>
      <c r="C9" s="64" t="s">
        <v>15</v>
      </c>
      <c r="D9" s="18">
        <f>SUMIFS('渠道充值成功率_底稿'!$G:$G,'渠道充值成功率_底稿'!$A:$A,$B$2,'渠道充值成功率_底稿'!$B:$B,D$4)</f>
        <v>393917</v>
      </c>
      <c r="E9" s="18">
        <f>SUMIFS('渠道充值成功率_底稿'!$G:$G,'渠道充值成功率_底稿'!$A:$A,$B$2,'渠道充值成功率_底稿'!$B:$B,E$4)</f>
        <v>35097</v>
      </c>
      <c r="F9" s="18">
        <f>SUMIFS('渠道充值成功率_底稿'!$G:$G,'渠道充值成功率_底稿'!$A:$A,$B$2,'渠道充值成功率_底稿'!$B:$B,F$4)</f>
        <v>26162</v>
      </c>
      <c r="G9" s="18">
        <f>SUMIFS('渠道充值成功率_底稿'!$G:$G,'渠道充值成功率_底稿'!$A:$A,$B$2,'渠道充值成功率_底稿'!$B:$B,G$4)</f>
        <v>89690</v>
      </c>
      <c r="H9" s="18">
        <f>SUMIFS('渠道充值成功率_底稿'!$G:$G,'渠道充值成功率_底稿'!$A:$A,$B$2,'渠道充值成功率_底稿'!$B:$B,H$4)</f>
        <v>0</v>
      </c>
      <c r="I9" s="18">
        <f>SUMIFS('渠道充值成功率_底稿'!$G:$G,'渠道充值成功率_底稿'!$A:$A,$B$2,'渠道充值成功率_底稿'!$B:$B,I$4)</f>
        <v>0</v>
      </c>
      <c r="J9" s="18">
        <f>SUMIFS('渠道充值成功率_底稿'!$G:$G,'渠道充值成功率_底稿'!$A:$A,$B$2,'渠道充值成功率_底稿'!$B:$B,J$4)</f>
        <v>0</v>
      </c>
      <c r="K9" s="18">
        <f>SUMIFS('渠道充值成功率_底稿'!$G:$G,'渠道充值成功率_底稿'!$A:$A,$B$2,'渠道充值成功率_底稿'!$B:$B,K$4)</f>
        <v>3870</v>
      </c>
      <c r="L9" s="62">
        <f>SUMIFS('渠道充值成功率_底稿'!$G:$G,'渠道充值成功率_底稿'!$A:$A,$B$2,'渠道充值成功率_底稿'!$B:$B,L$4)</f>
        <v>0</v>
      </c>
      <c r="M9" s="63">
        <f t="shared" si="4"/>
        <v>548736</v>
      </c>
      <c r="N9" s="63">
        <f t="shared" si="2"/>
        <v>498023</v>
      </c>
    </row>
    <row r="10">
      <c r="B10" s="20"/>
      <c r="C10" s="65" t="s">
        <v>16</v>
      </c>
      <c r="D10" s="22">
        <f t="shared" ref="D10:L10" si="5">IFERROR(ROUND(D9/D8,6),"0")</f>
        <v>0.662326</v>
      </c>
      <c r="E10" s="22">
        <f t="shared" si="5"/>
        <v>0.847406</v>
      </c>
      <c r="F10" s="22">
        <f t="shared" si="5"/>
        <v>0.574951</v>
      </c>
      <c r="G10" s="22">
        <f t="shared" si="5"/>
        <v>0.780212</v>
      </c>
      <c r="H10" s="22" t="str">
        <f t="shared" si="5"/>
        <v>0</v>
      </c>
      <c r="I10" s="22" t="str">
        <f t="shared" si="5"/>
        <v>0</v>
      </c>
      <c r="J10" s="22" t="str">
        <f t="shared" si="5"/>
        <v>0</v>
      </c>
      <c r="K10" s="22">
        <f t="shared" si="5"/>
        <v>0.974811</v>
      </c>
      <c r="L10" s="23" t="str">
        <f t="shared" si="5"/>
        <v>0</v>
      </c>
      <c r="M10" s="61">
        <f>M9/M8</f>
        <v>0.6854110823</v>
      </c>
      <c r="N10" s="61">
        <f t="shared" si="2"/>
        <v>-0.1340870028</v>
      </c>
    </row>
    <row r="12">
      <c r="B12" s="2" t="s">
        <v>0</v>
      </c>
      <c r="C12" s="3" t="s">
        <v>1</v>
      </c>
      <c r="D12" s="4" t="s">
        <v>2</v>
      </c>
      <c r="E12" s="4" t="s">
        <v>3</v>
      </c>
      <c r="F12" s="4" t="s">
        <v>4</v>
      </c>
      <c r="G12" s="4" t="s">
        <v>5</v>
      </c>
      <c r="H12" s="4" t="s">
        <v>6</v>
      </c>
      <c r="I12" s="4" t="s">
        <v>7</v>
      </c>
      <c r="J12" s="4" t="s">
        <v>8</v>
      </c>
      <c r="K12" s="4" t="s">
        <v>9</v>
      </c>
      <c r="L12" s="5" t="s">
        <v>10</v>
      </c>
      <c r="M12" s="51" t="s">
        <v>172</v>
      </c>
    </row>
    <row r="13">
      <c r="B13" s="24">
        <f>B2-1</f>
        <v>46064</v>
      </c>
      <c r="C13" s="54" t="s">
        <v>11</v>
      </c>
      <c r="D13" s="55">
        <f>SUMIFS('渠道充值成功率_底稿'!$C:$C,'渠道充值成功率_底稿'!$A:$A,$B$13,'渠道充值成功率_底稿'!$B:$B,D$4)</f>
        <v>336</v>
      </c>
      <c r="E13" s="55">
        <f>SUMIFS('渠道充值成功率_底稿'!$C:$C,'渠道充值成功率_底稿'!$A:$A,$B$13,'渠道充值成功率_底稿'!$B:$B,E$4)</f>
        <v>15</v>
      </c>
      <c r="F13" s="55">
        <f>SUMIFS('渠道充值成功率_底稿'!$C:$C,'渠道充值成功率_底稿'!$A:$A,$B$13,'渠道充值成功率_底稿'!$B:$B,F$4)</f>
        <v>7</v>
      </c>
      <c r="G13" s="55">
        <f>SUMIFS('渠道充值成功率_底稿'!$C:$C,'渠道充值成功率_底稿'!$A:$A,$B$13,'渠道充值成功率_底稿'!$B:$B,G$4)</f>
        <v>57</v>
      </c>
      <c r="H13" s="55">
        <f>SUMIFS('渠道充值成功率_底稿'!$C:$C,'渠道充值成功率_底稿'!$A:$A,$B$13,'渠道充值成功率_底稿'!$B:$B,H$4)</f>
        <v>0</v>
      </c>
      <c r="I13" s="55">
        <f>SUMIFS('渠道充值成功率_底稿'!$C:$C,'渠道充值成功率_底稿'!$A:$A,$B$13,'渠道充值成功率_底稿'!$B:$B,I$4)</f>
        <v>0</v>
      </c>
      <c r="J13" s="55">
        <f>SUMIFS('渠道充值成功率_底稿'!$C:$C,'渠道充值成功率_底稿'!$A:$A,$B$13,'渠道充值成功率_底稿'!$B:$B,J$4)</f>
        <v>0</v>
      </c>
      <c r="K13" s="55">
        <f>SUMIFS('渠道充值成功率_底稿'!$C:$C,'渠道充值成功率_底稿'!$A:$A,$B$13,'渠道充值成功率_底稿'!$B:$B,K$4)</f>
        <v>2</v>
      </c>
      <c r="L13" s="56">
        <f>SUMIFS('渠道充值成功率_底稿'!$C:$C,'渠道充值成功率_底稿'!$A:$A,$B$13,'渠道充值成功率_底稿'!$B:$B,L$4)</f>
        <v>0</v>
      </c>
      <c r="M13" s="57">
        <f t="shared" ref="M13:M14" si="6">SUM(D13:L13)</f>
        <v>417</v>
      </c>
    </row>
    <row r="14">
      <c r="B14" s="11"/>
      <c r="C14" s="58" t="s">
        <v>12</v>
      </c>
      <c r="D14" s="13">
        <f>SUMIFS('渠道充值成功率_底稿'!$F:$F,'渠道充值成功率_底稿'!$A:$A,$B13,'渠道充值成功率_底稿'!$B:$B,D$4)</f>
        <v>264</v>
      </c>
      <c r="E14" s="13">
        <f>SUMIFS('渠道充值成功率_底稿'!$F:$F,'渠道充值成功率_底稿'!$A:$A,$B13,'渠道充值成功率_底稿'!$B:$B,E$4)</f>
        <v>14</v>
      </c>
      <c r="F14" s="13">
        <f>SUMIFS('渠道充值成功率_底稿'!$F:$F,'渠道充值成功率_底稿'!$A:$A,$B13,'渠道充值成功率_底稿'!$B:$B,F$4)</f>
        <v>6</v>
      </c>
      <c r="G14" s="13">
        <f>SUMIFS('渠道充值成功率_底稿'!$F:$F,'渠道充值成功率_底稿'!$A:$A,$B13,'渠道充值成功率_底稿'!$B:$B,G$4)</f>
        <v>45</v>
      </c>
      <c r="H14" s="13">
        <f>SUMIFS('渠道充值成功率_底稿'!$F:$F,'渠道充值成功率_底稿'!$A:$A,$B13,'渠道充值成功率_底稿'!$B:$B,H$4)</f>
        <v>0</v>
      </c>
      <c r="I14" s="13">
        <f>SUMIFS('渠道充值成功率_底稿'!$F:$F,'渠道充值成功率_底稿'!$A:$A,$B13,'渠道充值成功率_底稿'!$B:$B,I$4)</f>
        <v>0</v>
      </c>
      <c r="J14" s="13">
        <f>SUMIFS('渠道充值成功率_底稿'!$F:$F,'渠道充值成功率_底稿'!$A:$A,$B13,'渠道充值成功率_底稿'!$B:$B,J$4)</f>
        <v>0</v>
      </c>
      <c r="K14" s="13">
        <f>SUMIFS('渠道充值成功率_底稿'!$F:$F,'渠道充值成功率_底稿'!$A:$A,$B13,'渠道充值成功率_底稿'!$B:$B,K$4)</f>
        <v>2</v>
      </c>
      <c r="L14" s="14">
        <f>SUMIFS('渠道充值成功率_底稿'!$F:$F,'渠道充值成功率_底稿'!$A:$A,$B13,'渠道充值成功率_底稿'!$B:$B,L$4)</f>
        <v>0</v>
      </c>
      <c r="M14" s="59">
        <f t="shared" si="6"/>
        <v>331</v>
      </c>
    </row>
    <row r="15">
      <c r="B15" s="11"/>
      <c r="C15" s="60" t="s">
        <v>13</v>
      </c>
      <c r="D15" s="16">
        <f t="shared" ref="D15:L15" si="7">IFERROR(ROUND(D14/D13,6),"0")</f>
        <v>0.785714</v>
      </c>
      <c r="E15" s="16">
        <f t="shared" si="7"/>
        <v>0.933333</v>
      </c>
      <c r="F15" s="16">
        <f t="shared" si="7"/>
        <v>0.857143</v>
      </c>
      <c r="G15" s="16">
        <f t="shared" si="7"/>
        <v>0.789474</v>
      </c>
      <c r="H15" s="16" t="str">
        <f t="shared" si="7"/>
        <v>0</v>
      </c>
      <c r="I15" s="16" t="str">
        <f t="shared" si="7"/>
        <v>0</v>
      </c>
      <c r="J15" s="16" t="str">
        <f t="shared" si="7"/>
        <v>0</v>
      </c>
      <c r="K15" s="16">
        <f t="shared" si="7"/>
        <v>1</v>
      </c>
      <c r="L15" s="17" t="str">
        <f t="shared" si="7"/>
        <v>0</v>
      </c>
      <c r="M15" s="61">
        <f>M14/M13</f>
        <v>0.793764988</v>
      </c>
    </row>
    <row r="16">
      <c r="B16" s="11"/>
      <c r="C16" s="58" t="s">
        <v>14</v>
      </c>
      <c r="D16" s="18">
        <f>SUMIFS('渠道充值成功率_底稿'!$D:$D,'渠道充值成功率_底稿'!$A:$A,$B$13,'渠道充值成功率_底稿'!$B:$B,D$4)</f>
        <v>45098</v>
      </c>
      <c r="E16" s="18">
        <f>SUMIFS('渠道充值成功率_底稿'!$D:$D,'渠道充值成功率_底稿'!$A:$A,$B$13,'渠道充值成功率_底稿'!$B:$B,E$4)</f>
        <v>9270</v>
      </c>
      <c r="F16" s="18">
        <f>SUMIFS('渠道充值成功率_底稿'!$D:$D,'渠道充值成功率_底稿'!$A:$A,$B$13,'渠道充值成功率_底稿'!$B:$B,F$4)</f>
        <v>700</v>
      </c>
      <c r="G16" s="18">
        <f>SUMIFS('渠道充值成功率_底稿'!$D:$D,'渠道充值成功率_底稿'!$A:$A,$B$13,'渠道充值成功率_底稿'!$B:$B,G$4)</f>
        <v>6415</v>
      </c>
      <c r="H16" s="18">
        <f>SUMIFS('渠道充值成功率_底稿'!$D:$D,'渠道充值成功率_底稿'!$A:$A,$B$13,'渠道充值成功率_底稿'!$B:$B,H$4)</f>
        <v>0</v>
      </c>
      <c r="I16" s="18">
        <f>SUMIFS('渠道充值成功率_底稿'!$D:$D,'渠道充值成功率_底稿'!$A:$A,$B$13,'渠道充值成功率_底稿'!$B:$B,I$4)</f>
        <v>0</v>
      </c>
      <c r="J16" s="18">
        <f>SUMIFS('渠道充值成功率_底稿'!$D:$D,'渠道充值成功率_底稿'!$A:$A,$B$13,'渠道充值成功率_底稿'!$B:$B,J$4)</f>
        <v>0</v>
      </c>
      <c r="K16" s="18">
        <f>SUMIFS('渠道充值成功率_底稿'!$D:$D,'渠道充值成功率_底稿'!$A:$A,$B$13,'渠道充值成功率_底稿'!$B:$B,K$4)</f>
        <v>400</v>
      </c>
      <c r="L16" s="62">
        <f>SUMIFS('渠道充值成功率_底稿'!$D:$D,'渠道充值成功率_底稿'!$A:$A,$B$13,'渠道充值成功率_底稿'!$B:$B,L$4)</f>
        <v>0</v>
      </c>
      <c r="M16" s="63">
        <f t="shared" ref="M16:M17" si="8">SUM(D16:L16)</f>
        <v>61883</v>
      </c>
    </row>
    <row r="17">
      <c r="B17" s="11"/>
      <c r="C17" s="64" t="s">
        <v>15</v>
      </c>
      <c r="D17" s="18">
        <f>SUMIFS('渠道充值成功率_底稿'!$G:$G,'渠道充值成功率_底稿'!$A:$A,$B$13,'渠道充值成功率_底稿'!$B:$B,D$4)</f>
        <v>34978</v>
      </c>
      <c r="E17" s="18">
        <f>SUMIFS('渠道充值成功率_底稿'!$G:$G,'渠道充值成功率_底稿'!$A:$A,$B$13,'渠道充值成功率_底稿'!$B:$B,E$4)</f>
        <v>9070</v>
      </c>
      <c r="F17" s="18">
        <f>SUMIFS('渠道充值成功率_底稿'!$G:$G,'渠道充值成功率_底稿'!$A:$A,$B$13,'渠道充值成功率_底稿'!$B:$B,F$4)</f>
        <v>600</v>
      </c>
      <c r="G17" s="18">
        <f>SUMIFS('渠道充值成功率_底稿'!$G:$G,'渠道充值成功率_底稿'!$A:$A,$B$13,'渠道充值成功率_底稿'!$B:$B,G$4)</f>
        <v>5665</v>
      </c>
      <c r="H17" s="18">
        <f>SUMIFS('渠道充值成功率_底稿'!$G:$G,'渠道充值成功率_底稿'!$A:$A,$B$13,'渠道充值成功率_底稿'!$B:$B,H$4)</f>
        <v>0</v>
      </c>
      <c r="I17" s="18">
        <f>SUMIFS('渠道充值成功率_底稿'!$G:$G,'渠道充值成功率_底稿'!$A:$A,$B$13,'渠道充值成功率_底稿'!$B:$B,I$4)</f>
        <v>0</v>
      </c>
      <c r="J17" s="18">
        <f>SUMIFS('渠道充值成功率_底稿'!$G:$G,'渠道充值成功率_底稿'!$A:$A,$B$13,'渠道充值成功率_底稿'!$B:$B,J$4)</f>
        <v>0</v>
      </c>
      <c r="K17" s="18">
        <f>SUMIFS('渠道充值成功率_底稿'!$G:$G,'渠道充值成功率_底稿'!$A:$A,$B$13,'渠道充值成功率_底稿'!$B:$B,K$4)</f>
        <v>400</v>
      </c>
      <c r="L17" s="62">
        <f>SUMIFS('渠道充值成功率_底稿'!$G:$G,'渠道充值成功率_底稿'!$A:$A,$B$13,'渠道充值成功率_底稿'!$B:$B,L$4)</f>
        <v>0</v>
      </c>
      <c r="M17" s="63">
        <f t="shared" si="8"/>
        <v>50713</v>
      </c>
    </row>
    <row r="18">
      <c r="B18" s="20"/>
      <c r="C18" s="65" t="s">
        <v>16</v>
      </c>
      <c r="D18" s="22">
        <f t="shared" ref="D18:L18" si="9">IFERROR(ROUND(D17/D16,6),"0")</f>
        <v>0.7756</v>
      </c>
      <c r="E18" s="22">
        <f t="shared" si="9"/>
        <v>0.978425</v>
      </c>
      <c r="F18" s="22">
        <f t="shared" si="9"/>
        <v>0.857143</v>
      </c>
      <c r="G18" s="22">
        <f t="shared" si="9"/>
        <v>0.883087</v>
      </c>
      <c r="H18" s="22" t="str">
        <f t="shared" si="9"/>
        <v>0</v>
      </c>
      <c r="I18" s="22" t="str">
        <f t="shared" si="9"/>
        <v>0</v>
      </c>
      <c r="J18" s="22" t="str">
        <f t="shared" si="9"/>
        <v>0</v>
      </c>
      <c r="K18" s="22">
        <f t="shared" si="9"/>
        <v>1</v>
      </c>
      <c r="L18" s="23" t="str">
        <f t="shared" si="9"/>
        <v>0</v>
      </c>
      <c r="M18" s="61">
        <f>M17/M16</f>
        <v>0.8194980851</v>
      </c>
      <c r="N18" s="61"/>
    </row>
    <row r="22">
      <c r="B22" s="66" t="str">
        <f>MONTH(B2)&amp;"/"&amp;DAY(B2) &amp;" WP充值分析"</f>
        <v>2/12 WP充值分析</v>
      </c>
    </row>
    <row r="23">
      <c r="B23" s="66"/>
    </row>
    <row r="24">
      <c r="B24" s="66" t="str">
        <f>"总充值申请笔数："&amp;TEXT($M$5,"0,000")</f>
        <v>总充值申请笔数：4,562</v>
      </c>
    </row>
    <row r="25">
      <c r="B25" s="66" t="str">
        <f>"总充值到帐笔数："&amp;TEXT($M$6,"0,000")</f>
        <v>总充值到帐笔数：3,444</v>
      </c>
    </row>
    <row r="26">
      <c r="B26" s="67" t="str">
        <f>"总笔数成功率："&amp;TEXT($M$6/$M$5,"0.00%")</f>
        <v>总笔数成功率：75.49%</v>
      </c>
    </row>
    <row r="27">
      <c r="B27" s="66" t="str">
        <f>"总充值申请金额："&amp;TEXT($M$8,"0,000")</f>
        <v>总充值申请金额：800,594</v>
      </c>
    </row>
    <row r="28">
      <c r="B28" s="66" t="str">
        <f>"总充值到帐金额："&amp;TEXT($M$9,"0,000")</f>
        <v>总充值到帐金额：548,736</v>
      </c>
    </row>
    <row r="29">
      <c r="B29" s="67" t="str">
        <f>"总笔数成功率："&amp;TEXT($M$9/$M$8,"0.00%")</f>
        <v>总笔数成功率：68.54%</v>
      </c>
      <c r="C29" s="51"/>
    </row>
    <row r="30">
      <c r="B30" s="66" t="str">
        <f>"总充值申请人数："&amp;text(sumifs('渠道充值成功率_底稿'!$E:$E,'渠道充值成功率_底稿'!$A:$A,$B$2),"0,000")</f>
        <v>总充值申请人数：3,007</v>
      </c>
      <c r="C30" s="51"/>
    </row>
    <row r="31">
      <c r="B31" s="66" t="str">
        <f>"总充值到帐人数："&amp;text(sumifs('渠道充值成功率_底稿'!$H:$H,'渠道充值成功率_底稿'!$A:$A,$B$2),"0,000")</f>
        <v>总充值到帐人数：2,799</v>
      </c>
      <c r="C31" s="51"/>
    </row>
    <row r="32">
      <c r="B32" s="66"/>
      <c r="C32" s="51"/>
    </row>
    <row r="33">
      <c r="B33" s="66"/>
      <c r="C33" s="51"/>
    </row>
    <row r="34">
      <c r="B34" s="66" t="str">
        <f>"对比前日充值申请笔数"&amp;IF(M6-M14&gt;0,"增长："&amp;TEXT(M5-M13,"000"),"减少："&amp;TEXT(M5-M13,"000"))</f>
        <v>对比前日充值申请笔数增长：4145</v>
      </c>
      <c r="C34" s="51"/>
    </row>
    <row r="35">
      <c r="B35" s="67" t="str">
        <f>"对比前日充值到帐笔数"&amp;IF(M6-M14&gt;0,"增长："&amp;TEXT(M6-M14,"000"),"减少："&amp;TEXT(M6-M14,"000"))</f>
        <v>对比前日充值到帐笔数增长：3113</v>
      </c>
    </row>
    <row r="36">
      <c r="B36" s="67" t="str">
        <f>"对比前日充值申请金额"&amp;IF(M9-M17&gt;0,"增长："&amp;TEXT(M8-M16,"0,000"),"减少："&amp;TEXT(M8-M16,"0,000"))</f>
        <v>对比前日充值申请金额增长：738,711</v>
      </c>
    </row>
    <row r="37">
      <c r="B37" s="67" t="str">
        <f>"对比前日充值到帐金额"&amp;IF(M9-M17&gt;0,"增长："&amp;TEXT(M9-M17,"0,000"),"减少："&amp;TEXT(M9-M17,"0,000"))</f>
        <v>对比前日充值到帐金额增长：498,023</v>
      </c>
    </row>
    <row r="38">
      <c r="B38" s="67" t="str">
        <f>"对比前日充值金额成功率"&amp;IF(((M9/M8)-(M17/M16))&gt;0,"增长："&amp;TEXT(((M9/M8)-(M17/M16)),"0.00%"),"减少："&amp;TEXT(((M9/M8)-(M17/M16)),"0.00%"))</f>
        <v>对比前日充值金额成功率减少：-13.41%</v>
      </c>
    </row>
    <row r="39">
      <c r="B39" s="66" t="str">
        <f>"对比前日充值申请人数"&amp;text(if(sumifs('渠道充值成功率_底稿'!$E:$E,'渠道充值成功率_底稿'!$A:$A,$B$2)-sumifs('渠道充值成功率_底稿'!$E:$E,'渠道充值成功率_底稿'!$A:$A,($B$2-1))&gt;0,"增加："&amp;sumifs('渠道充值成功率_底稿'!$E:$E,'渠道充值成功率_底稿'!$A:$A,$B$2)-sumifs('渠道充值成功率_底稿'!$E:$E,'渠道充值成功率_底稿'!$A:$A,($B$2-1)),"减少："&amp;sumifs('渠道充值成功率_底稿'!$E:$E,'渠道充值成功率_底稿'!$A:$A,$B$2)-sumifs('渠道充值成功率_底稿'!$E:$E,'渠道充值成功率_底稿'!$A:$A,($B$2-1))),"0,000")</f>
        <v>对比前日充值申请人数增加：2681</v>
      </c>
      <c r="M39" s="68"/>
      <c r="N39" s="68"/>
    </row>
    <row r="40">
      <c r="B40" s="66" t="str">
        <f>"对比前日充值到帐人数"&amp;text(if(sumifs('渠道充值成功率_底稿'!$H:$H,'渠道充值成功率_底稿'!$A:$A,$B$2)-sumifs('渠道充值成功率_底稿'!$H:$H,'渠道充值成功率_底稿'!$A:$A,($B$2-1))&gt;0,"增加："&amp;sumifs('渠道充值成功率_底稿'!$H:$H,'渠道充值成功率_底稿'!$A:$A,$B$2)-sumifs('渠道充值成功率_底稿'!$H:$H,'渠道充值成功率_底稿'!$A:$A,($B$2-1)),"减少："&amp;sumifs('渠道充值成功率_底稿'!$H:$H,'渠道充值成功率_底稿'!$A:$A,$B$2)-sumifs('渠道充值成功率_底稿'!$H:$H,'渠道充值成功率_底稿'!$A:$A,($B$2-1))),"0,000")</f>
        <v>对比前日充值到帐人数增加：2504</v>
      </c>
      <c r="M40" s="68"/>
      <c r="N40" s="68"/>
    </row>
    <row r="41">
      <c r="B41" s="66"/>
      <c r="M41" s="68"/>
      <c r="N41" s="68"/>
    </row>
    <row r="42">
      <c r="B42" s="67" t="str">
        <f t="array" ref="B42">"主要充值金额渠道："&amp;index($C$4:$L$10,1,match(max($C$9:$L$9),C9:L9,0))</f>
        <v>主要充值金额渠道：GCash</v>
      </c>
      <c r="G42" s="69" t="str">
        <f t="array" ref="G42">index($C$4:$L$10,1,match(max($C$9:$L$9),C9:L9,0))</f>
        <v>GCash</v>
      </c>
    </row>
    <row r="43">
      <c r="B43" s="67" t="str">
        <f>"充值金额："&amp;text(max($C$9:$L9),"0,000")</f>
        <v>充值金额：393,917</v>
      </c>
    </row>
    <row r="44">
      <c r="B44" s="67" t="str">
        <f t="array" ref="B44">"充值笔数："&amp;text(index($C$4:$L$10,3,match(G42,$C$4:$L$4,0)),"0,000")</f>
        <v>充值笔数：2,658</v>
      </c>
    </row>
    <row r="45">
      <c r="B45" s="67" t="str">
        <f t="array" ref="B45">"成功率："&amp;text(index($C$4:$L$10,7,match(G42,$C$4:$L$4,0)),"0.00%")</f>
        <v>成功率：66.23%</v>
      </c>
    </row>
    <row r="46">
      <c r="B46" s="67" t="str">
        <f t="array" ref="B46">"充值成功率最低渠道："&amp;index($C$4:$L$10,1,match(MIN($C$9:$L$9),C9:L9,0))</f>
        <v>充值成功率最低渠道：GRABPAY</v>
      </c>
      <c r="G46" s="69" t="str">
        <f t="array" ref="G46">index($C$4:$L$10,1,match(MIN($C$9:$L$9),C9:L9,0))</f>
        <v>GRABPAY</v>
      </c>
    </row>
    <row r="47">
      <c r="B47" s="67" t="str">
        <f>"充值金额："&amp;text(MIN($C$9:$L9),"0,000")</f>
        <v>充值金额：0,000</v>
      </c>
    </row>
    <row r="48">
      <c r="B48" s="67" t="str">
        <f t="array" ref="B48">"充值笔数："&amp;text(index($C$4:$L$10,3,match(G46,$C$4:$L$4,0)),"0,000")</f>
        <v>充值笔数：0,000</v>
      </c>
    </row>
    <row r="49">
      <c r="B49" s="67" t="str">
        <f t="array" ref="B49">"成功率："&amp;text(index($C$4:$L$10,7,match(G46,$C$4:$L$4,0)),"0.00%")</f>
        <v>成功率：0.00%</v>
      </c>
    </row>
    <row r="64">
      <c r="Q64" s="68"/>
    </row>
    <row r="82">
      <c r="A82" s="70" t="str">
        <f>MONTH(B2)&amp;"月"&amp;DAY(B2) &amp;"日"&amp;" jiliarena 活动红利分析"</f>
        <v>2月12日 jiliarena 活动红利分析</v>
      </c>
      <c r="B82" s="71"/>
      <c r="C82" s="71"/>
      <c r="D82" s="71"/>
      <c r="E82" s="71"/>
      <c r="F82" s="71"/>
      <c r="G82" s="71"/>
      <c r="H82" s="71"/>
      <c r="I82" s="71"/>
      <c r="J82" s="71"/>
      <c r="K82" s="71"/>
      <c r="L82" s="72"/>
    </row>
    <row r="83">
      <c r="A83" s="73" t="s">
        <v>174</v>
      </c>
      <c r="B83" s="74" t="s">
        <v>175</v>
      </c>
      <c r="C83" s="74" t="s">
        <v>176</v>
      </c>
      <c r="D83" s="74" t="s">
        <v>177</v>
      </c>
      <c r="E83" s="75" t="s">
        <v>178</v>
      </c>
      <c r="F83" s="74" t="s">
        <v>179</v>
      </c>
      <c r="G83" s="76" t="s">
        <v>180</v>
      </c>
      <c r="H83" s="74" t="s">
        <v>181</v>
      </c>
      <c r="I83" s="74" t="s">
        <v>182</v>
      </c>
      <c r="J83" s="74" t="s">
        <v>183</v>
      </c>
      <c r="K83" s="74" t="s">
        <v>184</v>
      </c>
      <c r="L83" s="74" t="s">
        <v>185</v>
      </c>
      <c r="N83" s="51" t="s">
        <v>186</v>
      </c>
      <c r="O83" s="51" t="s">
        <v>181</v>
      </c>
      <c r="P83" s="51" t="s">
        <v>177</v>
      </c>
      <c r="Q83" s="61" t="s">
        <v>178</v>
      </c>
    </row>
    <row r="84">
      <c r="A84" s="77">
        <v>1.0</v>
      </c>
      <c r="B84" s="78" t="s">
        <v>187</v>
      </c>
      <c r="C84" s="79" t="s">
        <v>188</v>
      </c>
      <c r="D84" s="80">
        <f t="shared" ref="D84:E84" si="10">SUM(D85:D90)</f>
        <v>108</v>
      </c>
      <c r="E84" s="80">
        <f t="shared" si="10"/>
        <v>108</v>
      </c>
      <c r="F84" s="81" t="str">
        <f>IF(SUM(F85:F90)=0,"",SUM(F85:F90))</f>
        <v/>
      </c>
      <c r="G84" s="80" t="str">
        <f t="array" ref="G84">if(F84="","",(F84/index(jiliarena!$A$4:$M$39,match($B$2,jiliarena!$A$4:$A$39,0),match("总存款额度
 total deposit amount",jiliarena!$A$4:$M$4,0))))</f>
        <v/>
      </c>
      <c r="H84" s="81">
        <f t="shared" ref="H84:L84" si="11">SUM(H85:H90)</f>
        <v>245.67</v>
      </c>
      <c r="I84" s="82">
        <f t="shared" si="11"/>
        <v>0.000414906925</v>
      </c>
      <c r="J84" s="82">
        <f t="shared" si="11"/>
        <v>0.00003042045755</v>
      </c>
      <c r="K84" s="82">
        <f t="shared" si="11"/>
        <v>0.000447701627</v>
      </c>
      <c r="L84" s="82">
        <f t="shared" si="11"/>
        <v>0.000951885687</v>
      </c>
      <c r="N84" s="83" t="s">
        <v>189</v>
      </c>
      <c r="O84" s="63">
        <f t="shared" ref="O84:O124" si="12">sumifs($H$83:$H$126,$B$83:$B$126,N84)</f>
        <v>239.87</v>
      </c>
      <c r="P84" s="59">
        <f t="shared" ref="P84:P124" si="13">sumifs($D$83:$D$126,$B$83:$B$126,$N84)</f>
        <v>107</v>
      </c>
      <c r="Q84" s="59">
        <f t="shared" ref="Q84:Q124" si="14">sumifs($E$83:$E$126,$B$83:$B$126,$N84)</f>
        <v>107</v>
      </c>
    </row>
    <row r="85">
      <c r="A85" s="84"/>
      <c r="B85" s="85" t="s">
        <v>189</v>
      </c>
      <c r="C85" s="86" t="s">
        <v>188</v>
      </c>
      <c r="D85" s="87">
        <f>SUMIFS('jiliarena_活动分析数据_底稿'!$F:$F,'jiliarena_活动分析数据_底稿'!$C:$C,B85,'jiliarena_活动分析数据_底稿'!$B:$B,$B$2)</f>
        <v>107</v>
      </c>
      <c r="E85" s="87">
        <f>SUMIFS('jiliarena_活动分析数据_底稿'!$G:$G,'jiliarena_活动分析数据_底稿'!$B:$B,$B$2,'jiliarena_活动分析数据_底稿'!$C:$C,B85)</f>
        <v>107</v>
      </c>
      <c r="F85" s="88" t="str">
        <f>if(sumifs('jiliarena_活动分析数据_底稿'!$V:$V,'jiliarena_活动分析数据_底稿'!$T:$T,$B$2,'jiliarena_活动分析数据_底稿'!$U:$U,B85)=0,"",sumifs('jiliarena_活动分析数据_底稿'!$V:$V,'jiliarena_活动分析数据_底稿'!$T:$T,$B$2,'jiliarena_活动分析数据_底稿'!$U:$U,B85))</f>
        <v/>
      </c>
      <c r="G85" s="89" t="str">
        <f t="array" ref="G85">if(F85="","",(F85/index(jiliarena!$A$4:$M$39,match($B$2,jiliarena!$A$4:$A$39,0),match("总存款额度
 total deposit amount",jiliarena!$A$4:$M$4,0))))</f>
        <v/>
      </c>
      <c r="H85" s="88">
        <f>sumifs('jiliarena_活动分析数据_底稿'!$K:$K,'jiliarena_活动分析数据_底稿'!$B:$B,$B$2,'jiliarena_活动分析数据_底稿'!$C:$C,B85)</f>
        <v>239.87</v>
      </c>
      <c r="I85" s="90">
        <f t="array" ref="I85">H85/INDEX(jiliarena!$A$4:$BQ$39,MATCH($B$2,jiliarena!$A$4:$A$39,0),MATCH("总优惠
 （Z+...+AH）
 Total Bonus",jiliarena!$4:$4,0))</f>
        <v>0.0004051114263</v>
      </c>
      <c r="J85" s="90">
        <f t="array" ref="J85">$H85/index(jiliarena!$A$4:$Z$39,match($B$2,jiliarena!$A$4:$A$39,0),match("有效投注额
 Valid bet",jiliarena!$A$4:$Z$4,0))</f>
        <v>0.00002970226382</v>
      </c>
      <c r="K85" s="90">
        <f t="array" ref="K85">$H85/index(jiliarena!$A$4:$Z$39,match($B$2,jiliarena!$A$4:$A$39,0),match("总存款额度
 total deposit amount",jiliarena!$A$4:$Z$4,0))</f>
        <v>0.0004371318813</v>
      </c>
      <c r="L85" s="90">
        <f t="array" ref="L85">$H85/index(jiliarena!$A$4:$Z$39,match($B$2,jiliarena!$A$4:$A$39,0),match("公司输赢
 Win or lose",jiliarena!$A$4:$Z$4,0))</f>
        <v>0.0009294127071</v>
      </c>
      <c r="N85" s="83" t="s">
        <v>190</v>
      </c>
      <c r="O85" s="63">
        <f t="shared" si="12"/>
        <v>5.8</v>
      </c>
      <c r="P85" s="59">
        <f t="shared" si="13"/>
        <v>1</v>
      </c>
      <c r="Q85" s="59">
        <f t="shared" si="14"/>
        <v>1</v>
      </c>
    </row>
    <row r="86">
      <c r="A86" s="11"/>
      <c r="B86" s="85" t="s">
        <v>190</v>
      </c>
      <c r="C86" s="91"/>
      <c r="D86" s="87">
        <f>SUMIFS('jiliarena_活动分析数据_底稿'!$F:$F,'jiliarena_活动分析数据_底稿'!$C:$C,B86,'jiliarena_活动分析数据_底稿'!$B:$B,$B$2)</f>
        <v>1</v>
      </c>
      <c r="E86" s="87">
        <f>SUMIFS('jiliarena_活动分析数据_底稿'!$G:$G,'jiliarena_活动分析数据_底稿'!$B:$B,$B$2,'jiliarena_活动分析数据_底稿'!$C:$C,B86)</f>
        <v>1</v>
      </c>
      <c r="F86" s="88" t="str">
        <f>if(sumifs('jiliarena_活动分析数据_底稿'!$V:$V,'jiliarena_活动分析数据_底稿'!$T:$T,$B$2,'jiliarena_活动分析数据_底稿'!$U:$U,B86)=0,"",sumifs('jiliarena_活动分析数据_底稿'!$V:$V,'jiliarena_活动分析数据_底稿'!$T:$T,$B$2,'jiliarena_活动分析数据_底稿'!$U:$U,B86))</f>
        <v/>
      </c>
      <c r="G86" s="89" t="str">
        <f t="array" ref="G86">if(F86="","",(F86/index(jiliarena!$A$4:$M$39,match($B$2,jiliarena!$A$4:$A$39,0),match("总存款额度
 total deposit amount",jiliarena!$A$4:$M$4,0))))</f>
        <v/>
      </c>
      <c r="H86" s="88">
        <f>sumifs('jiliarena_活动分析数据_底稿'!$K:$K,'jiliarena_活动分析数据_底稿'!$B:$B,$B$2,'jiliarena_活动分析数据_底稿'!$C:$C,B86)</f>
        <v>5.8</v>
      </c>
      <c r="I86" s="90">
        <f t="array" ref="I86">H86/INDEX(jiliarena!$A$4:$BQ$39,MATCH($B$2,jiliarena!$A$4:$A$39,0),MATCH("总优惠
 （Z+...+AH）
 Total Bonus",jiliarena!$4:$4,0))</f>
        <v>0.000009795498698</v>
      </c>
      <c r="J86" s="90">
        <f t="array" ref="J86">$H86/index(jiliarena!$A$4:$Z$39,match($B$2,jiliarena!$A$4:$A$39,0),match("有效投注额
 Valid bet",jiliarena!$A$4:$Z$4,0))</f>
        <v>0.0000007181937305</v>
      </c>
      <c r="K86" s="90">
        <f t="array" ref="K86">$H86/index(jiliarena!$A$4:$Z$39,match($B$2,jiliarena!$A$4:$A$39,0),match("总存款额度
 total deposit amount",jiliarena!$A$4:$Z$4,0))</f>
        <v>0.00001056974574</v>
      </c>
      <c r="L86" s="90">
        <f t="array" ref="L86">$H86/index(jiliarena!$A$4:$Z$39,match($B$2,jiliarena!$A$4:$A$39,0),match("公司输赢
 Win or lose",jiliarena!$A$4:$Z$4,0))</f>
        <v>0.00002247297995</v>
      </c>
      <c r="N86" s="83" t="s">
        <v>191</v>
      </c>
      <c r="O86" s="63">
        <f t="shared" si="12"/>
        <v>0</v>
      </c>
      <c r="P86" s="59">
        <f t="shared" si="13"/>
        <v>0</v>
      </c>
      <c r="Q86" s="59">
        <f t="shared" si="14"/>
        <v>0</v>
      </c>
    </row>
    <row r="87">
      <c r="A87" s="11"/>
      <c r="B87" s="85" t="s">
        <v>191</v>
      </c>
      <c r="C87" s="91"/>
      <c r="D87" s="87">
        <f>SUMIFS('jiliarena_活动分析数据_底稿'!$F:$F,'jiliarena_活动分析数据_底稿'!$C:$C,B87,'jiliarena_活动分析数据_底稿'!$B:$B,$B$2)</f>
        <v>0</v>
      </c>
      <c r="E87" s="87">
        <f>SUMIFS('jiliarena_活动分析数据_底稿'!$G:$G,'jiliarena_活动分析数据_底稿'!$B:$B,$B$2,'jiliarena_活动分析数据_底稿'!$C:$C,B87)</f>
        <v>0</v>
      </c>
      <c r="F87" s="88" t="str">
        <f>if(sumifs('jiliarena_活动分析数据_底稿'!$V:$V,'jiliarena_活动分析数据_底稿'!$T:$T,$B$2,'jiliarena_活动分析数据_底稿'!$U:$U,B87)=0,"",sumifs('jiliarena_活动分析数据_底稿'!$V:$V,'jiliarena_活动分析数据_底稿'!$T:$T,$B$2,'jiliarena_活动分析数据_底稿'!$U:$U,B87))</f>
        <v/>
      </c>
      <c r="G87" s="89" t="str">
        <f t="array" ref="G87">if(F87="","",(F87/index(jiliarena!$A$4:$M$39,match($B$2,jiliarena!$A$4:$A$39,0),match("总存款额度
 total deposit amount",jiliarena!$A$4:$M$4,0))))</f>
        <v/>
      </c>
      <c r="H87" s="88">
        <f>sumifs('jiliarena_活动分析数据_底稿'!$K:$K,'jiliarena_活动分析数据_底稿'!$B:$B,$B$2,'jiliarena_活动分析数据_底稿'!$C:$C,B87)</f>
        <v>0</v>
      </c>
      <c r="I87" s="90">
        <f t="array" ref="I87">H87/INDEX(jiliarena!$A$4:$BQ$39,MATCH($B$2,jiliarena!$A$4:$A$39,0),MATCH("总优惠
 （Z+...+AH）
 Total Bonus",jiliarena!$4:$4,0))</f>
        <v>0</v>
      </c>
      <c r="J87" s="90">
        <f t="array" ref="J87">$H87/index(jiliarena!$A$4:$Z$39,match($B$2,jiliarena!$A$4:$A$39,0),match("有效投注额
 Valid bet",jiliarena!$A$4:$Z$4,0))</f>
        <v>0</v>
      </c>
      <c r="K87" s="90">
        <f t="array" ref="K87">$H87/index(jiliarena!$A$4:$Z$39,match($B$2,jiliarena!$A$4:$A$39,0),match("总存款额度
 total deposit amount",jiliarena!$A$4:$Z$4,0))</f>
        <v>0</v>
      </c>
      <c r="L87" s="90">
        <f t="array" ref="L87">$H87/index(jiliarena!$A$4:$Z$39,match($B$2,jiliarena!$A$4:$A$39,0),match("公司输赢
 Win or lose",jiliarena!$A$4:$Z$4,0))</f>
        <v>0</v>
      </c>
      <c r="N87" s="83" t="s">
        <v>192</v>
      </c>
      <c r="O87" s="63">
        <f t="shared" si="12"/>
        <v>0</v>
      </c>
      <c r="P87" s="59">
        <f t="shared" si="13"/>
        <v>0</v>
      </c>
      <c r="Q87" s="59">
        <f t="shared" si="14"/>
        <v>0</v>
      </c>
    </row>
    <row r="88">
      <c r="A88" s="11"/>
      <c r="B88" s="85" t="s">
        <v>192</v>
      </c>
      <c r="C88" s="91"/>
      <c r="D88" s="87">
        <f>SUMIFS('jiliarena_活动分析数据_底稿'!$F:$F,'jiliarena_活动分析数据_底稿'!$C:$C,B88,'jiliarena_活动分析数据_底稿'!$B:$B,$B$2)</f>
        <v>0</v>
      </c>
      <c r="E88" s="87">
        <f>SUMIFS('jiliarena_活动分析数据_底稿'!$G:$G,'jiliarena_活动分析数据_底稿'!$B:$B,$B$2,'jiliarena_活动分析数据_底稿'!$C:$C,B88)</f>
        <v>0</v>
      </c>
      <c r="F88" s="88" t="str">
        <f>if(sumifs('jiliarena_活动分析数据_底稿'!$V:$V,'jiliarena_活动分析数据_底稿'!$T:$T,$B$2,'jiliarena_活动分析数据_底稿'!$U:$U,B88)=0,"",sumifs('jiliarena_活动分析数据_底稿'!$V:$V,'jiliarena_活动分析数据_底稿'!$T:$T,$B$2,'jiliarena_活动分析数据_底稿'!$U:$U,B88))</f>
        <v/>
      </c>
      <c r="G88" s="89" t="str">
        <f t="array" ref="G88">if(F88="","",(F88/index(jiliarena!$A$4:$M$39,match($B$2,jiliarena!$A$4:$A$39,0),match("总存款额度
 total deposit amount",jiliarena!$A$4:$M$4,0))))</f>
        <v/>
      </c>
      <c r="H88" s="88">
        <f>sumifs('jiliarena_活动分析数据_底稿'!$K:$K,'jiliarena_活动分析数据_底稿'!$B:$B,$B$2,'jiliarena_活动分析数据_底稿'!$C:$C,B88)</f>
        <v>0</v>
      </c>
      <c r="I88" s="90">
        <f t="array" ref="I88">H88/INDEX(jiliarena!$A$4:$BQ$39,MATCH($B$2,jiliarena!$A$4:$A$39,0),MATCH("总优惠
 （Z+...+AH）
 Total Bonus",jiliarena!$4:$4,0))</f>
        <v>0</v>
      </c>
      <c r="J88" s="90">
        <f t="array" ref="J88">$H88/index(jiliarena!$A$4:$Z$39,match($B$2,jiliarena!$A$4:$A$39,0),match("有效投注额
 Valid bet",jiliarena!$A$4:$Z$4,0))</f>
        <v>0</v>
      </c>
      <c r="K88" s="90">
        <f t="array" ref="K88">$H88/index(jiliarena!$A$4:$Z$39,match($B$2,jiliarena!$A$4:$A$39,0),match("总存款额度
 total deposit amount",jiliarena!$A$4:$Z$4,0))</f>
        <v>0</v>
      </c>
      <c r="L88" s="90">
        <f t="array" ref="L88">$H88/index(jiliarena!$A$4:$Z$39,match($B$2,jiliarena!$A$4:$A$39,0),match("公司输赢
 Win or lose",jiliarena!$A$4:$Z$4,0))</f>
        <v>0</v>
      </c>
      <c r="N88" s="83" t="s">
        <v>193</v>
      </c>
      <c r="O88" s="63">
        <f t="shared" si="12"/>
        <v>0</v>
      </c>
      <c r="P88" s="59">
        <f t="shared" si="13"/>
        <v>0</v>
      </c>
      <c r="Q88" s="59">
        <f t="shared" si="14"/>
        <v>0</v>
      </c>
    </row>
    <row r="89">
      <c r="A89" s="11"/>
      <c r="B89" s="85" t="s">
        <v>193</v>
      </c>
      <c r="C89" s="91"/>
      <c r="D89" s="87">
        <f>SUMIFS('jiliarena_活动分析数据_底稿'!$F:$F,'jiliarena_活动分析数据_底稿'!$C:$C,B89,'jiliarena_活动分析数据_底稿'!$B:$B,$B$2)</f>
        <v>0</v>
      </c>
      <c r="E89" s="87">
        <f>SUMIFS('jiliarena_活动分析数据_底稿'!$G:$G,'jiliarena_活动分析数据_底稿'!$B:$B,$B$2,'jiliarena_活动分析数据_底稿'!$C:$C,B89)</f>
        <v>0</v>
      </c>
      <c r="F89" s="88" t="str">
        <f>if(sumifs('jiliarena_活动分析数据_底稿'!$V:$V,'jiliarena_活动分析数据_底稿'!$T:$T,$B$2,'jiliarena_活动分析数据_底稿'!$U:$U,B89)=0,"",sumifs('jiliarena_活动分析数据_底稿'!$V:$V,'jiliarena_活动分析数据_底稿'!$T:$T,$B$2,'jiliarena_活动分析数据_底稿'!$U:$U,B89))</f>
        <v/>
      </c>
      <c r="G89" s="89" t="str">
        <f t="array" ref="G89">if(F89="","",(F89/index(jiliarena!$A$4:$M$39,match($B$2,jiliarena!$A$4:$A$39,0),match("总存款额度
 total deposit amount",jiliarena!$A$4:$M$4,0))))</f>
        <v/>
      </c>
      <c r="H89" s="88">
        <f>sumifs('jiliarena_活动分析数据_底稿'!$K:$K,'jiliarena_活动分析数据_底稿'!$B:$B,$B$2,'jiliarena_活动分析数据_底稿'!$C:$C,B89)</f>
        <v>0</v>
      </c>
      <c r="I89" s="90">
        <f t="array" ref="I89">H89/INDEX(jiliarena!$A$4:$BQ$39,MATCH($B$2,jiliarena!$A$4:$A$39,0),MATCH("总优惠
 （Z+...+AH）
 Total Bonus",jiliarena!$4:$4,0))</f>
        <v>0</v>
      </c>
      <c r="J89" s="90">
        <f t="array" ref="J89">$H89/index(jiliarena!$A$4:$Z$39,match($B$2,jiliarena!$A$4:$A$39,0),match("有效投注额
 Valid bet",jiliarena!$A$4:$Z$4,0))</f>
        <v>0</v>
      </c>
      <c r="K89" s="90">
        <f t="array" ref="K89">$H89/index(jiliarena!$A$4:$Z$39,match($B$2,jiliarena!$A$4:$A$39,0),match("总存款额度
 total deposit amount",jiliarena!$A$4:$Z$4,0))</f>
        <v>0</v>
      </c>
      <c r="L89" s="90">
        <f t="array" ref="L89">$H89/index(jiliarena!$A$4:$Z$39,match($B$2,jiliarena!$A$4:$A$39,0),match("公司输赢
 Win or lose",jiliarena!$A$4:$Z$4,0))</f>
        <v>0</v>
      </c>
      <c r="N89" s="83" t="s">
        <v>194</v>
      </c>
      <c r="O89" s="63">
        <f t="shared" si="12"/>
        <v>0</v>
      </c>
      <c r="P89" s="59">
        <f t="shared" si="13"/>
        <v>0</v>
      </c>
      <c r="Q89" s="59">
        <f t="shared" si="14"/>
        <v>0</v>
      </c>
    </row>
    <row r="90">
      <c r="A90" s="20"/>
      <c r="B90" s="85" t="s">
        <v>194</v>
      </c>
      <c r="C90" s="92"/>
      <c r="D90" s="87">
        <f>SUMIFS('jiliarena_活动分析数据_底稿'!$F:$F,'jiliarena_活动分析数据_底稿'!$C:$C,B90,'jiliarena_活动分析数据_底稿'!$B:$B,$B$2)</f>
        <v>0</v>
      </c>
      <c r="E90" s="87">
        <f>SUMIFS('jiliarena_活动分析数据_底稿'!$G:$G,'jiliarena_活动分析数据_底稿'!$B:$B,$B$2,'jiliarena_活动分析数据_底稿'!$C:$C,B90)</f>
        <v>0</v>
      </c>
      <c r="F90" s="88" t="str">
        <f>if(sumifs('jiliarena_活动分析数据_底稿'!$V:$V,'jiliarena_活动分析数据_底稿'!$T:$T,$B$2,'jiliarena_活动分析数据_底稿'!$U:$U,B90)=0,"",sumifs('jiliarena_活动分析数据_底稿'!$V:$V,'jiliarena_活动分析数据_底稿'!$T:$T,$B$2,'jiliarena_活动分析数据_底稿'!$U:$U,B90))</f>
        <v/>
      </c>
      <c r="G90" s="89" t="str">
        <f t="array" ref="G90">if(F90="","",(F90/index(jiliarena!$A$4:$M$39,match($B$2,jiliarena!$A$4:$A$39,0),match("总存款额度
 total deposit amount",jiliarena!$A$4:$M$4,0))))</f>
        <v/>
      </c>
      <c r="H90" s="88">
        <f>sumifs('jiliarena_活动分析数据_底稿'!$K:$K,'jiliarena_活动分析数据_底稿'!$B:$B,$B$2,'jiliarena_活动分析数据_底稿'!$C:$C,B90)</f>
        <v>0</v>
      </c>
      <c r="I90" s="90">
        <f t="array" ref="I90">H90/INDEX(jiliarena!$A$4:$BQ$39,MATCH($B$2,jiliarena!$A$4:$A$39,0),MATCH("总优惠
 （Z+...+AH）
 Total Bonus",jiliarena!$4:$4,0))</f>
        <v>0</v>
      </c>
      <c r="J90" s="90">
        <f t="array" ref="J90">$H90/index(jiliarena!$A$4:$Z$39,match($B$2,jiliarena!$A$4:$A$39,0),match("有效投注额
 Valid bet",jiliarena!$A$4:$Z$4,0))</f>
        <v>0</v>
      </c>
      <c r="K90" s="90">
        <f t="array" ref="K90">$H90/index(jiliarena!$A$4:$Z$39,match($B$2,jiliarena!$A$4:$A$39,0),match("总存款额度
 total deposit amount",jiliarena!$A$4:$Z$4,0))</f>
        <v>0</v>
      </c>
      <c r="L90" s="90">
        <f t="array" ref="L90">$H90/index(jiliarena!$A$4:$Z$39,match($B$2,jiliarena!$A$4:$A$39,0),match("公司输赢
 Win or lose",jiliarena!$A$4:$Z$4,0))</f>
        <v>0</v>
      </c>
      <c r="N90" s="83" t="s">
        <v>195</v>
      </c>
      <c r="O90" s="63">
        <f t="shared" si="12"/>
        <v>0</v>
      </c>
      <c r="P90" s="59">
        <f t="shared" si="13"/>
        <v>0</v>
      </c>
      <c r="Q90" s="59">
        <f t="shared" si="14"/>
        <v>0</v>
      </c>
    </row>
    <row r="91">
      <c r="A91" s="93">
        <v>2.0</v>
      </c>
      <c r="B91" s="94"/>
      <c r="C91" s="95"/>
      <c r="D91" s="80">
        <f>SUMIFS('jiliarena_活动分析数据_底稿'!$F:$F,'jiliarena_活动分析数据_底稿'!$C:$C,B91,'jiliarena_活动分析数据_底稿'!$B:$B,$B$2)</f>
        <v>0</v>
      </c>
      <c r="E91" s="80">
        <f>SUMIFS('jiliarena_活动分析数据_底稿'!$G:$G,'jiliarena_活动分析数据_底稿'!$B:$B,$B$2,'jiliarena_活动分析数据_底稿'!$C:$C,B91)</f>
        <v>0</v>
      </c>
      <c r="F91" s="81" t="str">
        <f>if(sumifs('jiliarena_活动分析数据_底稿'!$V:$V,'jiliarena_活动分析数据_底稿'!$T:$T,$B$2,'jiliarena_活动分析数据_底稿'!$U:$U,B91)=0,"",sumifs('jiliarena_活动分析数据_底稿'!$V:$V,'jiliarena_活动分析数据_底稿'!$T:$T,$B$2,'jiliarena_活动分析数据_底稿'!$U:$U,B91))</f>
        <v/>
      </c>
      <c r="G91" s="96" t="str">
        <f t="array" ref="G91">if(F91="","",(F91/index(jiliarena!$A$4:$M$39,match($B$2,jiliarena!$A$4:$A$39,0),match("总存款额度
 total deposit amount",jiliarena!$A$4:$M$4,0))))</f>
        <v/>
      </c>
      <c r="H91" s="81">
        <f>sumifs('jiliarena_活动分析数据_底稿'!$K:$K,'jiliarena_活动分析数据_底稿'!$B:$B,$B$2,'jiliarena_活动分析数据_底稿'!$C:$C,B91)</f>
        <v>0</v>
      </c>
      <c r="I91" s="82">
        <f t="array" ref="I91">H91/INDEX(jiliarena!$A$4:$BQ$39,MATCH($B$2,jiliarena!$A$4:$A$39,0),MATCH("总优惠
 （Z+...+AH）
 Total Bonus",jiliarena!$4:$4,0))</f>
        <v>0</v>
      </c>
      <c r="J91" s="82">
        <f t="array" ref="J91">$H91/index(jiliarena!$A$4:$Z$39,match($B$2,jiliarena!$A$4:$A$39,0),match("有效投注额
 Valid bet",jiliarena!$A$4:$Z$4,0))</f>
        <v>0</v>
      </c>
      <c r="K91" s="82">
        <f t="array" ref="K91">$H91/index(jiliarena!$A$4:$Z$39,match($B$2,jiliarena!$A$4:$A$39,0),match("总存款额度
 total deposit amount",jiliarena!$A$4:$Z$4,0))</f>
        <v>0</v>
      </c>
      <c r="L91" s="82">
        <f t="array" ref="L91">$H91/index(jiliarena!$A$4:$Z$39,match($B$2,jiliarena!$A$4:$A$39,0),match("公司输赢
 Win or lose",jiliarena!$A$4:$Z$4,0))</f>
        <v>0</v>
      </c>
      <c r="N91" s="83" t="s">
        <v>196</v>
      </c>
      <c r="O91" s="63">
        <f t="shared" si="12"/>
        <v>0</v>
      </c>
      <c r="P91" s="59">
        <f t="shared" si="13"/>
        <v>0</v>
      </c>
      <c r="Q91" s="59">
        <f t="shared" si="14"/>
        <v>0</v>
      </c>
    </row>
    <row r="92">
      <c r="A92" s="77">
        <v>3.0</v>
      </c>
      <c r="B92" s="78" t="s">
        <v>197</v>
      </c>
      <c r="C92" s="97" t="s">
        <v>197</v>
      </c>
      <c r="D92" s="80">
        <f t="shared" ref="D92:E92" si="15">SUM(D93:D104)</f>
        <v>0</v>
      </c>
      <c r="E92" s="80">
        <f t="shared" si="15"/>
        <v>0</v>
      </c>
      <c r="F92" s="81" t="str">
        <f>IF(SUM(F93:F104)=0,"",SUM(F93:F104))</f>
        <v/>
      </c>
      <c r="G92" s="96">
        <f t="shared" ref="G92:L92" si="16">SUM(G93:G104)</f>
        <v>0</v>
      </c>
      <c r="H92" s="81">
        <f t="shared" si="16"/>
        <v>0</v>
      </c>
      <c r="I92" s="82">
        <f t="shared" si="16"/>
        <v>0</v>
      </c>
      <c r="J92" s="82">
        <f t="shared" si="16"/>
        <v>0</v>
      </c>
      <c r="K92" s="82">
        <f t="shared" si="16"/>
        <v>0</v>
      </c>
      <c r="L92" s="82">
        <f t="shared" si="16"/>
        <v>0</v>
      </c>
      <c r="N92" s="83" t="s">
        <v>198</v>
      </c>
      <c r="O92" s="63">
        <f t="shared" si="12"/>
        <v>0</v>
      </c>
      <c r="P92" s="59">
        <f t="shared" si="13"/>
        <v>0</v>
      </c>
      <c r="Q92" s="59">
        <f t="shared" si="14"/>
        <v>0</v>
      </c>
    </row>
    <row r="93">
      <c r="A93" s="98"/>
      <c r="B93" s="85" t="s">
        <v>195</v>
      </c>
      <c r="C93" s="99" t="s">
        <v>199</v>
      </c>
      <c r="D93" s="87">
        <f>SUMIFS('jiliarena_活动分析数据_底稿'!$F:$F,'jiliarena_活动分析数据_底稿'!$C:$C,B93,'jiliarena_活动分析数据_底稿'!$B:$B,$B$2)</f>
        <v>0</v>
      </c>
      <c r="E93" s="87">
        <f>SUMIFS('jiliarena_活动分析数据_底稿'!$G:$G,'jiliarena_活动分析数据_底稿'!$B:$B,$B$2,'jiliarena_活动分析数据_底稿'!$C:$C,B93)</f>
        <v>0</v>
      </c>
      <c r="F93" s="88" t="str">
        <f>if(sumifs('jiliarena_活动分析数据_底稿'!$V:$V,'jiliarena_活动分析数据_底稿'!$T:$T,$B$2,'jiliarena_活动分析数据_底稿'!$U:$U,B93)=0,"",sumifs('jiliarena_活动分析数据_底稿'!$V:$V,'jiliarena_活动分析数据_底稿'!$T:$T,$B$2,'jiliarena_活动分析数据_底稿'!$U:$U,B93))</f>
        <v/>
      </c>
      <c r="G93" s="89" t="str">
        <f t="array" ref="G93">if(F93="","",(F93/index(jiliarena!$A$4:$M$39,match($B$2,jiliarena!$A$4:$A$39,0),match("总存款额度
 total deposit amount",jiliarena!$A$4:$M$4,0))))</f>
        <v/>
      </c>
      <c r="H93" s="88">
        <f>sumifs('jiliarena_活动分析数据_底稿'!$K:$K,'jiliarena_活动分析数据_底稿'!$B:$B,$B$2,'jiliarena_活动分析数据_底稿'!$C:$C,B93)</f>
        <v>0</v>
      </c>
      <c r="I93" s="90">
        <f t="array" ref="I93">H93/INDEX(jiliarena!$A$4:$BQ$39,MATCH($B$2,jiliarena!$A$4:$A$39,0),MATCH("总优惠
 （Z+...+AH）
 Total Bonus",jiliarena!$4:$4,0))</f>
        <v>0</v>
      </c>
      <c r="J93" s="90">
        <f t="array" ref="J93">$H93/index(jiliarena!$A$4:$Z$39,match($B$2,jiliarena!$A$4:$A$39,0),match("有效投注额
 Valid bet",jiliarena!$A$4:$Z$4,0))</f>
        <v>0</v>
      </c>
      <c r="K93" s="90">
        <f t="array" ref="K93">$H93/index(jiliarena!$A$4:$Z$39,match($B$2,jiliarena!$A$4:$A$39,0),match("总存款额度
 total deposit amount",jiliarena!$A$4:$Z$4,0))</f>
        <v>0</v>
      </c>
      <c r="L93" s="90">
        <f t="array" ref="L93">$H93/index(jiliarena!$A$4:$Z$39,match($B$2,jiliarena!$A$4:$A$39,0),match("公司输赢
 Win or lose",jiliarena!$A$4:$Z$4,0))</f>
        <v>0</v>
      </c>
      <c r="N93" s="83" t="s">
        <v>200</v>
      </c>
      <c r="O93" s="63">
        <f t="shared" si="12"/>
        <v>0</v>
      </c>
      <c r="P93" s="59">
        <f t="shared" si="13"/>
        <v>0</v>
      </c>
      <c r="Q93" s="59">
        <f t="shared" si="14"/>
        <v>0</v>
      </c>
    </row>
    <row r="94">
      <c r="A94" s="11"/>
      <c r="B94" s="85" t="s">
        <v>196</v>
      </c>
      <c r="C94" s="99" t="s">
        <v>199</v>
      </c>
      <c r="D94" s="87">
        <f>SUMIFS('jiliarena_活动分析数据_底稿'!$F:$F,'jiliarena_活动分析数据_底稿'!$C:$C,B94,'jiliarena_活动分析数据_底稿'!$B:$B,$B$2)</f>
        <v>0</v>
      </c>
      <c r="E94" s="87">
        <f>SUMIFS('jiliarena_活动分析数据_底稿'!$G:$G,'jiliarena_活动分析数据_底稿'!$B:$B,$B$2,'jiliarena_活动分析数据_底稿'!$C:$C,B94)</f>
        <v>0</v>
      </c>
      <c r="F94" s="88" t="str">
        <f>if(sumifs('jiliarena_活动分析数据_底稿'!$V:$V,'jiliarena_活动分析数据_底稿'!$T:$T,$B$2,'jiliarena_活动分析数据_底稿'!$U:$U,B94)=0,"",sumifs('jiliarena_活动分析数据_底稿'!$V:$V,'jiliarena_活动分析数据_底稿'!$T:$T,$B$2,'jiliarena_活动分析数据_底稿'!$U:$U,B94))</f>
        <v/>
      </c>
      <c r="G94" s="89" t="str">
        <f t="array" ref="G94">if(F94="","",(F94/index(jiliarena!$A$4:$M$39,match($B$2,jiliarena!$A$4:$A$39,0),match("总存款额度
 total deposit amount",jiliarena!$A$4:$M$4,0))))</f>
        <v/>
      </c>
      <c r="H94" s="88">
        <f>sumifs('jiliarena_活动分析数据_底稿'!$K:$K,'jiliarena_活动分析数据_底稿'!$B:$B,$B$2,'jiliarena_活动分析数据_底稿'!$C:$C,B94)</f>
        <v>0</v>
      </c>
      <c r="I94" s="90">
        <f t="array" ref="I94">H94/INDEX(jiliarena!$A$4:$BQ$39,MATCH($B$2,jiliarena!$A$4:$A$39,0),MATCH("总优惠
 （Z+...+AH）
 Total Bonus",jiliarena!$4:$4,0))</f>
        <v>0</v>
      </c>
      <c r="J94" s="90">
        <f t="array" ref="J94">$H94/index(jiliarena!$A$4:$Z$39,match($B$2,jiliarena!$A$4:$A$39,0),match("有效投注额
 Valid bet",jiliarena!$A$4:$Z$4,0))</f>
        <v>0</v>
      </c>
      <c r="K94" s="90">
        <f t="array" ref="K94">$H94/index(jiliarena!$A$4:$Z$39,match($B$2,jiliarena!$A$4:$A$39,0),match("总存款额度
 total deposit amount",jiliarena!$A$4:$Z$4,0))</f>
        <v>0</v>
      </c>
      <c r="L94" s="90">
        <f t="array" ref="L94">$H94/index(jiliarena!$A$4:$Z$39,match($B$2,jiliarena!$A$4:$A$39,0),match("公司输赢
 Win or lose",jiliarena!$A$4:$Z$4,0))</f>
        <v>0</v>
      </c>
      <c r="N94" s="85" t="s">
        <v>201</v>
      </c>
      <c r="O94" s="63">
        <f t="shared" si="12"/>
        <v>0</v>
      </c>
      <c r="P94" s="59">
        <f t="shared" si="13"/>
        <v>0</v>
      </c>
      <c r="Q94" s="59">
        <f t="shared" si="14"/>
        <v>0</v>
      </c>
    </row>
    <row r="95">
      <c r="A95" s="11"/>
      <c r="B95" s="85" t="s">
        <v>198</v>
      </c>
      <c r="C95" s="99" t="s">
        <v>199</v>
      </c>
      <c r="D95" s="87">
        <f>SUMIFS('jiliarena_活动分析数据_底稿'!$F:$F,'jiliarena_活动分析数据_底稿'!$C:$C,B95,'jiliarena_活动分析数据_底稿'!$B:$B,$B$2)</f>
        <v>0</v>
      </c>
      <c r="E95" s="87">
        <f>SUMIFS('jiliarena_活动分析数据_底稿'!$G:$G,'jiliarena_活动分析数据_底稿'!$B:$B,$B$2,'jiliarena_活动分析数据_底稿'!$C:$C,B95)</f>
        <v>0</v>
      </c>
      <c r="F95" s="88" t="str">
        <f>if(sumifs('jiliarena_活动分析数据_底稿'!$V:$V,'jiliarena_活动分析数据_底稿'!$T:$T,$B$2,'jiliarena_活动分析数据_底稿'!$U:$U,B95)=0,"",sumifs('jiliarena_活动分析数据_底稿'!$V:$V,'jiliarena_活动分析数据_底稿'!$T:$T,$B$2,'jiliarena_活动分析数据_底稿'!$U:$U,B95))</f>
        <v/>
      </c>
      <c r="G95" s="89" t="str">
        <f t="array" ref="G95">if(F95="","",(F95/index(jiliarena!$A$4:$M$39,match($B$2,jiliarena!$A$4:$A$39,0),match("总存款额度
 total deposit amount",jiliarena!$A$4:$M$4,0))))</f>
        <v/>
      </c>
      <c r="H95" s="88">
        <f>sumifs('jiliarena_活动分析数据_底稿'!$K:$K,'jiliarena_活动分析数据_底稿'!$B:$B,$B$2,'jiliarena_活动分析数据_底稿'!$C:$C,B95)</f>
        <v>0</v>
      </c>
      <c r="I95" s="90">
        <f t="array" ref="I95">H95/INDEX(jiliarena!$A$4:$BQ$39,MATCH($B$2,jiliarena!$A$4:$A$39,0),MATCH("总优惠
 （Z+...+AH）
 Total Bonus",jiliarena!$4:$4,0))</f>
        <v>0</v>
      </c>
      <c r="J95" s="90">
        <f t="array" ref="J95">$H95/index(jiliarena!$A$4:$Z$39,match($B$2,jiliarena!$A$4:$A$39,0),match("有效投注额
 Valid bet",jiliarena!$A$4:$Z$4,0))</f>
        <v>0</v>
      </c>
      <c r="K95" s="90">
        <f t="array" ref="K95">$H95/index(jiliarena!$A$4:$Z$39,match($B$2,jiliarena!$A$4:$A$39,0),match("总存款额度
 total deposit amount",jiliarena!$A$4:$Z$4,0))</f>
        <v>0</v>
      </c>
      <c r="L95" s="90">
        <f t="array" ref="L95">$H95/index(jiliarena!$A$4:$Z$39,match($B$2,jiliarena!$A$4:$A$39,0),match("公司输赢
 Win or lose",jiliarena!$A$4:$Z$4,0))</f>
        <v>0</v>
      </c>
      <c r="N95" s="83" t="s">
        <v>202</v>
      </c>
      <c r="O95" s="63">
        <f t="shared" si="12"/>
        <v>0</v>
      </c>
      <c r="P95" s="59">
        <f t="shared" si="13"/>
        <v>0</v>
      </c>
      <c r="Q95" s="59">
        <f t="shared" si="14"/>
        <v>0</v>
      </c>
    </row>
    <row r="96">
      <c r="A96" s="11"/>
      <c r="B96" s="85" t="s">
        <v>200</v>
      </c>
      <c r="C96" s="99" t="s">
        <v>199</v>
      </c>
      <c r="D96" s="87">
        <f>SUMIFS('jiliarena_活动分析数据_底稿'!$F:$F,'jiliarena_活动分析数据_底稿'!$C:$C,B96,'jiliarena_活动分析数据_底稿'!$B:$B,$B$2)</f>
        <v>0</v>
      </c>
      <c r="E96" s="87">
        <f>SUMIFS('jiliarena_活动分析数据_底稿'!$G:$G,'jiliarena_活动分析数据_底稿'!$B:$B,$B$2,'jiliarena_活动分析数据_底稿'!$C:$C,B96)</f>
        <v>0</v>
      </c>
      <c r="F96" s="88" t="str">
        <f>if(sumifs('jiliarena_活动分析数据_底稿'!$V:$V,'jiliarena_活动分析数据_底稿'!$T:$T,$B$2,'jiliarena_活动分析数据_底稿'!$U:$U,B96)=0,"",sumifs('jiliarena_活动分析数据_底稿'!$V:$V,'jiliarena_活动分析数据_底稿'!$T:$T,$B$2,'jiliarena_活动分析数据_底稿'!$U:$U,B96))</f>
        <v/>
      </c>
      <c r="G96" s="89" t="str">
        <f t="array" ref="G96">if(F96="","",(F96/index(jiliarena!$A$4:$M$39,match($B$2,jiliarena!$A$4:$A$39,0),match("总存款额度
 total deposit amount",jiliarena!$A$4:$M$4,0))))</f>
        <v/>
      </c>
      <c r="H96" s="88">
        <f>sumifs('jiliarena_活动分析数据_底稿'!$K:$K,'jiliarena_活动分析数据_底稿'!$B:$B,$B$2,'jiliarena_活动分析数据_底稿'!$C:$C,B96)</f>
        <v>0</v>
      </c>
      <c r="I96" s="90">
        <f t="array" ref="I96">H96/INDEX(jiliarena!$A$4:$BQ$39,MATCH($B$2,jiliarena!$A$4:$A$39,0),MATCH("总优惠
 （Z+...+AH）
 Total Bonus",jiliarena!$4:$4,0))</f>
        <v>0</v>
      </c>
      <c r="J96" s="90">
        <f t="array" ref="J96">$H96/index(jiliarena!$A$4:$Z$39,match($B$2,jiliarena!$A$4:$A$39,0),match("有效投注额
 Valid bet",jiliarena!$A$4:$Z$4,0))</f>
        <v>0</v>
      </c>
      <c r="K96" s="90">
        <f t="array" ref="K96">$H96/index(jiliarena!$A$4:$Z$39,match($B$2,jiliarena!$A$4:$A$39,0),match("总存款额度
 total deposit amount",jiliarena!$A$4:$Z$4,0))</f>
        <v>0</v>
      </c>
      <c r="L96" s="90">
        <f t="array" ref="L96">$H96/index(jiliarena!$A$4:$Z$39,match($B$2,jiliarena!$A$4:$A$39,0),match("公司输赢
 Win or lose",jiliarena!$A$4:$Z$4,0))</f>
        <v>0</v>
      </c>
      <c r="N96" s="83" t="s">
        <v>203</v>
      </c>
      <c r="O96" s="63">
        <f t="shared" si="12"/>
        <v>0</v>
      </c>
      <c r="P96" s="59">
        <f t="shared" si="13"/>
        <v>0</v>
      </c>
      <c r="Q96" s="59">
        <f t="shared" si="14"/>
        <v>0</v>
      </c>
    </row>
    <row r="97">
      <c r="A97" s="11"/>
      <c r="B97" s="85" t="s">
        <v>201</v>
      </c>
      <c r="C97" s="99" t="s">
        <v>204</v>
      </c>
      <c r="D97" s="87">
        <f>SUMIFS('jiliarena_活动分析数据_底稿'!$F:$F,'jiliarena_活动分析数据_底稿'!$C:$C,B97,'jiliarena_活动分析数据_底稿'!$B:$B,$B$2)</f>
        <v>0</v>
      </c>
      <c r="E97" s="87">
        <f>SUMIFS('jiliarena_活动分析数据_底稿'!$G:$G,'jiliarena_活动分析数据_底稿'!$B:$B,$B$2,'jiliarena_活动分析数据_底稿'!$C:$C,B97)</f>
        <v>0</v>
      </c>
      <c r="F97" s="88" t="str">
        <f>if(sumifs('jiliarena_活动分析数据_底稿'!$V:$V,'jiliarena_活动分析数据_底稿'!$T:$T,$B$2,'jiliarena_活动分析数据_底稿'!$U:$U,B97)=0,"",sumifs('jiliarena_活动分析数据_底稿'!$V:$V,'jiliarena_活动分析数据_底稿'!$T:$T,$B$2,'jiliarena_活动分析数据_底稿'!$U:$U,B97))</f>
        <v/>
      </c>
      <c r="G97" s="89" t="str">
        <f t="array" ref="G97">if(F97="","",(F97/index(jiliarena!$A$4:$M$39,match($B$2,jiliarena!$A$4:$A$39,0),match("总存款额度
 total deposit amount",jiliarena!$A$4:$M$4,0))))</f>
        <v/>
      </c>
      <c r="H97" s="88">
        <f>sumifs('jiliarena_活动分析数据_底稿'!$K:$K,'jiliarena_活动分析数据_底稿'!$B:$B,$B$2,'jiliarena_活动分析数据_底稿'!$C:$C,B97)</f>
        <v>0</v>
      </c>
      <c r="I97" s="90">
        <f t="array" ref="I97">H97/INDEX(jiliarena!$A$4:$BQ$39,MATCH($B$2,jiliarena!$A$4:$A$39,0),MATCH("总优惠
 （Z+...+AH）
 Total Bonus",jiliarena!$4:$4,0))</f>
        <v>0</v>
      </c>
      <c r="J97" s="90">
        <f t="array" ref="J97">$H97/index(jiliarena!$A$4:$Z$39,match($B$2,jiliarena!$A$4:$A$39,0),match("有效投注额
 Valid bet",jiliarena!$A$4:$Z$4,0))</f>
        <v>0</v>
      </c>
      <c r="K97" s="90">
        <f t="array" ref="K97">$H97/index(jiliarena!$A$4:$Z$39,match($B$2,jiliarena!$A$4:$A$39,0),match("总存款额度
 total deposit amount",jiliarena!$A$4:$Z$4,0))</f>
        <v>0</v>
      </c>
      <c r="L97" s="90">
        <f t="array" ref="L97">$H97/index(jiliarena!$A$4:$Z$39,match($B$2,jiliarena!$A$4:$A$39,0),match("公司输赢
 Win or lose",jiliarena!$A$4:$Z$4,0))</f>
        <v>0</v>
      </c>
      <c r="N97" s="83" t="s">
        <v>205</v>
      </c>
      <c r="O97" s="63">
        <f t="shared" si="12"/>
        <v>0</v>
      </c>
      <c r="P97" s="59">
        <f t="shared" si="13"/>
        <v>0</v>
      </c>
      <c r="Q97" s="59">
        <f t="shared" si="14"/>
        <v>0</v>
      </c>
    </row>
    <row r="98">
      <c r="A98" s="11"/>
      <c r="B98" s="85" t="s">
        <v>202</v>
      </c>
      <c r="C98" s="99" t="s">
        <v>204</v>
      </c>
      <c r="D98" s="87">
        <f>SUMIFS('jiliarena_活动分析数据_底稿'!$F:$F,'jiliarena_活动分析数据_底稿'!$C:$C,B98,'jiliarena_活动分析数据_底稿'!$B:$B,$B$2)</f>
        <v>0</v>
      </c>
      <c r="E98" s="87">
        <f>SUMIFS('jiliarena_活动分析数据_底稿'!$G:$G,'jiliarena_活动分析数据_底稿'!$B:$B,$B$2,'jiliarena_活动分析数据_底稿'!$C:$C,B98)</f>
        <v>0</v>
      </c>
      <c r="F98" s="88" t="str">
        <f>if(sumifs('jiliarena_活动分析数据_底稿'!$V:$V,'jiliarena_活动分析数据_底稿'!$T:$T,$B$2,'jiliarena_活动分析数据_底稿'!$U:$U,B98)=0,"",sumifs('jiliarena_活动分析数据_底稿'!$V:$V,'jiliarena_活动分析数据_底稿'!$T:$T,$B$2,'jiliarena_活动分析数据_底稿'!$U:$U,B98))</f>
        <v/>
      </c>
      <c r="G98" s="89" t="str">
        <f t="array" ref="G98">if(F98="","",(F98/index(jiliarena!$A$4:$M$39,match($B$2,jiliarena!$A$4:$A$39,0),match("总存款额度
 total deposit amount",jiliarena!$A$4:$M$4,0))))</f>
        <v/>
      </c>
      <c r="H98" s="88">
        <f>sumifs('jiliarena_活动分析数据_底稿'!$K:$K,'jiliarena_活动分析数据_底稿'!$B:$B,$B$2,'jiliarena_活动分析数据_底稿'!$C:$C,B98)</f>
        <v>0</v>
      </c>
      <c r="I98" s="90">
        <f t="array" ref="I98">H98/INDEX(jiliarena!$A$4:$BQ$39,MATCH($B$2,jiliarena!$A$4:$A$39,0),MATCH("总优惠
 （Z+...+AH）
 Total Bonus",jiliarena!$4:$4,0))</f>
        <v>0</v>
      </c>
      <c r="J98" s="90">
        <f t="array" ref="J98">$H98/index(jiliarena!$A$4:$Z$39,match($B$2,jiliarena!$A$4:$A$39,0),match("有效投注额
 Valid bet",jiliarena!$A$4:$Z$4,0))</f>
        <v>0</v>
      </c>
      <c r="K98" s="90">
        <f t="array" ref="K98">$H98/index(jiliarena!$A$4:$Z$39,match($B$2,jiliarena!$A$4:$A$39,0),match("总存款额度
 total deposit amount",jiliarena!$A$4:$Z$4,0))</f>
        <v>0</v>
      </c>
      <c r="L98" s="90">
        <f t="array" ref="L98">$H98/index(jiliarena!$A$4:$Z$39,match($B$2,jiliarena!$A$4:$A$39,0),match("公司输赢
 Win or lose",jiliarena!$A$4:$Z$4,0))</f>
        <v>0</v>
      </c>
      <c r="N98" s="83" t="s">
        <v>206</v>
      </c>
      <c r="O98" s="63">
        <f t="shared" si="12"/>
        <v>0</v>
      </c>
      <c r="P98" s="59">
        <f t="shared" si="13"/>
        <v>0</v>
      </c>
      <c r="Q98" s="59">
        <f t="shared" si="14"/>
        <v>0</v>
      </c>
    </row>
    <row r="99">
      <c r="A99" s="11"/>
      <c r="B99" s="85" t="s">
        <v>203</v>
      </c>
      <c r="C99" s="99" t="s">
        <v>204</v>
      </c>
      <c r="D99" s="87">
        <f>SUMIFS('jiliarena_活动分析数据_底稿'!$F:$F,'jiliarena_活动分析数据_底稿'!$C:$C,B99,'jiliarena_活动分析数据_底稿'!$B:$B,$B$2)</f>
        <v>0</v>
      </c>
      <c r="E99" s="87">
        <f>SUMIFS('jiliarena_活动分析数据_底稿'!$G:$G,'jiliarena_活动分析数据_底稿'!$B:$B,$B$2,'jiliarena_活动分析数据_底稿'!$C:$C,B99)</f>
        <v>0</v>
      </c>
      <c r="F99" s="88" t="str">
        <f>if(sumifs('jiliarena_活动分析数据_底稿'!$V:$V,'jiliarena_活动分析数据_底稿'!$T:$T,$B$2,'jiliarena_活动分析数据_底稿'!$U:$U,B99)=0,"",sumifs('jiliarena_活动分析数据_底稿'!$V:$V,'jiliarena_活动分析数据_底稿'!$T:$T,$B$2,'jiliarena_活动分析数据_底稿'!$U:$U,B99))</f>
        <v/>
      </c>
      <c r="G99" s="89" t="str">
        <f t="array" ref="G99">if(F99="","",(F99/index(jiliarena!$A$4:$M$39,match($B$2,jiliarena!$A$4:$A$39,0),match("总存款额度
 total deposit amount",jiliarena!$A$4:$M$4,0))))</f>
        <v/>
      </c>
      <c r="H99" s="88">
        <f>sumifs('jiliarena_活动分析数据_底稿'!$K:$K,'jiliarena_活动分析数据_底稿'!$B:$B,$B$2,'jiliarena_活动分析数据_底稿'!$C:$C,B99)</f>
        <v>0</v>
      </c>
      <c r="I99" s="90">
        <f t="array" ref="I99">H99/INDEX(jiliarena!$A$4:$BQ$39,MATCH($B$2,jiliarena!$A$4:$A$39,0),MATCH("总优惠
 （Z+...+AH）
 Total Bonus",jiliarena!$4:$4,0))</f>
        <v>0</v>
      </c>
      <c r="J99" s="90">
        <f t="array" ref="J99">$H99/index(jiliarena!$A$4:$Z$39,match($B$2,jiliarena!$A$4:$A$39,0),match("有效投注额
 Valid bet",jiliarena!$A$4:$Z$4,0))</f>
        <v>0</v>
      </c>
      <c r="K99" s="90">
        <f t="array" ref="K99">$H99/index(jiliarena!$A$4:$Z$39,match($B$2,jiliarena!$A$4:$A$39,0),match("总存款额度
 total deposit amount",jiliarena!$A$4:$Z$4,0))</f>
        <v>0</v>
      </c>
      <c r="L99" s="90">
        <f t="array" ref="L99">$H99/index(jiliarena!$A$4:$Z$39,match($B$2,jiliarena!$A$4:$A$39,0),match("公司输赢
 Win or lose",jiliarena!$A$4:$Z$4,0))</f>
        <v>0</v>
      </c>
      <c r="N99" s="83" t="s">
        <v>207</v>
      </c>
      <c r="O99" s="63">
        <f t="shared" si="12"/>
        <v>0</v>
      </c>
      <c r="P99" s="59">
        <f t="shared" si="13"/>
        <v>0</v>
      </c>
      <c r="Q99" s="59">
        <f t="shared" si="14"/>
        <v>0</v>
      </c>
    </row>
    <row r="100">
      <c r="A100" s="11"/>
      <c r="B100" s="85" t="s">
        <v>205</v>
      </c>
      <c r="C100" s="99" t="s">
        <v>204</v>
      </c>
      <c r="D100" s="87">
        <f>SUMIFS('jiliarena_活动分析数据_底稿'!$F:$F,'jiliarena_活动分析数据_底稿'!$C:$C,B100,'jiliarena_活动分析数据_底稿'!$B:$B,$B$2)</f>
        <v>0</v>
      </c>
      <c r="E100" s="87">
        <f>SUMIFS('jiliarena_活动分析数据_底稿'!$G:$G,'jiliarena_活动分析数据_底稿'!$B:$B,$B$2,'jiliarena_活动分析数据_底稿'!$C:$C,B100)</f>
        <v>0</v>
      </c>
      <c r="F100" s="88" t="str">
        <f>if(sumifs('jiliarena_活动分析数据_底稿'!$V:$V,'jiliarena_活动分析数据_底稿'!$T:$T,$B$2,'jiliarena_活动分析数据_底稿'!$U:$U,B100)=0,"",sumifs('jiliarena_活动分析数据_底稿'!$V:$V,'jiliarena_活动分析数据_底稿'!$T:$T,$B$2,'jiliarena_活动分析数据_底稿'!$U:$U,B100))</f>
        <v/>
      </c>
      <c r="G100" s="89" t="str">
        <f t="array" ref="G100">if(F100="","",(F100/index(jiliarena!$A$4:$M$39,match($B$2,jiliarena!$A$4:$A$39,0),match("总存款额度
 total deposit amount",jiliarena!$A$4:$M$4,0))))</f>
        <v/>
      </c>
      <c r="H100" s="88">
        <f>sumifs('jiliarena_活动分析数据_底稿'!$K:$K,'jiliarena_活动分析数据_底稿'!$B:$B,$B$2,'jiliarena_活动分析数据_底稿'!$C:$C,B100)</f>
        <v>0</v>
      </c>
      <c r="I100" s="90">
        <f t="array" ref="I100">H100/INDEX(jiliarena!$A$4:$BQ$39,MATCH($B$2,jiliarena!$A$4:$A$39,0),MATCH("总优惠
 （Z+...+AH）
 Total Bonus",jiliarena!$4:$4,0))</f>
        <v>0</v>
      </c>
      <c r="J100" s="90">
        <f t="array" ref="J100">$H100/index(jiliarena!$A$4:$Z$39,match($B$2,jiliarena!$A$4:$A$39,0),match("有效投注额
 Valid bet",jiliarena!$A$4:$Z$4,0))</f>
        <v>0</v>
      </c>
      <c r="K100" s="90">
        <f t="array" ref="K100">$H100/index(jiliarena!$A$4:$Z$39,match($B$2,jiliarena!$A$4:$A$39,0),match("总存款额度
 total deposit amount",jiliarena!$A$4:$Z$4,0))</f>
        <v>0</v>
      </c>
      <c r="L100" s="90">
        <f t="array" ref="L100">$H100/index(jiliarena!$A$4:$Z$39,match($B$2,jiliarena!$A$4:$A$39,0),match("公司输赢
 Win or lose",jiliarena!$A$4:$Z$4,0))</f>
        <v>0</v>
      </c>
      <c r="N100" s="83" t="s">
        <v>208</v>
      </c>
      <c r="O100" s="63">
        <f t="shared" si="12"/>
        <v>0</v>
      </c>
      <c r="P100" s="59">
        <f t="shared" si="13"/>
        <v>0</v>
      </c>
      <c r="Q100" s="59">
        <f t="shared" si="14"/>
        <v>0</v>
      </c>
    </row>
    <row r="101">
      <c r="A101" s="11"/>
      <c r="B101" s="85" t="s">
        <v>206</v>
      </c>
      <c r="C101" s="99" t="s">
        <v>204</v>
      </c>
      <c r="D101" s="87">
        <f>SUMIFS('jiliarena_活动分析数据_底稿'!$F:$F,'jiliarena_活动分析数据_底稿'!$C:$C,B101,'jiliarena_活动分析数据_底稿'!$B:$B,$B$2)</f>
        <v>0</v>
      </c>
      <c r="E101" s="87">
        <f>SUMIFS('jiliarena_活动分析数据_底稿'!$G:$G,'jiliarena_活动分析数据_底稿'!$B:$B,$B$2,'jiliarena_活动分析数据_底稿'!$C:$C,B101)</f>
        <v>0</v>
      </c>
      <c r="F101" s="88" t="str">
        <f>if(sumifs('jiliarena_活动分析数据_底稿'!$V:$V,'jiliarena_活动分析数据_底稿'!$T:$T,$B$2,'jiliarena_活动分析数据_底稿'!$U:$U,B101)=0,"",sumifs('jiliarena_活动分析数据_底稿'!$V:$V,'jiliarena_活动分析数据_底稿'!$T:$T,$B$2,'jiliarena_活动分析数据_底稿'!$U:$U,B101))</f>
        <v/>
      </c>
      <c r="G101" s="89" t="str">
        <f t="array" ref="G101">if(F101="","",(F101/index(jiliarena!$A$4:$M$39,match($B$2,jiliarena!$A$4:$A$39,0),match("总存款额度
 total deposit amount",jiliarena!$A$4:$M$4,0))))</f>
        <v/>
      </c>
      <c r="H101" s="88">
        <f>sumifs('jiliarena_活动分析数据_底稿'!$K:$K,'jiliarena_活动分析数据_底稿'!$B:$B,$B$2,'jiliarena_活动分析数据_底稿'!$C:$C,B101)</f>
        <v>0</v>
      </c>
      <c r="I101" s="90">
        <f t="array" ref="I101">H101/INDEX(jiliarena!$A$4:$BQ$39,MATCH($B$2,jiliarena!$A$4:$A$39,0),MATCH("总优惠
 （Z+...+AH）
 Total Bonus",jiliarena!$4:$4,0))</f>
        <v>0</v>
      </c>
      <c r="J101" s="90">
        <f t="array" ref="J101">$H101/index(jiliarena!$A$4:$Z$39,match($B$2,jiliarena!$A$4:$A$39,0),match("有效投注额
 Valid bet",jiliarena!$A$4:$Z$4,0))</f>
        <v>0</v>
      </c>
      <c r="K101" s="90">
        <f t="array" ref="K101">$H101/index(jiliarena!$A$4:$Z$39,match($B$2,jiliarena!$A$4:$A$39,0),match("总存款额度
 total deposit amount",jiliarena!$A$4:$Z$4,0))</f>
        <v>0</v>
      </c>
      <c r="L101" s="90">
        <f t="array" ref="L101">$H101/index(jiliarena!$A$4:$Z$39,match($B$2,jiliarena!$A$4:$A$39,0),match("公司输赢
 Win or lose",jiliarena!$A$4:$Z$4,0))</f>
        <v>0</v>
      </c>
      <c r="N101" s="100" t="s">
        <v>209</v>
      </c>
      <c r="O101" s="63">
        <f t="shared" si="12"/>
        <v>8052</v>
      </c>
      <c r="P101" s="59">
        <f t="shared" si="13"/>
        <v>7460</v>
      </c>
      <c r="Q101" s="59">
        <f t="shared" si="14"/>
        <v>7460</v>
      </c>
    </row>
    <row r="102">
      <c r="A102" s="11"/>
      <c r="B102" s="85" t="s">
        <v>207</v>
      </c>
      <c r="C102" s="99" t="s">
        <v>210</v>
      </c>
      <c r="D102" s="87">
        <f>SUMIFS('jiliarena_活动分析数据_底稿'!$F:$F,'jiliarena_活动分析数据_底稿'!$C:$C,B102,'jiliarena_活动分析数据_底稿'!$B:$B,$B$2)</f>
        <v>0</v>
      </c>
      <c r="E102" s="87">
        <f>SUMIFS('jiliarena_活动分析数据_底稿'!$G:$G,'jiliarena_活动分析数据_底稿'!$B:$B,$B$2,'jiliarena_活动分析数据_底稿'!$C:$C,B102)</f>
        <v>0</v>
      </c>
      <c r="F102" s="88" t="str">
        <f>if(sumifs('jiliarena_活动分析数据_底稿'!$V:$V,'jiliarena_活动分析数据_底稿'!$T:$T,$B$2,'jiliarena_活动分析数据_底稿'!$U:$U,B102)=0,"",sumifs('jiliarena_活动分析数据_底稿'!$V:$V,'jiliarena_活动分析数据_底稿'!$T:$T,$B$2,'jiliarena_活动分析数据_底稿'!$U:$U,B102))</f>
        <v/>
      </c>
      <c r="G102" s="89" t="str">
        <f t="array" ref="G102">if(F102="","",(F102/index(jiliarena!$A$4:$M$39,match($B$2,jiliarena!$A$4:$A$39,0),match("总存款额度
 total deposit amount",jiliarena!$A$4:$M$4,0))))</f>
        <v/>
      </c>
      <c r="H102" s="88">
        <f>sumifs('jiliarena_活动分析数据_底稿'!$K:$K,'jiliarena_活动分析数据_底稿'!$B:$B,$B$2,'jiliarena_活动分析数据_底稿'!$C:$C,B102)</f>
        <v>0</v>
      </c>
      <c r="I102" s="90">
        <f t="array" ref="I102">H102/INDEX(jiliarena!$A$4:$BQ$39,MATCH($B$2,jiliarena!$A$4:$A$39,0),MATCH("总优惠
 （Z+...+AH）
 Total Bonus",jiliarena!$4:$4,0))</f>
        <v>0</v>
      </c>
      <c r="J102" s="90">
        <f t="array" ref="J102">$H102/index(jiliarena!$A$4:$Z$39,match($B$2,jiliarena!$A$4:$A$39,0),match("有效投注额
 Valid bet",jiliarena!$A$4:$Z$4,0))</f>
        <v>0</v>
      </c>
      <c r="K102" s="90">
        <f t="array" ref="K102">$H102/index(jiliarena!$A$4:$Z$39,match($B$2,jiliarena!$A$4:$A$39,0),match("总存款额度
 total deposit amount",jiliarena!$A$4:$Z$4,0))</f>
        <v>0</v>
      </c>
      <c r="L102" s="90">
        <f t="array" ref="L102">$H102/index(jiliarena!$A$4:$Z$39,match($B$2,jiliarena!$A$4:$A$39,0),match("公司输赢
 Win or lose",jiliarena!$A$4:$Z$4,0))</f>
        <v>0</v>
      </c>
      <c r="N102" s="100" t="s">
        <v>211</v>
      </c>
      <c r="O102" s="63">
        <f t="shared" si="12"/>
        <v>902</v>
      </c>
      <c r="P102" s="59">
        <f t="shared" si="13"/>
        <v>630</v>
      </c>
      <c r="Q102" s="59">
        <f t="shared" si="14"/>
        <v>501</v>
      </c>
    </row>
    <row r="103">
      <c r="A103" s="11"/>
      <c r="B103" s="85"/>
      <c r="C103" s="99"/>
      <c r="D103" s="87">
        <f>SUMIFS('jiliarena_活动分析数据_底稿'!$F:$F,'jiliarena_活动分析数据_底稿'!$C:$C,B103,'jiliarena_活动分析数据_底稿'!$B:$B,$B$2)</f>
        <v>0</v>
      </c>
      <c r="E103" s="87">
        <f>SUMIFS('jiliarena_活动分析数据_底稿'!$G:$G,'jiliarena_活动分析数据_底稿'!$B:$B,$B$2,'jiliarena_活动分析数据_底稿'!$C:$C,B103)</f>
        <v>0</v>
      </c>
      <c r="F103" s="88" t="str">
        <f>if(sumifs('jiliarena_活动分析数据_底稿'!$V:$V,'jiliarena_活动分析数据_底稿'!$T:$T,$B$2,'jiliarena_活动分析数据_底稿'!$U:$U,B103)=0,"",sumifs('jiliarena_活动分析数据_底稿'!$V:$V,'jiliarena_活动分析数据_底稿'!$T:$T,$B$2,'jiliarena_活动分析数据_底稿'!$U:$U,B103))</f>
        <v/>
      </c>
      <c r="G103" s="89" t="str">
        <f t="array" ref="G103">if(F103="","",(F103/index(jiliarena!$A$4:$M$39,match($B$2,jiliarena!$A$4:$A$39,0),match("总存款额度
 total deposit amount",jiliarena!$A$4:$M$4,0))))</f>
        <v/>
      </c>
      <c r="H103" s="88">
        <f>sumifs('jiliarena_活动分析数据_底稿'!$K:$K,'jiliarena_活动分析数据_底稿'!$B:$B,$B$2,'jiliarena_活动分析数据_底稿'!$C:$C,B103)</f>
        <v>0</v>
      </c>
      <c r="I103" s="90">
        <f t="array" ref="I103">H103/INDEX(jiliarena!$A$4:$BQ$39,MATCH($B$2,jiliarena!$A$4:$A$39,0),MATCH("总优惠
 （Z+...+AH）
 Total Bonus",jiliarena!$4:$4,0))</f>
        <v>0</v>
      </c>
      <c r="J103" s="90">
        <f t="array" ref="J103">$H103/index(jiliarena!$A$4:$Z$39,match($B$2,jiliarena!$A$4:$A$39,0),match("有效投注额
 Valid bet",jiliarena!$A$4:$Z$4,0))</f>
        <v>0</v>
      </c>
      <c r="K103" s="90">
        <f t="array" ref="K103">$H103/index(jiliarena!$A$4:$Z$39,match($B$2,jiliarena!$A$4:$A$39,0),match("总存款额度
 total deposit amount",jiliarena!$A$4:$Z$4,0))</f>
        <v>0</v>
      </c>
      <c r="L103" s="90">
        <f t="array" ref="L103">$H103/index(jiliarena!$A$4:$Z$39,match($B$2,jiliarena!$A$4:$A$39,0),match("公司输赢
 Win or lose",jiliarena!$A$4:$Z$4,0))</f>
        <v>0</v>
      </c>
      <c r="N103" s="83" t="s">
        <v>212</v>
      </c>
      <c r="O103" s="63">
        <f t="shared" si="12"/>
        <v>0</v>
      </c>
      <c r="P103" s="59">
        <f t="shared" si="13"/>
        <v>0</v>
      </c>
      <c r="Q103" s="59">
        <f t="shared" si="14"/>
        <v>0</v>
      </c>
    </row>
    <row r="104">
      <c r="A104" s="20"/>
      <c r="B104" s="85"/>
      <c r="C104" s="99"/>
      <c r="D104" s="87">
        <f>SUMIFS('jiliarena_活动分析数据_底稿'!$F:$F,'jiliarena_活动分析数据_底稿'!$C:$C,B104,'jiliarena_活动分析数据_底稿'!$B:$B,$B$2)</f>
        <v>0</v>
      </c>
      <c r="E104" s="87">
        <f>SUMIFS('jiliarena_活动分析数据_底稿'!$G:$G,'jiliarena_活动分析数据_底稿'!$B:$B,$B$2,'jiliarena_活动分析数据_底稿'!$C:$C,B104)</f>
        <v>0</v>
      </c>
      <c r="F104" s="88" t="str">
        <f>if(sumifs('jiliarena_活动分析数据_底稿'!$V:$V,'jiliarena_活动分析数据_底稿'!$T:$T,$B$2,'jiliarena_活动分析数据_底稿'!$U:$U,B104)=0,"",sumifs('jiliarena_活动分析数据_底稿'!$V:$V,'jiliarena_活动分析数据_底稿'!$T:$T,$B$2,'jiliarena_活动分析数据_底稿'!$U:$U,B104))</f>
        <v/>
      </c>
      <c r="G104" s="89" t="str">
        <f t="array" ref="G104">if(F104="","",(F104/index(jiliarena!$A$4:$M$39,match($B$2,jiliarena!$A$4:$A$39,0),match("总存款额度
 total deposit amount",jiliarena!$A$4:$M$4,0))))</f>
        <v/>
      </c>
      <c r="H104" s="88">
        <f>sumifs('jiliarena_活动分析数据_底稿'!$K:$K,'jiliarena_活动分析数据_底稿'!$B:$B,$B$2,'jiliarena_活动分析数据_底稿'!$C:$C,B104)</f>
        <v>0</v>
      </c>
      <c r="I104" s="90">
        <f t="array" ref="I104">H104/INDEX(jiliarena!$A$4:$BQ$39,MATCH($B$2,jiliarena!$A$4:$A$39,0),MATCH("总优惠
 （Z+...+AH）
 Total Bonus",jiliarena!$4:$4,0))</f>
        <v>0</v>
      </c>
      <c r="J104" s="90">
        <f t="array" ref="J104">$H104/index(jiliarena!$A$4:$Z$39,match($B$2,jiliarena!$A$4:$A$39,0),match("有效投注额
 Valid bet",jiliarena!$A$4:$Z$4,0))</f>
        <v>0</v>
      </c>
      <c r="K104" s="90">
        <f t="array" ref="K104">$H104/index(jiliarena!$A$4:$Z$39,match($B$2,jiliarena!$A$4:$A$39,0),match("总存款额度
 total deposit amount",jiliarena!$A$4:$Z$4,0))</f>
        <v>0</v>
      </c>
      <c r="L104" s="90">
        <f t="array" ref="L104">$H104/index(jiliarena!$A$4:$Z$39,match($B$2,jiliarena!$A$4:$A$39,0),match("公司输赢
 Win or lose",jiliarena!$A$4:$Z$4,0))</f>
        <v>0</v>
      </c>
      <c r="N104" s="83" t="s">
        <v>213</v>
      </c>
      <c r="O104" s="63">
        <f t="shared" si="12"/>
        <v>0</v>
      </c>
      <c r="P104" s="59">
        <f t="shared" si="13"/>
        <v>0</v>
      </c>
      <c r="Q104" s="59">
        <f t="shared" si="14"/>
        <v>0</v>
      </c>
    </row>
    <row r="105">
      <c r="A105" s="77">
        <v>4.0</v>
      </c>
      <c r="B105" s="78" t="s">
        <v>209</v>
      </c>
      <c r="C105" s="97"/>
      <c r="D105" s="80">
        <f>SUMIFS('jiliarena_活动分析数据_底稿'!$F:$F,'jiliarena_活动分析数据_底稿'!$C:$C,B105,'jiliarena_活动分析数据_底稿'!$B:$B,$B$2)</f>
        <v>7460</v>
      </c>
      <c r="E105" s="80">
        <f>SUMIFS('jiliarena_活动分析数据_底稿'!$G:$G,'jiliarena_活动分析数据_底稿'!$B:$B,$B$2,'jiliarena_活动分析数据_底稿'!$C:$C,B105)</f>
        <v>7460</v>
      </c>
      <c r="F105" s="81" t="str">
        <f>if(sumifs('jiliarena_活动分析数据_底稿'!$V:$V,'jiliarena_活动分析数据_底稿'!$T:$T,$B$2,'jiliarena_活动分析数据_底稿'!$U:$U,B105)=0,"",sumifs('jiliarena_活动分析数据_底稿'!$V:$V,'jiliarena_活动分析数据_底稿'!$T:$T,$B$2,'jiliarena_活动分析数据_底稿'!$U:$U,B105))</f>
        <v/>
      </c>
      <c r="G105" s="96" t="str">
        <f t="array" ref="G105">if(F105="","",(F105/index(jiliarena!$A$4:$M$39,match($B$2,jiliarena!$A$4:$A$39,0),match("总存款额度
 total deposit amount",jiliarena!$A$4:$M$4,0))))</f>
        <v/>
      </c>
      <c r="H105" s="81">
        <f>sumifs('jiliarena_活动分析数据_底稿'!$K:$K,'jiliarena_活动分析数据_底稿'!$B:$B,$B$2,'jiliarena_活动分析数据_底稿'!$C:$C,B105)</f>
        <v>8052</v>
      </c>
      <c r="I105" s="82">
        <f t="array" ref="I105">H105/INDEX(jiliarena!$A$4:$BQ$39,MATCH($B$2,jiliarena!$A$4:$A$39,0),MATCH("总优惠
 （Z+...+AH）
 Total Bonus",jiliarena!$4:$4,0))</f>
        <v>0.0135988544</v>
      </c>
      <c r="J105" s="82">
        <f t="array" ref="J105">$H105/index(jiliarena!$A$4:$Z$39,match($B$2,jiliarena!$A$4:$A$39,0),match("有效投注额
 Valid bet",jiliarena!$A$4:$Z$4,0))</f>
        <v>0.0009970510204</v>
      </c>
      <c r="K105" s="82">
        <f t="array" ref="K105">$H105/index(jiliarena!$A$4:$Z$39,match($B$2,jiliarena!$A$4:$A$39,0),match("总存款额度
 total deposit amount",jiliarena!$A$4:$Z$4,0))</f>
        <v>0.01467372288</v>
      </c>
      <c r="L105" s="82">
        <f t="array" ref="L105">$H105/index(jiliarena!$A$4:$Z$39,match($B$2,jiliarena!$A$4:$A$39,0),match("公司输赢
 Win or lose",jiliarena!$A$4:$Z$4,0))</f>
        <v>0.03119869562</v>
      </c>
      <c r="N105" s="83" t="s">
        <v>214</v>
      </c>
      <c r="O105" s="63">
        <f t="shared" si="12"/>
        <v>0</v>
      </c>
      <c r="P105" s="59">
        <f t="shared" si="13"/>
        <v>0</v>
      </c>
      <c r="Q105" s="59">
        <f t="shared" si="14"/>
        <v>0</v>
      </c>
    </row>
    <row r="106">
      <c r="A106" s="77">
        <v>5.0</v>
      </c>
      <c r="B106" s="78" t="s">
        <v>211</v>
      </c>
      <c r="C106" s="97"/>
      <c r="D106" s="80">
        <f>SUMIFS('jiliarena_活动分析数据_底稿'!$F:$F,'jiliarena_活动分析数据_底稿'!$C:$C,B106,'jiliarena_活动分析数据_底稿'!$B:$B,$B$2)</f>
        <v>630</v>
      </c>
      <c r="E106" s="80">
        <f>SUMIFS('jiliarena_活动分析数据_底稿'!$G:$G,'jiliarena_活动分析数据_底稿'!$B:$B,$B$2,'jiliarena_活动分析数据_底稿'!$C:$C,B106)</f>
        <v>501</v>
      </c>
      <c r="F106" s="81" t="str">
        <f>if(sumifs('jiliarena_活动分析数据_底稿'!$V:$V,'jiliarena_活动分析数据_底稿'!$T:$T,$B$2,'jiliarena_活动分析数据_底稿'!$U:$U,B106)=0,"",sumifs('jiliarena_活动分析数据_底稿'!$V:$V,'jiliarena_活动分析数据_底稿'!$T:$T,$B$2,'jiliarena_活动分析数据_底稿'!$U:$U,B106))</f>
        <v/>
      </c>
      <c r="G106" s="96" t="str">
        <f t="array" ref="G106">if(F106="","",(F106/index(jiliarena!$A$4:$M$39,match($B$2,jiliarena!$A$4:$A$39,0),match("总存款额度
 total deposit amount",jiliarena!$A$4:$M$4,0))))</f>
        <v/>
      </c>
      <c r="H106" s="81">
        <f>sumifs('jiliarena_活动分析数据_底稿'!$K:$K,'jiliarena_活动分析数据_底稿'!$B:$B,$B$2,'jiliarena_活动分析数据_底稿'!$C:$C,B106)</f>
        <v>902</v>
      </c>
      <c r="I106" s="82">
        <f t="array" ref="I106">H106/INDEX(jiliarena!$A$4:$BQ$39,MATCH($B$2,jiliarena!$A$4:$A$39,0),MATCH("总优惠
 （Z+...+AH）
 Total Bonus",jiliarena!$4:$4,0))</f>
        <v>0.001523368935</v>
      </c>
      <c r="J106" s="82">
        <f t="array" ref="J106">$H106/index(jiliarena!$A$4:$Z$39,match($B$2,jiliarena!$A$4:$A$39,0),match("投注
 Betting",jiliarena!$A$4:$Z$4,0))</f>
        <v>0.0001033367308</v>
      </c>
      <c r="K106" s="82">
        <f t="array" ref="K106">$H106/index(jiliarena!$A$4:$Z$39,match($B$2,jiliarena!$A$4:$A$39,0),match("总存款额度
 total deposit amount",jiliarena!$A$4:$Z$4,0))</f>
        <v>0.0016437777</v>
      </c>
      <c r="L106" s="82">
        <f t="array" ref="L106">$H106/index(jiliarena!$A$4:$Z$39,match($B$2,jiliarena!$A$4:$A$39,0),match("公司输赢
 Win or lose",jiliarena!$A$4:$Z$4,0))</f>
        <v>0.003494935848</v>
      </c>
      <c r="N106" s="83" t="s">
        <v>215</v>
      </c>
      <c r="O106" s="63">
        <f t="shared" si="12"/>
        <v>0</v>
      </c>
      <c r="P106" s="59">
        <f t="shared" si="13"/>
        <v>0</v>
      </c>
      <c r="Q106" s="59">
        <f t="shared" si="14"/>
        <v>0</v>
      </c>
    </row>
    <row r="107">
      <c r="A107" s="77">
        <v>6.0</v>
      </c>
      <c r="B107" s="78" t="s">
        <v>216</v>
      </c>
      <c r="C107" s="97"/>
      <c r="D107" s="80">
        <f t="shared" ref="D107:E107" si="17">SUM(D108:D115)</f>
        <v>0</v>
      </c>
      <c r="E107" s="80">
        <f t="shared" si="17"/>
        <v>0</v>
      </c>
      <c r="F107" s="81" t="str">
        <f>IF(SUM(F109:F115)=0,"",SUM(F109:F115))</f>
        <v/>
      </c>
      <c r="G107" s="96" t="str">
        <f>if(F107="","", SUM(G109:G115))</f>
        <v/>
      </c>
      <c r="H107" s="81">
        <f t="shared" ref="H107:L107" si="18">SUM(H108:H115)</f>
        <v>0</v>
      </c>
      <c r="I107" s="82">
        <f t="shared" si="18"/>
        <v>0</v>
      </c>
      <c r="J107" s="82">
        <f t="shared" si="18"/>
        <v>0</v>
      </c>
      <c r="K107" s="82">
        <f t="shared" si="18"/>
        <v>0</v>
      </c>
      <c r="L107" s="82">
        <f t="shared" si="18"/>
        <v>0</v>
      </c>
      <c r="N107" s="83"/>
      <c r="O107" s="63">
        <f t="shared" si="12"/>
        <v>0</v>
      </c>
      <c r="P107" s="59">
        <f t="shared" si="13"/>
        <v>0</v>
      </c>
      <c r="Q107" s="59">
        <f t="shared" si="14"/>
        <v>0</v>
      </c>
    </row>
    <row r="108">
      <c r="A108" s="84"/>
      <c r="B108" s="101" t="s">
        <v>212</v>
      </c>
      <c r="C108" s="99" t="s">
        <v>217</v>
      </c>
      <c r="D108" s="87">
        <f>SUMIFS('jiliarena_活动分析数据_底稿'!$F:$F,'jiliarena_活动分析数据_底稿'!$C:$C,B108,'jiliarena_活动分析数据_底稿'!$B:$B,$B$2)</f>
        <v>0</v>
      </c>
      <c r="E108" s="87">
        <f>SUMIFS('jiliarena_活动分析数据_底稿'!$G:$G,'jiliarena_活动分析数据_底稿'!$B:$B,$B$2,'jiliarena_活动分析数据_底稿'!$C:$C,B108)</f>
        <v>0</v>
      </c>
      <c r="F108" s="88" t="str">
        <f>if(sumifs('jiliarena_活动分析数据_底稿'!$V:$V,'jiliarena_活动分析数据_底稿'!$T:$T,$B$2,'jiliarena_活动分析数据_底稿'!$U:$U,B108)=0,"",sumifs('jiliarena_活动分析数据_底稿'!$V:$V,'jiliarena_活动分析数据_底稿'!$T:$T,$B$2,'jiliarena_活动分析数据_底稿'!$U:$U,B108))</f>
        <v/>
      </c>
      <c r="G108" s="89" t="str">
        <f t="array" ref="G108">if(F108="","",(F108/index(jiliarena!$A$4:$M$39,match($B$2,jiliarena!$A$4:$A$39,0),match("总存款额度
 total deposit amount",jiliarena!$A$4:$M$4,0))))</f>
        <v/>
      </c>
      <c r="H108" s="88">
        <f>sumifs('jiliarena_活动分析数据_底稿'!$K:$K,'jiliarena_活动分析数据_底稿'!$B:$B,$B$2,'jiliarena_活动分析数据_底稿'!$C:$C,B108)</f>
        <v>0</v>
      </c>
      <c r="I108" s="90">
        <f t="array" ref="I108">H108/INDEX(jiliarena!$A$4:$BQ$39,MATCH($B$2,jiliarena!$A$4:$A$39,0),MATCH("总优惠
 （Z+...+AH）
 Total Bonus",jiliarena!$4:$4,0))</f>
        <v>0</v>
      </c>
      <c r="J108" s="90">
        <f t="array" ref="J108">$H108/index(jiliarena!$A$4:$Z$39,match($B$2,jiliarena!$A$4:$A$39,0),match("有效投注额
 Valid bet",jiliarena!$A$4:$Z$4,0))</f>
        <v>0</v>
      </c>
      <c r="K108" s="90">
        <f t="array" ref="K108">$H108/index(jiliarena!$A$4:$Z$39,match($B$2,jiliarena!$A$4:$A$39,0),match("总存款额度
 total deposit amount",jiliarena!$A$4:$Z$4,0))</f>
        <v>0</v>
      </c>
      <c r="L108" s="90">
        <f t="array" ref="L108">$H108/index(jiliarena!$A$4:$Z$39,match($B$2,jiliarena!$A$4:$A$39,0),match("公司输赢
 Win or lose",jiliarena!$A$4:$Z$4,0))</f>
        <v>0</v>
      </c>
      <c r="N108" s="83"/>
      <c r="O108" s="63">
        <f t="shared" si="12"/>
        <v>0</v>
      </c>
      <c r="P108" s="59">
        <f t="shared" si="13"/>
        <v>0</v>
      </c>
      <c r="Q108" s="59">
        <f t="shared" si="14"/>
        <v>0</v>
      </c>
    </row>
    <row r="109">
      <c r="A109" s="11"/>
      <c r="B109" s="85" t="s">
        <v>213</v>
      </c>
      <c r="C109" s="99" t="s">
        <v>218</v>
      </c>
      <c r="D109" s="87">
        <f>SUMIFS('jiliarena_活动分析数据_底稿'!$F:$F,'jiliarena_活动分析数据_底稿'!$C:$C,B109,'jiliarena_活动分析数据_底稿'!$B:$B,$B$2)</f>
        <v>0</v>
      </c>
      <c r="E109" s="87">
        <f>SUMIFS('jiliarena_活动分析数据_底稿'!$G:$G,'jiliarena_活动分析数据_底稿'!$B:$B,$B$2,'jiliarena_活动分析数据_底稿'!$C:$C,B109)</f>
        <v>0</v>
      </c>
      <c r="F109" s="88" t="str">
        <f>if(sumifs('jiliarena_活动分析数据_底稿'!$V:$V,'jiliarena_活动分析数据_底稿'!$T:$T,$B$2,'jiliarena_活动分析数据_底稿'!$U:$U,B109)=0,"",sumifs('jiliarena_活动分析数据_底稿'!$V:$V,'jiliarena_活动分析数据_底稿'!$T:$T,$B$2,'jiliarena_活动分析数据_底稿'!$U:$U,B109))</f>
        <v/>
      </c>
      <c r="G109" s="89" t="str">
        <f t="array" ref="G109">if(F109="","",(F109/index(jiliarena!$A$4:$M$39,match($B$2,jiliarena!$A$4:$A$39,0),match("总存款额度
 total deposit amount",jiliarena!$A$4:$M$4,0))))</f>
        <v/>
      </c>
      <c r="H109" s="88">
        <f>sumifs('jiliarena_活动分析数据_底稿'!$K:$K,'jiliarena_活动分析数据_底稿'!$B:$B,$B$2,'jiliarena_活动分析数据_底稿'!$C:$C,B109)</f>
        <v>0</v>
      </c>
      <c r="I109" s="90">
        <f t="array" ref="I109">H109/INDEX(jiliarena!$A$4:$BQ$39,MATCH($B$2,jiliarena!$A$4:$A$39,0),MATCH("总优惠
 （Z+...+AH）
 Total Bonus",jiliarena!$4:$4,0))</f>
        <v>0</v>
      </c>
      <c r="J109" s="90">
        <f t="array" ref="J109">$H109/index(jiliarena!$A$4:$Z$39,match($B$2,jiliarena!$A$4:$A$39,0),match("有效投注额
 Valid bet",jiliarena!$A$4:$Z$4,0))</f>
        <v>0</v>
      </c>
      <c r="K109" s="90">
        <f t="array" ref="K109">$H109/index(jiliarena!$A$4:$Z$39,match($B$2,jiliarena!$A$4:$A$39,0),match("总存款额度
 total deposit amount",jiliarena!$A$4:$Z$4,0))</f>
        <v>0</v>
      </c>
      <c r="L109" s="90">
        <f t="array" ref="L109">$H109/index(jiliarena!$A$4:$Z$39,match($B$2,jiliarena!$A$4:$A$39,0),match("公司输赢
 Win or lose",jiliarena!$A$4:$Z$4,0))</f>
        <v>0</v>
      </c>
      <c r="N109" s="83"/>
      <c r="O109" s="63">
        <f t="shared" si="12"/>
        <v>0</v>
      </c>
      <c r="P109" s="59">
        <f t="shared" si="13"/>
        <v>0</v>
      </c>
      <c r="Q109" s="59">
        <f t="shared" si="14"/>
        <v>0</v>
      </c>
    </row>
    <row r="110">
      <c r="A110" s="11"/>
      <c r="B110" s="85" t="s">
        <v>214</v>
      </c>
      <c r="C110" s="99" t="s">
        <v>219</v>
      </c>
      <c r="D110" s="87">
        <f>SUMIFS('jiliarena_活动分析数据_底稿'!$F:$F,'jiliarena_活动分析数据_底稿'!$C:$C,B110,'jiliarena_活动分析数据_底稿'!$B:$B,$B$2)</f>
        <v>0</v>
      </c>
      <c r="E110" s="87">
        <f>SUMIFS('jiliarena_活动分析数据_底稿'!$G:$G,'jiliarena_活动分析数据_底稿'!$B:$B,$B$2,'jiliarena_活动分析数据_底稿'!$C:$C,B110)</f>
        <v>0</v>
      </c>
      <c r="F110" s="88" t="str">
        <f>if(sumifs('jiliarena_活动分析数据_底稿'!$V:$V,'jiliarena_活动分析数据_底稿'!$T:$T,$B$2,'jiliarena_活动分析数据_底稿'!$U:$U,B110)=0,"",sumifs('jiliarena_活动分析数据_底稿'!$V:$V,'jiliarena_活动分析数据_底稿'!$T:$T,$B$2,'jiliarena_活动分析数据_底稿'!$U:$U,B110))</f>
        <v/>
      </c>
      <c r="G110" s="89" t="str">
        <f t="array" ref="G110">if(F110="","",(F110/index(jiliarena!$A$4:$M$39,match($B$2,jiliarena!$A$4:$A$39,0),match("总存款额度
 total deposit amount",jiliarena!$A$4:$M$4,0))))</f>
        <v/>
      </c>
      <c r="H110" s="88">
        <f>sumifs('jiliarena_活动分析数据_底稿'!$K:$K,'jiliarena_活动分析数据_底稿'!$B:$B,$B$2,'jiliarena_活动分析数据_底稿'!$C:$C,B110)</f>
        <v>0</v>
      </c>
      <c r="I110" s="90">
        <f t="array" ref="I110">H110/INDEX(jiliarena!$A$4:$BQ$39,MATCH($B$2,jiliarena!$A$4:$A$39,0),MATCH("总优惠
 （Z+...+AH）
 Total Bonus",jiliarena!$4:$4,0))</f>
        <v>0</v>
      </c>
      <c r="J110" s="90">
        <f t="array" ref="J110">$H110/index(jiliarena!$A$4:$Z$39,match($B$2,jiliarena!$A$4:$A$39,0),match("有效投注额
 Valid bet",jiliarena!$A$4:$Z$4,0))</f>
        <v>0</v>
      </c>
      <c r="K110" s="90">
        <f t="array" ref="K110">$H110/index(jiliarena!$A$4:$Z$39,match($B$2,jiliarena!$A$4:$A$39,0),match("总存款额度
 total deposit amount",jiliarena!$A$4:$Z$4,0))</f>
        <v>0</v>
      </c>
      <c r="L110" s="90">
        <f t="array" ref="L110">$H110/index(jiliarena!$A$4:$Z$39,match($B$2,jiliarena!$A$4:$A$39,0),match("公司输赢
 Win or lose",jiliarena!$A$4:$Z$4,0))</f>
        <v>0</v>
      </c>
      <c r="N110" s="83"/>
      <c r="O110" s="63">
        <f t="shared" si="12"/>
        <v>0</v>
      </c>
      <c r="P110" s="59">
        <f t="shared" si="13"/>
        <v>0</v>
      </c>
      <c r="Q110" s="59">
        <f t="shared" si="14"/>
        <v>0</v>
      </c>
    </row>
    <row r="111">
      <c r="A111" s="11"/>
      <c r="B111" s="85" t="s">
        <v>215</v>
      </c>
      <c r="C111" s="99" t="s">
        <v>220</v>
      </c>
      <c r="D111" s="87">
        <f>SUMIFS('jiliarena_活动分析数据_底稿'!$F:$F,'jiliarena_活动分析数据_底稿'!$C:$C,B111,'jiliarena_活动分析数据_底稿'!$B:$B,$B$2)</f>
        <v>0</v>
      </c>
      <c r="E111" s="87">
        <f>SUMIFS('jiliarena_活动分析数据_底稿'!$G:$G,'jiliarena_活动分析数据_底稿'!$B:$B,$B$2,'jiliarena_活动分析数据_底稿'!$C:$C,B111)</f>
        <v>0</v>
      </c>
      <c r="F111" s="88" t="str">
        <f>if(sumifs('jiliarena_活动分析数据_底稿'!$V:$V,'jiliarena_活动分析数据_底稿'!$T:$T,$B$2,'jiliarena_活动分析数据_底稿'!$U:$U,B111)=0,"",sumifs('jiliarena_活动分析数据_底稿'!$V:$V,'jiliarena_活动分析数据_底稿'!$T:$T,$B$2,'jiliarena_活动分析数据_底稿'!$U:$U,B111))</f>
        <v/>
      </c>
      <c r="G111" s="89" t="str">
        <f t="array" ref="G111">if(F111="","",(F111/index(jiliarena!$A$4:$M$39,match($B$2,jiliarena!$A$4:$A$39,0),match("总存款额度
 total deposit amount",jiliarena!$A$4:$M$4,0))))</f>
        <v/>
      </c>
      <c r="H111" s="88">
        <f>sumifs('jiliarena_活动分析数据_底稿'!$K:$K,'jiliarena_活动分析数据_底稿'!$B:$B,$B$2,'jiliarena_活动分析数据_底稿'!$C:$C,B111)</f>
        <v>0</v>
      </c>
      <c r="I111" s="90">
        <f t="array" ref="I111">H111/INDEX(jiliarena!$A$4:$BQ$39,MATCH($B$2,jiliarena!$A$4:$A$39,0),MATCH("总优惠
 （Z+...+AH）
 Total Bonus",jiliarena!$4:$4,0))</f>
        <v>0</v>
      </c>
      <c r="J111" s="90">
        <f t="array" ref="J111">$H111/index(jiliarena!$A$4:$Z$39,match($B$2,jiliarena!$A$4:$A$39,0),match("有效投注额
 Valid bet",jiliarena!$A$4:$Z$4,0))</f>
        <v>0</v>
      </c>
      <c r="K111" s="90">
        <f t="array" ref="K111">$H111/index(jiliarena!$A$4:$Z$39,match($B$2,jiliarena!$A$4:$A$39,0),match("总存款额度
 total deposit amount",jiliarena!$A$4:$Z$4,0))</f>
        <v>0</v>
      </c>
      <c r="L111" s="90">
        <f t="array" ref="L111">$H111/index(jiliarena!$A$4:$Z$39,match($B$2,jiliarena!$A$4:$A$39,0),match("公司输赢
 Win or lose",jiliarena!$A$4:$Z$4,0))</f>
        <v>0</v>
      </c>
      <c r="N111" s="83"/>
      <c r="O111" s="63">
        <f t="shared" si="12"/>
        <v>0</v>
      </c>
      <c r="P111" s="59">
        <f t="shared" si="13"/>
        <v>0</v>
      </c>
      <c r="Q111" s="59">
        <f t="shared" si="14"/>
        <v>0</v>
      </c>
    </row>
    <row r="112">
      <c r="A112" s="11"/>
      <c r="B112" s="85"/>
      <c r="C112" s="99"/>
      <c r="D112" s="87">
        <f>SUMIFS('jiliarena_活动分析数据_底稿'!$F:$F,'jiliarena_活动分析数据_底稿'!$C:$C,B112,'jiliarena_活动分析数据_底稿'!$B:$B,$B$2)</f>
        <v>0</v>
      </c>
      <c r="E112" s="87">
        <f>SUMIFS('jiliarena_活动分析数据_底稿'!$G:$G,'jiliarena_活动分析数据_底稿'!$B:$B,$B$2,'jiliarena_活动分析数据_底稿'!$C:$C,B112)</f>
        <v>0</v>
      </c>
      <c r="F112" s="88" t="str">
        <f>if(sumifs('jiliarena_活动分析数据_底稿'!$V:$V,'jiliarena_活动分析数据_底稿'!$T:$T,$B$2,'jiliarena_活动分析数据_底稿'!$U:$U,B112)=0,"",sumifs('jiliarena_活动分析数据_底稿'!$V:$V,'jiliarena_活动分析数据_底稿'!$T:$T,$B$2,'jiliarena_活动分析数据_底稿'!$U:$U,B112))</f>
        <v/>
      </c>
      <c r="G112" s="89" t="str">
        <f t="array" ref="G112">if(F112="","",(F112/index(jiliarena!$A$4:$M$39,match($B$2,jiliarena!$A$4:$A$39,0),match("总存款额度
 total deposit amount",jiliarena!$A$4:$M$4,0))))</f>
        <v/>
      </c>
      <c r="H112" s="88">
        <f>sumifs('jiliarena_活动分析数据_底稿'!$K:$K,'jiliarena_活动分析数据_底稿'!$B:$B,$B$2,'jiliarena_活动分析数据_底稿'!$C:$C,B112)</f>
        <v>0</v>
      </c>
      <c r="I112" s="90">
        <f t="array" ref="I112">H112/INDEX(jiliarena!$A$4:$BQ$39,MATCH($B$2,jiliarena!$A$4:$A$39,0),MATCH("总优惠
 （Z+...+AH）
 Total Bonus",jiliarena!$4:$4,0))</f>
        <v>0</v>
      </c>
      <c r="J112" s="90">
        <f t="array" ref="J112">$H112/index(jiliarena!$A$4:$Z$39,match($B$2,jiliarena!$A$4:$A$39,0),match("有效投注额
 Valid bet",jiliarena!$A$4:$Z$4,0))</f>
        <v>0</v>
      </c>
      <c r="K112" s="90">
        <f t="array" ref="K112">$H112/index(jiliarena!$A$4:$Z$39,match($B$2,jiliarena!$A$4:$A$39,0),match("总存款额度
 total deposit amount",jiliarena!$A$4:$Z$4,0))</f>
        <v>0</v>
      </c>
      <c r="L112" s="90">
        <f t="array" ref="L112">$H112/index(jiliarena!$A$4:$Z$39,match($B$2,jiliarena!$A$4:$A$39,0),match("公司输赢
 Win or lose",jiliarena!$A$4:$Z$4,0))</f>
        <v>0</v>
      </c>
      <c r="N112" s="83" t="s">
        <v>221</v>
      </c>
      <c r="O112" s="63">
        <f t="shared" si="12"/>
        <v>0</v>
      </c>
      <c r="P112" s="59">
        <f t="shared" si="13"/>
        <v>0</v>
      </c>
      <c r="Q112" s="59">
        <f t="shared" si="14"/>
        <v>0</v>
      </c>
    </row>
    <row r="113">
      <c r="A113" s="11"/>
      <c r="B113" s="85"/>
      <c r="C113" s="99"/>
      <c r="D113" s="87"/>
      <c r="E113" s="87"/>
      <c r="F113" s="88" t="str">
        <f>if(sumifs('jiliarena_活动分析数据_底稿'!$V:$V,'jiliarena_活动分析数据_底稿'!$T:$T,$B$2,'jiliarena_活动分析数据_底稿'!$U:$U,B113)=0,"",sumifs('jiliarena_活动分析数据_底稿'!$V:$V,'jiliarena_活动分析数据_底稿'!$T:$T,$B$2,'jiliarena_活动分析数据_底稿'!$U:$U,B113))</f>
        <v/>
      </c>
      <c r="G113" s="89" t="str">
        <f t="array" ref="G113">if(F113="","",(F113/index(jiliarena!$A$4:$M$39,match($B$2,jiliarena!$A$4:$A$39,0),match("总存款额度
 total deposit amount",jiliarena!$A$4:$M$4,0))))</f>
        <v/>
      </c>
      <c r="H113" s="88">
        <f>sumifs('jiliarena_活动分析数据_底稿'!$K:$K,'jiliarena_活动分析数据_底稿'!$B:$B,$B$2,'jiliarena_活动分析数据_底稿'!$C:$C,B113)</f>
        <v>0</v>
      </c>
      <c r="I113" s="90">
        <f t="array" ref="I113">H113/INDEX(jiliarena!$A$4:$BQ$39,MATCH($B$2,jiliarena!$A$4:$A$39,0),MATCH("总优惠
 （Z+...+AH）
 Total Bonus",jiliarena!$4:$4,0))</f>
        <v>0</v>
      </c>
      <c r="J113" s="90">
        <f t="array" ref="J113">$H113/index(jiliarena!$A$4:$Z$39,match($B$2,jiliarena!$A$4:$A$39,0),match("有效投注额
 Valid bet",jiliarena!$A$4:$Z$4,0))</f>
        <v>0</v>
      </c>
      <c r="K113" s="90">
        <f t="array" ref="K113">$H113/index(jiliarena!$A$4:$Z$39,match($B$2,jiliarena!$A$4:$A$39,0),match("总存款额度
 total deposit amount",jiliarena!$A$4:$Z$4,0))</f>
        <v>0</v>
      </c>
      <c r="L113" s="90">
        <f t="array" ref="L113">$H113/index(jiliarena!$A$4:$Z$39,match($B$2,jiliarena!$A$4:$A$39,0),match("公司输赢
 Win or lose",jiliarena!$A$4:$Z$4,0))</f>
        <v>0</v>
      </c>
      <c r="N113" s="83" t="s">
        <v>222</v>
      </c>
      <c r="O113" s="63">
        <f t="shared" si="12"/>
        <v>0</v>
      </c>
      <c r="P113" s="59">
        <f t="shared" si="13"/>
        <v>0</v>
      </c>
      <c r="Q113" s="59">
        <f t="shared" si="14"/>
        <v>0</v>
      </c>
    </row>
    <row r="114">
      <c r="A114" s="11"/>
      <c r="B114" s="85"/>
      <c r="C114" s="99"/>
      <c r="D114" s="87"/>
      <c r="E114" s="87"/>
      <c r="F114" s="88" t="str">
        <f>if(sumifs('jiliarena_活动分析数据_底稿'!$V:$V,'jiliarena_活动分析数据_底稿'!$T:$T,$B$2,'jiliarena_活动分析数据_底稿'!$U:$U,B114)=0,"",sumifs('jiliarena_活动分析数据_底稿'!$V:$V,'jiliarena_活动分析数据_底稿'!$T:$T,$B$2,'jiliarena_活动分析数据_底稿'!$U:$U,B114))</f>
        <v/>
      </c>
      <c r="G114" s="89" t="str">
        <f t="array" ref="G114">if(F114="","",(F114/index(jiliarena!$A$4:$M$39,match($B$2,jiliarena!$A$4:$A$39,0),match("总存款额度
 total deposit amount",jiliarena!$A$4:$M$4,0))))</f>
        <v/>
      </c>
      <c r="H114" s="88">
        <f>sumifs('jiliarena_活动分析数据_底稿'!$K:$K,'jiliarena_活动分析数据_底稿'!$B:$B,$B$2,'jiliarena_活动分析数据_底稿'!$C:$C,B114)</f>
        <v>0</v>
      </c>
      <c r="I114" s="90">
        <f t="array" ref="I114">H114/INDEX(jiliarena!$A$4:$BQ$39,MATCH($B$2,jiliarena!$A$4:$A$39,0),MATCH("总优惠
 （Z+...+AH）
 Total Bonus",jiliarena!$4:$4,0))</f>
        <v>0</v>
      </c>
      <c r="J114" s="90">
        <f t="array" ref="J114">$H114/index(jiliarena!$A$4:$Z$39,match($B$2,jiliarena!$A$4:$A$39,0),match("有效投注额
 Valid bet",jiliarena!$A$4:$Z$4,0))</f>
        <v>0</v>
      </c>
      <c r="K114" s="90">
        <f t="array" ref="K114">$H114/index(jiliarena!$A$4:$Z$39,match($B$2,jiliarena!$A$4:$A$39,0),match("总存款额度
 total deposit amount",jiliarena!$A$4:$Z$4,0))</f>
        <v>0</v>
      </c>
      <c r="L114" s="90">
        <f t="array" ref="L114">$H114/index(jiliarena!$A$4:$Z$39,match($B$2,jiliarena!$A$4:$A$39,0),match("公司输赢
 Win or lose",jiliarena!$A$4:$Z$4,0))</f>
        <v>0</v>
      </c>
      <c r="N114" s="83" t="s">
        <v>223</v>
      </c>
      <c r="O114" s="63">
        <f t="shared" si="12"/>
        <v>0</v>
      </c>
      <c r="P114" s="59">
        <f t="shared" si="13"/>
        <v>0</v>
      </c>
      <c r="Q114" s="59">
        <f t="shared" si="14"/>
        <v>0</v>
      </c>
    </row>
    <row r="115">
      <c r="A115" s="20"/>
      <c r="B115" s="85"/>
      <c r="C115" s="99"/>
      <c r="D115" s="87"/>
      <c r="E115" s="87"/>
      <c r="F115" s="88" t="str">
        <f>if(sumifs('jiliarena_活动分析数据_底稿'!$V:$V,'jiliarena_活动分析数据_底稿'!$T:$T,$B$2,'jiliarena_活动分析数据_底稿'!$U:$U,B115)=0,"",sumifs('jiliarena_活动分析数据_底稿'!$V:$V,'jiliarena_活动分析数据_底稿'!$T:$T,$B$2,'jiliarena_活动分析数据_底稿'!$U:$U,B115))</f>
        <v/>
      </c>
      <c r="G115" s="89" t="str">
        <f t="array" ref="G115">if(F115="","",(F115/index(jiliarena!$A$4:$M$39,match($B$2,jiliarena!$A$4:$A$39,0),match("总存款额度
 total deposit amount",jiliarena!$A$4:$M$4,0))))</f>
        <v/>
      </c>
      <c r="H115" s="88">
        <f>sumifs('jiliarena_活动分析数据_底稿'!$K:$K,'jiliarena_活动分析数据_底稿'!$B:$B,$B$2,'jiliarena_活动分析数据_底稿'!$C:$C,B115)</f>
        <v>0</v>
      </c>
      <c r="I115" s="90">
        <f t="array" ref="I115">H115/INDEX(jiliarena!$A$4:$BQ$39,MATCH($B$2,jiliarena!$A$4:$A$39,0),MATCH("总优惠
 （Z+...+AH）
 Total Bonus",jiliarena!$4:$4,0))</f>
        <v>0</v>
      </c>
      <c r="J115" s="90">
        <f t="array" ref="J115">$H115/index(jiliarena!$A$4:$Z$39,match($B$2,jiliarena!$A$4:$A$39,0),match("有效投注额
 Valid bet",jiliarena!$A$4:$Z$4,0))</f>
        <v>0</v>
      </c>
      <c r="K115" s="90">
        <f t="array" ref="K115">$H115/index(jiliarena!$A$4:$Z$39,match($B$2,jiliarena!$A$4:$A$39,0),match("总存款额度
 total deposit amount",jiliarena!$A$4:$Z$4,0))</f>
        <v>0</v>
      </c>
      <c r="L115" s="90">
        <f t="array" ref="L115">$H115/index(jiliarena!$A$4:$Z$39,match($B$2,jiliarena!$A$4:$A$39,0),match("公司输赢
 Win or lose",jiliarena!$A$4:$Z$4,0))</f>
        <v>0</v>
      </c>
      <c r="N115" s="100" t="s">
        <v>224</v>
      </c>
      <c r="O115" s="63">
        <f t="shared" si="12"/>
        <v>0</v>
      </c>
      <c r="P115" s="59">
        <f t="shared" si="13"/>
        <v>0</v>
      </c>
      <c r="Q115" s="59">
        <f t="shared" si="14"/>
        <v>0</v>
      </c>
    </row>
    <row r="116">
      <c r="A116" s="77">
        <v>7.0</v>
      </c>
      <c r="B116" s="94" t="s">
        <v>221</v>
      </c>
      <c r="C116" s="95" t="s">
        <v>225</v>
      </c>
      <c r="D116" s="80">
        <f>SUMIFS('jiliarena_活动分析数据_底稿'!$F:$F,'jiliarena_活动分析数据_底稿'!$C:$C,B116,'jiliarena_活动分析数据_底稿'!$B:$B,$B$2)</f>
        <v>0</v>
      </c>
      <c r="E116" s="80">
        <f>SUMIFS('jiliarena_活动分析数据_底稿'!$G:$G,'jiliarena_活动分析数据_底稿'!$B:$B,$B$2,'jiliarena_活动分析数据_底稿'!$C:$C,B116)</f>
        <v>0</v>
      </c>
      <c r="F116" s="81" t="str">
        <f>if(sumifs('jiliarena_活动分析数据_底稿'!$V:$V,'jiliarena_活动分析数据_底稿'!$T:$T,$B$2,'jiliarena_活动分析数据_底稿'!$U:$U,B116)=0,"",sumifs('jiliarena_活动分析数据_底稿'!$V:$V,'jiliarena_活动分析数据_底稿'!$T:$T,$B$2,'jiliarena_活动分析数据_底稿'!$U:$U,B116))</f>
        <v/>
      </c>
      <c r="G116" s="96" t="str">
        <f t="array" ref="G116">if(F116="","",(F116/index(jiliarena!$A$4:$M$39,match($B$2,jiliarena!$A$4:$A$39,0),match("总存款额度
 total deposit amount",jiliarena!$A$4:$M$4,0))))</f>
        <v/>
      </c>
      <c r="H116" s="81">
        <f>sumifs('jiliarena_活动分析数据_底稿'!$K:$K,'jiliarena_活动分析数据_底稿'!$B:$B,$B$2,'jiliarena_活动分析数据_底稿'!$C:$C,B116)</f>
        <v>0</v>
      </c>
      <c r="I116" s="82">
        <f t="array" ref="I116">H116/INDEX(jiliarena!$A$4:$BQ$39,MATCH($B$2,jiliarena!$A$4:$A$39,0),MATCH("总优惠
 （Z+...+AH）
 Total Bonus",jiliarena!$4:$4,0))</f>
        <v>0</v>
      </c>
      <c r="J116" s="82">
        <f t="array" ref="J116">$H116/index(jiliarena!$A$4:$Z$39,match($B$2,jiliarena!$A$4:$A$39,0),match("有效投注额
 Valid bet",jiliarena!$A$4:$Z$4,0))</f>
        <v>0</v>
      </c>
      <c r="K116" s="82">
        <f t="array" ref="K116">$H116/index(jiliarena!$A$4:$Z$39,match($B$2,jiliarena!$A$4:$A$39,0),match("总存款额度
 total deposit amount",jiliarena!$A$4:$Z$4,0))</f>
        <v>0</v>
      </c>
      <c r="L116" s="82">
        <f t="array" ref="L116">$H116/index(jiliarena!$A$4:$Z$39,match($B$2,jiliarena!$A$4:$A$39,0),match("公司输赢
 Win or lose",jiliarena!$A$4:$Z$4,0))</f>
        <v>0</v>
      </c>
      <c r="N116" s="83" t="s">
        <v>226</v>
      </c>
      <c r="O116" s="63">
        <f t="shared" si="12"/>
        <v>0</v>
      </c>
      <c r="P116" s="59">
        <f t="shared" si="13"/>
        <v>0</v>
      </c>
      <c r="Q116" s="59">
        <f t="shared" si="14"/>
        <v>0</v>
      </c>
    </row>
    <row r="117">
      <c r="A117" s="77">
        <v>8.0</v>
      </c>
      <c r="B117" s="94" t="s">
        <v>222</v>
      </c>
      <c r="C117" s="95" t="s">
        <v>227</v>
      </c>
      <c r="D117" s="80">
        <f>SUMIFS('jiliarena_活动分析数据_底稿'!$F:$F,'jiliarena_活动分析数据_底稿'!$C:$C,B117,'jiliarena_活动分析数据_底稿'!$B:$B,$B$2)</f>
        <v>0</v>
      </c>
      <c r="E117" s="80">
        <f>SUMIFS('jiliarena_活动分析数据_底稿'!$G:$G,'jiliarena_活动分析数据_底稿'!$B:$B,$B$2,'jiliarena_活动分析数据_底稿'!$C:$C,B117)</f>
        <v>0</v>
      </c>
      <c r="F117" s="81" t="str">
        <f>if(sumifs('jiliarena_活动分析数据_底稿'!$V:$V,'jiliarena_活动分析数据_底稿'!$T:$T,$B$2,'jiliarena_活动分析数据_底稿'!$U:$U,B117)=0,"",sumifs('jiliarena_活动分析数据_底稿'!$V:$V,'jiliarena_活动分析数据_底稿'!$T:$T,$B$2,'jiliarena_活动分析数据_底稿'!$U:$U,B117))</f>
        <v/>
      </c>
      <c r="G117" s="96" t="str">
        <f t="array" ref="G117">if(F117="","",(F117/index(jiliarena!$A$4:$M$39,match($B$2,jiliarena!$A$4:$A$39,0),match("总存款额度
 total deposit amount",jiliarena!$A$4:$M$4,0))))</f>
        <v/>
      </c>
      <c r="H117" s="81">
        <f>sumifs('jiliarena_活动分析数据_底稿'!$K:$K,'jiliarena_活动分析数据_底稿'!$B:$B,$B$2,'jiliarena_活动分析数据_底稿'!$C:$C,B117)</f>
        <v>0</v>
      </c>
      <c r="I117" s="82">
        <f t="array" ref="I117">H117/INDEX(jiliarena!$A$4:$BQ$39,MATCH($B$2,jiliarena!$A$4:$A$39,0),MATCH("总优惠
 （Z+...+AH）
 Total Bonus",jiliarena!$4:$4,0))</f>
        <v>0</v>
      </c>
      <c r="J117" s="82">
        <v>2.843413178388725E-4</v>
      </c>
      <c r="K117" s="82">
        <f t="array" ref="K117">$H117/index(jiliarena!$A$4:$Z$39,match($B$2,jiliarena!$A$4:$A$39,0),match("总存款额度
 total deposit amount",jiliarena!$A$4:$Z$4,0))</f>
        <v>0</v>
      </c>
      <c r="L117" s="82">
        <f t="array" ref="L117">$H117/index(jiliarena!$A$4:$Z$39,match($B$2,jiliarena!$A$4:$A$39,0),match("公司输赢
 Win or lose",jiliarena!$A$4:$Z$4,0))</f>
        <v>0</v>
      </c>
      <c r="N117" s="83" t="s">
        <v>228</v>
      </c>
      <c r="O117" s="63">
        <f t="shared" si="12"/>
        <v>2161</v>
      </c>
      <c r="P117" s="59">
        <f t="shared" si="13"/>
        <v>0</v>
      </c>
      <c r="Q117" s="59">
        <f t="shared" si="14"/>
        <v>1442</v>
      </c>
    </row>
    <row r="118">
      <c r="A118" s="77">
        <v>9.0</v>
      </c>
      <c r="B118" s="94" t="s">
        <v>223</v>
      </c>
      <c r="C118" s="95" t="s">
        <v>229</v>
      </c>
      <c r="D118" s="80">
        <f>SUMIFS('jiliarena_活动分析数据_底稿'!$F:$F,'jiliarena_活动分析数据_底稿'!$C:$C,B118,'jiliarena_活动分析数据_底稿'!$B:$B,$B$2)</f>
        <v>0</v>
      </c>
      <c r="E118" s="80">
        <f>SUMIFS('jiliarena_活动分析数据_底稿'!$G:$G,'jiliarena_活动分析数据_底稿'!$B:$B,$B$2,'jiliarena_活动分析数据_底稿'!$C:$C,B118)</f>
        <v>0</v>
      </c>
      <c r="F118" s="81" t="str">
        <f>if(sumifs('jiliarena_活动分析数据_底稿'!$V:$V,'jiliarena_活动分析数据_底稿'!$T:$T,$B$2,'jiliarena_活动分析数据_底稿'!$U:$U,B118)=0,"",sumifs('jiliarena_活动分析数据_底稿'!$V:$V,'jiliarena_活动分析数据_底稿'!$T:$T,$B$2,'jiliarena_活动分析数据_底稿'!$U:$U,B118))</f>
        <v/>
      </c>
      <c r="G118" s="96" t="str">
        <f t="array" ref="G118">if(F118="","",(F118/index(jiliarena!$A$4:$M$39,match($B$2,jiliarena!$A$4:$A$39,0),match("总存款额度
 total deposit amount",jiliarena!$A$4:$M$4,0))))</f>
        <v/>
      </c>
      <c r="H118" s="81">
        <f>sumifs('jiliarena_活动分析数据_底稿'!$K:$K,'jiliarena_活动分析数据_底稿'!$B:$B,$B$2,'jiliarena_活动分析数据_底稿'!$C:$C,B118)</f>
        <v>0</v>
      </c>
      <c r="I118" s="82">
        <f t="array" ref="I118">H118/INDEX(jiliarena!$A$4:$BQ$39,MATCH($B$2,jiliarena!$A$4:$A$39,0),MATCH("总优惠
 （Z+...+AH）
 Total Bonus",jiliarena!$4:$4,0))</f>
        <v>0</v>
      </c>
      <c r="J118" s="82">
        <v>5.6690179235098796E-5</v>
      </c>
      <c r="K118" s="82">
        <f t="array" ref="K118">$H118/index(jiliarena!$A$4:$Z$39,match($B$2,jiliarena!$A$4:$A$39,0),match("总存款额度
 total deposit amount",jiliarena!$A$4:$Z$4,0))</f>
        <v>0</v>
      </c>
      <c r="L118" s="82">
        <f t="array" ref="L118">$H118/index(jiliarena!$A$4:$Z$39,match($B$2,jiliarena!$A$4:$A$39,0),match("公司输赢
 Win or lose",jiliarena!$A$4:$Z$4,0))</f>
        <v>0</v>
      </c>
      <c r="N118" s="100" t="s">
        <v>230</v>
      </c>
      <c r="O118" s="63">
        <f t="shared" si="12"/>
        <v>14630.65</v>
      </c>
      <c r="P118" s="59">
        <f t="shared" si="13"/>
        <v>1013</v>
      </c>
      <c r="Q118" s="59">
        <f t="shared" si="14"/>
        <v>569</v>
      </c>
    </row>
    <row r="119">
      <c r="A119" s="77">
        <v>10.0</v>
      </c>
      <c r="B119" s="78" t="s">
        <v>224</v>
      </c>
      <c r="C119" s="95" t="s">
        <v>224</v>
      </c>
      <c r="D119" s="80">
        <f>SUMIFS('jiliarena_活动分析数据_底稿'!$F:$F,'jiliarena_活动分析数据_底稿'!$C:$C,B119,'jiliarena_活动分析数据_底稿'!$B:$B,$B$2)</f>
        <v>0</v>
      </c>
      <c r="E119" s="80">
        <f>SUMIFS('jiliarena_活动分析数据_底稿'!$G:$G,'jiliarena_活动分析数据_底稿'!$B:$B,$B$2,'jiliarena_活动分析数据_底稿'!$C:$C,B119)</f>
        <v>0</v>
      </c>
      <c r="F119" s="81" t="str">
        <f>if(sumifs('jiliarena_活动分析数据_底稿'!$V:$V,'jiliarena_活动分析数据_底稿'!$T:$T,$B$2,'jiliarena_活动分析数据_底稿'!$U:$U,B119)=0,"",sumifs('jiliarena_活动分析数据_底稿'!$V:$V,'jiliarena_活动分析数据_底稿'!$T:$T,$B$2,'jiliarena_活动分析数据_底稿'!$U:$U,B119))</f>
        <v/>
      </c>
      <c r="G119" s="96" t="str">
        <f t="array" ref="G119">if(F119="","",(F119/index(jiliarena!$A$4:$M$39,match($B$2,jiliarena!$A$4:$A$39,0),match("总存款额度
 total deposit amount",jiliarena!$A$4:$M$4,0))))</f>
        <v/>
      </c>
      <c r="H119" s="81">
        <f>sumifs('jiliarena_活动分析数据_底稿'!$K:$K,'jiliarena_活动分析数据_底稿'!$B:$B,$B$2,'jiliarena_活动分析数据_底稿'!$C:$C,B119)</f>
        <v>0</v>
      </c>
      <c r="I119" s="82">
        <f t="array" ref="I119">H119/INDEX(jiliarena!$A$4:$BQ$39,MATCH($B$2,jiliarena!$A$4:$A$39,0),MATCH("总优惠
 （Z+...+AH）
 Total Bonus",jiliarena!$4:$4,0))</f>
        <v>0</v>
      </c>
      <c r="J119" s="82">
        <v>8.911983916994934E-9</v>
      </c>
      <c r="K119" s="82">
        <f t="array" ref="K119">$H119/index(jiliarena!$A$4:$Z$39,match($B$2,jiliarena!$A$4:$A$39,0),match("总存款额度
 total deposit amount",jiliarena!$A$4:$Z$4,0))</f>
        <v>0</v>
      </c>
      <c r="L119" s="82">
        <f t="array" ref="L119">$H119/index(jiliarena!$A$4:$Z$39,match($B$2,jiliarena!$A$4:$A$39,0),match("公司输赢
 Win or lose",jiliarena!$A$4:$Z$4,0))</f>
        <v>0</v>
      </c>
      <c r="N119" s="57" t="s">
        <v>231</v>
      </c>
      <c r="O119" s="63">
        <f t="shared" si="12"/>
        <v>0</v>
      </c>
      <c r="P119" s="59">
        <f t="shared" si="13"/>
        <v>0</v>
      </c>
      <c r="Q119" s="59">
        <f t="shared" si="14"/>
        <v>0</v>
      </c>
    </row>
    <row r="120">
      <c r="A120" s="93">
        <v>11.0</v>
      </c>
      <c r="B120" s="94" t="s">
        <v>226</v>
      </c>
      <c r="C120" s="95" t="s">
        <v>226</v>
      </c>
      <c r="D120" s="80">
        <f>SUMIFS('jiliarena_活动分析数据_底稿'!$F:$F,'jiliarena_活动分析数据_底稿'!$C:$C,B120,'jiliarena_活动分析数据_底稿'!$B:$B,$B$2)</f>
        <v>0</v>
      </c>
      <c r="E120" s="80">
        <f>SUMIFS('jiliarena_活动分析数据_底稿'!$G:$G,'jiliarena_活动分析数据_底稿'!$B:$B,$B$2,'jiliarena_活动分析数据_底稿'!$C:$C,B120)</f>
        <v>0</v>
      </c>
      <c r="F120" s="81" t="str">
        <f>if(sumifs('jiliarena_活动分析数据_底稿'!$V:$V,'jiliarena_活动分析数据_底稿'!$T:$T,$B$2,'jiliarena_活动分析数据_底稿'!$U:$U,B120)=0,"",sumifs('jiliarena_活动分析数据_底稿'!$V:$V,'jiliarena_活动分析数据_底稿'!$T:$T,$B$2,'jiliarena_活动分析数据_底稿'!$U:$U,B120))</f>
        <v/>
      </c>
      <c r="G120" s="96" t="str">
        <f t="array" ref="G120">if(F120="","",(F120/index(jiliarena!$A$4:$M$39,match($B$2,jiliarena!$A$4:$A$39,0),match("总存款额度
 total deposit amount",jiliarena!$A$4:$M$4,0))))</f>
        <v/>
      </c>
      <c r="H120" s="81">
        <f>sumifs('jiliarena_活动分析数据_底稿'!$K:$K,'jiliarena_活动分析数据_底稿'!$B:$B,$B$2,'jiliarena_活动分析数据_底稿'!$C:$C,B120)</f>
        <v>0</v>
      </c>
      <c r="I120" s="82">
        <f t="array" ref="I120">H120/INDEX(jiliarena!$A$4:$BQ$39,MATCH($B$2,jiliarena!$A$4:$A$39,0),MATCH("总优惠
 （Z+...+AH）
 Total Bonus",jiliarena!$4:$4,0))</f>
        <v>0</v>
      </c>
      <c r="J120" s="82">
        <v>8.911983916994934E-9</v>
      </c>
      <c r="K120" s="82">
        <f t="array" ref="K120">$H120/index(jiliarena!$A$4:$Z$39,match($B$2,jiliarena!$A$4:$A$39,0),match("总存款额度
 total deposit amount",jiliarena!$A$4:$Z$4,0))</f>
        <v>0</v>
      </c>
      <c r="L120" s="82">
        <f t="array" ref="L120">$H120/index(jiliarena!$A$4:$Z$39,match($B$2,jiliarena!$A$4:$A$39,0),match("公司输赢
 Win or lose",jiliarena!$A$4:$Z$4,0))</f>
        <v>0</v>
      </c>
      <c r="N120" s="57" t="s">
        <v>232</v>
      </c>
      <c r="O120" s="63">
        <f t="shared" si="12"/>
        <v>0</v>
      </c>
      <c r="P120" s="59">
        <f t="shared" si="13"/>
        <v>0</v>
      </c>
      <c r="Q120" s="59">
        <f t="shared" si="14"/>
        <v>0</v>
      </c>
    </row>
    <row r="121">
      <c r="A121" s="93">
        <v>11.0</v>
      </c>
      <c r="B121" s="94" t="s">
        <v>228</v>
      </c>
      <c r="C121" s="95" t="s">
        <v>228</v>
      </c>
      <c r="D121" s="80">
        <f>SUMIFS('jiliarena_活动分析数据_底稿'!$F:$F,'jiliarena_活动分析数据_底稿'!$C:$C,B121,'jiliarena_活动分析数据_底稿'!$B:$B,$B$2)</f>
        <v>0</v>
      </c>
      <c r="E121" s="80">
        <f>SUMIFS('jiliarena_活动分析数据_底稿'!$G:$G,'jiliarena_活动分析数据_底稿'!$B:$B,$B$2,'jiliarena_活动分析数据_底稿'!$C:$C,B121)</f>
        <v>1442</v>
      </c>
      <c r="F121" s="81" t="str">
        <f>if(sumifs('jiliarena_活动分析数据_底稿'!$V:$V,'jiliarena_活动分析数据_底稿'!$T:$T,$B$2,'jiliarena_活动分析数据_底稿'!$U:$U,B121)=0,"",sumifs('jiliarena_活动分析数据_底稿'!$V:$V,'jiliarena_活动分析数据_底稿'!$T:$T,$B$2,'jiliarena_活动分析数据_底稿'!$U:$U,B121))</f>
        <v/>
      </c>
      <c r="G121" s="96" t="str">
        <f t="array" ref="G121">if(F121="","",(F121/index(jiliarena!$A$4:$M$39,match($B$2,jiliarena!$A$4:$A$39,0),match("总存款额度
 total deposit amount",jiliarena!$A$4:$M$4,0))))</f>
        <v/>
      </c>
      <c r="H121" s="81">
        <f>sumifs('jiliarena_活动分析数据_底稿'!$K:$K,'jiliarena_活动分析数据_底稿'!$B:$B,$B$2,'jiliarena_活动分析数据_底稿'!$C:$C,B121)</f>
        <v>2161</v>
      </c>
      <c r="I121" s="82">
        <f t="array" ref="I121">H121/INDEX(jiliarena!$A$4:$BQ$39,MATCH($B$2,jiliarena!$A$4:$A$39,0),MATCH("总优惠
 （Z+...+AH）
 Total Bonus",jiliarena!$4:$4,0))</f>
        <v>0.003649667705</v>
      </c>
      <c r="J121" s="82">
        <v>8.911983916994934E-9</v>
      </c>
      <c r="K121" s="82">
        <f t="array" ref="K121">$H121/index(jiliarena!$A$4:$Z$39,match($B$2,jiliarena!$A$4:$A$39,0),match("总存款额度
 total deposit amount",jiliarena!$A$4:$Z$4,0))</f>
        <v>0.003938141474</v>
      </c>
      <c r="L121" s="82">
        <f t="array" ref="L121">$H121/index(jiliarena!$A$4:$Z$39,match($B$2,jiliarena!$A$4:$A$39,0),match("公司输赢
 Win or lose",jiliarena!$A$4:$Z$4,0))</f>
        <v>0.008373122358</v>
      </c>
      <c r="N121" s="51" t="s">
        <v>233</v>
      </c>
      <c r="O121" s="63">
        <f t="shared" si="12"/>
        <v>0</v>
      </c>
      <c r="P121" s="59">
        <f t="shared" si="13"/>
        <v>0</v>
      </c>
      <c r="Q121" s="59">
        <f t="shared" si="14"/>
        <v>0</v>
      </c>
    </row>
    <row r="122">
      <c r="A122" s="77">
        <v>12.0</v>
      </c>
      <c r="B122" s="78" t="s">
        <v>230</v>
      </c>
      <c r="C122" s="97" t="s">
        <v>234</v>
      </c>
      <c r="D122" s="80">
        <f>SUMIFS('jiliarena_活动分析数据_底稿'!$F:$F,'jiliarena_活动分析数据_底稿'!$C:$C,B122,'jiliarena_活动分析数据_底稿'!$B:$B,$B$2)</f>
        <v>1013</v>
      </c>
      <c r="E122" s="80">
        <f>SUMIFS('jiliarena_活动分析数据_底稿'!$G:$G,'jiliarena_活动分析数据_底稿'!$B:$B,$B$2,'jiliarena_活动分析数据_底稿'!$C:$C,B122)</f>
        <v>569</v>
      </c>
      <c r="F122" s="81" t="str">
        <f>if(sumifs('jiliarena_活动分析数据_底稿'!$V:$V,'jiliarena_活动分析数据_底稿'!$T:$T,$B$2,'jiliarena_活动分析数据_底稿'!$U:$U,B122)=0,"",sumifs('jiliarena_活动分析数据_底稿'!$V:$V,'jiliarena_活动分析数据_底稿'!$T:$T,$B$2,'jiliarena_活动分析数据_底稿'!$U:$U,B122))</f>
        <v/>
      </c>
      <c r="G122" s="96" t="str">
        <f t="array" ref="G122">if(F122="","",(F122/index(jiliarena!$A$4:$M$39,match($B$2,jiliarena!$A$4:$A$39,0),match("总存款额度
 total deposit amount",jiliarena!$A$4:$M$4,0))))</f>
        <v/>
      </c>
      <c r="H122" s="81">
        <f>sumifs('jiliarena_活动分析数据_底稿'!$K:$K,'jiliarena_活动分析数据_底稿'!$B:$B,$B$2,'jiliarena_活动分析数据_底稿'!$C:$C,B122)</f>
        <v>14630.65</v>
      </c>
      <c r="I122" s="82">
        <f t="array" ref="I122">H122/INDEX(jiliarena!$A$4:$BQ$39,MATCH($B$2,jiliarena!$A$4:$A$39,0),MATCH("总优惠
 （Z+...+AH）
 Total Bonus",jiliarena!$4:$4,0))</f>
        <v>0.0247093988</v>
      </c>
      <c r="J122" s="82">
        <v>3.3365089084196715E-4</v>
      </c>
      <c r="K122" s="82">
        <f t="array" ref="K122">$H122/index(jiliarena!$A$4:$Z$39,match($B$2,jiliarena!$A$4:$A$39,0),match("总存款额度
 total deposit amount",jiliarena!$A$4:$Z$4,0))</f>
        <v>0.02666245699</v>
      </c>
      <c r="L122" s="82">
        <f t="array" ref="L122">$H122/index(jiliarena!$A$4:$Z$39,match($B$2,jiliarena!$A$4:$A$39,0),match("公司输赢
 Win or lose",jiliarena!$A$4:$Z$4,0))</f>
        <v>0.05668867313</v>
      </c>
      <c r="O122" s="63">
        <f t="shared" si="12"/>
        <v>0</v>
      </c>
      <c r="P122" s="59">
        <f t="shared" si="13"/>
        <v>0</v>
      </c>
      <c r="Q122" s="59">
        <f t="shared" si="14"/>
        <v>0</v>
      </c>
    </row>
    <row r="123">
      <c r="A123" s="77">
        <v>13.0</v>
      </c>
      <c r="B123" s="78" t="s">
        <v>231</v>
      </c>
      <c r="C123" s="97" t="s">
        <v>235</v>
      </c>
      <c r="D123" s="80">
        <f>SUMIFS('jiliarena_活动分析数据_底稿'!$F:$F,'jiliarena_活动分析数据_底稿'!$C:$C,B123,'jiliarena_活动分析数据_底稿'!$B:$B,$B$2)</f>
        <v>0</v>
      </c>
      <c r="E123" s="80">
        <f>SUMIFS('jiliarena_活动分析数据_底稿'!$G:$G,'jiliarena_活动分析数据_底稿'!$B:$B,$B$2,'jiliarena_活动分析数据_底稿'!$C:$C,B123)</f>
        <v>0</v>
      </c>
      <c r="F123" s="81" t="str">
        <f>if(sumifs('jiliarena_活动分析数据_底稿'!$V:$V,'jiliarena_活动分析数据_底稿'!$T:$T,$B$2,'jiliarena_活动分析数据_底稿'!$U:$U,B123)=0,"",sumifs('jiliarena_活动分析数据_底稿'!$V:$V,'jiliarena_活动分析数据_底稿'!$T:$T,$B$2,'jiliarena_活动分析数据_底稿'!$U:$U,B123))</f>
        <v/>
      </c>
      <c r="G123" s="96" t="str">
        <f t="array" ref="G123">if(F123="","",(F123/index(jiliarena!$A$4:$M$39,match($B$2,jiliarena!$A$4:$A$39,0),match("总存款额度
 total deposit amount",jiliarena!$A$4:$M$4,0))))</f>
        <v/>
      </c>
      <c r="H123" s="81">
        <f>sumifs('jiliarena_活动分析数据_底稿'!$K:$K,'jiliarena_活动分析数据_底稿'!$B:$B,$B$2,'jiliarena_活动分析数据_底稿'!$C:$C,B123)</f>
        <v>0</v>
      </c>
      <c r="I123" s="82">
        <f t="array" ref="I123">H123/INDEX(jiliarena!$A$4:$BQ$39,MATCH($B$2,jiliarena!$A$4:$A$39,0),MATCH("总优惠
 （Z+...+AH）
 Total Bonus",jiliarena!$4:$4,0))</f>
        <v>0</v>
      </c>
      <c r="J123" s="82">
        <v>3.3365089084196715E-4</v>
      </c>
      <c r="K123" s="82">
        <f t="array" ref="K123">$H123/index(jiliarena!$A$4:$Z$39,match($B$2,jiliarena!$A$4:$A$39,0),match("总存款额度
 total deposit amount",jiliarena!$A$4:$Z$4,0))</f>
        <v>0</v>
      </c>
      <c r="L123" s="82">
        <f t="array" ref="L123">$H123/index(jiliarena!$A$4:$Z$39,match($B$2,jiliarena!$A$4:$A$39,0),match("公司输赢
 Win or lose",jiliarena!$A$4:$Z$4,0))</f>
        <v>0</v>
      </c>
      <c r="O123" s="63">
        <f t="shared" si="12"/>
        <v>0</v>
      </c>
      <c r="P123" s="59">
        <f t="shared" si="13"/>
        <v>0</v>
      </c>
      <c r="Q123" s="59">
        <f t="shared" si="14"/>
        <v>0</v>
      </c>
    </row>
    <row r="124">
      <c r="A124" s="77">
        <v>14.0</v>
      </c>
      <c r="B124" s="78" t="s">
        <v>232</v>
      </c>
      <c r="C124" s="97" t="s">
        <v>236</v>
      </c>
      <c r="D124" s="80">
        <f>SUMIFS('jiliarena_活动分析数据_底稿'!$F:$F,'jiliarena_活动分析数据_底稿'!$E:$E,C124,'jiliarena_活动分析数据_底稿'!$B:$B,$B$2)</f>
        <v>0</v>
      </c>
      <c r="E124" s="80">
        <f>SUMIFS('jiliarena_活动分析数据_底稿'!$G:$G,'jiliarena_活动分析数据_底稿'!$B:$B,$B$2,'jiliarena_活动分析数据_底稿'!$E:$E,C124)</f>
        <v>0</v>
      </c>
      <c r="F124" s="81" t="str">
        <f>if(sumifs('jiliarena_活动分析数据_底稿'!$V:$V,'jiliarena_活动分析数据_底稿'!$T:$T,$B$2,'jiliarena_活动分析数据_底稿'!$U:$U,B124)=0,"",sumifs('jiliarena_活动分析数据_底稿'!$V:$V,'jiliarena_活动分析数据_底稿'!$T:$T,$B$2,'jiliarena_活动分析数据_底稿'!$U:$U,B124))</f>
        <v/>
      </c>
      <c r="G124" s="96" t="str">
        <f t="array" ref="G124">if(F124="","",(F124/index(jiliarena!$A$4:$M$39,match($B$2,jiliarena!$A$4:$A$39,0),match("总存款额度
 total deposit amount",jiliarena!$A$4:$M$4,0))))</f>
        <v/>
      </c>
      <c r="H124" s="81">
        <f>sumifs('jiliarena_活动分析数据_底稿'!$K:$K,'jiliarena_活动分析数据_底稿'!$B:$B,$B$2,'jiliarena_活动分析数据_底稿'!$E:$E,C124)</f>
        <v>0</v>
      </c>
      <c r="I124" s="82">
        <f t="array" ref="I124">H124/INDEX(jiliarena!$A$4:$BQ$39,MATCH($B$2,jiliarena!$A$4:$A$39,0),MATCH("总优惠
 （Z+...+AH）
 Total Bonus",jiliarena!$4:$4,0))</f>
        <v>0</v>
      </c>
      <c r="J124" s="82">
        <v>0.001058307205257621</v>
      </c>
      <c r="K124" s="82">
        <f t="array" ref="K124">$H124/index(jiliarena!$A$4:$Z$39,match($B$2,jiliarena!$A$4:$A$39,0),match("总存款额度
 total deposit amount",jiliarena!$A$4:$Z$4,0))</f>
        <v>0</v>
      </c>
      <c r="L124" s="82">
        <f t="array" ref="L124">$H124/index(jiliarena!$A$4:$Z$39,match($B$2,jiliarena!$A$4:$A$39,0),match("公司输赢
 Win or lose",jiliarena!$A$4:$Z$4,0))</f>
        <v>0</v>
      </c>
      <c r="O124" s="63">
        <f t="shared" si="12"/>
        <v>0</v>
      </c>
      <c r="P124" s="59">
        <f t="shared" si="13"/>
        <v>0</v>
      </c>
      <c r="Q124" s="59">
        <f t="shared" si="14"/>
        <v>0</v>
      </c>
    </row>
    <row r="125">
      <c r="A125" s="93">
        <v>18.0</v>
      </c>
      <c r="B125" s="94" t="s">
        <v>233</v>
      </c>
      <c r="C125" s="95" t="s">
        <v>233</v>
      </c>
      <c r="D125" s="80">
        <f>SUMIFS('jiliarena_活动分析数据_底稿'!$F:$F,'jiliarena_活动分析数据_底稿'!$C:$C,B125,'jiliarena_活动分析数据_底稿'!$B:$B,$B$2)</f>
        <v>0</v>
      </c>
      <c r="E125" s="80">
        <f>SUMIFS('jiliarena_活动分析数据_底稿'!$G:$G,'jiliarena_活动分析数据_底稿'!$B:$B,$B$2,'jiliarena_活动分析数据_底稿'!$C:$C,B125)</f>
        <v>0</v>
      </c>
      <c r="F125" s="81" t="str">
        <f>if(sumifs('jiliarena_活动分析数据_底稿'!$V:$V,'jiliarena_活动分析数据_底稿'!$T:$T,$B$2,'jiliarena_活动分析数据_底稿'!$U:$U,B125)=0,"",sumifs('jiliarena_活动分析数据_底稿'!$V:$V,'jiliarena_活动分析数据_底稿'!$T:$T,$B$2,'jiliarena_活动分析数据_底稿'!$U:$U,B125))</f>
        <v/>
      </c>
      <c r="G125" s="96" t="str">
        <f t="array" ref="G125">if(F125="","",(F125/index(jiliarena!$A$4:$M$39,match($B$2,jiliarena!$A$4:$A$39,0),match("总存款额度
 total deposit amount",jiliarena!$A$4:$M$4,0))))</f>
        <v/>
      </c>
      <c r="H125" s="81">
        <f>sumifs('jiliarena_活动分析数据_底稿'!$K:$K,'jiliarena_活动分析数据_底稿'!$B:$B,$B$2,'jiliarena_活动分析数据_底稿'!$C:$C,B125)</f>
        <v>0</v>
      </c>
      <c r="I125" s="82">
        <f t="array" ref="I125">H125/INDEX(jiliarena!$A$4:$BQ$39,MATCH($B$2,jiliarena!$A$4:$A$39,0),MATCH("总优惠
 （Z+...+AH）
 Total Bonus",jiliarena!$4:$4,0))</f>
        <v>0</v>
      </c>
      <c r="J125" s="82">
        <v>2.0974376959582798E-4</v>
      </c>
      <c r="K125" s="82">
        <f t="array" ref="K125">$H125/index(jiliarena!$A$4:$Z$39,match($B$2,jiliarena!$A$4:$A$39,0),match("总存款额度
 total deposit amount",jiliarena!$A$4:$Z$4,0))</f>
        <v>0</v>
      </c>
      <c r="L125" s="82">
        <f t="array" ref="L125">$H125/index(jiliarena!$A$4:$Z$39,match($B$2,jiliarena!$A$4:$A$39,0),match("公司输赢
 Win or lose",jiliarena!$A$4:$Z$4,0))</f>
        <v>0</v>
      </c>
      <c r="N125" s="102" t="s">
        <v>172</v>
      </c>
      <c r="O125" s="103">
        <f t="shared" ref="O125:Q125" si="19">SUM(O84:O124)</f>
        <v>25991.32</v>
      </c>
      <c r="P125" s="104">
        <f t="shared" si="19"/>
        <v>9211</v>
      </c>
      <c r="Q125" s="104">
        <f t="shared" si="19"/>
        <v>10080</v>
      </c>
    </row>
    <row r="126">
      <c r="A126" s="105" t="s">
        <v>237</v>
      </c>
      <c r="B126" s="106"/>
      <c r="C126" s="106"/>
      <c r="D126" s="107">
        <f>SUM(D84,D92,D105:D107,D116:D125)</f>
        <v>9211</v>
      </c>
      <c r="E126" s="107">
        <f>SUM(E84,E92,E105:E107,E116:E125,E91)</f>
        <v>10080</v>
      </c>
      <c r="F126" s="108">
        <f>SUM(F84,F92,F105:F107,F116:F125)</f>
        <v>0</v>
      </c>
      <c r="G126" s="109">
        <f t="array" ref="G126">if(F126="","",(F126/index(jiliarena!$A$4:$M$39,match($B$2,jiliarena!$A$4:$A$39,0),match("总存款额度
 total deposit amount",jiliarena!$A$4:$M$4,0))))</f>
        <v>0</v>
      </c>
      <c r="H126" s="108">
        <f>SUM(H84,H92,H105:H107,H116:H125,H91)</f>
        <v>25991.32</v>
      </c>
      <c r="I126" s="110">
        <f t="shared" ref="I126:L126" si="20">SUM(I84,I92,I105:I107,I116:I125)</f>
        <v>0.04389619676</v>
      </c>
      <c r="J126" s="110">
        <f t="shared" si="20"/>
        <v>0.003407219198</v>
      </c>
      <c r="K126" s="110">
        <f t="shared" si="20"/>
        <v>0.04736580068</v>
      </c>
      <c r="L126" s="110">
        <f t="shared" si="20"/>
        <v>0.1007073126</v>
      </c>
      <c r="N126" s="111"/>
      <c r="O126" s="103">
        <f>O125-H127</f>
        <v>-566117.38</v>
      </c>
      <c r="P126" s="104">
        <f t="shared" ref="P126:Q126" si="21">P125-D126</f>
        <v>0</v>
      </c>
      <c r="Q126" s="104">
        <f t="shared" si="21"/>
        <v>0</v>
      </c>
    </row>
    <row r="127">
      <c r="F127" s="63"/>
      <c r="H127" s="63">
        <f t="array" ref="H127">index(jiliarena!$A$4:$BQ$39,match($B$2,jiliarena!$A$4:$A$39,0),match("总优惠
 （Z+...+AH）
 Total Bonus",jiliarena!$A$4:$BQ$4,0))</f>
        <v>592108.7</v>
      </c>
    </row>
    <row r="128">
      <c r="B128" s="57" t="str">
        <f>MONTH(B2)&amp;"/"&amp;DAY(B2) &amp;" WP活动分析"</f>
        <v>2/12 WP活动分析</v>
      </c>
      <c r="H128" s="112">
        <f>H126-H127</f>
        <v>-566117.38</v>
      </c>
    </row>
    <row r="129">
      <c r="B129" s="66"/>
    </row>
    <row r="130">
      <c r="B130" s="66" t="s">
        <v>238</v>
      </c>
    </row>
    <row r="131">
      <c r="B131" s="66" t="str">
        <f t="shared" ref="B131:B133" si="22">"活动名称： "&amp;C131&amp;"   发放金额：" &amp;TEXT(D131,"0,000")&amp;"  领取人数 ："&amp;text(E131,"0,000")&amp;"  领取笔数："&amp;text(F131,"0,000")</f>
        <v>活动名称： 邀请返佣   发放金额：14,631  领取人数 ：0,569  领取笔数：1,013</v>
      </c>
      <c r="C131" s="57" t="str">
        <f t="array" ref="C131">index($N$83:$N$124, match(large(O83:O124,1),O83:O124,0),1)</f>
        <v>邀请返佣</v>
      </c>
      <c r="D131" s="63">
        <f t="shared" ref="D131:D133" si="23">index($N$83:$Q$124,match(C131,$N$83:$N$124,0),2)</f>
        <v>14630.65</v>
      </c>
      <c r="E131" s="59">
        <f t="shared" ref="E131:E133" si="24">index($N$83:$Q$124,match(C131,$N$83:$N$124,0),4)</f>
        <v>569</v>
      </c>
      <c r="F131" s="59">
        <f t="shared" ref="F131:F133" si="25">index($N$83:$Q$124,match(C131,$N$83:$N$124,0),3)</f>
        <v>1013</v>
      </c>
    </row>
    <row r="132">
      <c r="B132" s="66" t="str">
        <f t="shared" si="22"/>
        <v>活动名称： 签到奖励   发放金额：8,052  领取人数 ：7,460  领取笔数：7,460</v>
      </c>
      <c r="C132" s="57" t="str">
        <f t="array" ref="C132">index($N$83:$N$124, match(large(O83:O124,2),O83:O124,0),1)</f>
        <v>签到奖励</v>
      </c>
      <c r="D132" s="63">
        <f t="shared" si="23"/>
        <v>8052</v>
      </c>
      <c r="E132" s="59">
        <f t="shared" si="24"/>
        <v>7460</v>
      </c>
      <c r="F132" s="59">
        <f t="shared" si="25"/>
        <v>7460</v>
      </c>
    </row>
    <row r="133">
      <c r="B133" s="66" t="str">
        <f t="shared" si="22"/>
        <v>活动名称： 登录任务   发放金额：2,161  领取人数 ：1,442  领取笔数：0,000</v>
      </c>
      <c r="C133" s="57" t="str">
        <f t="array" ref="C133">index($N$83:$N$124, match(large(O83:O124,3),O83:O124,0),1)</f>
        <v>登录任务</v>
      </c>
      <c r="D133" s="63">
        <f t="shared" si="23"/>
        <v>2161</v>
      </c>
      <c r="E133" s="59">
        <f t="shared" si="24"/>
        <v>1442</v>
      </c>
      <c r="F133" s="59">
        <f t="shared" si="25"/>
        <v>0</v>
      </c>
    </row>
    <row r="134">
      <c r="B134" s="66"/>
    </row>
    <row r="135">
      <c r="B135" s="66" t="s">
        <v>239</v>
      </c>
    </row>
    <row r="136">
      <c r="B136" s="66" t="str">
        <f t="shared" ref="B136:B138" si="26">"活动名称： "&amp;C136&amp;"   发放金额：" &amp;TEXT(D136,"0,000")&amp;"  领取人数 ："&amp;text(E136,"0,000")&amp;"  领取笔数："&amp;text(F136,"0,000")</f>
        <v>活动名称： 签到奖励   发放金额：8,052  领取人数 ：7,460  领取笔数：7,460</v>
      </c>
      <c r="C136" s="57" t="str">
        <f t="array" ref="C136">index($N$83:$N$122, match(large($Q$83:$Q$122,1),$Q$83:$Q$122,0),1)</f>
        <v>签到奖励</v>
      </c>
      <c r="D136" s="63">
        <f t="shared" ref="D136:D138" si="27">index($N$83:$Q$124,match(C136,$N$83:$N$124,0),2)</f>
        <v>8052</v>
      </c>
      <c r="E136" s="59">
        <f t="shared" ref="E136:E138" si="28">index($N$83:$Q$124,match(C136,$N$83:$N$124,0),4)</f>
        <v>7460</v>
      </c>
      <c r="F136" s="59">
        <f t="shared" ref="F136:F138" si="29">index($N$83:$Q$124,match(C136,$N$83:$N$124,0),3)</f>
        <v>7460</v>
      </c>
    </row>
    <row r="137">
      <c r="B137" s="66" t="str">
        <f t="shared" si="26"/>
        <v>活动名称： 登录任务   发放金额：2,161  领取人数 ：1,442  领取笔数：0,000</v>
      </c>
      <c r="C137" s="57" t="str">
        <f t="array" ref="C137">index($N$83:$N$122, match(large($Q$83:$Q$122,2),$Q$83:$Q$122,0),1)</f>
        <v>登录任务</v>
      </c>
      <c r="D137" s="63">
        <f t="shared" si="27"/>
        <v>2161</v>
      </c>
      <c r="E137" s="59">
        <f t="shared" si="28"/>
        <v>1442</v>
      </c>
      <c r="F137" s="59">
        <f t="shared" si="29"/>
        <v>0</v>
      </c>
    </row>
    <row r="138">
      <c r="B138" s="66" t="str">
        <f t="shared" si="26"/>
        <v>活动名称： 邀请返佣   发放金额：14,631  领取人数 ：0,569  领取笔数：1,013</v>
      </c>
      <c r="C138" s="57" t="str">
        <f t="array" ref="C138">index($N$83:$N$122, match(large($Q$83:$Q$122,3),$Q$83:$Q$122,0),1)</f>
        <v>邀请返佣</v>
      </c>
      <c r="D138" s="63">
        <f t="shared" si="27"/>
        <v>14630.65</v>
      </c>
      <c r="E138" s="59">
        <f t="shared" si="28"/>
        <v>569</v>
      </c>
      <c r="F138" s="59">
        <f t="shared" si="29"/>
        <v>1013</v>
      </c>
    </row>
    <row r="139">
      <c r="B139" s="66"/>
    </row>
    <row r="140">
      <c r="B140" s="67" t="s">
        <v>240</v>
      </c>
    </row>
    <row r="141">
      <c r="B141" s="66" t="str">
        <f t="shared" ref="B141:B143" si="30">"活动名称： "&amp;C141&amp;"   发放金额：" &amp;TEXT(D141,"0,000")&amp;"  领取人数 ："&amp;text(E141,"0,000")&amp;"  领取笔数："&amp;text(F141,"0,000")</f>
        <v>活动名称： 签到奖励   发放金额：8,052  领取人数 ：7,460  领取笔数：7,460</v>
      </c>
      <c r="C141" s="57" t="str">
        <f t="array" ref="C141">index($N$83:$N$122, match(large($P$83:$P$122,1),$P$83:$P$122,0),1)</f>
        <v>签到奖励</v>
      </c>
      <c r="D141" s="63">
        <f t="shared" ref="D141:D143" si="31">index($N$83:$Q$124,match(C141,$N$83:$N$124,0),2)</f>
        <v>8052</v>
      </c>
      <c r="E141" s="59">
        <f t="shared" ref="E141:E143" si="32">index($N$83:$Q$124,match(C141,$N$83:$N$124,0),4)</f>
        <v>7460</v>
      </c>
      <c r="F141" s="59">
        <f t="shared" ref="F141:F143" si="33">index($N$83:$Q$124,match(C141,$N$83:$N$124,0),3)</f>
        <v>7460</v>
      </c>
    </row>
    <row r="142">
      <c r="B142" s="66" t="str">
        <f t="shared" si="30"/>
        <v>活动名称： 邀请返佣   发放金额：14,631  领取人数 ：0,569  领取笔数：1,013</v>
      </c>
      <c r="C142" s="57" t="str">
        <f t="array" ref="C142">index($N$83:$N$122, match(large($P$83:$P$122,2),$P$83:$P$122,0),1)</f>
        <v>邀请返佣</v>
      </c>
      <c r="D142" s="63">
        <f t="shared" si="31"/>
        <v>14630.65</v>
      </c>
      <c r="E142" s="59">
        <f t="shared" si="32"/>
        <v>569</v>
      </c>
      <c r="F142" s="59">
        <f t="shared" si="33"/>
        <v>1013</v>
      </c>
    </row>
    <row r="143">
      <c r="B143" s="66" t="str">
        <f t="shared" si="30"/>
        <v>活动名称： 升级奖励   发放金额：0,902  领取人数 ：0,501  领取笔数：0,630</v>
      </c>
      <c r="C143" s="57" t="str">
        <f t="array" ref="C143">index($N$83:$N$122, match(large($P$83:$P$122,3),$P$83:$P$122,0),1)</f>
        <v>升级奖励</v>
      </c>
      <c r="D143" s="63">
        <f t="shared" si="31"/>
        <v>902</v>
      </c>
      <c r="E143" s="59">
        <f t="shared" si="32"/>
        <v>501</v>
      </c>
      <c r="F143" s="59">
        <f t="shared" si="33"/>
        <v>630</v>
      </c>
    </row>
    <row r="147">
      <c r="B147" s="66" t="s">
        <v>241</v>
      </c>
    </row>
    <row r="211">
      <c r="A211" s="113" t="s">
        <v>242</v>
      </c>
      <c r="B211" s="114" t="s">
        <v>243</v>
      </c>
      <c r="C211" s="114" t="s">
        <v>244</v>
      </c>
      <c r="D211" s="114" t="s">
        <v>245</v>
      </c>
      <c r="E211" s="114" t="s">
        <v>246</v>
      </c>
      <c r="F211" s="114" t="s">
        <v>247</v>
      </c>
      <c r="G211" s="114" t="s">
        <v>248</v>
      </c>
      <c r="H211" s="114" t="s">
        <v>249</v>
      </c>
      <c r="I211" s="114" t="s">
        <v>250</v>
      </c>
      <c r="J211" s="114" t="s">
        <v>251</v>
      </c>
      <c r="K211" s="114" t="s">
        <v>252</v>
      </c>
      <c r="L211" s="114" t="s">
        <v>253</v>
      </c>
      <c r="M211" s="115" t="s">
        <v>254</v>
      </c>
      <c r="N211" s="115" t="s">
        <v>255</v>
      </c>
      <c r="O211" s="115" t="s">
        <v>256</v>
      </c>
      <c r="P211" s="115" t="s">
        <v>257</v>
      </c>
      <c r="Q211" s="115" t="s">
        <v>258</v>
      </c>
      <c r="R211" s="115" t="s">
        <v>259</v>
      </c>
      <c r="S211" s="116" t="s">
        <v>260</v>
      </c>
      <c r="T211" s="116" t="s">
        <v>261</v>
      </c>
      <c r="U211" s="116" t="s">
        <v>262</v>
      </c>
      <c r="V211" s="116" t="s">
        <v>263</v>
      </c>
      <c r="W211" s="116" t="s">
        <v>264</v>
      </c>
      <c r="X211" s="116" t="s">
        <v>265</v>
      </c>
      <c r="Y211" s="116" t="s">
        <v>266</v>
      </c>
      <c r="Z211" s="116" t="s">
        <v>267</v>
      </c>
      <c r="AA211" s="116" t="s">
        <v>268</v>
      </c>
      <c r="AB211" s="116" t="s">
        <v>269</v>
      </c>
      <c r="AC211" s="116" t="s">
        <v>270</v>
      </c>
      <c r="AD211" s="116" t="s">
        <v>271</v>
      </c>
      <c r="AE211" s="116" t="s">
        <v>272</v>
      </c>
      <c r="AF211" s="116"/>
      <c r="AG211" s="116"/>
      <c r="AH211" s="116"/>
      <c r="AI211" s="116"/>
      <c r="AJ211" s="117"/>
      <c r="AK211" s="118" t="s">
        <v>172</v>
      </c>
    </row>
    <row r="212">
      <c r="A212" s="119">
        <v>46053.0</v>
      </c>
      <c r="B212" s="120" t="str">
        <f t="array" ref="B212">INDEX('jiliarena_代理数据每日人数分析'!$C$7:$J$36,MATCH($A$212,'jiliarena_代理数据每日人数分析'!$C$7:$C$36,0),MATCH(B211,'jiliarena_代理数据每日人数分析'!$C$7:$J$7,0))</f>
        <v>#N/A</v>
      </c>
      <c r="C212" s="120" t="str">
        <f t="array" ref="C212">INDEX('jiliarena_代理数据每日人数分析'!$C$7:$J$36,MATCH($A$212,'jiliarena_代理数据每日人数分析'!$C$7:$C$36,0),MATCH(C211,'jiliarena_代理数据每日人数分析'!$C$7:$J$7,0))</f>
        <v>#N/A</v>
      </c>
      <c r="D212" s="120" t="str">
        <f t="array" ref="D212">INDEX('jiliarena_代理数据每日人数分析'!$C$7:$J$36,MATCH($A$212,'jiliarena_代理数据每日人数分析'!$C$7:$C$36,0),MATCH(D211,'jiliarena_代理数据每日人数分析'!$C$7:$J$7,0))</f>
        <v>#N/A</v>
      </c>
      <c r="E212" s="120" t="str">
        <f t="array" ref="E212">INDEX('jiliarena_代理数据每日人数分析'!$C$7:$J$36,MATCH($A$212,'jiliarena_代理数据每日人数分析'!$C$7:$C$36,0),MATCH(E211,'jiliarena_代理数据每日人数分析'!$C$7:$J$7,0))</f>
        <v>#N/A</v>
      </c>
      <c r="F212" s="120" t="str">
        <f t="array" ref="F212">INDEX('jiliarena_代理数据每日人数分析'!$C$7:$J$36,MATCH($A$212,'jiliarena_代理数据每日人数分析'!$C$7:$C$36,0),MATCH(F211,'jiliarena_代理数据每日人数分析'!$C$7:$J$7,0))</f>
        <v>#N/A</v>
      </c>
      <c r="G212" s="120" t="str">
        <f t="array" ref="G212">INDEX('jiliarena_代理数据每日人数分析'!$C$7:$J$36,MATCH($A$212,'jiliarena_代理数据每日人数分析'!$C$7:$C$36,0),MATCH(G211,'jiliarena_代理数据每日人数分析'!$C$7:$J$7,0))</f>
        <v>#N/A</v>
      </c>
      <c r="H212" s="120" t="str">
        <f t="array" ref="H212">INDEX('jiliarena_代理数据每日人数分析'!$C$7:$J$36,MATCH($A$212,'jiliarena_代理数据每日人数分析'!$C$7:$C$36,0),MATCH(H211,'jiliarena_代理数据每日人数分析'!$C$7:$J$7,0))</f>
        <v>#N/A</v>
      </c>
      <c r="I212" s="120" t="str">
        <f t="array" ref="I212">INDEX('jiliarena_代理数据每日人数分析'!$C$7:$J$36,MATCH($A$212,'jiliarena_代理数据每日人数分析'!$C$7:$C$36,0),MATCH(I211,'jiliarena_代理数据每日人数分析'!$C$7:$J$7,0))</f>
        <v>#N/A</v>
      </c>
      <c r="J212" s="120" t="str">
        <f t="array" ref="J212">INDEX('jiliarena_代理数据每日人数分析'!$C$7:$J$36,MATCH($A$212,'jiliarena_代理数据每日人数分析'!$C$7:$C$36,0),MATCH(J211,'jiliarena_代理数据每日人数分析'!$C$7:$J$7,0))</f>
        <v>#N/A</v>
      </c>
      <c r="K212" s="120" t="str">
        <f t="array" ref="K212">INDEX('jiliarena_代理数据每日人数分析'!$C$7:$J$36,MATCH($A$212,'jiliarena_代理数据每日人数分析'!$C$7:$C$36,0),MATCH(K211,'jiliarena_代理数据每日人数分析'!$C$7:$J$7,0))</f>
        <v>#N/A</v>
      </c>
      <c r="L212" s="120" t="str">
        <f t="array" ref="L212">INDEX('jiliarena_代理数据每日人数分析'!$C$7:$J$36,MATCH($A$212,'jiliarena_代理数据每日人数分析'!$C$7:$C$36,0),MATCH(L211,'jiliarena_代理数据每日人数分析'!$C$7:$J$7,0))</f>
        <v>#N/A</v>
      </c>
      <c r="M212" s="120" t="str">
        <f t="array" ref="M212">INDEX('jiliarena_代理数据每日人数分析'!$C$7:$J$36,MATCH($A$212,'jiliarena_代理数据每日人数分析'!$C$7:$C$36,0),MATCH(M211,'jiliarena_代理数据每日人数分析'!$C$7:$J$7,0))</f>
        <v>#N/A</v>
      </c>
      <c r="N212" s="120" t="str">
        <f t="array" ref="N212">INDEX('jiliarena_代理数据每日人数分析'!$C$7:$J$36,MATCH($A$212,'jiliarena_代理数据每日人数分析'!$C$7:$C$36,0),MATCH(N211,'jiliarena_代理数据每日人数分析'!$C$7:$J$7,0))</f>
        <v>#N/A</v>
      </c>
      <c r="O212" s="120" t="str">
        <f t="array" ref="O212">INDEX('jiliarena_代理数据每日人数分析'!$C$7:$J$36,MATCH($A$212,'jiliarena_代理数据每日人数分析'!$C$7:$C$36,0),MATCH(O211,'jiliarena_代理数据每日人数分析'!$C$7:$J$7,0))</f>
        <v>#N/A</v>
      </c>
      <c r="P212" s="120" t="str">
        <f t="array" ref="P212">INDEX('jiliarena_代理数据每日人数分析'!$C$7:$J$36,MATCH($A$212,'jiliarena_代理数据每日人数分析'!$C$7:$C$36,0),MATCH(P211,'jiliarena_代理数据每日人数分析'!$C$7:$J$7,0))</f>
        <v>#N/A</v>
      </c>
      <c r="Q212" s="120" t="str">
        <f t="array" ref="Q212">INDEX('jiliarena_代理数据每日人数分析'!$C$7:$J$36,MATCH($A$212,'jiliarena_代理数据每日人数分析'!$C$7:$C$36,0),MATCH(Q211,'jiliarena_代理数据每日人数分析'!$C$7:$J$7,0))</f>
        <v>#N/A</v>
      </c>
      <c r="R212" s="120" t="str">
        <f t="array" ref="R212">INDEX('jiliarena_代理数据每日人数分析'!$C$7:$J$36,MATCH($A$212,'jiliarena_代理数据每日人数分析'!$C$7:$C$36,0),MATCH(R211,'jiliarena_代理数据每日人数分析'!$C$7:$J$7,0))</f>
        <v>#N/A</v>
      </c>
      <c r="S212" s="120" t="str">
        <f t="array" ref="S212">INDEX('jiliarena_代理数据每日人数分析'!$C$7:$J$36,MATCH($A$212,'jiliarena_代理数据每日人数分析'!$C$7:$C$36,0),MATCH(S211,'jiliarena_代理数据每日人数分析'!$C$7:$J$7,0))</f>
        <v>#N/A</v>
      </c>
      <c r="T212" s="120" t="str">
        <f t="array" ref="T212">INDEX('jiliarena_代理数据每日人数分析'!$C$7:$J$36,MATCH($A$212,'jiliarena_代理数据每日人数分析'!$C$7:$C$36,0),MATCH(T211,'jiliarena_代理数据每日人数分析'!$C$7:$J$7,0))</f>
        <v>#N/A</v>
      </c>
      <c r="U212" s="120" t="str">
        <f t="array" ref="U212">INDEX('jiliarena_代理数据每日人数分析'!$C$7:$J$36,MATCH($A$212,'jiliarena_代理数据每日人数分析'!$C$7:$C$36,0),MATCH(U211,'jiliarena_代理数据每日人数分析'!$C$7:$J$7,0))</f>
        <v>#N/A</v>
      </c>
      <c r="V212" s="120" t="str">
        <f t="array" ref="V212">INDEX('jiliarena_代理数据每日人数分析'!$C$7:$J$36,MATCH($A$212,'jiliarena_代理数据每日人数分析'!$C$7:$C$36,0),MATCH(V211,'jiliarena_代理数据每日人数分析'!$C$7:$J$7,0))</f>
        <v>#N/A</v>
      </c>
      <c r="W212" s="120" t="str">
        <f t="array" ref="W212">INDEX('jiliarena_代理数据每日人数分析'!$C$7:$J$36,MATCH($A$212,'jiliarena_代理数据每日人数分析'!$C$7:$C$36,0),MATCH(W211,'jiliarena_代理数据每日人数分析'!$C$7:$J$7,0))</f>
        <v>#N/A</v>
      </c>
      <c r="X212" s="120" t="str">
        <f t="array" ref="X212">INDEX('jiliarena_代理数据每日人数分析'!$C$7:$J$36,MATCH($A$212,'jiliarena_代理数据每日人数分析'!$C$7:$C$36,0),MATCH(X211,'jiliarena_代理数据每日人数分析'!$C$7:$J$7,0))</f>
        <v>#N/A</v>
      </c>
      <c r="Y212" s="120" t="str">
        <f t="array" ref="Y212">INDEX('jiliarena_代理数据每日人数分析'!$C$7:$J$36,MATCH($A$212,'jiliarena_代理数据每日人数分析'!$C$7:$C$36,0),MATCH(Y211,'jiliarena_代理数据每日人数分析'!$C$7:$J$7,0))</f>
        <v>#N/A</v>
      </c>
      <c r="Z212" s="120" t="str">
        <f t="array" ref="Z212">INDEX('jiliarena_代理数据每日人数分析'!$C$7:$J$36,MATCH($A$212,'jiliarena_代理数据每日人数分析'!$C$7:$C$36,0),MATCH(Z211,'jiliarena_代理数据每日人数分析'!$C$7:$J$7,0))</f>
        <v>#N/A</v>
      </c>
      <c r="AA212" s="120" t="str">
        <f t="array" ref="AA212">INDEX('jiliarena_代理数据每日人数分析'!$C$7:$J$36,MATCH($A$212,'jiliarena_代理数据每日人数分析'!$C$7:$C$36,0),MATCH(AA211,'jiliarena_代理数据每日人数分析'!$C$7:$J$7,0))</f>
        <v>#N/A</v>
      </c>
      <c r="AB212" s="120" t="str">
        <f t="array" ref="AB212">INDEX('jiliarena_代理数据每日人数分析'!$C$7:$J$36,MATCH($A$212,'jiliarena_代理数据每日人数分析'!$C$7:$C$36,0),MATCH(AB211,'jiliarena_代理数据每日人数分析'!$C$7:$J$7,0))</f>
        <v>#N/A</v>
      </c>
      <c r="AC212" s="120" t="str">
        <f t="array" ref="AC212">INDEX('jiliarena_代理数据每日人数分析'!$C$7:$J$36,MATCH($A$212,'jiliarena_代理数据每日人数分析'!$C$7:$C$36,0),MATCH(AC211,'jiliarena_代理数据每日人数分析'!$C$7:$J$7,0))</f>
        <v>#N/A</v>
      </c>
      <c r="AD212" s="120" t="str">
        <f t="array" ref="AD212">INDEX('jiliarena_代理数据每日人数分析'!$C$7:$J$36,MATCH($A$212,'jiliarena_代理数据每日人数分析'!$C$7:$C$36,0),MATCH(AD211,'jiliarena_代理数据每日人数分析'!$C$7:$J$7,0))</f>
        <v>#N/A</v>
      </c>
      <c r="AE212" s="121">
        <v>0.0</v>
      </c>
      <c r="AF212" s="121">
        <v>0.0</v>
      </c>
      <c r="AG212" s="121">
        <v>0.0</v>
      </c>
      <c r="AH212" s="121">
        <v>0.0</v>
      </c>
      <c r="AI212" s="121">
        <v>0.0</v>
      </c>
      <c r="AJ212" s="121">
        <v>0.0</v>
      </c>
      <c r="AK212" s="63" t="str">
        <f t="shared" ref="AK212:AK243" si="34">SUM(B212:AJ212)</f>
        <v>#N/A</v>
      </c>
    </row>
    <row r="213">
      <c r="A213" s="119">
        <f t="shared" ref="A213:A243" si="35">A212+1</f>
        <v>46054</v>
      </c>
      <c r="B213" s="120">
        <f>sumifs('jiliarena_代理数据_底稿'!$O:$O,'jiliarena_代理数据_底稿'!$B:$B,B$211,'jiliarena_代理数据_底稿'!$A:$A,$A213)</f>
        <v>0</v>
      </c>
      <c r="C213" s="120">
        <f>sumifs('jiliarena_代理数据_底稿'!$O:$O,'jiliarena_代理数据_底稿'!$B:$B,C$211,'jiliarena_代理数据_底稿'!$A:$A,$A213)</f>
        <v>0</v>
      </c>
      <c r="D213" s="120">
        <f>sumifs('jiliarena_代理数据_底稿'!$O:$O,'jiliarena_代理数据_底稿'!$B:$B,D$211,'jiliarena_代理数据_底稿'!$A:$A,$A213)</f>
        <v>0</v>
      </c>
      <c r="E213" s="120">
        <f>sumifs('jiliarena_代理数据_底稿'!$O:$O,'jiliarena_代理数据_底稿'!$B:$B,E$211,'jiliarena_代理数据_底稿'!$A:$A,$A213)</f>
        <v>0</v>
      </c>
      <c r="F213" s="120">
        <f>sumifs('jiliarena_代理数据_底稿'!$O:$O,'jiliarena_代理数据_底稿'!$B:$B,F$211,'jiliarena_代理数据_底稿'!$A:$A,$A213)</f>
        <v>0</v>
      </c>
      <c r="G213" s="120">
        <f>sumifs('jiliarena_代理数据_底稿'!$O:$O,'jiliarena_代理数据_底稿'!$B:$B,G$211,'jiliarena_代理数据_底稿'!$A:$A,$A213)</f>
        <v>0</v>
      </c>
      <c r="H213" s="120">
        <f>sumifs('jiliarena_代理数据_底稿'!$O:$O,'jiliarena_代理数据_底稿'!$B:$B,H$211,'jiliarena_代理数据_底稿'!$A:$A,$A213)</f>
        <v>0</v>
      </c>
      <c r="I213" s="120">
        <f>sumifs('jiliarena_代理数据_底稿'!$O:$O,'jiliarena_代理数据_底稿'!$B:$B,I$211,'jiliarena_代理数据_底稿'!$A:$A,$A213)</f>
        <v>0</v>
      </c>
      <c r="J213" s="120">
        <f>sumifs('jiliarena_代理数据_底稿'!$O:$O,'jiliarena_代理数据_底稿'!$B:$B,J$211,'jiliarena_代理数据_底稿'!$A:$A,$A213)</f>
        <v>0</v>
      </c>
      <c r="K213" s="120">
        <f>sumifs('jiliarena_代理数据_底稿'!$O:$O,'jiliarena_代理数据_底稿'!$B:$B,K$211,'jiliarena_代理数据_底稿'!$A:$A,$A213)</f>
        <v>0</v>
      </c>
      <c r="L213" s="120">
        <f>sumifs('jiliarena_代理数据_底稿'!$O:$O,'jiliarena_代理数据_底稿'!$B:$B,L$211,'jiliarena_代理数据_底稿'!$A:$A,$A213)</f>
        <v>0</v>
      </c>
      <c r="M213" s="120">
        <f>sumifs('jiliarena_代理数据_底稿'!$O:$O,'jiliarena_代理数据_底稿'!$B:$B,M$211,'jiliarena_代理数据_底稿'!$A:$A,$A213)</f>
        <v>0</v>
      </c>
      <c r="N213" s="120">
        <f>sumifs('jiliarena_代理数据_底稿'!$O:$O,'jiliarena_代理数据_底稿'!$B:$B,N$211,'jiliarena_代理数据_底稿'!$A:$A,$A213)</f>
        <v>0</v>
      </c>
      <c r="O213" s="120">
        <f>sumifs('jiliarena_代理数据_底稿'!$O:$O,'jiliarena_代理数据_底稿'!$B:$B,O$211,'jiliarena_代理数据_底稿'!$A:$A,$A213)</f>
        <v>0</v>
      </c>
      <c r="P213" s="120">
        <f>sumifs('jiliarena_代理数据_底稿'!$O:$O,'jiliarena_代理数据_底稿'!$B:$B,P$211,'jiliarena_代理数据_底稿'!$A:$A,$A213)</f>
        <v>0</v>
      </c>
      <c r="Q213" s="120">
        <f>sumifs('jiliarena_代理数据_底稿'!$O:$O,'jiliarena_代理数据_底稿'!$B:$B,Q$211,'jiliarena_代理数据_底稿'!$A:$A,$A213)</f>
        <v>0</v>
      </c>
      <c r="R213" s="120">
        <f>sumifs('jiliarena_代理数据_底稿'!$O:$O,'jiliarena_代理数据_底稿'!$B:$B,R$211,'jiliarena_代理数据_底稿'!$A:$A,$A213)</f>
        <v>0</v>
      </c>
      <c r="S213" s="120">
        <f>sumifs('jiliarena_代理数据_底稿'!$O:$O,'jiliarena_代理数据_底稿'!$B:$B,S$211,'jiliarena_代理数据_底稿'!$A:$A,$A213)</f>
        <v>0</v>
      </c>
      <c r="T213" s="120">
        <f>sumifs('jiliarena_代理数据_底稿'!$O:$O,'jiliarena_代理数据_底稿'!$B:$B,T$211,'jiliarena_代理数据_底稿'!$A:$A,$A213)</f>
        <v>0</v>
      </c>
      <c r="U213" s="120">
        <f>sumifs('jiliarena_代理数据_底稿'!$O:$O,'jiliarena_代理数据_底稿'!$B:$B,U$211,'jiliarena_代理数据_底稿'!$A:$A,$A213)</f>
        <v>0</v>
      </c>
      <c r="V213" s="120">
        <f>sumifs('jiliarena_代理数据_底稿'!$O:$O,'jiliarena_代理数据_底稿'!$B:$B,V$211,'jiliarena_代理数据_底稿'!$A:$A,$A213)</f>
        <v>0</v>
      </c>
      <c r="W213" s="120">
        <f>sumifs('jiliarena_代理数据_底稿'!$O:$O,'jiliarena_代理数据_底稿'!$B:$B,W$211,'jiliarena_代理数据_底稿'!$A:$A,$A213)</f>
        <v>0</v>
      </c>
      <c r="X213" s="120">
        <f>sumifs('jiliarena_代理数据_底稿'!$O:$O,'jiliarena_代理数据_底稿'!$B:$B,X$211,'jiliarena_代理数据_底稿'!$A:$A,$A213)</f>
        <v>0</v>
      </c>
      <c r="Y213" s="120">
        <f>sumifs('jiliarena_代理数据_底稿'!$O:$O,'jiliarena_代理数据_底稿'!$B:$B,Y$211,'jiliarena_代理数据_底稿'!$A:$A,$A213)</f>
        <v>0</v>
      </c>
      <c r="Z213" s="120">
        <f>sumifs('jiliarena_代理数据_底稿'!$O:$O,'jiliarena_代理数据_底稿'!$B:$B,Z$211,'jiliarena_代理数据_底稿'!$A:$A,$A213)</f>
        <v>0</v>
      </c>
      <c r="AA213" s="120">
        <f>sumifs('jiliarena_代理数据_底稿'!$O:$O,'jiliarena_代理数据_底稿'!$B:$B,AA$211,'jiliarena_代理数据_底稿'!$A:$A,$A213)</f>
        <v>0</v>
      </c>
      <c r="AB213" s="120">
        <f>sumifs('jiliarena_代理数据_底稿'!$O:$O,'jiliarena_代理数据_底稿'!$B:$B,AB$211,'jiliarena_代理数据_底稿'!$A:$A,$A213)</f>
        <v>0</v>
      </c>
      <c r="AC213" s="120">
        <f>sumifs('jiliarena_代理数据_底稿'!$O:$O,'jiliarena_代理数据_底稿'!$B:$B,AC$211,'jiliarena_代理数据_底稿'!$A:$A,$A213)</f>
        <v>0</v>
      </c>
      <c r="AD213" s="120">
        <f>sumifs('jiliarena_代理数据_底稿'!$O:$O,'jiliarena_代理数据_底稿'!$B:$B,AD$211,'jiliarena_代理数据_底稿'!$A:$A,$A213)</f>
        <v>0</v>
      </c>
      <c r="AE213" s="120">
        <f>sumifs('jiliarena_代理数据_底稿'!$O:$O,'jiliarena_代理数据_底稿'!$B:$B,AE$211,'jiliarena_代理数据_底稿'!$A:$A,$A213)</f>
        <v>0</v>
      </c>
      <c r="AF213" s="120">
        <f>sumifs('jiliarena_代理数据_底稿'!$O:$O,'jiliarena_代理数据_底稿'!$B:$B,AF$211,'jiliarena_代理数据_底稿'!$A:$A,$A213)</f>
        <v>0</v>
      </c>
      <c r="AG213" s="120">
        <f>sumifs('jiliarena_代理数据_底稿'!$O:$O,'jiliarena_代理数据_底稿'!$B:$B,AG$211,'jiliarena_代理数据_底稿'!$A:$A,$A213)</f>
        <v>0</v>
      </c>
      <c r="AH213" s="120">
        <f>sumifs('jiliarena_代理数据_底稿'!$O:$O,'jiliarena_代理数据_底稿'!$B:$B,AH$211,'jiliarena_代理数据_底稿'!$A:$A,$A213)</f>
        <v>0</v>
      </c>
      <c r="AI213" s="120">
        <f>sumifs('jiliarena_代理数据_底稿'!$O:$O,'jiliarena_代理数据_底稿'!$B:$B,AI$211,'jiliarena_代理数据_底稿'!$A:$A,$A213)</f>
        <v>0</v>
      </c>
      <c r="AJ213" s="120">
        <f>sumifs('jiliarena_代理数据_底稿'!$O:$O,'jiliarena_代理数据_底稿'!$B:$B,AJ$211,'jiliarena_代理数据_底稿'!$A:$A,$A213)</f>
        <v>0</v>
      </c>
      <c r="AK213" s="63">
        <f t="shared" si="34"/>
        <v>0</v>
      </c>
    </row>
    <row r="214">
      <c r="A214" s="122">
        <f t="shared" si="35"/>
        <v>46055</v>
      </c>
      <c r="B214" s="120">
        <f>sumifs('jiliarena_代理数据_底稿'!$O:$O,'jiliarena_代理数据_底稿'!$B:$B,B$211,'jiliarena_代理数据_底稿'!$A:$A,$A214)</f>
        <v>0</v>
      </c>
      <c r="C214" s="120">
        <f>sumifs('jiliarena_代理数据_底稿'!$O:$O,'jiliarena_代理数据_底稿'!$B:$B,C$211,'jiliarena_代理数据_底稿'!$A:$A,$A214)</f>
        <v>0</v>
      </c>
      <c r="D214" s="120">
        <f>sumifs('jiliarena_代理数据_底稿'!$O:$O,'jiliarena_代理数据_底稿'!$B:$B,D$211,'jiliarena_代理数据_底稿'!$A:$A,$A214)</f>
        <v>0</v>
      </c>
      <c r="E214" s="120">
        <f>sumifs('jiliarena_代理数据_底稿'!$O:$O,'jiliarena_代理数据_底稿'!$B:$B,E$211,'jiliarena_代理数据_底稿'!$A:$A,$A214)</f>
        <v>0</v>
      </c>
      <c r="F214" s="120">
        <f>sumifs('jiliarena_代理数据_底稿'!$O:$O,'jiliarena_代理数据_底稿'!$B:$B,F$211,'jiliarena_代理数据_底稿'!$A:$A,$A214)</f>
        <v>0</v>
      </c>
      <c r="G214" s="120">
        <f>sumifs('jiliarena_代理数据_底稿'!$O:$O,'jiliarena_代理数据_底稿'!$B:$B,G$211,'jiliarena_代理数据_底稿'!$A:$A,$A214)</f>
        <v>0</v>
      </c>
      <c r="H214" s="120">
        <f>sumifs('jiliarena_代理数据_底稿'!$O:$O,'jiliarena_代理数据_底稿'!$B:$B,H$211,'jiliarena_代理数据_底稿'!$A:$A,$A214)</f>
        <v>0</v>
      </c>
      <c r="I214" s="120">
        <f>sumifs('jiliarena_代理数据_底稿'!$O:$O,'jiliarena_代理数据_底稿'!$B:$B,I$211,'jiliarena_代理数据_底稿'!$A:$A,$A214)</f>
        <v>0</v>
      </c>
      <c r="J214" s="120">
        <f>sumifs('jiliarena_代理数据_底稿'!$O:$O,'jiliarena_代理数据_底稿'!$B:$B,J$211,'jiliarena_代理数据_底稿'!$A:$A,$A214)</f>
        <v>0</v>
      </c>
      <c r="K214" s="120">
        <f>sumifs('jiliarena_代理数据_底稿'!$O:$O,'jiliarena_代理数据_底稿'!$B:$B,K$211,'jiliarena_代理数据_底稿'!$A:$A,$A214)</f>
        <v>0</v>
      </c>
      <c r="L214" s="120">
        <f>sumifs('jiliarena_代理数据_底稿'!$O:$O,'jiliarena_代理数据_底稿'!$B:$B,L$211,'jiliarena_代理数据_底稿'!$A:$A,$A214)</f>
        <v>0</v>
      </c>
      <c r="M214" s="120">
        <f>sumifs('jiliarena_代理数据_底稿'!$O:$O,'jiliarena_代理数据_底稿'!$B:$B,M$211,'jiliarena_代理数据_底稿'!$A:$A,$A214)</f>
        <v>0</v>
      </c>
      <c r="N214" s="120">
        <f>sumifs('jiliarena_代理数据_底稿'!$O:$O,'jiliarena_代理数据_底稿'!$B:$B,N$211,'jiliarena_代理数据_底稿'!$A:$A,$A214)</f>
        <v>0</v>
      </c>
      <c r="O214" s="120">
        <f>sumifs('jiliarena_代理数据_底稿'!$O:$O,'jiliarena_代理数据_底稿'!$B:$B,O$211,'jiliarena_代理数据_底稿'!$A:$A,$A214)</f>
        <v>0</v>
      </c>
      <c r="P214" s="120">
        <f>sumifs('jiliarena_代理数据_底稿'!$O:$O,'jiliarena_代理数据_底稿'!$B:$B,P$211,'jiliarena_代理数据_底稿'!$A:$A,$A214)</f>
        <v>0</v>
      </c>
      <c r="Q214" s="120">
        <f>sumifs('jiliarena_代理数据_底稿'!$O:$O,'jiliarena_代理数据_底稿'!$B:$B,Q$211,'jiliarena_代理数据_底稿'!$A:$A,$A214)</f>
        <v>0</v>
      </c>
      <c r="R214" s="120">
        <f>sumifs('jiliarena_代理数据_底稿'!$O:$O,'jiliarena_代理数据_底稿'!$B:$B,R$211,'jiliarena_代理数据_底稿'!$A:$A,$A214)</f>
        <v>0</v>
      </c>
      <c r="S214" s="120">
        <f>sumifs('jiliarena_代理数据_底稿'!$O:$O,'jiliarena_代理数据_底稿'!$B:$B,S$211,'jiliarena_代理数据_底稿'!$A:$A,$A214)</f>
        <v>0</v>
      </c>
      <c r="T214" s="120">
        <f>sumifs('jiliarena_代理数据_底稿'!$O:$O,'jiliarena_代理数据_底稿'!$B:$B,T$211,'jiliarena_代理数据_底稿'!$A:$A,$A214)</f>
        <v>0</v>
      </c>
      <c r="U214" s="120">
        <f>sumifs('jiliarena_代理数据_底稿'!$O:$O,'jiliarena_代理数据_底稿'!$B:$B,U$211,'jiliarena_代理数据_底稿'!$A:$A,$A214)</f>
        <v>0</v>
      </c>
      <c r="V214" s="120">
        <f>sumifs('jiliarena_代理数据_底稿'!$O:$O,'jiliarena_代理数据_底稿'!$B:$B,V$211,'jiliarena_代理数据_底稿'!$A:$A,$A214)</f>
        <v>0</v>
      </c>
      <c r="W214" s="120">
        <f>sumifs('jiliarena_代理数据_底稿'!$O:$O,'jiliarena_代理数据_底稿'!$B:$B,W$211,'jiliarena_代理数据_底稿'!$A:$A,$A214)</f>
        <v>0</v>
      </c>
      <c r="X214" s="120">
        <f>sumifs('jiliarena_代理数据_底稿'!$O:$O,'jiliarena_代理数据_底稿'!$B:$B,X$211,'jiliarena_代理数据_底稿'!$A:$A,$A214)</f>
        <v>0</v>
      </c>
      <c r="Y214" s="120">
        <f>sumifs('jiliarena_代理数据_底稿'!$O:$O,'jiliarena_代理数据_底稿'!$B:$B,Y$211,'jiliarena_代理数据_底稿'!$A:$A,$A214)</f>
        <v>0</v>
      </c>
      <c r="Z214" s="120">
        <f>sumifs('jiliarena_代理数据_底稿'!$O:$O,'jiliarena_代理数据_底稿'!$B:$B,Z$211,'jiliarena_代理数据_底稿'!$A:$A,$A214)</f>
        <v>0</v>
      </c>
      <c r="AA214" s="120">
        <f>sumifs('jiliarena_代理数据_底稿'!$O:$O,'jiliarena_代理数据_底稿'!$B:$B,AA$211,'jiliarena_代理数据_底稿'!$A:$A,$A214)</f>
        <v>0</v>
      </c>
      <c r="AB214" s="120">
        <f>sumifs('jiliarena_代理数据_底稿'!$O:$O,'jiliarena_代理数据_底稿'!$B:$B,AB$211,'jiliarena_代理数据_底稿'!$A:$A,$A214)</f>
        <v>0</v>
      </c>
      <c r="AC214" s="120">
        <f>sumifs('jiliarena_代理数据_底稿'!$O:$O,'jiliarena_代理数据_底稿'!$B:$B,AC$211,'jiliarena_代理数据_底稿'!$A:$A,$A214)</f>
        <v>0</v>
      </c>
      <c r="AD214" s="120">
        <f>sumifs('jiliarena_代理数据_底稿'!$O:$O,'jiliarena_代理数据_底稿'!$B:$B,AD$211,'jiliarena_代理数据_底稿'!$A:$A,$A214)</f>
        <v>0</v>
      </c>
      <c r="AE214" s="120">
        <f>sumifs('jiliarena_代理数据_底稿'!$O:$O,'jiliarena_代理数据_底稿'!$B:$B,AE$211,'jiliarena_代理数据_底稿'!$A:$A,$A214)</f>
        <v>0</v>
      </c>
      <c r="AF214" s="120">
        <f>sumifs('jiliarena_代理数据_底稿'!$O:$O,'jiliarena_代理数据_底稿'!$B:$B,AF$211,'jiliarena_代理数据_底稿'!$A:$A,$A214)</f>
        <v>0</v>
      </c>
      <c r="AG214" s="120">
        <f>sumifs('jiliarena_代理数据_底稿'!$O:$O,'jiliarena_代理数据_底稿'!$B:$B,AG$211,'jiliarena_代理数据_底稿'!$A:$A,$A214)</f>
        <v>0</v>
      </c>
      <c r="AH214" s="120">
        <f>sumifs('jiliarena_代理数据_底稿'!$O:$O,'jiliarena_代理数据_底稿'!$B:$B,AH$211,'jiliarena_代理数据_底稿'!$A:$A,$A214)</f>
        <v>0</v>
      </c>
      <c r="AI214" s="120">
        <f>sumifs('jiliarena_代理数据_底稿'!$O:$O,'jiliarena_代理数据_底稿'!$B:$B,AI$211,'jiliarena_代理数据_底稿'!$A:$A,$A214)</f>
        <v>0</v>
      </c>
      <c r="AJ214" s="120">
        <f>sumifs('jiliarena_代理数据_底稿'!$O:$O,'jiliarena_代理数据_底稿'!$B:$B,AJ$211,'jiliarena_代理数据_底稿'!$A:$A,$A214)</f>
        <v>0</v>
      </c>
      <c r="AK214" s="63">
        <f t="shared" si="34"/>
        <v>0</v>
      </c>
    </row>
    <row r="215">
      <c r="A215" s="122">
        <f t="shared" si="35"/>
        <v>46056</v>
      </c>
      <c r="B215" s="120">
        <f>sumifs('jiliarena_代理数据_底稿'!$O:$O,'jiliarena_代理数据_底稿'!$B:$B,B$211,'jiliarena_代理数据_底稿'!$A:$A,$A215)</f>
        <v>0</v>
      </c>
      <c r="C215" s="120">
        <f>sumifs('jiliarena_代理数据_底稿'!$O:$O,'jiliarena_代理数据_底稿'!$B:$B,C$211,'jiliarena_代理数据_底稿'!$A:$A,$A215)</f>
        <v>0</v>
      </c>
      <c r="D215" s="120">
        <f>sumifs('jiliarena_代理数据_底稿'!$O:$O,'jiliarena_代理数据_底稿'!$B:$B,D$211,'jiliarena_代理数据_底稿'!$A:$A,$A215)</f>
        <v>0</v>
      </c>
      <c r="E215" s="120">
        <f>sumifs('jiliarena_代理数据_底稿'!$O:$O,'jiliarena_代理数据_底稿'!$B:$B,E$211,'jiliarena_代理数据_底稿'!$A:$A,$A215)</f>
        <v>0</v>
      </c>
      <c r="F215" s="120">
        <f>sumifs('jiliarena_代理数据_底稿'!$O:$O,'jiliarena_代理数据_底稿'!$B:$B,F$211,'jiliarena_代理数据_底稿'!$A:$A,$A215)</f>
        <v>0</v>
      </c>
      <c r="G215" s="120">
        <f>sumifs('jiliarena_代理数据_底稿'!$O:$O,'jiliarena_代理数据_底稿'!$B:$B,G$211,'jiliarena_代理数据_底稿'!$A:$A,$A215)</f>
        <v>0</v>
      </c>
      <c r="H215" s="120">
        <f>sumifs('jiliarena_代理数据_底稿'!$O:$O,'jiliarena_代理数据_底稿'!$B:$B,H$211,'jiliarena_代理数据_底稿'!$A:$A,$A215)</f>
        <v>0</v>
      </c>
      <c r="I215" s="120">
        <f>sumifs('jiliarena_代理数据_底稿'!$O:$O,'jiliarena_代理数据_底稿'!$B:$B,I$211,'jiliarena_代理数据_底稿'!$A:$A,$A215)</f>
        <v>0</v>
      </c>
      <c r="J215" s="120">
        <f>sumifs('jiliarena_代理数据_底稿'!$O:$O,'jiliarena_代理数据_底稿'!$B:$B,J$211,'jiliarena_代理数据_底稿'!$A:$A,$A215)</f>
        <v>0</v>
      </c>
      <c r="K215" s="120">
        <f>sumifs('jiliarena_代理数据_底稿'!$O:$O,'jiliarena_代理数据_底稿'!$B:$B,K$211,'jiliarena_代理数据_底稿'!$A:$A,$A215)</f>
        <v>0</v>
      </c>
      <c r="L215" s="120">
        <f>sumifs('jiliarena_代理数据_底稿'!$O:$O,'jiliarena_代理数据_底稿'!$B:$B,L$211,'jiliarena_代理数据_底稿'!$A:$A,$A215)</f>
        <v>0</v>
      </c>
      <c r="M215" s="120">
        <f>sumifs('jiliarena_代理数据_底稿'!$O:$O,'jiliarena_代理数据_底稿'!$B:$B,M$211,'jiliarena_代理数据_底稿'!$A:$A,$A215)</f>
        <v>0</v>
      </c>
      <c r="N215" s="120">
        <f>sumifs('jiliarena_代理数据_底稿'!$O:$O,'jiliarena_代理数据_底稿'!$B:$B,N$211,'jiliarena_代理数据_底稿'!$A:$A,$A215)</f>
        <v>0</v>
      </c>
      <c r="O215" s="120">
        <f>sumifs('jiliarena_代理数据_底稿'!$O:$O,'jiliarena_代理数据_底稿'!$B:$B,O$211,'jiliarena_代理数据_底稿'!$A:$A,$A215)</f>
        <v>0</v>
      </c>
      <c r="P215" s="120">
        <f>sumifs('jiliarena_代理数据_底稿'!$O:$O,'jiliarena_代理数据_底稿'!$B:$B,P$211,'jiliarena_代理数据_底稿'!$A:$A,$A215)</f>
        <v>0</v>
      </c>
      <c r="Q215" s="120">
        <f>sumifs('jiliarena_代理数据_底稿'!$O:$O,'jiliarena_代理数据_底稿'!$B:$B,Q$211,'jiliarena_代理数据_底稿'!$A:$A,$A215)</f>
        <v>0</v>
      </c>
      <c r="R215" s="120">
        <f>sumifs('jiliarena_代理数据_底稿'!$O:$O,'jiliarena_代理数据_底稿'!$B:$B,R$211,'jiliarena_代理数据_底稿'!$A:$A,$A215)</f>
        <v>0</v>
      </c>
      <c r="S215" s="120">
        <f>sumifs('jiliarena_代理数据_底稿'!$O:$O,'jiliarena_代理数据_底稿'!$B:$B,S$211,'jiliarena_代理数据_底稿'!$A:$A,$A215)</f>
        <v>0</v>
      </c>
      <c r="T215" s="120">
        <f>sumifs('jiliarena_代理数据_底稿'!$O:$O,'jiliarena_代理数据_底稿'!$B:$B,T$211,'jiliarena_代理数据_底稿'!$A:$A,$A215)</f>
        <v>0</v>
      </c>
      <c r="U215" s="120">
        <f>sumifs('jiliarena_代理数据_底稿'!$O:$O,'jiliarena_代理数据_底稿'!$B:$B,U$211,'jiliarena_代理数据_底稿'!$A:$A,$A215)</f>
        <v>0</v>
      </c>
      <c r="V215" s="120">
        <f>sumifs('jiliarena_代理数据_底稿'!$O:$O,'jiliarena_代理数据_底稿'!$B:$B,V$211,'jiliarena_代理数据_底稿'!$A:$A,$A215)</f>
        <v>0</v>
      </c>
      <c r="W215" s="120">
        <f>sumifs('jiliarena_代理数据_底稿'!$O:$O,'jiliarena_代理数据_底稿'!$B:$B,W$211,'jiliarena_代理数据_底稿'!$A:$A,$A215)</f>
        <v>0</v>
      </c>
      <c r="X215" s="120">
        <f>sumifs('jiliarena_代理数据_底稿'!$O:$O,'jiliarena_代理数据_底稿'!$B:$B,X$211,'jiliarena_代理数据_底稿'!$A:$A,$A215)</f>
        <v>0</v>
      </c>
      <c r="Y215" s="120">
        <f>sumifs('jiliarena_代理数据_底稿'!$O:$O,'jiliarena_代理数据_底稿'!$B:$B,Y$211,'jiliarena_代理数据_底稿'!$A:$A,$A215)</f>
        <v>0</v>
      </c>
      <c r="Z215" s="120">
        <f>sumifs('jiliarena_代理数据_底稿'!$O:$O,'jiliarena_代理数据_底稿'!$B:$B,Z$211,'jiliarena_代理数据_底稿'!$A:$A,$A215)</f>
        <v>0</v>
      </c>
      <c r="AA215" s="120">
        <f>sumifs('jiliarena_代理数据_底稿'!$O:$O,'jiliarena_代理数据_底稿'!$B:$B,AA$211,'jiliarena_代理数据_底稿'!$A:$A,$A215)</f>
        <v>0</v>
      </c>
      <c r="AB215" s="120">
        <f>sumifs('jiliarena_代理数据_底稿'!$O:$O,'jiliarena_代理数据_底稿'!$B:$B,AB$211,'jiliarena_代理数据_底稿'!$A:$A,$A215)</f>
        <v>0</v>
      </c>
      <c r="AC215" s="120">
        <f>sumifs('jiliarena_代理数据_底稿'!$O:$O,'jiliarena_代理数据_底稿'!$B:$B,AC$211,'jiliarena_代理数据_底稿'!$A:$A,$A215)</f>
        <v>0</v>
      </c>
      <c r="AD215" s="120">
        <f>sumifs('jiliarena_代理数据_底稿'!$O:$O,'jiliarena_代理数据_底稿'!$B:$B,AD$211,'jiliarena_代理数据_底稿'!$A:$A,$A215)</f>
        <v>0</v>
      </c>
      <c r="AE215" s="120">
        <f>sumifs('jiliarena_代理数据_底稿'!$O:$O,'jiliarena_代理数据_底稿'!$B:$B,AE$211,'jiliarena_代理数据_底稿'!$A:$A,$A215)</f>
        <v>0</v>
      </c>
      <c r="AF215" s="120">
        <f>sumifs('jiliarena_代理数据_底稿'!$O:$O,'jiliarena_代理数据_底稿'!$B:$B,AF$211,'jiliarena_代理数据_底稿'!$A:$A,$A215)</f>
        <v>0</v>
      </c>
      <c r="AG215" s="120">
        <f>sumifs('jiliarena_代理数据_底稿'!$O:$O,'jiliarena_代理数据_底稿'!$B:$B,AG$211,'jiliarena_代理数据_底稿'!$A:$A,$A215)</f>
        <v>0</v>
      </c>
      <c r="AH215" s="120">
        <f>sumifs('jiliarena_代理数据_底稿'!$O:$O,'jiliarena_代理数据_底稿'!$B:$B,AH$211,'jiliarena_代理数据_底稿'!$A:$A,$A215)</f>
        <v>0</v>
      </c>
      <c r="AI215" s="120">
        <f>sumifs('jiliarena_代理数据_底稿'!$O:$O,'jiliarena_代理数据_底稿'!$B:$B,AI$211,'jiliarena_代理数据_底稿'!$A:$A,$A215)</f>
        <v>0</v>
      </c>
      <c r="AJ215" s="120">
        <f>sumifs('jiliarena_代理数据_底稿'!$O:$O,'jiliarena_代理数据_底稿'!$B:$B,AJ$211,'jiliarena_代理数据_底稿'!$A:$A,$A215)</f>
        <v>0</v>
      </c>
      <c r="AK215" s="63">
        <f t="shared" si="34"/>
        <v>0</v>
      </c>
    </row>
    <row r="216">
      <c r="A216" s="122">
        <f t="shared" si="35"/>
        <v>46057</v>
      </c>
      <c r="B216" s="120">
        <f>sumifs('jiliarena_代理数据_底稿'!$O:$O,'jiliarena_代理数据_底稿'!$B:$B,B$211,'jiliarena_代理数据_底稿'!$A:$A,$A216)</f>
        <v>0</v>
      </c>
      <c r="C216" s="120">
        <f>sumifs('jiliarena_代理数据_底稿'!$O:$O,'jiliarena_代理数据_底稿'!$B:$B,C$211,'jiliarena_代理数据_底稿'!$A:$A,$A216)</f>
        <v>0</v>
      </c>
      <c r="D216" s="120">
        <f>sumifs('jiliarena_代理数据_底稿'!$O:$O,'jiliarena_代理数据_底稿'!$B:$B,D$211,'jiliarena_代理数据_底稿'!$A:$A,$A216)</f>
        <v>0</v>
      </c>
      <c r="E216" s="120">
        <f>sumifs('jiliarena_代理数据_底稿'!$O:$O,'jiliarena_代理数据_底稿'!$B:$B,E$211,'jiliarena_代理数据_底稿'!$A:$A,$A216)</f>
        <v>0</v>
      </c>
      <c r="F216" s="120">
        <f>sumifs('jiliarena_代理数据_底稿'!$O:$O,'jiliarena_代理数据_底稿'!$B:$B,F$211,'jiliarena_代理数据_底稿'!$A:$A,$A216)</f>
        <v>0</v>
      </c>
      <c r="G216" s="120">
        <f>sumifs('jiliarena_代理数据_底稿'!$O:$O,'jiliarena_代理数据_底稿'!$B:$B,G$211,'jiliarena_代理数据_底稿'!$A:$A,$A216)</f>
        <v>0</v>
      </c>
      <c r="H216" s="120">
        <f>sumifs('jiliarena_代理数据_底稿'!$O:$O,'jiliarena_代理数据_底稿'!$B:$B,H$211,'jiliarena_代理数据_底稿'!$A:$A,$A216)</f>
        <v>0</v>
      </c>
      <c r="I216" s="120">
        <f>sumifs('jiliarena_代理数据_底稿'!$O:$O,'jiliarena_代理数据_底稿'!$B:$B,I$211,'jiliarena_代理数据_底稿'!$A:$A,$A216)</f>
        <v>0</v>
      </c>
      <c r="J216" s="120">
        <f>sumifs('jiliarena_代理数据_底稿'!$O:$O,'jiliarena_代理数据_底稿'!$B:$B,J$211,'jiliarena_代理数据_底稿'!$A:$A,$A216)</f>
        <v>0</v>
      </c>
      <c r="K216" s="120">
        <f>sumifs('jiliarena_代理数据_底稿'!$O:$O,'jiliarena_代理数据_底稿'!$B:$B,K$211,'jiliarena_代理数据_底稿'!$A:$A,$A216)</f>
        <v>0</v>
      </c>
      <c r="L216" s="120">
        <f>sumifs('jiliarena_代理数据_底稿'!$O:$O,'jiliarena_代理数据_底稿'!$B:$B,L$211,'jiliarena_代理数据_底稿'!$A:$A,$A216)</f>
        <v>0</v>
      </c>
      <c r="M216" s="120">
        <f>sumifs('jiliarena_代理数据_底稿'!$O:$O,'jiliarena_代理数据_底稿'!$B:$B,M$211,'jiliarena_代理数据_底稿'!$A:$A,$A216)</f>
        <v>0</v>
      </c>
      <c r="N216" s="120">
        <f>sumifs('jiliarena_代理数据_底稿'!$O:$O,'jiliarena_代理数据_底稿'!$B:$B,N$211,'jiliarena_代理数据_底稿'!$A:$A,$A216)</f>
        <v>0</v>
      </c>
      <c r="O216" s="120">
        <f>sumifs('jiliarena_代理数据_底稿'!$O:$O,'jiliarena_代理数据_底稿'!$B:$B,O$211,'jiliarena_代理数据_底稿'!$A:$A,$A216)</f>
        <v>0</v>
      </c>
      <c r="P216" s="120">
        <f>sumifs('jiliarena_代理数据_底稿'!$O:$O,'jiliarena_代理数据_底稿'!$B:$B,P$211,'jiliarena_代理数据_底稿'!$A:$A,$A216)</f>
        <v>0</v>
      </c>
      <c r="Q216" s="120">
        <f>sumifs('jiliarena_代理数据_底稿'!$O:$O,'jiliarena_代理数据_底稿'!$B:$B,Q$211,'jiliarena_代理数据_底稿'!$A:$A,$A216)</f>
        <v>0</v>
      </c>
      <c r="R216" s="120">
        <f>sumifs('jiliarena_代理数据_底稿'!$O:$O,'jiliarena_代理数据_底稿'!$B:$B,R$211,'jiliarena_代理数据_底稿'!$A:$A,$A216)</f>
        <v>0</v>
      </c>
      <c r="S216" s="120">
        <f>sumifs('jiliarena_代理数据_底稿'!$O:$O,'jiliarena_代理数据_底稿'!$B:$B,S$211,'jiliarena_代理数据_底稿'!$A:$A,$A216)</f>
        <v>0</v>
      </c>
      <c r="T216" s="120">
        <f>sumifs('jiliarena_代理数据_底稿'!$O:$O,'jiliarena_代理数据_底稿'!$B:$B,T$211,'jiliarena_代理数据_底稿'!$A:$A,$A216)</f>
        <v>0</v>
      </c>
      <c r="U216" s="120">
        <f>sumifs('jiliarena_代理数据_底稿'!$O:$O,'jiliarena_代理数据_底稿'!$B:$B,U$211,'jiliarena_代理数据_底稿'!$A:$A,$A216)</f>
        <v>0</v>
      </c>
      <c r="V216" s="120">
        <f>sumifs('jiliarena_代理数据_底稿'!$O:$O,'jiliarena_代理数据_底稿'!$B:$B,V$211,'jiliarena_代理数据_底稿'!$A:$A,$A216)</f>
        <v>0</v>
      </c>
      <c r="W216" s="120">
        <f>sumifs('jiliarena_代理数据_底稿'!$O:$O,'jiliarena_代理数据_底稿'!$B:$B,W$211,'jiliarena_代理数据_底稿'!$A:$A,$A216)</f>
        <v>0</v>
      </c>
      <c r="X216" s="120">
        <f>sumifs('jiliarena_代理数据_底稿'!$O:$O,'jiliarena_代理数据_底稿'!$B:$B,X$211,'jiliarena_代理数据_底稿'!$A:$A,$A216)</f>
        <v>0</v>
      </c>
      <c r="Y216" s="120">
        <f>sumifs('jiliarena_代理数据_底稿'!$O:$O,'jiliarena_代理数据_底稿'!$B:$B,Y$211,'jiliarena_代理数据_底稿'!$A:$A,$A216)</f>
        <v>0</v>
      </c>
      <c r="Z216" s="120">
        <f>sumifs('jiliarena_代理数据_底稿'!$O:$O,'jiliarena_代理数据_底稿'!$B:$B,Z$211,'jiliarena_代理数据_底稿'!$A:$A,$A216)</f>
        <v>0</v>
      </c>
      <c r="AA216" s="120">
        <f>sumifs('jiliarena_代理数据_底稿'!$O:$O,'jiliarena_代理数据_底稿'!$B:$B,AA$211,'jiliarena_代理数据_底稿'!$A:$A,$A216)</f>
        <v>0</v>
      </c>
      <c r="AB216" s="120">
        <f>sumifs('jiliarena_代理数据_底稿'!$O:$O,'jiliarena_代理数据_底稿'!$B:$B,AB$211,'jiliarena_代理数据_底稿'!$A:$A,$A216)</f>
        <v>0</v>
      </c>
      <c r="AC216" s="120">
        <f>sumifs('jiliarena_代理数据_底稿'!$O:$O,'jiliarena_代理数据_底稿'!$B:$B,AC$211,'jiliarena_代理数据_底稿'!$A:$A,$A216)</f>
        <v>0</v>
      </c>
      <c r="AD216" s="120">
        <f>sumifs('jiliarena_代理数据_底稿'!$O:$O,'jiliarena_代理数据_底稿'!$B:$B,AD$211,'jiliarena_代理数据_底稿'!$A:$A,$A216)</f>
        <v>0</v>
      </c>
      <c r="AE216" s="120">
        <f>sumifs('jiliarena_代理数据_底稿'!$O:$O,'jiliarena_代理数据_底稿'!$B:$B,AE$211,'jiliarena_代理数据_底稿'!$A:$A,$A216)</f>
        <v>0</v>
      </c>
      <c r="AF216" s="120">
        <f>sumifs('jiliarena_代理数据_底稿'!$O:$O,'jiliarena_代理数据_底稿'!$B:$B,AF$211,'jiliarena_代理数据_底稿'!$A:$A,$A216)</f>
        <v>0</v>
      </c>
      <c r="AG216" s="120">
        <f>sumifs('jiliarena_代理数据_底稿'!$O:$O,'jiliarena_代理数据_底稿'!$B:$B,AG$211,'jiliarena_代理数据_底稿'!$A:$A,$A216)</f>
        <v>0</v>
      </c>
      <c r="AH216" s="120">
        <f>sumifs('jiliarena_代理数据_底稿'!$O:$O,'jiliarena_代理数据_底稿'!$B:$B,AH$211,'jiliarena_代理数据_底稿'!$A:$A,$A216)</f>
        <v>0</v>
      </c>
      <c r="AI216" s="120">
        <f>sumifs('jiliarena_代理数据_底稿'!$O:$O,'jiliarena_代理数据_底稿'!$B:$B,AI$211,'jiliarena_代理数据_底稿'!$A:$A,$A216)</f>
        <v>0</v>
      </c>
      <c r="AJ216" s="120">
        <f>sumifs('jiliarena_代理数据_底稿'!$O:$O,'jiliarena_代理数据_底稿'!$B:$B,AJ$211,'jiliarena_代理数据_底稿'!$A:$A,$A216)</f>
        <v>0</v>
      </c>
      <c r="AK216" s="63">
        <f t="shared" si="34"/>
        <v>0</v>
      </c>
    </row>
    <row r="217">
      <c r="A217" s="122">
        <f t="shared" si="35"/>
        <v>46058</v>
      </c>
      <c r="B217" s="120">
        <f>sumifs('jiliarena_代理数据_底稿'!$O:$O,'jiliarena_代理数据_底稿'!$B:$B,B$211,'jiliarena_代理数据_底稿'!$A:$A,$A217)</f>
        <v>0</v>
      </c>
      <c r="C217" s="120">
        <f>sumifs('jiliarena_代理数据_底稿'!$O:$O,'jiliarena_代理数据_底稿'!$B:$B,C$211,'jiliarena_代理数据_底稿'!$A:$A,$A217)</f>
        <v>0</v>
      </c>
      <c r="D217" s="120">
        <f>sumifs('jiliarena_代理数据_底稿'!$O:$O,'jiliarena_代理数据_底稿'!$B:$B,D$211,'jiliarena_代理数据_底稿'!$A:$A,$A217)</f>
        <v>0</v>
      </c>
      <c r="E217" s="120">
        <f>sumifs('jiliarena_代理数据_底稿'!$O:$O,'jiliarena_代理数据_底稿'!$B:$B,E$211,'jiliarena_代理数据_底稿'!$A:$A,$A217)</f>
        <v>0</v>
      </c>
      <c r="F217" s="120">
        <f>sumifs('jiliarena_代理数据_底稿'!$O:$O,'jiliarena_代理数据_底稿'!$B:$B,F$211,'jiliarena_代理数据_底稿'!$A:$A,$A217)</f>
        <v>0</v>
      </c>
      <c r="G217" s="120">
        <f>sumifs('jiliarena_代理数据_底稿'!$O:$O,'jiliarena_代理数据_底稿'!$B:$B,G$211,'jiliarena_代理数据_底稿'!$A:$A,$A217)</f>
        <v>0</v>
      </c>
      <c r="H217" s="120">
        <f>sumifs('jiliarena_代理数据_底稿'!$O:$O,'jiliarena_代理数据_底稿'!$B:$B,H$211,'jiliarena_代理数据_底稿'!$A:$A,$A217)</f>
        <v>0</v>
      </c>
      <c r="I217" s="120">
        <f>sumifs('jiliarena_代理数据_底稿'!$O:$O,'jiliarena_代理数据_底稿'!$B:$B,I$211,'jiliarena_代理数据_底稿'!$A:$A,$A217)</f>
        <v>0</v>
      </c>
      <c r="J217" s="120">
        <f>sumifs('jiliarena_代理数据_底稿'!$O:$O,'jiliarena_代理数据_底稿'!$B:$B,J$211,'jiliarena_代理数据_底稿'!$A:$A,$A217)</f>
        <v>0</v>
      </c>
      <c r="K217" s="120">
        <f>sumifs('jiliarena_代理数据_底稿'!$O:$O,'jiliarena_代理数据_底稿'!$B:$B,K$211,'jiliarena_代理数据_底稿'!$A:$A,$A217)</f>
        <v>0</v>
      </c>
      <c r="L217" s="120">
        <f>sumifs('jiliarena_代理数据_底稿'!$O:$O,'jiliarena_代理数据_底稿'!$B:$B,L$211,'jiliarena_代理数据_底稿'!$A:$A,$A217)</f>
        <v>0</v>
      </c>
      <c r="M217" s="120">
        <f>sumifs('jiliarena_代理数据_底稿'!$O:$O,'jiliarena_代理数据_底稿'!$B:$B,M$211,'jiliarena_代理数据_底稿'!$A:$A,$A217)</f>
        <v>0</v>
      </c>
      <c r="N217" s="120">
        <f>sumifs('jiliarena_代理数据_底稿'!$O:$O,'jiliarena_代理数据_底稿'!$B:$B,N$211,'jiliarena_代理数据_底稿'!$A:$A,$A217)</f>
        <v>0</v>
      </c>
      <c r="O217" s="120">
        <f>sumifs('jiliarena_代理数据_底稿'!$O:$O,'jiliarena_代理数据_底稿'!$B:$B,O$211,'jiliarena_代理数据_底稿'!$A:$A,$A217)</f>
        <v>0</v>
      </c>
      <c r="P217" s="120">
        <f>sumifs('jiliarena_代理数据_底稿'!$O:$O,'jiliarena_代理数据_底稿'!$B:$B,P$211,'jiliarena_代理数据_底稿'!$A:$A,$A217)</f>
        <v>0</v>
      </c>
      <c r="Q217" s="120">
        <f>sumifs('jiliarena_代理数据_底稿'!$O:$O,'jiliarena_代理数据_底稿'!$B:$B,Q$211,'jiliarena_代理数据_底稿'!$A:$A,$A217)</f>
        <v>0</v>
      </c>
      <c r="R217" s="120">
        <f>sumifs('jiliarena_代理数据_底稿'!$O:$O,'jiliarena_代理数据_底稿'!$B:$B,R$211,'jiliarena_代理数据_底稿'!$A:$A,$A217)</f>
        <v>0</v>
      </c>
      <c r="S217" s="120">
        <f>sumifs('jiliarena_代理数据_底稿'!$O:$O,'jiliarena_代理数据_底稿'!$B:$B,S$211,'jiliarena_代理数据_底稿'!$A:$A,$A217)</f>
        <v>0</v>
      </c>
      <c r="T217" s="120">
        <f>sumifs('jiliarena_代理数据_底稿'!$O:$O,'jiliarena_代理数据_底稿'!$B:$B,T$211,'jiliarena_代理数据_底稿'!$A:$A,$A217)</f>
        <v>0</v>
      </c>
      <c r="U217" s="120">
        <f>sumifs('jiliarena_代理数据_底稿'!$O:$O,'jiliarena_代理数据_底稿'!$B:$B,U$211,'jiliarena_代理数据_底稿'!$A:$A,$A217)</f>
        <v>0</v>
      </c>
      <c r="V217" s="120">
        <f>sumifs('jiliarena_代理数据_底稿'!$O:$O,'jiliarena_代理数据_底稿'!$B:$B,V$211,'jiliarena_代理数据_底稿'!$A:$A,$A217)</f>
        <v>0</v>
      </c>
      <c r="W217" s="120">
        <f>sumifs('jiliarena_代理数据_底稿'!$O:$O,'jiliarena_代理数据_底稿'!$B:$B,W$211,'jiliarena_代理数据_底稿'!$A:$A,$A217)</f>
        <v>0</v>
      </c>
      <c r="X217" s="120">
        <f>sumifs('jiliarena_代理数据_底稿'!$O:$O,'jiliarena_代理数据_底稿'!$B:$B,X$211,'jiliarena_代理数据_底稿'!$A:$A,$A217)</f>
        <v>0</v>
      </c>
      <c r="Y217" s="120">
        <f>sumifs('jiliarena_代理数据_底稿'!$O:$O,'jiliarena_代理数据_底稿'!$B:$B,Y$211,'jiliarena_代理数据_底稿'!$A:$A,$A217)</f>
        <v>0</v>
      </c>
      <c r="Z217" s="120">
        <f>sumifs('jiliarena_代理数据_底稿'!$O:$O,'jiliarena_代理数据_底稿'!$B:$B,Z$211,'jiliarena_代理数据_底稿'!$A:$A,$A217)</f>
        <v>0</v>
      </c>
      <c r="AA217" s="120">
        <f>sumifs('jiliarena_代理数据_底稿'!$O:$O,'jiliarena_代理数据_底稿'!$B:$B,AA$211,'jiliarena_代理数据_底稿'!$A:$A,$A217)</f>
        <v>0</v>
      </c>
      <c r="AB217" s="120">
        <f>sumifs('jiliarena_代理数据_底稿'!$O:$O,'jiliarena_代理数据_底稿'!$B:$B,AB$211,'jiliarena_代理数据_底稿'!$A:$A,$A217)</f>
        <v>0</v>
      </c>
      <c r="AC217" s="120">
        <f>sumifs('jiliarena_代理数据_底稿'!$O:$O,'jiliarena_代理数据_底稿'!$B:$B,AC$211,'jiliarena_代理数据_底稿'!$A:$A,$A217)</f>
        <v>0</v>
      </c>
      <c r="AD217" s="120">
        <f>sumifs('jiliarena_代理数据_底稿'!$O:$O,'jiliarena_代理数据_底稿'!$B:$B,AD$211,'jiliarena_代理数据_底稿'!$A:$A,$A217)</f>
        <v>0</v>
      </c>
      <c r="AE217" s="120">
        <f>sumifs('jiliarena_代理数据_底稿'!$O:$O,'jiliarena_代理数据_底稿'!$B:$B,AE$211,'jiliarena_代理数据_底稿'!$A:$A,$A217)</f>
        <v>0</v>
      </c>
      <c r="AF217" s="120">
        <f>sumifs('jiliarena_代理数据_底稿'!$O:$O,'jiliarena_代理数据_底稿'!$B:$B,AF$211,'jiliarena_代理数据_底稿'!$A:$A,$A217)</f>
        <v>0</v>
      </c>
      <c r="AG217" s="120">
        <f>sumifs('jiliarena_代理数据_底稿'!$O:$O,'jiliarena_代理数据_底稿'!$B:$B,AG$211,'jiliarena_代理数据_底稿'!$A:$A,$A217)</f>
        <v>0</v>
      </c>
      <c r="AH217" s="120">
        <f>sumifs('jiliarena_代理数据_底稿'!$O:$O,'jiliarena_代理数据_底稿'!$B:$B,AH$211,'jiliarena_代理数据_底稿'!$A:$A,$A217)</f>
        <v>0</v>
      </c>
      <c r="AI217" s="120">
        <f>sumifs('jiliarena_代理数据_底稿'!$O:$O,'jiliarena_代理数据_底稿'!$B:$B,AI$211,'jiliarena_代理数据_底稿'!$A:$A,$A217)</f>
        <v>0</v>
      </c>
      <c r="AJ217" s="120">
        <f>sumifs('jiliarena_代理数据_底稿'!$O:$O,'jiliarena_代理数据_底稿'!$B:$B,AJ$211,'jiliarena_代理数据_底稿'!$A:$A,$A217)</f>
        <v>0</v>
      </c>
      <c r="AK217" s="63">
        <f t="shared" si="34"/>
        <v>0</v>
      </c>
    </row>
    <row r="218">
      <c r="A218" s="122">
        <f t="shared" si="35"/>
        <v>46059</v>
      </c>
      <c r="B218" s="120">
        <f>sumifs('jiliarena_代理数据_底稿'!$O:$O,'jiliarena_代理数据_底稿'!$B:$B,B$211,'jiliarena_代理数据_底稿'!$A:$A,$A218)</f>
        <v>0</v>
      </c>
      <c r="C218" s="120">
        <f>sumifs('jiliarena_代理数据_底稿'!$O:$O,'jiliarena_代理数据_底稿'!$B:$B,C$211,'jiliarena_代理数据_底稿'!$A:$A,$A218)</f>
        <v>0</v>
      </c>
      <c r="D218" s="120">
        <f>sumifs('jiliarena_代理数据_底稿'!$O:$O,'jiliarena_代理数据_底稿'!$B:$B,D$211,'jiliarena_代理数据_底稿'!$A:$A,$A218)</f>
        <v>0</v>
      </c>
      <c r="E218" s="120">
        <f>sumifs('jiliarena_代理数据_底稿'!$O:$O,'jiliarena_代理数据_底稿'!$B:$B,E$211,'jiliarena_代理数据_底稿'!$A:$A,$A218)</f>
        <v>0</v>
      </c>
      <c r="F218" s="120">
        <f>sumifs('jiliarena_代理数据_底稿'!$O:$O,'jiliarena_代理数据_底稿'!$B:$B,F$211,'jiliarena_代理数据_底稿'!$A:$A,$A218)</f>
        <v>0</v>
      </c>
      <c r="G218" s="120">
        <f>sumifs('jiliarena_代理数据_底稿'!$O:$O,'jiliarena_代理数据_底稿'!$B:$B,G$211,'jiliarena_代理数据_底稿'!$A:$A,$A218)</f>
        <v>0</v>
      </c>
      <c r="H218" s="120">
        <f>sumifs('jiliarena_代理数据_底稿'!$O:$O,'jiliarena_代理数据_底稿'!$B:$B,H$211,'jiliarena_代理数据_底稿'!$A:$A,$A218)</f>
        <v>0</v>
      </c>
      <c r="I218" s="120">
        <f>sumifs('jiliarena_代理数据_底稿'!$O:$O,'jiliarena_代理数据_底稿'!$B:$B,I$211,'jiliarena_代理数据_底稿'!$A:$A,$A218)</f>
        <v>0</v>
      </c>
      <c r="J218" s="120">
        <f>sumifs('jiliarena_代理数据_底稿'!$O:$O,'jiliarena_代理数据_底稿'!$B:$B,J$211,'jiliarena_代理数据_底稿'!$A:$A,$A218)</f>
        <v>0</v>
      </c>
      <c r="K218" s="120">
        <f>sumifs('jiliarena_代理数据_底稿'!$O:$O,'jiliarena_代理数据_底稿'!$B:$B,K$211,'jiliarena_代理数据_底稿'!$A:$A,$A218)</f>
        <v>0</v>
      </c>
      <c r="L218" s="120">
        <f>sumifs('jiliarena_代理数据_底稿'!$O:$O,'jiliarena_代理数据_底稿'!$B:$B,L$211,'jiliarena_代理数据_底稿'!$A:$A,$A218)</f>
        <v>0</v>
      </c>
      <c r="M218" s="120">
        <f>sumifs('jiliarena_代理数据_底稿'!$O:$O,'jiliarena_代理数据_底稿'!$B:$B,M$211,'jiliarena_代理数据_底稿'!$A:$A,$A218)</f>
        <v>0</v>
      </c>
      <c r="N218" s="120">
        <f>sumifs('jiliarena_代理数据_底稿'!$O:$O,'jiliarena_代理数据_底稿'!$B:$B,N$211,'jiliarena_代理数据_底稿'!$A:$A,$A218)</f>
        <v>0</v>
      </c>
      <c r="O218" s="120">
        <f>sumifs('jiliarena_代理数据_底稿'!$O:$O,'jiliarena_代理数据_底稿'!$B:$B,O$211,'jiliarena_代理数据_底稿'!$A:$A,$A218)</f>
        <v>0</v>
      </c>
      <c r="P218" s="120">
        <f>sumifs('jiliarena_代理数据_底稿'!$O:$O,'jiliarena_代理数据_底稿'!$B:$B,P$211,'jiliarena_代理数据_底稿'!$A:$A,$A218)</f>
        <v>0</v>
      </c>
      <c r="Q218" s="120">
        <f>sumifs('jiliarena_代理数据_底稿'!$O:$O,'jiliarena_代理数据_底稿'!$B:$B,Q$211,'jiliarena_代理数据_底稿'!$A:$A,$A218)</f>
        <v>0</v>
      </c>
      <c r="R218" s="120">
        <f>sumifs('jiliarena_代理数据_底稿'!$O:$O,'jiliarena_代理数据_底稿'!$B:$B,R$211,'jiliarena_代理数据_底稿'!$A:$A,$A218)</f>
        <v>0</v>
      </c>
      <c r="S218" s="120">
        <f>sumifs('jiliarena_代理数据_底稿'!$O:$O,'jiliarena_代理数据_底稿'!$B:$B,S$211,'jiliarena_代理数据_底稿'!$A:$A,$A218)</f>
        <v>0</v>
      </c>
      <c r="T218" s="120">
        <f>sumifs('jiliarena_代理数据_底稿'!$O:$O,'jiliarena_代理数据_底稿'!$B:$B,T$211,'jiliarena_代理数据_底稿'!$A:$A,$A218)</f>
        <v>0</v>
      </c>
      <c r="U218" s="120">
        <f>sumifs('jiliarena_代理数据_底稿'!$O:$O,'jiliarena_代理数据_底稿'!$B:$B,U$211,'jiliarena_代理数据_底稿'!$A:$A,$A218)</f>
        <v>0</v>
      </c>
      <c r="V218" s="120">
        <f>sumifs('jiliarena_代理数据_底稿'!$O:$O,'jiliarena_代理数据_底稿'!$B:$B,V$211,'jiliarena_代理数据_底稿'!$A:$A,$A218)</f>
        <v>0</v>
      </c>
      <c r="W218" s="120">
        <f>sumifs('jiliarena_代理数据_底稿'!$O:$O,'jiliarena_代理数据_底稿'!$B:$B,W$211,'jiliarena_代理数据_底稿'!$A:$A,$A218)</f>
        <v>0</v>
      </c>
      <c r="X218" s="120">
        <f>sumifs('jiliarena_代理数据_底稿'!$O:$O,'jiliarena_代理数据_底稿'!$B:$B,X$211,'jiliarena_代理数据_底稿'!$A:$A,$A218)</f>
        <v>0</v>
      </c>
      <c r="Y218" s="120">
        <f>sumifs('jiliarena_代理数据_底稿'!$O:$O,'jiliarena_代理数据_底稿'!$B:$B,Y$211,'jiliarena_代理数据_底稿'!$A:$A,$A218)</f>
        <v>0</v>
      </c>
      <c r="Z218" s="120">
        <f>sumifs('jiliarena_代理数据_底稿'!$O:$O,'jiliarena_代理数据_底稿'!$B:$B,Z$211,'jiliarena_代理数据_底稿'!$A:$A,$A218)</f>
        <v>0</v>
      </c>
      <c r="AA218" s="120">
        <f>sumifs('jiliarena_代理数据_底稿'!$O:$O,'jiliarena_代理数据_底稿'!$B:$B,AA$211,'jiliarena_代理数据_底稿'!$A:$A,$A218)</f>
        <v>0</v>
      </c>
      <c r="AB218" s="120">
        <f>sumifs('jiliarena_代理数据_底稿'!$O:$O,'jiliarena_代理数据_底稿'!$B:$B,AB$211,'jiliarena_代理数据_底稿'!$A:$A,$A218)</f>
        <v>0</v>
      </c>
      <c r="AC218" s="120">
        <f>sumifs('jiliarena_代理数据_底稿'!$O:$O,'jiliarena_代理数据_底稿'!$B:$B,AC$211,'jiliarena_代理数据_底稿'!$A:$A,$A218)</f>
        <v>0</v>
      </c>
      <c r="AD218" s="120">
        <f>sumifs('jiliarena_代理数据_底稿'!$O:$O,'jiliarena_代理数据_底稿'!$B:$B,AD$211,'jiliarena_代理数据_底稿'!$A:$A,$A218)</f>
        <v>0</v>
      </c>
      <c r="AE218" s="120">
        <f>sumifs('jiliarena_代理数据_底稿'!$O:$O,'jiliarena_代理数据_底稿'!$B:$B,AE$211,'jiliarena_代理数据_底稿'!$A:$A,$A218)</f>
        <v>0</v>
      </c>
      <c r="AF218" s="120">
        <f>sumifs('jiliarena_代理数据_底稿'!$O:$O,'jiliarena_代理数据_底稿'!$B:$B,AF$211,'jiliarena_代理数据_底稿'!$A:$A,$A218)</f>
        <v>0</v>
      </c>
      <c r="AG218" s="120">
        <f>sumifs('jiliarena_代理数据_底稿'!$O:$O,'jiliarena_代理数据_底稿'!$B:$B,AG$211,'jiliarena_代理数据_底稿'!$A:$A,$A218)</f>
        <v>0</v>
      </c>
      <c r="AH218" s="120">
        <f>sumifs('jiliarena_代理数据_底稿'!$O:$O,'jiliarena_代理数据_底稿'!$B:$B,AH$211,'jiliarena_代理数据_底稿'!$A:$A,$A218)</f>
        <v>0</v>
      </c>
      <c r="AI218" s="120">
        <f>sumifs('jiliarena_代理数据_底稿'!$O:$O,'jiliarena_代理数据_底稿'!$B:$B,AI$211,'jiliarena_代理数据_底稿'!$A:$A,$A218)</f>
        <v>0</v>
      </c>
      <c r="AJ218" s="120">
        <f>sumifs('jiliarena_代理数据_底稿'!$O:$O,'jiliarena_代理数据_底稿'!$B:$B,AJ$211,'jiliarena_代理数据_底稿'!$A:$A,$A218)</f>
        <v>0</v>
      </c>
      <c r="AK218" s="63">
        <f t="shared" si="34"/>
        <v>0</v>
      </c>
    </row>
    <row r="219">
      <c r="A219" s="122">
        <f t="shared" si="35"/>
        <v>46060</v>
      </c>
      <c r="B219" s="120">
        <f>sumifs('jiliarena_代理数据_底稿'!$O:$O,'jiliarena_代理数据_底稿'!$B:$B,B$211,'jiliarena_代理数据_底稿'!$A:$A,$A219)</f>
        <v>0</v>
      </c>
      <c r="C219" s="120">
        <f>sumifs('jiliarena_代理数据_底稿'!$O:$O,'jiliarena_代理数据_底稿'!$B:$B,C$211,'jiliarena_代理数据_底稿'!$A:$A,$A219)</f>
        <v>0</v>
      </c>
      <c r="D219" s="120">
        <f>sumifs('jiliarena_代理数据_底稿'!$O:$O,'jiliarena_代理数据_底稿'!$B:$B,D$211,'jiliarena_代理数据_底稿'!$A:$A,$A219)</f>
        <v>0</v>
      </c>
      <c r="E219" s="120">
        <f>sumifs('jiliarena_代理数据_底稿'!$O:$O,'jiliarena_代理数据_底稿'!$B:$B,E$211,'jiliarena_代理数据_底稿'!$A:$A,$A219)</f>
        <v>0</v>
      </c>
      <c r="F219" s="120">
        <f>sumifs('jiliarena_代理数据_底稿'!$O:$O,'jiliarena_代理数据_底稿'!$B:$B,F$211,'jiliarena_代理数据_底稿'!$A:$A,$A219)</f>
        <v>0</v>
      </c>
      <c r="G219" s="120">
        <f>sumifs('jiliarena_代理数据_底稿'!$O:$O,'jiliarena_代理数据_底稿'!$B:$B,G$211,'jiliarena_代理数据_底稿'!$A:$A,$A219)</f>
        <v>0</v>
      </c>
      <c r="H219" s="120">
        <f>sumifs('jiliarena_代理数据_底稿'!$O:$O,'jiliarena_代理数据_底稿'!$B:$B,H$211,'jiliarena_代理数据_底稿'!$A:$A,$A219)</f>
        <v>0</v>
      </c>
      <c r="I219" s="120">
        <f>sumifs('jiliarena_代理数据_底稿'!$O:$O,'jiliarena_代理数据_底稿'!$B:$B,I$211,'jiliarena_代理数据_底稿'!$A:$A,$A219)</f>
        <v>0</v>
      </c>
      <c r="J219" s="120">
        <f>sumifs('jiliarena_代理数据_底稿'!$O:$O,'jiliarena_代理数据_底稿'!$B:$B,J$211,'jiliarena_代理数据_底稿'!$A:$A,$A219)</f>
        <v>0</v>
      </c>
      <c r="K219" s="120">
        <f>sumifs('jiliarena_代理数据_底稿'!$O:$O,'jiliarena_代理数据_底稿'!$B:$B,K$211,'jiliarena_代理数据_底稿'!$A:$A,$A219)</f>
        <v>0</v>
      </c>
      <c r="L219" s="120">
        <f>sumifs('jiliarena_代理数据_底稿'!$O:$O,'jiliarena_代理数据_底稿'!$B:$B,L$211,'jiliarena_代理数据_底稿'!$A:$A,$A219)</f>
        <v>0</v>
      </c>
      <c r="M219" s="120">
        <f>sumifs('jiliarena_代理数据_底稿'!$O:$O,'jiliarena_代理数据_底稿'!$B:$B,M$211,'jiliarena_代理数据_底稿'!$A:$A,$A219)</f>
        <v>0</v>
      </c>
      <c r="N219" s="120">
        <f>sumifs('jiliarena_代理数据_底稿'!$O:$O,'jiliarena_代理数据_底稿'!$B:$B,N$211,'jiliarena_代理数据_底稿'!$A:$A,$A219)</f>
        <v>0</v>
      </c>
      <c r="O219" s="120">
        <f>sumifs('jiliarena_代理数据_底稿'!$O:$O,'jiliarena_代理数据_底稿'!$B:$B,O$211,'jiliarena_代理数据_底稿'!$A:$A,$A219)</f>
        <v>0</v>
      </c>
      <c r="P219" s="120">
        <f>sumifs('jiliarena_代理数据_底稿'!$O:$O,'jiliarena_代理数据_底稿'!$B:$B,P$211,'jiliarena_代理数据_底稿'!$A:$A,$A219)</f>
        <v>0</v>
      </c>
      <c r="Q219" s="120">
        <f>sumifs('jiliarena_代理数据_底稿'!$O:$O,'jiliarena_代理数据_底稿'!$B:$B,Q$211,'jiliarena_代理数据_底稿'!$A:$A,$A219)</f>
        <v>0</v>
      </c>
      <c r="R219" s="120">
        <f>sumifs('jiliarena_代理数据_底稿'!$O:$O,'jiliarena_代理数据_底稿'!$B:$B,R$211,'jiliarena_代理数据_底稿'!$A:$A,$A219)</f>
        <v>0</v>
      </c>
      <c r="S219" s="120">
        <f>sumifs('jiliarena_代理数据_底稿'!$O:$O,'jiliarena_代理数据_底稿'!$B:$B,S$211,'jiliarena_代理数据_底稿'!$A:$A,$A219)</f>
        <v>0</v>
      </c>
      <c r="T219" s="120">
        <f>sumifs('jiliarena_代理数据_底稿'!$O:$O,'jiliarena_代理数据_底稿'!$B:$B,T$211,'jiliarena_代理数据_底稿'!$A:$A,$A219)</f>
        <v>0</v>
      </c>
      <c r="U219" s="120">
        <f>sumifs('jiliarena_代理数据_底稿'!$O:$O,'jiliarena_代理数据_底稿'!$B:$B,U$211,'jiliarena_代理数据_底稿'!$A:$A,$A219)</f>
        <v>0</v>
      </c>
      <c r="V219" s="120">
        <f>sumifs('jiliarena_代理数据_底稿'!$O:$O,'jiliarena_代理数据_底稿'!$B:$B,V$211,'jiliarena_代理数据_底稿'!$A:$A,$A219)</f>
        <v>0</v>
      </c>
      <c r="W219" s="120">
        <f>sumifs('jiliarena_代理数据_底稿'!$O:$O,'jiliarena_代理数据_底稿'!$B:$B,W$211,'jiliarena_代理数据_底稿'!$A:$A,$A219)</f>
        <v>0</v>
      </c>
      <c r="X219" s="120">
        <f>sumifs('jiliarena_代理数据_底稿'!$O:$O,'jiliarena_代理数据_底稿'!$B:$B,X$211,'jiliarena_代理数据_底稿'!$A:$A,$A219)</f>
        <v>0</v>
      </c>
      <c r="Y219" s="120">
        <f>sumifs('jiliarena_代理数据_底稿'!$O:$O,'jiliarena_代理数据_底稿'!$B:$B,Y$211,'jiliarena_代理数据_底稿'!$A:$A,$A219)</f>
        <v>0</v>
      </c>
      <c r="Z219" s="120">
        <f>sumifs('jiliarena_代理数据_底稿'!$O:$O,'jiliarena_代理数据_底稿'!$B:$B,Z$211,'jiliarena_代理数据_底稿'!$A:$A,$A219)</f>
        <v>0</v>
      </c>
      <c r="AA219" s="120">
        <f>sumifs('jiliarena_代理数据_底稿'!$O:$O,'jiliarena_代理数据_底稿'!$B:$B,AA$211,'jiliarena_代理数据_底稿'!$A:$A,$A219)</f>
        <v>0</v>
      </c>
      <c r="AB219" s="120">
        <f>sumifs('jiliarena_代理数据_底稿'!$O:$O,'jiliarena_代理数据_底稿'!$B:$B,AB$211,'jiliarena_代理数据_底稿'!$A:$A,$A219)</f>
        <v>0</v>
      </c>
      <c r="AC219" s="120">
        <f>sumifs('jiliarena_代理数据_底稿'!$O:$O,'jiliarena_代理数据_底稿'!$B:$B,AC$211,'jiliarena_代理数据_底稿'!$A:$A,$A219)</f>
        <v>0</v>
      </c>
      <c r="AD219" s="120">
        <f>sumifs('jiliarena_代理数据_底稿'!$O:$O,'jiliarena_代理数据_底稿'!$B:$B,AD$211,'jiliarena_代理数据_底稿'!$A:$A,$A219)</f>
        <v>0</v>
      </c>
      <c r="AE219" s="120">
        <f>sumifs('jiliarena_代理数据_底稿'!$O:$O,'jiliarena_代理数据_底稿'!$B:$B,AE$211,'jiliarena_代理数据_底稿'!$A:$A,$A219)</f>
        <v>0</v>
      </c>
      <c r="AF219" s="120">
        <f>sumifs('jiliarena_代理数据_底稿'!$O:$O,'jiliarena_代理数据_底稿'!$B:$B,AF$211,'jiliarena_代理数据_底稿'!$A:$A,$A219)</f>
        <v>0</v>
      </c>
      <c r="AG219" s="120">
        <f>sumifs('jiliarena_代理数据_底稿'!$O:$O,'jiliarena_代理数据_底稿'!$B:$B,AG$211,'jiliarena_代理数据_底稿'!$A:$A,$A219)</f>
        <v>0</v>
      </c>
      <c r="AH219" s="120">
        <f>sumifs('jiliarena_代理数据_底稿'!$O:$O,'jiliarena_代理数据_底稿'!$B:$B,AH$211,'jiliarena_代理数据_底稿'!$A:$A,$A219)</f>
        <v>0</v>
      </c>
      <c r="AI219" s="120">
        <f>sumifs('jiliarena_代理数据_底稿'!$O:$O,'jiliarena_代理数据_底稿'!$B:$B,AI$211,'jiliarena_代理数据_底稿'!$A:$A,$A219)</f>
        <v>0</v>
      </c>
      <c r="AJ219" s="120">
        <f>sumifs('jiliarena_代理数据_底稿'!$O:$O,'jiliarena_代理数据_底稿'!$B:$B,AJ$211,'jiliarena_代理数据_底稿'!$A:$A,$A219)</f>
        <v>0</v>
      </c>
      <c r="AK219" s="63">
        <f t="shared" si="34"/>
        <v>0</v>
      </c>
    </row>
    <row r="220">
      <c r="A220" s="122">
        <f t="shared" si="35"/>
        <v>46061</v>
      </c>
      <c r="B220" s="120">
        <f>sumifs('jiliarena_代理数据_底稿'!$O:$O,'jiliarena_代理数据_底稿'!$B:$B,B$211,'jiliarena_代理数据_底稿'!$A:$A,$A220)</f>
        <v>0</v>
      </c>
      <c r="C220" s="120">
        <f>sumifs('jiliarena_代理数据_底稿'!$O:$O,'jiliarena_代理数据_底稿'!$B:$B,C$211,'jiliarena_代理数据_底稿'!$A:$A,$A220)</f>
        <v>0</v>
      </c>
      <c r="D220" s="120">
        <f>sumifs('jiliarena_代理数据_底稿'!$O:$O,'jiliarena_代理数据_底稿'!$B:$B,D$211,'jiliarena_代理数据_底稿'!$A:$A,$A220)</f>
        <v>0</v>
      </c>
      <c r="E220" s="120">
        <f>sumifs('jiliarena_代理数据_底稿'!$O:$O,'jiliarena_代理数据_底稿'!$B:$B,E$211,'jiliarena_代理数据_底稿'!$A:$A,$A220)</f>
        <v>0</v>
      </c>
      <c r="F220" s="120">
        <f>sumifs('jiliarena_代理数据_底稿'!$O:$O,'jiliarena_代理数据_底稿'!$B:$B,F$211,'jiliarena_代理数据_底稿'!$A:$A,$A220)</f>
        <v>0</v>
      </c>
      <c r="G220" s="120">
        <f>sumifs('jiliarena_代理数据_底稿'!$O:$O,'jiliarena_代理数据_底稿'!$B:$B,G$211,'jiliarena_代理数据_底稿'!$A:$A,$A220)</f>
        <v>0</v>
      </c>
      <c r="H220" s="120">
        <f>sumifs('jiliarena_代理数据_底稿'!$O:$O,'jiliarena_代理数据_底稿'!$B:$B,H$211,'jiliarena_代理数据_底稿'!$A:$A,$A220)</f>
        <v>0</v>
      </c>
      <c r="I220" s="120">
        <f>sumifs('jiliarena_代理数据_底稿'!$O:$O,'jiliarena_代理数据_底稿'!$B:$B,I$211,'jiliarena_代理数据_底稿'!$A:$A,$A220)</f>
        <v>0</v>
      </c>
      <c r="J220" s="120">
        <f>sumifs('jiliarena_代理数据_底稿'!$O:$O,'jiliarena_代理数据_底稿'!$B:$B,J$211,'jiliarena_代理数据_底稿'!$A:$A,$A220)</f>
        <v>0</v>
      </c>
      <c r="K220" s="120">
        <f>sumifs('jiliarena_代理数据_底稿'!$O:$O,'jiliarena_代理数据_底稿'!$B:$B,K$211,'jiliarena_代理数据_底稿'!$A:$A,$A220)</f>
        <v>0</v>
      </c>
      <c r="L220" s="120">
        <f>sumifs('jiliarena_代理数据_底稿'!$O:$O,'jiliarena_代理数据_底稿'!$B:$B,L$211,'jiliarena_代理数据_底稿'!$A:$A,$A220)</f>
        <v>0</v>
      </c>
      <c r="M220" s="120">
        <f>sumifs('jiliarena_代理数据_底稿'!$O:$O,'jiliarena_代理数据_底稿'!$B:$B,M$211,'jiliarena_代理数据_底稿'!$A:$A,$A220)</f>
        <v>0</v>
      </c>
      <c r="N220" s="120">
        <f>sumifs('jiliarena_代理数据_底稿'!$O:$O,'jiliarena_代理数据_底稿'!$B:$B,N$211,'jiliarena_代理数据_底稿'!$A:$A,$A220)</f>
        <v>0</v>
      </c>
      <c r="O220" s="120">
        <f>sumifs('jiliarena_代理数据_底稿'!$O:$O,'jiliarena_代理数据_底稿'!$B:$B,O$211,'jiliarena_代理数据_底稿'!$A:$A,$A220)</f>
        <v>0</v>
      </c>
      <c r="P220" s="120">
        <f>sumifs('jiliarena_代理数据_底稿'!$O:$O,'jiliarena_代理数据_底稿'!$B:$B,P$211,'jiliarena_代理数据_底稿'!$A:$A,$A220)</f>
        <v>0</v>
      </c>
      <c r="Q220" s="120">
        <f>sumifs('jiliarena_代理数据_底稿'!$O:$O,'jiliarena_代理数据_底稿'!$B:$B,Q$211,'jiliarena_代理数据_底稿'!$A:$A,$A220)</f>
        <v>0</v>
      </c>
      <c r="R220" s="120">
        <f>sumifs('jiliarena_代理数据_底稿'!$O:$O,'jiliarena_代理数据_底稿'!$B:$B,R$211,'jiliarena_代理数据_底稿'!$A:$A,$A220)</f>
        <v>0</v>
      </c>
      <c r="S220" s="120">
        <f>sumifs('jiliarena_代理数据_底稿'!$O:$O,'jiliarena_代理数据_底稿'!$B:$B,S$211,'jiliarena_代理数据_底稿'!$A:$A,$A220)</f>
        <v>0</v>
      </c>
      <c r="T220" s="120">
        <f>sumifs('jiliarena_代理数据_底稿'!$O:$O,'jiliarena_代理数据_底稿'!$B:$B,T$211,'jiliarena_代理数据_底稿'!$A:$A,$A220)</f>
        <v>0</v>
      </c>
      <c r="U220" s="120">
        <f>sumifs('jiliarena_代理数据_底稿'!$O:$O,'jiliarena_代理数据_底稿'!$B:$B,U$211,'jiliarena_代理数据_底稿'!$A:$A,$A220)</f>
        <v>0</v>
      </c>
      <c r="V220" s="120">
        <f>sumifs('jiliarena_代理数据_底稿'!$O:$O,'jiliarena_代理数据_底稿'!$B:$B,V$211,'jiliarena_代理数据_底稿'!$A:$A,$A220)</f>
        <v>0</v>
      </c>
      <c r="W220" s="120">
        <f>sumifs('jiliarena_代理数据_底稿'!$O:$O,'jiliarena_代理数据_底稿'!$B:$B,W$211,'jiliarena_代理数据_底稿'!$A:$A,$A220)</f>
        <v>0</v>
      </c>
      <c r="X220" s="120">
        <f>sumifs('jiliarena_代理数据_底稿'!$O:$O,'jiliarena_代理数据_底稿'!$B:$B,X$211,'jiliarena_代理数据_底稿'!$A:$A,$A220)</f>
        <v>0</v>
      </c>
      <c r="Y220" s="120">
        <f>sumifs('jiliarena_代理数据_底稿'!$O:$O,'jiliarena_代理数据_底稿'!$B:$B,Y$211,'jiliarena_代理数据_底稿'!$A:$A,$A220)</f>
        <v>0</v>
      </c>
      <c r="Z220" s="120">
        <f>sumifs('jiliarena_代理数据_底稿'!$O:$O,'jiliarena_代理数据_底稿'!$B:$B,Z$211,'jiliarena_代理数据_底稿'!$A:$A,$A220)</f>
        <v>0</v>
      </c>
      <c r="AA220" s="120">
        <f>sumifs('jiliarena_代理数据_底稿'!$O:$O,'jiliarena_代理数据_底稿'!$B:$B,AA$211,'jiliarena_代理数据_底稿'!$A:$A,$A220)</f>
        <v>0</v>
      </c>
      <c r="AB220" s="120">
        <f>sumifs('jiliarena_代理数据_底稿'!$O:$O,'jiliarena_代理数据_底稿'!$B:$B,AB$211,'jiliarena_代理数据_底稿'!$A:$A,$A220)</f>
        <v>0</v>
      </c>
      <c r="AC220" s="120">
        <f>sumifs('jiliarena_代理数据_底稿'!$O:$O,'jiliarena_代理数据_底稿'!$B:$B,AC$211,'jiliarena_代理数据_底稿'!$A:$A,$A220)</f>
        <v>0</v>
      </c>
      <c r="AD220" s="120">
        <f>sumifs('jiliarena_代理数据_底稿'!$O:$O,'jiliarena_代理数据_底稿'!$B:$B,AD$211,'jiliarena_代理数据_底稿'!$A:$A,$A220)</f>
        <v>0</v>
      </c>
      <c r="AE220" s="120">
        <f>sumifs('jiliarena_代理数据_底稿'!$O:$O,'jiliarena_代理数据_底稿'!$B:$B,AE$211,'jiliarena_代理数据_底稿'!$A:$A,$A220)</f>
        <v>0</v>
      </c>
      <c r="AF220" s="120">
        <f>sumifs('jiliarena_代理数据_底稿'!$O:$O,'jiliarena_代理数据_底稿'!$B:$B,AF$211,'jiliarena_代理数据_底稿'!$A:$A,$A220)</f>
        <v>0</v>
      </c>
      <c r="AG220" s="120">
        <f>sumifs('jiliarena_代理数据_底稿'!$O:$O,'jiliarena_代理数据_底稿'!$B:$B,AG$211,'jiliarena_代理数据_底稿'!$A:$A,$A220)</f>
        <v>0</v>
      </c>
      <c r="AH220" s="120">
        <f>sumifs('jiliarena_代理数据_底稿'!$O:$O,'jiliarena_代理数据_底稿'!$B:$B,AH$211,'jiliarena_代理数据_底稿'!$A:$A,$A220)</f>
        <v>0</v>
      </c>
      <c r="AI220" s="120">
        <f>sumifs('jiliarena_代理数据_底稿'!$O:$O,'jiliarena_代理数据_底稿'!$B:$B,AI$211,'jiliarena_代理数据_底稿'!$A:$A,$A220)</f>
        <v>0</v>
      </c>
      <c r="AJ220" s="120">
        <f>sumifs('jiliarena_代理数据_底稿'!$O:$O,'jiliarena_代理数据_底稿'!$B:$B,AJ$211,'jiliarena_代理数据_底稿'!$A:$A,$A220)</f>
        <v>0</v>
      </c>
      <c r="AK220" s="63">
        <f t="shared" si="34"/>
        <v>0</v>
      </c>
    </row>
    <row r="221">
      <c r="A221" s="122">
        <f t="shared" si="35"/>
        <v>46062</v>
      </c>
      <c r="B221" s="120">
        <f>sumifs('jiliarena_代理数据_底稿'!$O:$O,'jiliarena_代理数据_底稿'!$B:$B,B$211,'jiliarena_代理数据_底稿'!$A:$A,$A221)</f>
        <v>0</v>
      </c>
      <c r="C221" s="120">
        <f>sumifs('jiliarena_代理数据_底稿'!$O:$O,'jiliarena_代理数据_底稿'!$B:$B,C$211,'jiliarena_代理数据_底稿'!$A:$A,$A221)</f>
        <v>0</v>
      </c>
      <c r="D221" s="120">
        <f>sumifs('jiliarena_代理数据_底稿'!$O:$O,'jiliarena_代理数据_底稿'!$B:$B,D$211,'jiliarena_代理数据_底稿'!$A:$A,$A221)</f>
        <v>0</v>
      </c>
      <c r="E221" s="120">
        <f>sumifs('jiliarena_代理数据_底稿'!$O:$O,'jiliarena_代理数据_底稿'!$B:$B,E$211,'jiliarena_代理数据_底稿'!$A:$A,$A221)</f>
        <v>0</v>
      </c>
      <c r="F221" s="120">
        <f>sumifs('jiliarena_代理数据_底稿'!$O:$O,'jiliarena_代理数据_底稿'!$B:$B,F$211,'jiliarena_代理数据_底稿'!$A:$A,$A221)</f>
        <v>0</v>
      </c>
      <c r="G221" s="120">
        <f>sumifs('jiliarena_代理数据_底稿'!$O:$O,'jiliarena_代理数据_底稿'!$B:$B,G$211,'jiliarena_代理数据_底稿'!$A:$A,$A221)</f>
        <v>0</v>
      </c>
      <c r="H221" s="120">
        <f>sumifs('jiliarena_代理数据_底稿'!$O:$O,'jiliarena_代理数据_底稿'!$B:$B,H$211,'jiliarena_代理数据_底稿'!$A:$A,$A221)</f>
        <v>0</v>
      </c>
      <c r="I221" s="120">
        <f>sumifs('jiliarena_代理数据_底稿'!$O:$O,'jiliarena_代理数据_底稿'!$B:$B,I$211,'jiliarena_代理数据_底稿'!$A:$A,$A221)</f>
        <v>0</v>
      </c>
      <c r="J221" s="120">
        <f>sumifs('jiliarena_代理数据_底稿'!$O:$O,'jiliarena_代理数据_底稿'!$B:$B,J$211,'jiliarena_代理数据_底稿'!$A:$A,$A221)</f>
        <v>0</v>
      </c>
      <c r="K221" s="120">
        <f>sumifs('jiliarena_代理数据_底稿'!$O:$O,'jiliarena_代理数据_底稿'!$B:$B,K$211,'jiliarena_代理数据_底稿'!$A:$A,$A221)</f>
        <v>0</v>
      </c>
      <c r="L221" s="120">
        <f>sumifs('jiliarena_代理数据_底稿'!$O:$O,'jiliarena_代理数据_底稿'!$B:$B,L$211,'jiliarena_代理数据_底稿'!$A:$A,$A221)</f>
        <v>0</v>
      </c>
      <c r="M221" s="120">
        <f>sumifs('jiliarena_代理数据_底稿'!$O:$O,'jiliarena_代理数据_底稿'!$B:$B,M$211,'jiliarena_代理数据_底稿'!$A:$A,$A221)</f>
        <v>0</v>
      </c>
      <c r="N221" s="120">
        <f>sumifs('jiliarena_代理数据_底稿'!$O:$O,'jiliarena_代理数据_底稿'!$B:$B,N$211,'jiliarena_代理数据_底稿'!$A:$A,$A221)</f>
        <v>0</v>
      </c>
      <c r="O221" s="120">
        <f>sumifs('jiliarena_代理数据_底稿'!$O:$O,'jiliarena_代理数据_底稿'!$B:$B,O$211,'jiliarena_代理数据_底稿'!$A:$A,$A221)</f>
        <v>0</v>
      </c>
      <c r="P221" s="120">
        <f>sumifs('jiliarena_代理数据_底稿'!$O:$O,'jiliarena_代理数据_底稿'!$B:$B,P$211,'jiliarena_代理数据_底稿'!$A:$A,$A221)</f>
        <v>0</v>
      </c>
      <c r="Q221" s="120">
        <f>sumifs('jiliarena_代理数据_底稿'!$O:$O,'jiliarena_代理数据_底稿'!$B:$B,Q$211,'jiliarena_代理数据_底稿'!$A:$A,$A221)</f>
        <v>0</v>
      </c>
      <c r="R221" s="120">
        <f>sumifs('jiliarena_代理数据_底稿'!$O:$O,'jiliarena_代理数据_底稿'!$B:$B,R$211,'jiliarena_代理数据_底稿'!$A:$A,$A221)</f>
        <v>0</v>
      </c>
      <c r="S221" s="120">
        <f>sumifs('jiliarena_代理数据_底稿'!$O:$O,'jiliarena_代理数据_底稿'!$B:$B,S$211,'jiliarena_代理数据_底稿'!$A:$A,$A221)</f>
        <v>0</v>
      </c>
      <c r="T221" s="120">
        <f>sumifs('jiliarena_代理数据_底稿'!$O:$O,'jiliarena_代理数据_底稿'!$B:$B,T$211,'jiliarena_代理数据_底稿'!$A:$A,$A221)</f>
        <v>0</v>
      </c>
      <c r="U221" s="120">
        <f>sumifs('jiliarena_代理数据_底稿'!$O:$O,'jiliarena_代理数据_底稿'!$B:$B,U$211,'jiliarena_代理数据_底稿'!$A:$A,$A221)</f>
        <v>0</v>
      </c>
      <c r="V221" s="120">
        <f>sumifs('jiliarena_代理数据_底稿'!$O:$O,'jiliarena_代理数据_底稿'!$B:$B,V$211,'jiliarena_代理数据_底稿'!$A:$A,$A221)</f>
        <v>0</v>
      </c>
      <c r="W221" s="120">
        <f>sumifs('jiliarena_代理数据_底稿'!$O:$O,'jiliarena_代理数据_底稿'!$B:$B,W$211,'jiliarena_代理数据_底稿'!$A:$A,$A221)</f>
        <v>0</v>
      </c>
      <c r="X221" s="120">
        <f>sumifs('jiliarena_代理数据_底稿'!$O:$O,'jiliarena_代理数据_底稿'!$B:$B,X$211,'jiliarena_代理数据_底稿'!$A:$A,$A221)</f>
        <v>0</v>
      </c>
      <c r="Y221" s="120">
        <f>sumifs('jiliarena_代理数据_底稿'!$O:$O,'jiliarena_代理数据_底稿'!$B:$B,Y$211,'jiliarena_代理数据_底稿'!$A:$A,$A221)</f>
        <v>0</v>
      </c>
      <c r="Z221" s="120">
        <f>sumifs('jiliarena_代理数据_底稿'!$O:$O,'jiliarena_代理数据_底稿'!$B:$B,Z$211,'jiliarena_代理数据_底稿'!$A:$A,$A221)</f>
        <v>0</v>
      </c>
      <c r="AA221" s="120">
        <f>sumifs('jiliarena_代理数据_底稿'!$O:$O,'jiliarena_代理数据_底稿'!$B:$B,AA$211,'jiliarena_代理数据_底稿'!$A:$A,$A221)</f>
        <v>0</v>
      </c>
      <c r="AB221" s="120">
        <f>sumifs('jiliarena_代理数据_底稿'!$O:$O,'jiliarena_代理数据_底稿'!$B:$B,AB$211,'jiliarena_代理数据_底稿'!$A:$A,$A221)</f>
        <v>0</v>
      </c>
      <c r="AC221" s="120">
        <f>sumifs('jiliarena_代理数据_底稿'!$O:$O,'jiliarena_代理数据_底稿'!$B:$B,AC$211,'jiliarena_代理数据_底稿'!$A:$A,$A221)</f>
        <v>0</v>
      </c>
      <c r="AD221" s="120">
        <f>sumifs('jiliarena_代理数据_底稿'!$O:$O,'jiliarena_代理数据_底稿'!$B:$B,AD$211,'jiliarena_代理数据_底稿'!$A:$A,$A221)</f>
        <v>0</v>
      </c>
      <c r="AE221" s="120">
        <f>sumifs('jiliarena_代理数据_底稿'!$O:$O,'jiliarena_代理数据_底稿'!$B:$B,AE$211,'jiliarena_代理数据_底稿'!$A:$A,$A221)</f>
        <v>0</v>
      </c>
      <c r="AF221" s="120">
        <f>sumifs('jiliarena_代理数据_底稿'!$O:$O,'jiliarena_代理数据_底稿'!$B:$B,AF$211,'jiliarena_代理数据_底稿'!$A:$A,$A221)</f>
        <v>0</v>
      </c>
      <c r="AG221" s="120">
        <f>sumifs('jiliarena_代理数据_底稿'!$O:$O,'jiliarena_代理数据_底稿'!$B:$B,AG$211,'jiliarena_代理数据_底稿'!$A:$A,$A221)</f>
        <v>0</v>
      </c>
      <c r="AH221" s="120">
        <f>sumifs('jiliarena_代理数据_底稿'!$O:$O,'jiliarena_代理数据_底稿'!$B:$B,AH$211,'jiliarena_代理数据_底稿'!$A:$A,$A221)</f>
        <v>0</v>
      </c>
      <c r="AI221" s="120">
        <f>sumifs('jiliarena_代理数据_底稿'!$O:$O,'jiliarena_代理数据_底稿'!$B:$B,AI$211,'jiliarena_代理数据_底稿'!$A:$A,$A221)</f>
        <v>0</v>
      </c>
      <c r="AJ221" s="120">
        <f>sumifs('jiliarena_代理数据_底稿'!$O:$O,'jiliarena_代理数据_底稿'!$B:$B,AJ$211,'jiliarena_代理数据_底稿'!$A:$A,$A221)</f>
        <v>0</v>
      </c>
      <c r="AK221" s="63">
        <f t="shared" si="34"/>
        <v>0</v>
      </c>
    </row>
    <row r="222">
      <c r="A222" s="122">
        <f t="shared" si="35"/>
        <v>46063</v>
      </c>
      <c r="B222" s="120">
        <f>sumifs('jiliarena_代理数据_底稿'!$O:$O,'jiliarena_代理数据_底稿'!$B:$B,B$211,'jiliarena_代理数据_底稿'!$A:$A,$A222)</f>
        <v>0</v>
      </c>
      <c r="C222" s="120">
        <f>sumifs('jiliarena_代理数据_底稿'!$O:$O,'jiliarena_代理数据_底稿'!$B:$B,C$211,'jiliarena_代理数据_底稿'!$A:$A,$A222)</f>
        <v>0</v>
      </c>
      <c r="D222" s="120">
        <f>sumifs('jiliarena_代理数据_底稿'!$O:$O,'jiliarena_代理数据_底稿'!$B:$B,D$211,'jiliarena_代理数据_底稿'!$A:$A,$A222)</f>
        <v>0</v>
      </c>
      <c r="E222" s="120">
        <f>sumifs('jiliarena_代理数据_底稿'!$O:$O,'jiliarena_代理数据_底稿'!$B:$B,E$211,'jiliarena_代理数据_底稿'!$A:$A,$A222)</f>
        <v>0</v>
      </c>
      <c r="F222" s="120">
        <f>sumifs('jiliarena_代理数据_底稿'!$O:$O,'jiliarena_代理数据_底稿'!$B:$B,F$211,'jiliarena_代理数据_底稿'!$A:$A,$A222)</f>
        <v>0</v>
      </c>
      <c r="G222" s="120">
        <f>sumifs('jiliarena_代理数据_底稿'!$O:$O,'jiliarena_代理数据_底稿'!$B:$B,G$211,'jiliarena_代理数据_底稿'!$A:$A,$A222)</f>
        <v>0</v>
      </c>
      <c r="H222" s="120">
        <f>sumifs('jiliarena_代理数据_底稿'!$O:$O,'jiliarena_代理数据_底稿'!$B:$B,H$211,'jiliarena_代理数据_底稿'!$A:$A,$A222)</f>
        <v>0</v>
      </c>
      <c r="I222" s="120">
        <f>sumifs('jiliarena_代理数据_底稿'!$O:$O,'jiliarena_代理数据_底稿'!$B:$B,I$211,'jiliarena_代理数据_底稿'!$A:$A,$A222)</f>
        <v>0</v>
      </c>
      <c r="J222" s="120">
        <f>sumifs('jiliarena_代理数据_底稿'!$O:$O,'jiliarena_代理数据_底稿'!$B:$B,J$211,'jiliarena_代理数据_底稿'!$A:$A,$A222)</f>
        <v>0</v>
      </c>
      <c r="K222" s="120">
        <f>sumifs('jiliarena_代理数据_底稿'!$O:$O,'jiliarena_代理数据_底稿'!$B:$B,K$211,'jiliarena_代理数据_底稿'!$A:$A,$A222)</f>
        <v>0</v>
      </c>
      <c r="L222" s="120">
        <f>sumifs('jiliarena_代理数据_底稿'!$O:$O,'jiliarena_代理数据_底稿'!$B:$B,L$211,'jiliarena_代理数据_底稿'!$A:$A,$A222)</f>
        <v>0</v>
      </c>
      <c r="M222" s="120">
        <f>sumifs('jiliarena_代理数据_底稿'!$O:$O,'jiliarena_代理数据_底稿'!$B:$B,M$211,'jiliarena_代理数据_底稿'!$A:$A,$A222)</f>
        <v>0</v>
      </c>
      <c r="N222" s="120">
        <f>sumifs('jiliarena_代理数据_底稿'!$O:$O,'jiliarena_代理数据_底稿'!$B:$B,N$211,'jiliarena_代理数据_底稿'!$A:$A,$A222)</f>
        <v>0</v>
      </c>
      <c r="O222" s="120">
        <f>sumifs('jiliarena_代理数据_底稿'!$O:$O,'jiliarena_代理数据_底稿'!$B:$B,O$211,'jiliarena_代理数据_底稿'!$A:$A,$A222)</f>
        <v>0</v>
      </c>
      <c r="P222" s="120">
        <f>sumifs('jiliarena_代理数据_底稿'!$O:$O,'jiliarena_代理数据_底稿'!$B:$B,P$211,'jiliarena_代理数据_底稿'!$A:$A,$A222)</f>
        <v>0</v>
      </c>
      <c r="Q222" s="120">
        <f>sumifs('jiliarena_代理数据_底稿'!$O:$O,'jiliarena_代理数据_底稿'!$B:$B,Q$211,'jiliarena_代理数据_底稿'!$A:$A,$A222)</f>
        <v>0</v>
      </c>
      <c r="R222" s="120">
        <f>sumifs('jiliarena_代理数据_底稿'!$O:$O,'jiliarena_代理数据_底稿'!$B:$B,R$211,'jiliarena_代理数据_底稿'!$A:$A,$A222)</f>
        <v>0</v>
      </c>
      <c r="S222" s="120">
        <f>sumifs('jiliarena_代理数据_底稿'!$O:$O,'jiliarena_代理数据_底稿'!$B:$B,S$211,'jiliarena_代理数据_底稿'!$A:$A,$A222)</f>
        <v>0</v>
      </c>
      <c r="T222" s="120">
        <f>sumifs('jiliarena_代理数据_底稿'!$O:$O,'jiliarena_代理数据_底稿'!$B:$B,T$211,'jiliarena_代理数据_底稿'!$A:$A,$A222)</f>
        <v>0</v>
      </c>
      <c r="U222" s="120">
        <f>sumifs('jiliarena_代理数据_底稿'!$O:$O,'jiliarena_代理数据_底稿'!$B:$B,U$211,'jiliarena_代理数据_底稿'!$A:$A,$A222)</f>
        <v>0</v>
      </c>
      <c r="V222" s="120">
        <f>sumifs('jiliarena_代理数据_底稿'!$O:$O,'jiliarena_代理数据_底稿'!$B:$B,V$211,'jiliarena_代理数据_底稿'!$A:$A,$A222)</f>
        <v>0</v>
      </c>
      <c r="W222" s="120">
        <f>sumifs('jiliarena_代理数据_底稿'!$O:$O,'jiliarena_代理数据_底稿'!$B:$B,W$211,'jiliarena_代理数据_底稿'!$A:$A,$A222)</f>
        <v>0</v>
      </c>
      <c r="X222" s="120">
        <f>sumifs('jiliarena_代理数据_底稿'!$O:$O,'jiliarena_代理数据_底稿'!$B:$B,X$211,'jiliarena_代理数据_底稿'!$A:$A,$A222)</f>
        <v>0</v>
      </c>
      <c r="Y222" s="120">
        <f>sumifs('jiliarena_代理数据_底稿'!$O:$O,'jiliarena_代理数据_底稿'!$B:$B,Y$211,'jiliarena_代理数据_底稿'!$A:$A,$A222)</f>
        <v>0</v>
      </c>
      <c r="Z222" s="120">
        <f>sumifs('jiliarena_代理数据_底稿'!$O:$O,'jiliarena_代理数据_底稿'!$B:$B,Z$211,'jiliarena_代理数据_底稿'!$A:$A,$A222)</f>
        <v>0</v>
      </c>
      <c r="AA222" s="120">
        <f>sumifs('jiliarena_代理数据_底稿'!$O:$O,'jiliarena_代理数据_底稿'!$B:$B,AA$211,'jiliarena_代理数据_底稿'!$A:$A,$A222)</f>
        <v>0</v>
      </c>
      <c r="AB222" s="120">
        <f>sumifs('jiliarena_代理数据_底稿'!$O:$O,'jiliarena_代理数据_底稿'!$B:$B,AB$211,'jiliarena_代理数据_底稿'!$A:$A,$A222)</f>
        <v>0</v>
      </c>
      <c r="AC222" s="120">
        <f>sumifs('jiliarena_代理数据_底稿'!$O:$O,'jiliarena_代理数据_底稿'!$B:$B,AC$211,'jiliarena_代理数据_底稿'!$A:$A,$A222)</f>
        <v>0</v>
      </c>
      <c r="AD222" s="120">
        <f>sumifs('jiliarena_代理数据_底稿'!$O:$O,'jiliarena_代理数据_底稿'!$B:$B,AD$211,'jiliarena_代理数据_底稿'!$A:$A,$A222)</f>
        <v>0</v>
      </c>
      <c r="AE222" s="120">
        <f>sumifs('jiliarena_代理数据_底稿'!$O:$O,'jiliarena_代理数据_底稿'!$B:$B,AE$211,'jiliarena_代理数据_底稿'!$A:$A,$A222)</f>
        <v>0</v>
      </c>
      <c r="AF222" s="120">
        <f>sumifs('jiliarena_代理数据_底稿'!$O:$O,'jiliarena_代理数据_底稿'!$B:$B,AF$211,'jiliarena_代理数据_底稿'!$A:$A,$A222)</f>
        <v>0</v>
      </c>
      <c r="AG222" s="120">
        <f>sumifs('jiliarena_代理数据_底稿'!$O:$O,'jiliarena_代理数据_底稿'!$B:$B,AG$211,'jiliarena_代理数据_底稿'!$A:$A,$A222)</f>
        <v>0</v>
      </c>
      <c r="AH222" s="120">
        <f>sumifs('jiliarena_代理数据_底稿'!$O:$O,'jiliarena_代理数据_底稿'!$B:$B,AH$211,'jiliarena_代理数据_底稿'!$A:$A,$A222)</f>
        <v>0</v>
      </c>
      <c r="AI222" s="120">
        <f>sumifs('jiliarena_代理数据_底稿'!$O:$O,'jiliarena_代理数据_底稿'!$B:$B,AI$211,'jiliarena_代理数据_底稿'!$A:$A,$A222)</f>
        <v>0</v>
      </c>
      <c r="AJ222" s="120">
        <f>sumifs('jiliarena_代理数据_底稿'!$O:$O,'jiliarena_代理数据_底稿'!$B:$B,AJ$211,'jiliarena_代理数据_底稿'!$A:$A,$A222)</f>
        <v>0</v>
      </c>
      <c r="AK222" s="63">
        <f t="shared" si="34"/>
        <v>0</v>
      </c>
    </row>
    <row r="223">
      <c r="A223" s="122">
        <f t="shared" si="35"/>
        <v>46064</v>
      </c>
      <c r="B223" s="120">
        <f>sumifs('jiliarena_代理数据_底稿'!$O:$O,'jiliarena_代理数据_底稿'!$B:$B,B$211,'jiliarena_代理数据_底稿'!$A:$A,$A223)</f>
        <v>0</v>
      </c>
      <c r="C223" s="120">
        <f>sumifs('jiliarena_代理数据_底稿'!$O:$O,'jiliarena_代理数据_底稿'!$B:$B,C$211,'jiliarena_代理数据_底稿'!$A:$A,$A223)</f>
        <v>100</v>
      </c>
      <c r="D223" s="120">
        <f>sumifs('jiliarena_代理数据_底稿'!$O:$O,'jiliarena_代理数据_底稿'!$B:$B,D$211,'jiliarena_代理数据_底稿'!$A:$A,$A223)</f>
        <v>0</v>
      </c>
      <c r="E223" s="120">
        <f>sumifs('jiliarena_代理数据_底稿'!$O:$O,'jiliarena_代理数据_底稿'!$B:$B,E$211,'jiliarena_代理数据_底稿'!$A:$A,$A223)</f>
        <v>0</v>
      </c>
      <c r="F223" s="120">
        <f>sumifs('jiliarena_代理数据_底稿'!$O:$O,'jiliarena_代理数据_底稿'!$B:$B,F$211,'jiliarena_代理数据_底稿'!$A:$A,$A223)</f>
        <v>0</v>
      </c>
      <c r="G223" s="120">
        <f>sumifs('jiliarena_代理数据_底稿'!$O:$O,'jiliarena_代理数据_底稿'!$B:$B,G$211,'jiliarena_代理数据_底稿'!$A:$A,$A223)</f>
        <v>0</v>
      </c>
      <c r="H223" s="120">
        <f>sumifs('jiliarena_代理数据_底稿'!$O:$O,'jiliarena_代理数据_底稿'!$B:$B,H$211,'jiliarena_代理数据_底稿'!$A:$A,$A223)</f>
        <v>0</v>
      </c>
      <c r="I223" s="120">
        <f>sumifs('jiliarena_代理数据_底稿'!$O:$O,'jiliarena_代理数据_底稿'!$B:$B,I$211,'jiliarena_代理数据_底稿'!$A:$A,$A223)</f>
        <v>0</v>
      </c>
      <c r="J223" s="120">
        <f>sumifs('jiliarena_代理数据_底稿'!$O:$O,'jiliarena_代理数据_底稿'!$B:$B,J$211,'jiliarena_代理数据_底稿'!$A:$A,$A223)</f>
        <v>0</v>
      </c>
      <c r="K223" s="120">
        <f>sumifs('jiliarena_代理数据_底稿'!$O:$O,'jiliarena_代理数据_底稿'!$B:$B,K$211,'jiliarena_代理数据_底稿'!$A:$A,$A223)</f>
        <v>0</v>
      </c>
      <c r="L223" s="120">
        <f>sumifs('jiliarena_代理数据_底稿'!$O:$O,'jiliarena_代理数据_底稿'!$B:$B,L$211,'jiliarena_代理数据_底稿'!$A:$A,$A223)</f>
        <v>0</v>
      </c>
      <c r="M223" s="120">
        <f>sumifs('jiliarena_代理数据_底稿'!$O:$O,'jiliarena_代理数据_底稿'!$B:$B,M$211,'jiliarena_代理数据_底稿'!$A:$A,$A223)</f>
        <v>0</v>
      </c>
      <c r="N223" s="120">
        <f>sumifs('jiliarena_代理数据_底稿'!$O:$O,'jiliarena_代理数据_底稿'!$B:$B,N$211,'jiliarena_代理数据_底稿'!$A:$A,$A223)</f>
        <v>0</v>
      </c>
      <c r="O223" s="120">
        <f>sumifs('jiliarena_代理数据_底稿'!$O:$O,'jiliarena_代理数据_底稿'!$B:$B,O$211,'jiliarena_代理数据_底稿'!$A:$A,$A223)</f>
        <v>0</v>
      </c>
      <c r="P223" s="120">
        <f>sumifs('jiliarena_代理数据_底稿'!$O:$O,'jiliarena_代理数据_底稿'!$B:$B,P$211,'jiliarena_代理数据_底稿'!$A:$A,$A223)</f>
        <v>0</v>
      </c>
      <c r="Q223" s="120">
        <f>sumifs('jiliarena_代理数据_底稿'!$O:$O,'jiliarena_代理数据_底稿'!$B:$B,Q$211,'jiliarena_代理数据_底稿'!$A:$A,$A223)</f>
        <v>0</v>
      </c>
      <c r="R223" s="120">
        <f>sumifs('jiliarena_代理数据_底稿'!$O:$O,'jiliarena_代理数据_底稿'!$B:$B,R$211,'jiliarena_代理数据_底稿'!$A:$A,$A223)</f>
        <v>0</v>
      </c>
      <c r="S223" s="120">
        <f>sumifs('jiliarena_代理数据_底稿'!$O:$O,'jiliarena_代理数据_底稿'!$B:$B,S$211,'jiliarena_代理数据_底稿'!$A:$A,$A223)</f>
        <v>0</v>
      </c>
      <c r="T223" s="120">
        <f>sumifs('jiliarena_代理数据_底稿'!$O:$O,'jiliarena_代理数据_底稿'!$B:$B,T$211,'jiliarena_代理数据_底稿'!$A:$A,$A223)</f>
        <v>0</v>
      </c>
      <c r="U223" s="120">
        <f>sumifs('jiliarena_代理数据_底稿'!$O:$O,'jiliarena_代理数据_底稿'!$B:$B,U$211,'jiliarena_代理数据_底稿'!$A:$A,$A223)</f>
        <v>0</v>
      </c>
      <c r="V223" s="120">
        <f>sumifs('jiliarena_代理数据_底稿'!$O:$O,'jiliarena_代理数据_底稿'!$B:$B,V$211,'jiliarena_代理数据_底稿'!$A:$A,$A223)</f>
        <v>0</v>
      </c>
      <c r="W223" s="120">
        <f>sumifs('jiliarena_代理数据_底稿'!$O:$O,'jiliarena_代理数据_底稿'!$B:$B,W$211,'jiliarena_代理数据_底稿'!$A:$A,$A223)</f>
        <v>0</v>
      </c>
      <c r="X223" s="120">
        <f>sumifs('jiliarena_代理数据_底稿'!$O:$O,'jiliarena_代理数据_底稿'!$B:$B,X$211,'jiliarena_代理数据_底稿'!$A:$A,$A223)</f>
        <v>0</v>
      </c>
      <c r="Y223" s="120">
        <f>sumifs('jiliarena_代理数据_底稿'!$O:$O,'jiliarena_代理数据_底稿'!$B:$B,Y$211,'jiliarena_代理数据_底稿'!$A:$A,$A223)</f>
        <v>0</v>
      </c>
      <c r="Z223" s="120">
        <f>sumifs('jiliarena_代理数据_底稿'!$O:$O,'jiliarena_代理数据_底稿'!$B:$B,Z$211,'jiliarena_代理数据_底稿'!$A:$A,$A223)</f>
        <v>0</v>
      </c>
      <c r="AA223" s="120">
        <f>sumifs('jiliarena_代理数据_底稿'!$O:$O,'jiliarena_代理数据_底稿'!$B:$B,AA$211,'jiliarena_代理数据_底稿'!$A:$A,$A223)</f>
        <v>0</v>
      </c>
      <c r="AB223" s="120">
        <f>sumifs('jiliarena_代理数据_底稿'!$O:$O,'jiliarena_代理数据_底稿'!$B:$B,AB$211,'jiliarena_代理数据_底稿'!$A:$A,$A223)</f>
        <v>0</v>
      </c>
      <c r="AC223" s="120">
        <f>sumifs('jiliarena_代理数据_底稿'!$O:$O,'jiliarena_代理数据_底稿'!$B:$B,AC$211,'jiliarena_代理数据_底稿'!$A:$A,$A223)</f>
        <v>0</v>
      </c>
      <c r="AD223" s="120">
        <f>sumifs('jiliarena_代理数据_底稿'!$O:$O,'jiliarena_代理数据_底稿'!$B:$B,AD$211,'jiliarena_代理数据_底稿'!$A:$A,$A223)</f>
        <v>0</v>
      </c>
      <c r="AE223" s="120">
        <f>sumifs('jiliarena_代理数据_底稿'!$O:$O,'jiliarena_代理数据_底稿'!$B:$B,AE$211,'jiliarena_代理数据_底稿'!$A:$A,$A223)</f>
        <v>0</v>
      </c>
      <c r="AF223" s="120">
        <f>sumifs('jiliarena_代理数据_底稿'!$O:$O,'jiliarena_代理数据_底稿'!$B:$B,AF$211,'jiliarena_代理数据_底稿'!$A:$A,$A223)</f>
        <v>0</v>
      </c>
      <c r="AG223" s="120">
        <f>sumifs('jiliarena_代理数据_底稿'!$O:$O,'jiliarena_代理数据_底稿'!$B:$B,AG$211,'jiliarena_代理数据_底稿'!$A:$A,$A223)</f>
        <v>0</v>
      </c>
      <c r="AH223" s="120">
        <f>sumifs('jiliarena_代理数据_底稿'!$O:$O,'jiliarena_代理数据_底稿'!$B:$B,AH$211,'jiliarena_代理数据_底稿'!$A:$A,$A223)</f>
        <v>0</v>
      </c>
      <c r="AI223" s="120">
        <f>sumifs('jiliarena_代理数据_底稿'!$O:$O,'jiliarena_代理数据_底稿'!$B:$B,AI$211,'jiliarena_代理数据_底稿'!$A:$A,$A223)</f>
        <v>0</v>
      </c>
      <c r="AJ223" s="120">
        <f>sumifs('jiliarena_代理数据_底稿'!$O:$O,'jiliarena_代理数据_底稿'!$B:$B,AJ$211,'jiliarena_代理数据_底稿'!$A:$A,$A223)</f>
        <v>0</v>
      </c>
      <c r="AK223" s="63">
        <f t="shared" si="34"/>
        <v>100</v>
      </c>
    </row>
    <row r="224">
      <c r="A224" s="122">
        <f t="shared" si="35"/>
        <v>46065</v>
      </c>
      <c r="B224" s="120">
        <f>sumifs('jiliarena_代理数据_底稿'!$O:$O,'jiliarena_代理数据_底稿'!$B:$B,B$211,'jiliarena_代理数据_底稿'!$A:$A,$A224)</f>
        <v>0</v>
      </c>
      <c r="C224" s="120">
        <f>sumifs('jiliarena_代理数据_底稿'!$O:$O,'jiliarena_代理数据_底稿'!$B:$B,C$211,'jiliarena_代理数据_底稿'!$A:$A,$A224)</f>
        <v>102513</v>
      </c>
      <c r="D224" s="120">
        <f>sumifs('jiliarena_代理数据_底稿'!$O:$O,'jiliarena_代理数据_底稿'!$B:$B,D$211,'jiliarena_代理数据_底稿'!$A:$A,$A224)</f>
        <v>0</v>
      </c>
      <c r="E224" s="120">
        <f>sumifs('jiliarena_代理数据_底稿'!$O:$O,'jiliarena_代理数据_底稿'!$B:$B,E$211,'jiliarena_代理数据_底稿'!$A:$A,$A224)</f>
        <v>0</v>
      </c>
      <c r="F224" s="120">
        <f>sumifs('jiliarena_代理数据_底稿'!$O:$O,'jiliarena_代理数据_底稿'!$B:$B,F$211,'jiliarena_代理数据_底稿'!$A:$A,$A224)</f>
        <v>0</v>
      </c>
      <c r="G224" s="120">
        <f>sumifs('jiliarena_代理数据_底稿'!$O:$O,'jiliarena_代理数据_底稿'!$B:$B,G$211,'jiliarena_代理数据_底稿'!$A:$A,$A224)</f>
        <v>0</v>
      </c>
      <c r="H224" s="120">
        <f>sumifs('jiliarena_代理数据_底稿'!$O:$O,'jiliarena_代理数据_底稿'!$B:$B,H$211,'jiliarena_代理数据_底稿'!$A:$A,$A224)</f>
        <v>0</v>
      </c>
      <c r="I224" s="120">
        <f>sumifs('jiliarena_代理数据_底稿'!$O:$O,'jiliarena_代理数据_底稿'!$B:$B,I$211,'jiliarena_代理数据_底稿'!$A:$A,$A224)</f>
        <v>0</v>
      </c>
      <c r="J224" s="120">
        <f>sumifs('jiliarena_代理数据_底稿'!$O:$O,'jiliarena_代理数据_底稿'!$B:$B,J$211,'jiliarena_代理数据_底稿'!$A:$A,$A224)</f>
        <v>0</v>
      </c>
      <c r="K224" s="120">
        <f>sumifs('jiliarena_代理数据_底稿'!$O:$O,'jiliarena_代理数据_底稿'!$B:$B,K$211,'jiliarena_代理数据_底稿'!$A:$A,$A224)</f>
        <v>0</v>
      </c>
      <c r="L224" s="120">
        <f>sumifs('jiliarena_代理数据_底稿'!$O:$O,'jiliarena_代理数据_底稿'!$B:$B,L$211,'jiliarena_代理数据_底稿'!$A:$A,$A224)</f>
        <v>0</v>
      </c>
      <c r="M224" s="120">
        <f>sumifs('jiliarena_代理数据_底稿'!$O:$O,'jiliarena_代理数据_底稿'!$B:$B,M$211,'jiliarena_代理数据_底稿'!$A:$A,$A224)</f>
        <v>0</v>
      </c>
      <c r="N224" s="120">
        <f>sumifs('jiliarena_代理数据_底稿'!$O:$O,'jiliarena_代理数据_底稿'!$B:$B,N$211,'jiliarena_代理数据_底稿'!$A:$A,$A224)</f>
        <v>0</v>
      </c>
      <c r="O224" s="120">
        <f>sumifs('jiliarena_代理数据_底稿'!$O:$O,'jiliarena_代理数据_底稿'!$B:$B,O$211,'jiliarena_代理数据_底稿'!$A:$A,$A224)</f>
        <v>0</v>
      </c>
      <c r="P224" s="120">
        <f>sumifs('jiliarena_代理数据_底稿'!$O:$O,'jiliarena_代理数据_底稿'!$B:$B,P$211,'jiliarena_代理数据_底稿'!$A:$A,$A224)</f>
        <v>0</v>
      </c>
      <c r="Q224" s="120">
        <f>sumifs('jiliarena_代理数据_底稿'!$O:$O,'jiliarena_代理数据_底稿'!$B:$B,Q$211,'jiliarena_代理数据_底稿'!$A:$A,$A224)</f>
        <v>0</v>
      </c>
      <c r="R224" s="120">
        <f>sumifs('jiliarena_代理数据_底稿'!$O:$O,'jiliarena_代理数据_底稿'!$B:$B,R$211,'jiliarena_代理数据_底稿'!$A:$A,$A224)</f>
        <v>0</v>
      </c>
      <c r="S224" s="120">
        <f>sumifs('jiliarena_代理数据_底稿'!$O:$O,'jiliarena_代理数据_底稿'!$B:$B,S$211,'jiliarena_代理数据_底稿'!$A:$A,$A224)</f>
        <v>0</v>
      </c>
      <c r="T224" s="120">
        <f>sumifs('jiliarena_代理数据_底稿'!$O:$O,'jiliarena_代理数据_底稿'!$B:$B,T$211,'jiliarena_代理数据_底稿'!$A:$A,$A224)</f>
        <v>0</v>
      </c>
      <c r="U224" s="120">
        <f>sumifs('jiliarena_代理数据_底稿'!$O:$O,'jiliarena_代理数据_底稿'!$B:$B,U$211,'jiliarena_代理数据_底稿'!$A:$A,$A224)</f>
        <v>0</v>
      </c>
      <c r="V224" s="120">
        <f>sumifs('jiliarena_代理数据_底稿'!$O:$O,'jiliarena_代理数据_底稿'!$B:$B,V$211,'jiliarena_代理数据_底稿'!$A:$A,$A224)</f>
        <v>0</v>
      </c>
      <c r="W224" s="120">
        <f>sumifs('jiliarena_代理数据_底稿'!$O:$O,'jiliarena_代理数据_底稿'!$B:$B,W$211,'jiliarena_代理数据_底稿'!$A:$A,$A224)</f>
        <v>0</v>
      </c>
      <c r="X224" s="120">
        <f>sumifs('jiliarena_代理数据_底稿'!$O:$O,'jiliarena_代理数据_底稿'!$B:$B,X$211,'jiliarena_代理数据_底稿'!$A:$A,$A224)</f>
        <v>0</v>
      </c>
      <c r="Y224" s="120">
        <f>sumifs('jiliarena_代理数据_底稿'!$O:$O,'jiliarena_代理数据_底稿'!$B:$B,Y$211,'jiliarena_代理数据_底稿'!$A:$A,$A224)</f>
        <v>0</v>
      </c>
      <c r="Z224" s="120">
        <f>sumifs('jiliarena_代理数据_底稿'!$O:$O,'jiliarena_代理数据_底稿'!$B:$B,Z$211,'jiliarena_代理数据_底稿'!$A:$A,$A224)</f>
        <v>0</v>
      </c>
      <c r="AA224" s="120">
        <f>sumifs('jiliarena_代理数据_底稿'!$O:$O,'jiliarena_代理数据_底稿'!$B:$B,AA$211,'jiliarena_代理数据_底稿'!$A:$A,$A224)</f>
        <v>0</v>
      </c>
      <c r="AB224" s="120">
        <f>sumifs('jiliarena_代理数据_底稿'!$O:$O,'jiliarena_代理数据_底稿'!$B:$B,AB$211,'jiliarena_代理数据_底稿'!$A:$A,$A224)</f>
        <v>0</v>
      </c>
      <c r="AC224" s="120">
        <f>sumifs('jiliarena_代理数据_底稿'!$O:$O,'jiliarena_代理数据_底稿'!$B:$B,AC$211,'jiliarena_代理数据_底稿'!$A:$A,$A224)</f>
        <v>0</v>
      </c>
      <c r="AD224" s="120">
        <f>sumifs('jiliarena_代理数据_底稿'!$O:$O,'jiliarena_代理数据_底稿'!$B:$B,AD$211,'jiliarena_代理数据_底稿'!$A:$A,$A224)</f>
        <v>0</v>
      </c>
      <c r="AE224" s="120">
        <f>sumifs('jiliarena_代理数据_底稿'!$O:$O,'jiliarena_代理数据_底稿'!$B:$B,AE$211,'jiliarena_代理数据_底稿'!$A:$A,$A224)</f>
        <v>0</v>
      </c>
      <c r="AF224" s="120">
        <f>sumifs('jiliarena_代理数据_底稿'!$O:$O,'jiliarena_代理数据_底稿'!$B:$B,AF$211,'jiliarena_代理数据_底稿'!$A:$A,$A224)</f>
        <v>0</v>
      </c>
      <c r="AG224" s="120">
        <f>sumifs('jiliarena_代理数据_底稿'!$O:$O,'jiliarena_代理数据_底稿'!$B:$B,AG$211,'jiliarena_代理数据_底稿'!$A:$A,$A224)</f>
        <v>0</v>
      </c>
      <c r="AH224" s="120">
        <f>sumifs('jiliarena_代理数据_底稿'!$O:$O,'jiliarena_代理数据_底稿'!$B:$B,AH$211,'jiliarena_代理数据_底稿'!$A:$A,$A224)</f>
        <v>0</v>
      </c>
      <c r="AI224" s="120">
        <f>sumifs('jiliarena_代理数据_底稿'!$O:$O,'jiliarena_代理数据_底稿'!$B:$B,AI$211,'jiliarena_代理数据_底稿'!$A:$A,$A224)</f>
        <v>0</v>
      </c>
      <c r="AJ224" s="120">
        <f>sumifs('jiliarena_代理数据_底稿'!$O:$O,'jiliarena_代理数据_底稿'!$B:$B,AJ$211,'jiliarena_代理数据_底稿'!$A:$A,$A224)</f>
        <v>0</v>
      </c>
      <c r="AK224" s="63">
        <f t="shared" si="34"/>
        <v>102513</v>
      </c>
    </row>
    <row r="225">
      <c r="A225" s="122">
        <f t="shared" si="35"/>
        <v>46066</v>
      </c>
      <c r="B225" s="120">
        <f>sumifs('jiliarena_代理数据_底稿'!$O:$O,'jiliarena_代理数据_底稿'!$B:$B,B$211,'jiliarena_代理数据_底稿'!$A:$A,$A225)</f>
        <v>0</v>
      </c>
      <c r="C225" s="120">
        <f>sumifs('jiliarena_代理数据_底稿'!$O:$O,'jiliarena_代理数据_底稿'!$B:$B,C$211,'jiliarena_代理数据_底稿'!$A:$A,$A225)</f>
        <v>82493</v>
      </c>
      <c r="D225" s="120">
        <f>sumifs('jiliarena_代理数据_底稿'!$O:$O,'jiliarena_代理数据_底稿'!$B:$B,D$211,'jiliarena_代理数据_底稿'!$A:$A,$A225)</f>
        <v>0</v>
      </c>
      <c r="E225" s="120">
        <f>sumifs('jiliarena_代理数据_底稿'!$O:$O,'jiliarena_代理数据_底稿'!$B:$B,E$211,'jiliarena_代理数据_底稿'!$A:$A,$A225)</f>
        <v>0</v>
      </c>
      <c r="F225" s="120">
        <f>sumifs('jiliarena_代理数据_底稿'!$O:$O,'jiliarena_代理数据_底稿'!$B:$B,F$211,'jiliarena_代理数据_底稿'!$A:$A,$A225)</f>
        <v>0</v>
      </c>
      <c r="G225" s="120">
        <f>sumifs('jiliarena_代理数据_底稿'!$O:$O,'jiliarena_代理数据_底稿'!$B:$B,G$211,'jiliarena_代理数据_底稿'!$A:$A,$A225)</f>
        <v>0</v>
      </c>
      <c r="H225" s="120">
        <f>sumifs('jiliarena_代理数据_底稿'!$O:$O,'jiliarena_代理数据_底稿'!$B:$B,H$211,'jiliarena_代理数据_底稿'!$A:$A,$A225)</f>
        <v>0</v>
      </c>
      <c r="I225" s="120">
        <f>sumifs('jiliarena_代理数据_底稿'!$O:$O,'jiliarena_代理数据_底稿'!$B:$B,I$211,'jiliarena_代理数据_底稿'!$A:$A,$A225)</f>
        <v>0</v>
      </c>
      <c r="J225" s="120">
        <f>sumifs('jiliarena_代理数据_底稿'!$O:$O,'jiliarena_代理数据_底稿'!$B:$B,J$211,'jiliarena_代理数据_底稿'!$A:$A,$A225)</f>
        <v>0</v>
      </c>
      <c r="K225" s="120">
        <f>sumifs('jiliarena_代理数据_底稿'!$O:$O,'jiliarena_代理数据_底稿'!$B:$B,K$211,'jiliarena_代理数据_底稿'!$A:$A,$A225)</f>
        <v>0</v>
      </c>
      <c r="L225" s="120">
        <f>sumifs('jiliarena_代理数据_底稿'!$O:$O,'jiliarena_代理数据_底稿'!$B:$B,L$211,'jiliarena_代理数据_底稿'!$A:$A,$A225)</f>
        <v>0</v>
      </c>
      <c r="M225" s="120">
        <f>sumifs('jiliarena_代理数据_底稿'!$O:$O,'jiliarena_代理数据_底稿'!$B:$B,M$211,'jiliarena_代理数据_底稿'!$A:$A,$A225)</f>
        <v>0</v>
      </c>
      <c r="N225" s="120">
        <f>sumifs('jiliarena_代理数据_底稿'!$O:$O,'jiliarena_代理数据_底稿'!$B:$B,N$211,'jiliarena_代理数据_底稿'!$A:$A,$A225)</f>
        <v>0</v>
      </c>
      <c r="O225" s="120">
        <f>sumifs('jiliarena_代理数据_底稿'!$O:$O,'jiliarena_代理数据_底稿'!$B:$B,O$211,'jiliarena_代理数据_底稿'!$A:$A,$A225)</f>
        <v>0</v>
      </c>
      <c r="P225" s="120">
        <f>sumifs('jiliarena_代理数据_底稿'!$O:$O,'jiliarena_代理数据_底稿'!$B:$B,P$211,'jiliarena_代理数据_底稿'!$A:$A,$A225)</f>
        <v>0</v>
      </c>
      <c r="Q225" s="120">
        <f>sumifs('jiliarena_代理数据_底稿'!$O:$O,'jiliarena_代理数据_底稿'!$B:$B,Q$211,'jiliarena_代理数据_底稿'!$A:$A,$A225)</f>
        <v>0</v>
      </c>
      <c r="R225" s="120">
        <f>sumifs('jiliarena_代理数据_底稿'!$O:$O,'jiliarena_代理数据_底稿'!$B:$B,R$211,'jiliarena_代理数据_底稿'!$A:$A,$A225)</f>
        <v>0</v>
      </c>
      <c r="S225" s="120">
        <f>sumifs('jiliarena_代理数据_底稿'!$O:$O,'jiliarena_代理数据_底稿'!$B:$B,S$211,'jiliarena_代理数据_底稿'!$A:$A,$A225)</f>
        <v>0</v>
      </c>
      <c r="T225" s="120">
        <f>sumifs('jiliarena_代理数据_底稿'!$O:$O,'jiliarena_代理数据_底稿'!$B:$B,T$211,'jiliarena_代理数据_底稿'!$A:$A,$A225)</f>
        <v>0</v>
      </c>
      <c r="U225" s="120">
        <f>sumifs('jiliarena_代理数据_底稿'!$O:$O,'jiliarena_代理数据_底稿'!$B:$B,U$211,'jiliarena_代理数据_底稿'!$A:$A,$A225)</f>
        <v>0</v>
      </c>
      <c r="V225" s="120">
        <f>sumifs('jiliarena_代理数据_底稿'!$O:$O,'jiliarena_代理数据_底稿'!$B:$B,V$211,'jiliarena_代理数据_底稿'!$A:$A,$A225)</f>
        <v>0</v>
      </c>
      <c r="W225" s="120">
        <f>sumifs('jiliarena_代理数据_底稿'!$O:$O,'jiliarena_代理数据_底稿'!$B:$B,W$211,'jiliarena_代理数据_底稿'!$A:$A,$A225)</f>
        <v>0</v>
      </c>
      <c r="X225" s="120">
        <f>sumifs('jiliarena_代理数据_底稿'!$O:$O,'jiliarena_代理数据_底稿'!$B:$B,X$211,'jiliarena_代理数据_底稿'!$A:$A,$A225)</f>
        <v>0</v>
      </c>
      <c r="Y225" s="120">
        <f>sumifs('jiliarena_代理数据_底稿'!$O:$O,'jiliarena_代理数据_底稿'!$B:$B,Y$211,'jiliarena_代理数据_底稿'!$A:$A,$A225)</f>
        <v>0</v>
      </c>
      <c r="Z225" s="120">
        <f>sumifs('jiliarena_代理数据_底稿'!$O:$O,'jiliarena_代理数据_底稿'!$B:$B,Z$211,'jiliarena_代理数据_底稿'!$A:$A,$A225)</f>
        <v>0</v>
      </c>
      <c r="AA225" s="120">
        <f>sumifs('jiliarena_代理数据_底稿'!$O:$O,'jiliarena_代理数据_底稿'!$B:$B,AA$211,'jiliarena_代理数据_底稿'!$A:$A,$A225)</f>
        <v>0</v>
      </c>
      <c r="AB225" s="120">
        <f>sumifs('jiliarena_代理数据_底稿'!$O:$O,'jiliarena_代理数据_底稿'!$B:$B,AB$211,'jiliarena_代理数据_底稿'!$A:$A,$A225)</f>
        <v>0</v>
      </c>
      <c r="AC225" s="120">
        <f>sumifs('jiliarena_代理数据_底稿'!$O:$O,'jiliarena_代理数据_底稿'!$B:$B,AC$211,'jiliarena_代理数据_底稿'!$A:$A,$A225)</f>
        <v>0</v>
      </c>
      <c r="AD225" s="120">
        <f>sumifs('jiliarena_代理数据_底稿'!$O:$O,'jiliarena_代理数据_底稿'!$B:$B,AD$211,'jiliarena_代理数据_底稿'!$A:$A,$A225)</f>
        <v>0</v>
      </c>
      <c r="AE225" s="120">
        <f>sumifs('jiliarena_代理数据_底稿'!$O:$O,'jiliarena_代理数据_底稿'!$B:$B,AE$211,'jiliarena_代理数据_底稿'!$A:$A,$A225)</f>
        <v>0</v>
      </c>
      <c r="AF225" s="120">
        <f>sumifs('jiliarena_代理数据_底稿'!$O:$O,'jiliarena_代理数据_底稿'!$B:$B,AF$211,'jiliarena_代理数据_底稿'!$A:$A,$A225)</f>
        <v>0</v>
      </c>
      <c r="AG225" s="120">
        <f>sumifs('jiliarena_代理数据_底稿'!$O:$O,'jiliarena_代理数据_底稿'!$B:$B,AG$211,'jiliarena_代理数据_底稿'!$A:$A,$A225)</f>
        <v>0</v>
      </c>
      <c r="AH225" s="120">
        <f>sumifs('jiliarena_代理数据_底稿'!$O:$O,'jiliarena_代理数据_底稿'!$B:$B,AH$211,'jiliarena_代理数据_底稿'!$A:$A,$A225)</f>
        <v>0</v>
      </c>
      <c r="AI225" s="120">
        <f>sumifs('jiliarena_代理数据_底稿'!$O:$O,'jiliarena_代理数据_底稿'!$B:$B,AI$211,'jiliarena_代理数据_底稿'!$A:$A,$A225)</f>
        <v>0</v>
      </c>
      <c r="AJ225" s="120">
        <f>sumifs('jiliarena_代理数据_底稿'!$O:$O,'jiliarena_代理数据_底稿'!$B:$B,AJ$211,'jiliarena_代理数据_底稿'!$A:$A,$A225)</f>
        <v>0</v>
      </c>
      <c r="AK225" s="63">
        <f t="shared" si="34"/>
        <v>82493</v>
      </c>
    </row>
    <row r="226">
      <c r="A226" s="122">
        <f t="shared" si="35"/>
        <v>46067</v>
      </c>
      <c r="B226" s="120">
        <f>sumifs('jiliarena_代理数据_底稿'!$O:$O,'jiliarena_代理数据_底稿'!$B:$B,B$211,'jiliarena_代理数据_底稿'!$A:$A,$A226)</f>
        <v>0</v>
      </c>
      <c r="C226" s="120">
        <f>sumifs('jiliarena_代理数据_底稿'!$O:$O,'jiliarena_代理数据_底稿'!$B:$B,C$211,'jiliarena_代理数据_底稿'!$A:$A,$A226)</f>
        <v>63735</v>
      </c>
      <c r="D226" s="120">
        <f>sumifs('jiliarena_代理数据_底稿'!$O:$O,'jiliarena_代理数据_底稿'!$B:$B,D$211,'jiliarena_代理数据_底稿'!$A:$A,$A226)</f>
        <v>0</v>
      </c>
      <c r="E226" s="120">
        <f>sumifs('jiliarena_代理数据_底稿'!$O:$O,'jiliarena_代理数据_底稿'!$B:$B,E$211,'jiliarena_代理数据_底稿'!$A:$A,$A226)</f>
        <v>0</v>
      </c>
      <c r="F226" s="120">
        <f>sumifs('jiliarena_代理数据_底稿'!$O:$O,'jiliarena_代理数据_底稿'!$B:$B,F$211,'jiliarena_代理数据_底稿'!$A:$A,$A226)</f>
        <v>0</v>
      </c>
      <c r="G226" s="120">
        <f>sumifs('jiliarena_代理数据_底稿'!$O:$O,'jiliarena_代理数据_底稿'!$B:$B,G$211,'jiliarena_代理数据_底稿'!$A:$A,$A226)</f>
        <v>0</v>
      </c>
      <c r="H226" s="120">
        <f>sumifs('jiliarena_代理数据_底稿'!$O:$O,'jiliarena_代理数据_底稿'!$B:$B,H$211,'jiliarena_代理数据_底稿'!$A:$A,$A226)</f>
        <v>0</v>
      </c>
      <c r="I226" s="120">
        <f>sumifs('jiliarena_代理数据_底稿'!$O:$O,'jiliarena_代理数据_底稿'!$B:$B,I$211,'jiliarena_代理数据_底稿'!$A:$A,$A226)</f>
        <v>0</v>
      </c>
      <c r="J226" s="120">
        <f>sumifs('jiliarena_代理数据_底稿'!$O:$O,'jiliarena_代理数据_底稿'!$B:$B,J$211,'jiliarena_代理数据_底稿'!$A:$A,$A226)</f>
        <v>0</v>
      </c>
      <c r="K226" s="120">
        <f>sumifs('jiliarena_代理数据_底稿'!$O:$O,'jiliarena_代理数据_底稿'!$B:$B,K$211,'jiliarena_代理数据_底稿'!$A:$A,$A226)</f>
        <v>0</v>
      </c>
      <c r="L226" s="120">
        <f>sumifs('jiliarena_代理数据_底稿'!$O:$O,'jiliarena_代理数据_底稿'!$B:$B,L$211,'jiliarena_代理数据_底稿'!$A:$A,$A226)</f>
        <v>0</v>
      </c>
      <c r="M226" s="120">
        <f>sumifs('jiliarena_代理数据_底稿'!$O:$O,'jiliarena_代理数据_底稿'!$B:$B,M$211,'jiliarena_代理数据_底稿'!$A:$A,$A226)</f>
        <v>0</v>
      </c>
      <c r="N226" s="120">
        <f>sumifs('jiliarena_代理数据_底稿'!$O:$O,'jiliarena_代理数据_底稿'!$B:$B,N$211,'jiliarena_代理数据_底稿'!$A:$A,$A226)</f>
        <v>0</v>
      </c>
      <c r="O226" s="120">
        <f>sumifs('jiliarena_代理数据_底稿'!$O:$O,'jiliarena_代理数据_底稿'!$B:$B,O$211,'jiliarena_代理数据_底稿'!$A:$A,$A226)</f>
        <v>0</v>
      </c>
      <c r="P226" s="120">
        <f>sumifs('jiliarena_代理数据_底稿'!$O:$O,'jiliarena_代理数据_底稿'!$B:$B,P$211,'jiliarena_代理数据_底稿'!$A:$A,$A226)</f>
        <v>0</v>
      </c>
      <c r="Q226" s="120">
        <f>sumifs('jiliarena_代理数据_底稿'!$O:$O,'jiliarena_代理数据_底稿'!$B:$B,Q$211,'jiliarena_代理数据_底稿'!$A:$A,$A226)</f>
        <v>0</v>
      </c>
      <c r="R226" s="120">
        <f>sumifs('jiliarena_代理数据_底稿'!$O:$O,'jiliarena_代理数据_底稿'!$B:$B,R$211,'jiliarena_代理数据_底稿'!$A:$A,$A226)</f>
        <v>0</v>
      </c>
      <c r="S226" s="120">
        <f>sumifs('jiliarena_代理数据_底稿'!$O:$O,'jiliarena_代理数据_底稿'!$B:$B,S$211,'jiliarena_代理数据_底稿'!$A:$A,$A226)</f>
        <v>0</v>
      </c>
      <c r="T226" s="120">
        <f>sumifs('jiliarena_代理数据_底稿'!$O:$O,'jiliarena_代理数据_底稿'!$B:$B,T$211,'jiliarena_代理数据_底稿'!$A:$A,$A226)</f>
        <v>0</v>
      </c>
      <c r="U226" s="120">
        <f>sumifs('jiliarena_代理数据_底稿'!$O:$O,'jiliarena_代理数据_底稿'!$B:$B,U$211,'jiliarena_代理数据_底稿'!$A:$A,$A226)</f>
        <v>0</v>
      </c>
      <c r="V226" s="120">
        <f>sumifs('jiliarena_代理数据_底稿'!$O:$O,'jiliarena_代理数据_底稿'!$B:$B,V$211,'jiliarena_代理数据_底稿'!$A:$A,$A226)</f>
        <v>0</v>
      </c>
      <c r="W226" s="120">
        <f>sumifs('jiliarena_代理数据_底稿'!$O:$O,'jiliarena_代理数据_底稿'!$B:$B,W$211,'jiliarena_代理数据_底稿'!$A:$A,$A226)</f>
        <v>0</v>
      </c>
      <c r="X226" s="120">
        <f>sumifs('jiliarena_代理数据_底稿'!$O:$O,'jiliarena_代理数据_底稿'!$B:$B,X$211,'jiliarena_代理数据_底稿'!$A:$A,$A226)</f>
        <v>0</v>
      </c>
      <c r="Y226" s="120">
        <f>sumifs('jiliarena_代理数据_底稿'!$O:$O,'jiliarena_代理数据_底稿'!$B:$B,Y$211,'jiliarena_代理数据_底稿'!$A:$A,$A226)</f>
        <v>0</v>
      </c>
      <c r="Z226" s="120">
        <f>sumifs('jiliarena_代理数据_底稿'!$O:$O,'jiliarena_代理数据_底稿'!$B:$B,Z$211,'jiliarena_代理数据_底稿'!$A:$A,$A226)</f>
        <v>0</v>
      </c>
      <c r="AA226" s="120">
        <f>sumifs('jiliarena_代理数据_底稿'!$O:$O,'jiliarena_代理数据_底稿'!$B:$B,AA$211,'jiliarena_代理数据_底稿'!$A:$A,$A226)</f>
        <v>0</v>
      </c>
      <c r="AB226" s="120">
        <f>sumifs('jiliarena_代理数据_底稿'!$O:$O,'jiliarena_代理数据_底稿'!$B:$B,AB$211,'jiliarena_代理数据_底稿'!$A:$A,$A226)</f>
        <v>0</v>
      </c>
      <c r="AC226" s="120">
        <f>sumifs('jiliarena_代理数据_底稿'!$O:$O,'jiliarena_代理数据_底稿'!$B:$B,AC$211,'jiliarena_代理数据_底稿'!$A:$A,$A226)</f>
        <v>0</v>
      </c>
      <c r="AD226" s="120">
        <f>sumifs('jiliarena_代理数据_底稿'!$O:$O,'jiliarena_代理数据_底稿'!$B:$B,AD$211,'jiliarena_代理数据_底稿'!$A:$A,$A226)</f>
        <v>0</v>
      </c>
      <c r="AE226" s="120">
        <f>sumifs('jiliarena_代理数据_底稿'!$O:$O,'jiliarena_代理数据_底稿'!$B:$B,AE$211,'jiliarena_代理数据_底稿'!$A:$A,$A226)</f>
        <v>0</v>
      </c>
      <c r="AF226" s="120">
        <f>sumifs('jiliarena_代理数据_底稿'!$O:$O,'jiliarena_代理数据_底稿'!$B:$B,AF$211,'jiliarena_代理数据_底稿'!$A:$A,$A226)</f>
        <v>0</v>
      </c>
      <c r="AG226" s="120">
        <f>sumifs('jiliarena_代理数据_底稿'!$O:$O,'jiliarena_代理数据_底稿'!$B:$B,AG$211,'jiliarena_代理数据_底稿'!$A:$A,$A226)</f>
        <v>0</v>
      </c>
      <c r="AH226" s="120">
        <f>sumifs('jiliarena_代理数据_底稿'!$O:$O,'jiliarena_代理数据_底稿'!$B:$B,AH$211,'jiliarena_代理数据_底稿'!$A:$A,$A226)</f>
        <v>0</v>
      </c>
      <c r="AI226" s="120">
        <f>sumifs('jiliarena_代理数据_底稿'!$O:$O,'jiliarena_代理数据_底稿'!$B:$B,AI$211,'jiliarena_代理数据_底稿'!$A:$A,$A226)</f>
        <v>0</v>
      </c>
      <c r="AJ226" s="120">
        <f>sumifs('jiliarena_代理数据_底稿'!$O:$O,'jiliarena_代理数据_底稿'!$B:$B,AJ$211,'jiliarena_代理数据_底稿'!$A:$A,$A226)</f>
        <v>0</v>
      </c>
      <c r="AK226" s="63">
        <f t="shared" si="34"/>
        <v>63735</v>
      </c>
    </row>
    <row r="227">
      <c r="A227" s="122">
        <f t="shared" si="35"/>
        <v>46068</v>
      </c>
      <c r="B227" s="120">
        <f>sumifs('jiliarena_代理数据_底稿'!$O:$O,'jiliarena_代理数据_底稿'!$B:$B,B$211,'jiliarena_代理数据_底稿'!$A:$A,$A227)</f>
        <v>0</v>
      </c>
      <c r="C227" s="120">
        <f>sumifs('jiliarena_代理数据_底稿'!$O:$O,'jiliarena_代理数据_底稿'!$B:$B,C$211,'jiliarena_代理数据_底稿'!$A:$A,$A227)</f>
        <v>37856</v>
      </c>
      <c r="D227" s="120">
        <f>sumifs('jiliarena_代理数据_底稿'!$O:$O,'jiliarena_代理数据_底稿'!$B:$B,D$211,'jiliarena_代理数据_底稿'!$A:$A,$A227)</f>
        <v>0</v>
      </c>
      <c r="E227" s="120">
        <f>sumifs('jiliarena_代理数据_底稿'!$O:$O,'jiliarena_代理数据_底稿'!$B:$B,E$211,'jiliarena_代理数据_底稿'!$A:$A,$A227)</f>
        <v>0</v>
      </c>
      <c r="F227" s="120">
        <f>sumifs('jiliarena_代理数据_底稿'!$O:$O,'jiliarena_代理数据_底稿'!$B:$B,F$211,'jiliarena_代理数据_底稿'!$A:$A,$A227)</f>
        <v>0</v>
      </c>
      <c r="G227" s="120">
        <f>sumifs('jiliarena_代理数据_底稿'!$O:$O,'jiliarena_代理数据_底稿'!$B:$B,G$211,'jiliarena_代理数据_底稿'!$A:$A,$A227)</f>
        <v>0</v>
      </c>
      <c r="H227" s="120">
        <f>sumifs('jiliarena_代理数据_底稿'!$O:$O,'jiliarena_代理数据_底稿'!$B:$B,H$211,'jiliarena_代理数据_底稿'!$A:$A,$A227)</f>
        <v>0</v>
      </c>
      <c r="I227" s="120">
        <f>sumifs('jiliarena_代理数据_底稿'!$O:$O,'jiliarena_代理数据_底稿'!$B:$B,I$211,'jiliarena_代理数据_底稿'!$A:$A,$A227)</f>
        <v>0</v>
      </c>
      <c r="J227" s="120">
        <f>sumifs('jiliarena_代理数据_底稿'!$O:$O,'jiliarena_代理数据_底稿'!$B:$B,J$211,'jiliarena_代理数据_底稿'!$A:$A,$A227)</f>
        <v>0</v>
      </c>
      <c r="K227" s="120">
        <f>sumifs('jiliarena_代理数据_底稿'!$O:$O,'jiliarena_代理数据_底稿'!$B:$B,K$211,'jiliarena_代理数据_底稿'!$A:$A,$A227)</f>
        <v>0</v>
      </c>
      <c r="L227" s="120">
        <f>sumifs('jiliarena_代理数据_底稿'!$O:$O,'jiliarena_代理数据_底稿'!$B:$B,L$211,'jiliarena_代理数据_底稿'!$A:$A,$A227)</f>
        <v>0</v>
      </c>
      <c r="M227" s="120">
        <f>sumifs('jiliarena_代理数据_底稿'!$O:$O,'jiliarena_代理数据_底稿'!$B:$B,M$211,'jiliarena_代理数据_底稿'!$A:$A,$A227)</f>
        <v>0</v>
      </c>
      <c r="N227" s="120">
        <f>sumifs('jiliarena_代理数据_底稿'!$O:$O,'jiliarena_代理数据_底稿'!$B:$B,N$211,'jiliarena_代理数据_底稿'!$A:$A,$A227)</f>
        <v>0</v>
      </c>
      <c r="O227" s="120">
        <f>sumifs('jiliarena_代理数据_底稿'!$O:$O,'jiliarena_代理数据_底稿'!$B:$B,O$211,'jiliarena_代理数据_底稿'!$A:$A,$A227)</f>
        <v>0</v>
      </c>
      <c r="P227" s="120">
        <f>sumifs('jiliarena_代理数据_底稿'!$O:$O,'jiliarena_代理数据_底稿'!$B:$B,P$211,'jiliarena_代理数据_底稿'!$A:$A,$A227)</f>
        <v>0</v>
      </c>
      <c r="Q227" s="120">
        <f>sumifs('jiliarena_代理数据_底稿'!$O:$O,'jiliarena_代理数据_底稿'!$B:$B,Q$211,'jiliarena_代理数据_底稿'!$A:$A,$A227)</f>
        <v>0</v>
      </c>
      <c r="R227" s="120">
        <f>sumifs('jiliarena_代理数据_底稿'!$O:$O,'jiliarena_代理数据_底稿'!$B:$B,R$211,'jiliarena_代理数据_底稿'!$A:$A,$A227)</f>
        <v>0</v>
      </c>
      <c r="S227" s="120">
        <f>sumifs('jiliarena_代理数据_底稿'!$O:$O,'jiliarena_代理数据_底稿'!$B:$B,S$211,'jiliarena_代理数据_底稿'!$A:$A,$A227)</f>
        <v>0</v>
      </c>
      <c r="T227" s="120">
        <f>sumifs('jiliarena_代理数据_底稿'!$O:$O,'jiliarena_代理数据_底稿'!$B:$B,T$211,'jiliarena_代理数据_底稿'!$A:$A,$A227)</f>
        <v>0</v>
      </c>
      <c r="U227" s="120">
        <f>sumifs('jiliarena_代理数据_底稿'!$O:$O,'jiliarena_代理数据_底稿'!$B:$B,U$211,'jiliarena_代理数据_底稿'!$A:$A,$A227)</f>
        <v>0</v>
      </c>
      <c r="V227" s="120">
        <f>sumifs('jiliarena_代理数据_底稿'!$O:$O,'jiliarena_代理数据_底稿'!$B:$B,V$211,'jiliarena_代理数据_底稿'!$A:$A,$A227)</f>
        <v>0</v>
      </c>
      <c r="W227" s="120">
        <f>sumifs('jiliarena_代理数据_底稿'!$O:$O,'jiliarena_代理数据_底稿'!$B:$B,W$211,'jiliarena_代理数据_底稿'!$A:$A,$A227)</f>
        <v>0</v>
      </c>
      <c r="X227" s="120">
        <f>sumifs('jiliarena_代理数据_底稿'!$O:$O,'jiliarena_代理数据_底稿'!$B:$B,X$211,'jiliarena_代理数据_底稿'!$A:$A,$A227)</f>
        <v>0</v>
      </c>
      <c r="Y227" s="120">
        <f>sumifs('jiliarena_代理数据_底稿'!$O:$O,'jiliarena_代理数据_底稿'!$B:$B,Y$211,'jiliarena_代理数据_底稿'!$A:$A,$A227)</f>
        <v>0</v>
      </c>
      <c r="Z227" s="120">
        <f>sumifs('jiliarena_代理数据_底稿'!$O:$O,'jiliarena_代理数据_底稿'!$B:$B,Z$211,'jiliarena_代理数据_底稿'!$A:$A,$A227)</f>
        <v>0</v>
      </c>
      <c r="AA227" s="120">
        <f>sumifs('jiliarena_代理数据_底稿'!$O:$O,'jiliarena_代理数据_底稿'!$B:$B,AA$211,'jiliarena_代理数据_底稿'!$A:$A,$A227)</f>
        <v>0</v>
      </c>
      <c r="AB227" s="120">
        <f>sumifs('jiliarena_代理数据_底稿'!$O:$O,'jiliarena_代理数据_底稿'!$B:$B,AB$211,'jiliarena_代理数据_底稿'!$A:$A,$A227)</f>
        <v>0</v>
      </c>
      <c r="AC227" s="120">
        <f>sumifs('jiliarena_代理数据_底稿'!$O:$O,'jiliarena_代理数据_底稿'!$B:$B,AC$211,'jiliarena_代理数据_底稿'!$A:$A,$A227)</f>
        <v>0</v>
      </c>
      <c r="AD227" s="120">
        <f>sumifs('jiliarena_代理数据_底稿'!$O:$O,'jiliarena_代理数据_底稿'!$B:$B,AD$211,'jiliarena_代理数据_底稿'!$A:$A,$A227)</f>
        <v>0</v>
      </c>
      <c r="AE227" s="120">
        <f>sumifs('jiliarena_代理数据_底稿'!$O:$O,'jiliarena_代理数据_底稿'!$B:$B,AE$211,'jiliarena_代理数据_底稿'!$A:$A,$A227)</f>
        <v>0</v>
      </c>
      <c r="AF227" s="120">
        <f>sumifs('jiliarena_代理数据_底稿'!$O:$O,'jiliarena_代理数据_底稿'!$B:$B,AF$211,'jiliarena_代理数据_底稿'!$A:$A,$A227)</f>
        <v>0</v>
      </c>
      <c r="AG227" s="120">
        <f>sumifs('jiliarena_代理数据_底稿'!$O:$O,'jiliarena_代理数据_底稿'!$B:$B,AG$211,'jiliarena_代理数据_底稿'!$A:$A,$A227)</f>
        <v>0</v>
      </c>
      <c r="AH227" s="120">
        <f>sumifs('jiliarena_代理数据_底稿'!$O:$O,'jiliarena_代理数据_底稿'!$B:$B,AH$211,'jiliarena_代理数据_底稿'!$A:$A,$A227)</f>
        <v>0</v>
      </c>
      <c r="AI227" s="120">
        <f>sumifs('jiliarena_代理数据_底稿'!$O:$O,'jiliarena_代理数据_底稿'!$B:$B,AI$211,'jiliarena_代理数据_底稿'!$A:$A,$A227)</f>
        <v>0</v>
      </c>
      <c r="AJ227" s="120">
        <f>sumifs('jiliarena_代理数据_底稿'!$O:$O,'jiliarena_代理数据_底稿'!$B:$B,AJ$211,'jiliarena_代理数据_底稿'!$A:$A,$A227)</f>
        <v>0</v>
      </c>
      <c r="AK227" s="63">
        <f t="shared" si="34"/>
        <v>37856</v>
      </c>
    </row>
    <row r="228">
      <c r="A228" s="122">
        <f t="shared" si="35"/>
        <v>46069</v>
      </c>
      <c r="B228" s="120">
        <f>sumifs('jiliarena_代理数据_底稿'!$O:$O,'jiliarena_代理数据_底稿'!$B:$B,B$211,'jiliarena_代理数据_底稿'!$A:$A,$A228)</f>
        <v>0</v>
      </c>
      <c r="C228" s="120">
        <f>sumifs('jiliarena_代理数据_底稿'!$O:$O,'jiliarena_代理数据_底稿'!$B:$B,C$211,'jiliarena_代理数据_底稿'!$A:$A,$A228)</f>
        <v>27315</v>
      </c>
      <c r="D228" s="120">
        <f>sumifs('jiliarena_代理数据_底稿'!$O:$O,'jiliarena_代理数据_底稿'!$B:$B,D$211,'jiliarena_代理数据_底稿'!$A:$A,$A228)</f>
        <v>0</v>
      </c>
      <c r="E228" s="120">
        <f>sumifs('jiliarena_代理数据_底稿'!$O:$O,'jiliarena_代理数据_底稿'!$B:$B,E$211,'jiliarena_代理数据_底稿'!$A:$A,$A228)</f>
        <v>0</v>
      </c>
      <c r="F228" s="120">
        <f>sumifs('jiliarena_代理数据_底稿'!$O:$O,'jiliarena_代理数据_底稿'!$B:$B,F$211,'jiliarena_代理数据_底稿'!$A:$A,$A228)</f>
        <v>0</v>
      </c>
      <c r="G228" s="120">
        <f>sumifs('jiliarena_代理数据_底稿'!$O:$O,'jiliarena_代理数据_底稿'!$B:$B,G$211,'jiliarena_代理数据_底稿'!$A:$A,$A228)</f>
        <v>0</v>
      </c>
      <c r="H228" s="120">
        <f>sumifs('jiliarena_代理数据_底稿'!$O:$O,'jiliarena_代理数据_底稿'!$B:$B,H$211,'jiliarena_代理数据_底稿'!$A:$A,$A228)</f>
        <v>0</v>
      </c>
      <c r="I228" s="120">
        <f>sumifs('jiliarena_代理数据_底稿'!$O:$O,'jiliarena_代理数据_底稿'!$B:$B,I$211,'jiliarena_代理数据_底稿'!$A:$A,$A228)</f>
        <v>0</v>
      </c>
      <c r="J228" s="120">
        <f>sumifs('jiliarena_代理数据_底稿'!$O:$O,'jiliarena_代理数据_底稿'!$B:$B,J$211,'jiliarena_代理数据_底稿'!$A:$A,$A228)</f>
        <v>0</v>
      </c>
      <c r="K228" s="120">
        <f>sumifs('jiliarena_代理数据_底稿'!$O:$O,'jiliarena_代理数据_底稿'!$B:$B,K$211,'jiliarena_代理数据_底稿'!$A:$A,$A228)</f>
        <v>0</v>
      </c>
      <c r="L228" s="120">
        <f>sumifs('jiliarena_代理数据_底稿'!$O:$O,'jiliarena_代理数据_底稿'!$B:$B,L$211,'jiliarena_代理数据_底稿'!$A:$A,$A228)</f>
        <v>0</v>
      </c>
      <c r="M228" s="120">
        <f>sumifs('jiliarena_代理数据_底稿'!$O:$O,'jiliarena_代理数据_底稿'!$B:$B,M$211,'jiliarena_代理数据_底稿'!$A:$A,$A228)</f>
        <v>0</v>
      </c>
      <c r="N228" s="120">
        <f>sumifs('jiliarena_代理数据_底稿'!$O:$O,'jiliarena_代理数据_底稿'!$B:$B,N$211,'jiliarena_代理数据_底稿'!$A:$A,$A228)</f>
        <v>0</v>
      </c>
      <c r="O228" s="120">
        <f>sumifs('jiliarena_代理数据_底稿'!$O:$O,'jiliarena_代理数据_底稿'!$B:$B,O$211,'jiliarena_代理数据_底稿'!$A:$A,$A228)</f>
        <v>0</v>
      </c>
      <c r="P228" s="120">
        <f>sumifs('jiliarena_代理数据_底稿'!$O:$O,'jiliarena_代理数据_底稿'!$B:$B,P$211,'jiliarena_代理数据_底稿'!$A:$A,$A228)</f>
        <v>0</v>
      </c>
      <c r="Q228" s="120">
        <f>sumifs('jiliarena_代理数据_底稿'!$O:$O,'jiliarena_代理数据_底稿'!$B:$B,Q$211,'jiliarena_代理数据_底稿'!$A:$A,$A228)</f>
        <v>0</v>
      </c>
      <c r="R228" s="120">
        <f>sumifs('jiliarena_代理数据_底稿'!$O:$O,'jiliarena_代理数据_底稿'!$B:$B,R$211,'jiliarena_代理数据_底稿'!$A:$A,$A228)</f>
        <v>0</v>
      </c>
      <c r="S228" s="120">
        <f>sumifs('jiliarena_代理数据_底稿'!$O:$O,'jiliarena_代理数据_底稿'!$B:$B,S$211,'jiliarena_代理数据_底稿'!$A:$A,$A228)</f>
        <v>0</v>
      </c>
      <c r="T228" s="120">
        <f>sumifs('jiliarena_代理数据_底稿'!$O:$O,'jiliarena_代理数据_底稿'!$B:$B,T$211,'jiliarena_代理数据_底稿'!$A:$A,$A228)</f>
        <v>0</v>
      </c>
      <c r="U228" s="120">
        <f>sumifs('jiliarena_代理数据_底稿'!$O:$O,'jiliarena_代理数据_底稿'!$B:$B,U$211,'jiliarena_代理数据_底稿'!$A:$A,$A228)</f>
        <v>0</v>
      </c>
      <c r="V228" s="120">
        <f>sumifs('jiliarena_代理数据_底稿'!$O:$O,'jiliarena_代理数据_底稿'!$B:$B,V$211,'jiliarena_代理数据_底稿'!$A:$A,$A228)</f>
        <v>0</v>
      </c>
      <c r="W228" s="120">
        <f>sumifs('jiliarena_代理数据_底稿'!$O:$O,'jiliarena_代理数据_底稿'!$B:$B,W$211,'jiliarena_代理数据_底稿'!$A:$A,$A228)</f>
        <v>0</v>
      </c>
      <c r="X228" s="120">
        <f>sumifs('jiliarena_代理数据_底稿'!$O:$O,'jiliarena_代理数据_底稿'!$B:$B,X$211,'jiliarena_代理数据_底稿'!$A:$A,$A228)</f>
        <v>0</v>
      </c>
      <c r="Y228" s="120">
        <f>sumifs('jiliarena_代理数据_底稿'!$O:$O,'jiliarena_代理数据_底稿'!$B:$B,Y$211,'jiliarena_代理数据_底稿'!$A:$A,$A228)</f>
        <v>0</v>
      </c>
      <c r="Z228" s="120">
        <f>sumifs('jiliarena_代理数据_底稿'!$O:$O,'jiliarena_代理数据_底稿'!$B:$B,Z$211,'jiliarena_代理数据_底稿'!$A:$A,$A228)</f>
        <v>0</v>
      </c>
      <c r="AA228" s="120">
        <f>sumifs('jiliarena_代理数据_底稿'!$O:$O,'jiliarena_代理数据_底稿'!$B:$B,AA$211,'jiliarena_代理数据_底稿'!$A:$A,$A228)</f>
        <v>0</v>
      </c>
      <c r="AB228" s="120">
        <f>sumifs('jiliarena_代理数据_底稿'!$O:$O,'jiliarena_代理数据_底稿'!$B:$B,AB$211,'jiliarena_代理数据_底稿'!$A:$A,$A228)</f>
        <v>0</v>
      </c>
      <c r="AC228" s="120">
        <f>sumifs('jiliarena_代理数据_底稿'!$O:$O,'jiliarena_代理数据_底稿'!$B:$B,AC$211,'jiliarena_代理数据_底稿'!$A:$A,$A228)</f>
        <v>0</v>
      </c>
      <c r="AD228" s="120">
        <f>sumifs('jiliarena_代理数据_底稿'!$O:$O,'jiliarena_代理数据_底稿'!$B:$B,AD$211,'jiliarena_代理数据_底稿'!$A:$A,$A228)</f>
        <v>0</v>
      </c>
      <c r="AE228" s="120">
        <f>sumifs('jiliarena_代理数据_底稿'!$O:$O,'jiliarena_代理数据_底稿'!$B:$B,AE$211,'jiliarena_代理数据_底稿'!$A:$A,$A228)</f>
        <v>0</v>
      </c>
      <c r="AF228" s="120">
        <f>sumifs('jiliarena_代理数据_底稿'!$O:$O,'jiliarena_代理数据_底稿'!$B:$B,AF$211,'jiliarena_代理数据_底稿'!$A:$A,$A228)</f>
        <v>0</v>
      </c>
      <c r="AG228" s="120">
        <f>sumifs('jiliarena_代理数据_底稿'!$O:$O,'jiliarena_代理数据_底稿'!$B:$B,AG$211,'jiliarena_代理数据_底稿'!$A:$A,$A228)</f>
        <v>0</v>
      </c>
      <c r="AH228" s="120">
        <f>sumifs('jiliarena_代理数据_底稿'!$O:$O,'jiliarena_代理数据_底稿'!$B:$B,AH$211,'jiliarena_代理数据_底稿'!$A:$A,$A228)</f>
        <v>0</v>
      </c>
      <c r="AI228" s="120">
        <f>sumifs('jiliarena_代理数据_底稿'!$O:$O,'jiliarena_代理数据_底稿'!$B:$B,AI$211,'jiliarena_代理数据_底稿'!$A:$A,$A228)</f>
        <v>0</v>
      </c>
      <c r="AJ228" s="120">
        <f>sumifs('jiliarena_代理数据_底稿'!$O:$O,'jiliarena_代理数据_底稿'!$B:$B,AJ$211,'jiliarena_代理数据_底稿'!$A:$A,$A228)</f>
        <v>0</v>
      </c>
      <c r="AK228" s="63">
        <f t="shared" si="34"/>
        <v>27315</v>
      </c>
    </row>
    <row r="229">
      <c r="A229" s="122">
        <f t="shared" si="35"/>
        <v>46070</v>
      </c>
      <c r="B229" s="120">
        <f>sumifs('jiliarena_代理数据_底稿'!$O:$O,'jiliarena_代理数据_底稿'!$B:$B,B$211,'jiliarena_代理数据_底稿'!$A:$A,$A229)</f>
        <v>0</v>
      </c>
      <c r="C229" s="120">
        <f>sumifs('jiliarena_代理数据_底稿'!$O:$O,'jiliarena_代理数据_底稿'!$B:$B,C$211,'jiliarena_代理数据_底稿'!$A:$A,$A229)</f>
        <v>30795</v>
      </c>
      <c r="D229" s="120">
        <f>sumifs('jiliarena_代理数据_底稿'!$O:$O,'jiliarena_代理数据_底稿'!$B:$B,D$211,'jiliarena_代理数据_底稿'!$A:$A,$A229)</f>
        <v>0</v>
      </c>
      <c r="E229" s="120">
        <f>sumifs('jiliarena_代理数据_底稿'!$O:$O,'jiliarena_代理数据_底稿'!$B:$B,E$211,'jiliarena_代理数据_底稿'!$A:$A,$A229)</f>
        <v>0</v>
      </c>
      <c r="F229" s="120">
        <f>sumifs('jiliarena_代理数据_底稿'!$O:$O,'jiliarena_代理数据_底稿'!$B:$B,F$211,'jiliarena_代理数据_底稿'!$A:$A,$A229)</f>
        <v>0</v>
      </c>
      <c r="G229" s="120">
        <f>sumifs('jiliarena_代理数据_底稿'!$O:$O,'jiliarena_代理数据_底稿'!$B:$B,G$211,'jiliarena_代理数据_底稿'!$A:$A,$A229)</f>
        <v>0</v>
      </c>
      <c r="H229" s="120">
        <f>sumifs('jiliarena_代理数据_底稿'!$O:$O,'jiliarena_代理数据_底稿'!$B:$B,H$211,'jiliarena_代理数据_底稿'!$A:$A,$A229)</f>
        <v>0</v>
      </c>
      <c r="I229" s="120">
        <f>sumifs('jiliarena_代理数据_底稿'!$O:$O,'jiliarena_代理数据_底稿'!$B:$B,I$211,'jiliarena_代理数据_底稿'!$A:$A,$A229)</f>
        <v>0</v>
      </c>
      <c r="J229" s="120">
        <f>sumifs('jiliarena_代理数据_底稿'!$O:$O,'jiliarena_代理数据_底稿'!$B:$B,J$211,'jiliarena_代理数据_底稿'!$A:$A,$A229)</f>
        <v>0</v>
      </c>
      <c r="K229" s="120">
        <f>sumifs('jiliarena_代理数据_底稿'!$O:$O,'jiliarena_代理数据_底稿'!$B:$B,K$211,'jiliarena_代理数据_底稿'!$A:$A,$A229)</f>
        <v>0</v>
      </c>
      <c r="L229" s="120">
        <f>sumifs('jiliarena_代理数据_底稿'!$O:$O,'jiliarena_代理数据_底稿'!$B:$B,L$211,'jiliarena_代理数据_底稿'!$A:$A,$A229)</f>
        <v>0</v>
      </c>
      <c r="M229" s="120">
        <f>sumifs('jiliarena_代理数据_底稿'!$O:$O,'jiliarena_代理数据_底稿'!$B:$B,M$211,'jiliarena_代理数据_底稿'!$A:$A,$A229)</f>
        <v>0</v>
      </c>
      <c r="N229" s="120">
        <f>sumifs('jiliarena_代理数据_底稿'!$O:$O,'jiliarena_代理数据_底稿'!$B:$B,N$211,'jiliarena_代理数据_底稿'!$A:$A,$A229)</f>
        <v>0</v>
      </c>
      <c r="O229" s="120">
        <f>sumifs('jiliarena_代理数据_底稿'!$O:$O,'jiliarena_代理数据_底稿'!$B:$B,O$211,'jiliarena_代理数据_底稿'!$A:$A,$A229)</f>
        <v>0</v>
      </c>
      <c r="P229" s="120">
        <f>sumifs('jiliarena_代理数据_底稿'!$O:$O,'jiliarena_代理数据_底稿'!$B:$B,P$211,'jiliarena_代理数据_底稿'!$A:$A,$A229)</f>
        <v>0</v>
      </c>
      <c r="Q229" s="120">
        <f>sumifs('jiliarena_代理数据_底稿'!$O:$O,'jiliarena_代理数据_底稿'!$B:$B,Q$211,'jiliarena_代理数据_底稿'!$A:$A,$A229)</f>
        <v>0</v>
      </c>
      <c r="R229" s="120">
        <f>sumifs('jiliarena_代理数据_底稿'!$O:$O,'jiliarena_代理数据_底稿'!$B:$B,R$211,'jiliarena_代理数据_底稿'!$A:$A,$A229)</f>
        <v>0</v>
      </c>
      <c r="S229" s="120">
        <f>sumifs('jiliarena_代理数据_底稿'!$O:$O,'jiliarena_代理数据_底稿'!$B:$B,S$211,'jiliarena_代理数据_底稿'!$A:$A,$A229)</f>
        <v>0</v>
      </c>
      <c r="T229" s="120">
        <f>sumifs('jiliarena_代理数据_底稿'!$O:$O,'jiliarena_代理数据_底稿'!$B:$B,T$211,'jiliarena_代理数据_底稿'!$A:$A,$A229)</f>
        <v>0</v>
      </c>
      <c r="U229" s="120">
        <f>sumifs('jiliarena_代理数据_底稿'!$O:$O,'jiliarena_代理数据_底稿'!$B:$B,U$211,'jiliarena_代理数据_底稿'!$A:$A,$A229)</f>
        <v>0</v>
      </c>
      <c r="V229" s="120">
        <f>sumifs('jiliarena_代理数据_底稿'!$O:$O,'jiliarena_代理数据_底稿'!$B:$B,V$211,'jiliarena_代理数据_底稿'!$A:$A,$A229)</f>
        <v>0</v>
      </c>
      <c r="W229" s="120">
        <f>sumifs('jiliarena_代理数据_底稿'!$O:$O,'jiliarena_代理数据_底稿'!$B:$B,W$211,'jiliarena_代理数据_底稿'!$A:$A,$A229)</f>
        <v>0</v>
      </c>
      <c r="X229" s="120">
        <f>sumifs('jiliarena_代理数据_底稿'!$O:$O,'jiliarena_代理数据_底稿'!$B:$B,X$211,'jiliarena_代理数据_底稿'!$A:$A,$A229)</f>
        <v>0</v>
      </c>
      <c r="Y229" s="120">
        <f>sumifs('jiliarena_代理数据_底稿'!$O:$O,'jiliarena_代理数据_底稿'!$B:$B,Y$211,'jiliarena_代理数据_底稿'!$A:$A,$A229)</f>
        <v>0</v>
      </c>
      <c r="Z229" s="120">
        <f>sumifs('jiliarena_代理数据_底稿'!$O:$O,'jiliarena_代理数据_底稿'!$B:$B,Z$211,'jiliarena_代理数据_底稿'!$A:$A,$A229)</f>
        <v>0</v>
      </c>
      <c r="AA229" s="120">
        <f>sumifs('jiliarena_代理数据_底稿'!$O:$O,'jiliarena_代理数据_底稿'!$B:$B,AA$211,'jiliarena_代理数据_底稿'!$A:$A,$A229)</f>
        <v>0</v>
      </c>
      <c r="AB229" s="120">
        <f>sumifs('jiliarena_代理数据_底稿'!$O:$O,'jiliarena_代理数据_底稿'!$B:$B,AB$211,'jiliarena_代理数据_底稿'!$A:$A,$A229)</f>
        <v>0</v>
      </c>
      <c r="AC229" s="120">
        <f>sumifs('jiliarena_代理数据_底稿'!$O:$O,'jiliarena_代理数据_底稿'!$B:$B,AC$211,'jiliarena_代理数据_底稿'!$A:$A,$A229)</f>
        <v>0</v>
      </c>
      <c r="AD229" s="120">
        <f>sumifs('jiliarena_代理数据_底稿'!$O:$O,'jiliarena_代理数据_底稿'!$B:$B,AD$211,'jiliarena_代理数据_底稿'!$A:$A,$A229)</f>
        <v>0</v>
      </c>
      <c r="AE229" s="120">
        <f>sumifs('jiliarena_代理数据_底稿'!$O:$O,'jiliarena_代理数据_底稿'!$B:$B,AE$211,'jiliarena_代理数据_底稿'!$A:$A,$A229)</f>
        <v>0</v>
      </c>
      <c r="AF229" s="120">
        <f>sumifs('jiliarena_代理数据_底稿'!$O:$O,'jiliarena_代理数据_底稿'!$B:$B,AF$211,'jiliarena_代理数据_底稿'!$A:$A,$A229)</f>
        <v>0</v>
      </c>
      <c r="AG229" s="120">
        <f>sumifs('jiliarena_代理数据_底稿'!$O:$O,'jiliarena_代理数据_底稿'!$B:$B,AG$211,'jiliarena_代理数据_底稿'!$A:$A,$A229)</f>
        <v>0</v>
      </c>
      <c r="AH229" s="120">
        <f>sumifs('jiliarena_代理数据_底稿'!$O:$O,'jiliarena_代理数据_底稿'!$B:$B,AH$211,'jiliarena_代理数据_底稿'!$A:$A,$A229)</f>
        <v>0</v>
      </c>
      <c r="AI229" s="120">
        <f>sumifs('jiliarena_代理数据_底稿'!$O:$O,'jiliarena_代理数据_底稿'!$B:$B,AI$211,'jiliarena_代理数据_底稿'!$A:$A,$A229)</f>
        <v>0</v>
      </c>
      <c r="AJ229" s="120">
        <f>sumifs('jiliarena_代理数据_底稿'!$O:$O,'jiliarena_代理数据_底稿'!$B:$B,AJ$211,'jiliarena_代理数据_底稿'!$A:$A,$A229)</f>
        <v>0</v>
      </c>
      <c r="AK229" s="63">
        <f t="shared" si="34"/>
        <v>30795</v>
      </c>
    </row>
    <row r="230">
      <c r="A230" s="122">
        <f t="shared" si="35"/>
        <v>46071</v>
      </c>
      <c r="B230" s="120">
        <f>sumifs('jiliarena_代理数据_底稿'!$O:$O,'jiliarena_代理数据_底稿'!$B:$B,B$211,'jiliarena_代理数据_底稿'!$A:$A,$A230)</f>
        <v>0</v>
      </c>
      <c r="C230" s="120">
        <f>sumifs('jiliarena_代理数据_底稿'!$O:$O,'jiliarena_代理数据_底稿'!$B:$B,C$211,'jiliarena_代理数据_底稿'!$A:$A,$A230)</f>
        <v>32864</v>
      </c>
      <c r="D230" s="120">
        <f>sumifs('jiliarena_代理数据_底稿'!$O:$O,'jiliarena_代理数据_底稿'!$B:$B,D$211,'jiliarena_代理数据_底稿'!$A:$A,$A230)</f>
        <v>0</v>
      </c>
      <c r="E230" s="120">
        <f>sumifs('jiliarena_代理数据_底稿'!$O:$O,'jiliarena_代理数据_底稿'!$B:$B,E$211,'jiliarena_代理数据_底稿'!$A:$A,$A230)</f>
        <v>0</v>
      </c>
      <c r="F230" s="120">
        <f>sumifs('jiliarena_代理数据_底稿'!$O:$O,'jiliarena_代理数据_底稿'!$B:$B,F$211,'jiliarena_代理数据_底稿'!$A:$A,$A230)</f>
        <v>0</v>
      </c>
      <c r="G230" s="120">
        <f>sumifs('jiliarena_代理数据_底稿'!$O:$O,'jiliarena_代理数据_底稿'!$B:$B,G$211,'jiliarena_代理数据_底稿'!$A:$A,$A230)</f>
        <v>0</v>
      </c>
      <c r="H230" s="120">
        <f>sumifs('jiliarena_代理数据_底稿'!$O:$O,'jiliarena_代理数据_底稿'!$B:$B,H$211,'jiliarena_代理数据_底稿'!$A:$A,$A230)</f>
        <v>0</v>
      </c>
      <c r="I230" s="120">
        <f>sumifs('jiliarena_代理数据_底稿'!$O:$O,'jiliarena_代理数据_底稿'!$B:$B,I$211,'jiliarena_代理数据_底稿'!$A:$A,$A230)</f>
        <v>0</v>
      </c>
      <c r="J230" s="120">
        <f>sumifs('jiliarena_代理数据_底稿'!$O:$O,'jiliarena_代理数据_底稿'!$B:$B,J$211,'jiliarena_代理数据_底稿'!$A:$A,$A230)</f>
        <v>0</v>
      </c>
      <c r="K230" s="120">
        <f>sumifs('jiliarena_代理数据_底稿'!$O:$O,'jiliarena_代理数据_底稿'!$B:$B,K$211,'jiliarena_代理数据_底稿'!$A:$A,$A230)</f>
        <v>0</v>
      </c>
      <c r="L230" s="120">
        <f>sumifs('jiliarena_代理数据_底稿'!$O:$O,'jiliarena_代理数据_底稿'!$B:$B,L$211,'jiliarena_代理数据_底稿'!$A:$A,$A230)</f>
        <v>0</v>
      </c>
      <c r="M230" s="120">
        <f>sumifs('jiliarena_代理数据_底稿'!$O:$O,'jiliarena_代理数据_底稿'!$B:$B,M$211,'jiliarena_代理数据_底稿'!$A:$A,$A230)</f>
        <v>0</v>
      </c>
      <c r="N230" s="120">
        <f>sumifs('jiliarena_代理数据_底稿'!$O:$O,'jiliarena_代理数据_底稿'!$B:$B,N$211,'jiliarena_代理数据_底稿'!$A:$A,$A230)</f>
        <v>0</v>
      </c>
      <c r="O230" s="120">
        <f>sumifs('jiliarena_代理数据_底稿'!$O:$O,'jiliarena_代理数据_底稿'!$B:$B,O$211,'jiliarena_代理数据_底稿'!$A:$A,$A230)</f>
        <v>0</v>
      </c>
      <c r="P230" s="120">
        <f>sumifs('jiliarena_代理数据_底稿'!$O:$O,'jiliarena_代理数据_底稿'!$B:$B,P$211,'jiliarena_代理数据_底稿'!$A:$A,$A230)</f>
        <v>0</v>
      </c>
      <c r="Q230" s="120">
        <f>sumifs('jiliarena_代理数据_底稿'!$O:$O,'jiliarena_代理数据_底稿'!$B:$B,Q$211,'jiliarena_代理数据_底稿'!$A:$A,$A230)</f>
        <v>0</v>
      </c>
      <c r="R230" s="120">
        <f>sumifs('jiliarena_代理数据_底稿'!$O:$O,'jiliarena_代理数据_底稿'!$B:$B,R$211,'jiliarena_代理数据_底稿'!$A:$A,$A230)</f>
        <v>0</v>
      </c>
      <c r="S230" s="120">
        <f>sumifs('jiliarena_代理数据_底稿'!$O:$O,'jiliarena_代理数据_底稿'!$B:$B,S$211,'jiliarena_代理数据_底稿'!$A:$A,$A230)</f>
        <v>0</v>
      </c>
      <c r="T230" s="120">
        <f>sumifs('jiliarena_代理数据_底稿'!$O:$O,'jiliarena_代理数据_底稿'!$B:$B,T$211,'jiliarena_代理数据_底稿'!$A:$A,$A230)</f>
        <v>0</v>
      </c>
      <c r="U230" s="120">
        <f>sumifs('jiliarena_代理数据_底稿'!$O:$O,'jiliarena_代理数据_底稿'!$B:$B,U$211,'jiliarena_代理数据_底稿'!$A:$A,$A230)</f>
        <v>0</v>
      </c>
      <c r="V230" s="120">
        <f>sumifs('jiliarena_代理数据_底稿'!$O:$O,'jiliarena_代理数据_底稿'!$B:$B,V$211,'jiliarena_代理数据_底稿'!$A:$A,$A230)</f>
        <v>0</v>
      </c>
      <c r="W230" s="120">
        <f>sumifs('jiliarena_代理数据_底稿'!$O:$O,'jiliarena_代理数据_底稿'!$B:$B,W$211,'jiliarena_代理数据_底稿'!$A:$A,$A230)</f>
        <v>0</v>
      </c>
      <c r="X230" s="120">
        <f>sumifs('jiliarena_代理数据_底稿'!$O:$O,'jiliarena_代理数据_底稿'!$B:$B,X$211,'jiliarena_代理数据_底稿'!$A:$A,$A230)</f>
        <v>0</v>
      </c>
      <c r="Y230" s="120">
        <f>sumifs('jiliarena_代理数据_底稿'!$O:$O,'jiliarena_代理数据_底稿'!$B:$B,Y$211,'jiliarena_代理数据_底稿'!$A:$A,$A230)</f>
        <v>0</v>
      </c>
      <c r="Z230" s="120">
        <f>sumifs('jiliarena_代理数据_底稿'!$O:$O,'jiliarena_代理数据_底稿'!$B:$B,Z$211,'jiliarena_代理数据_底稿'!$A:$A,$A230)</f>
        <v>0</v>
      </c>
      <c r="AA230" s="120">
        <f>sumifs('jiliarena_代理数据_底稿'!$O:$O,'jiliarena_代理数据_底稿'!$B:$B,AA$211,'jiliarena_代理数据_底稿'!$A:$A,$A230)</f>
        <v>0</v>
      </c>
      <c r="AB230" s="120">
        <f>sumifs('jiliarena_代理数据_底稿'!$O:$O,'jiliarena_代理数据_底稿'!$B:$B,AB$211,'jiliarena_代理数据_底稿'!$A:$A,$A230)</f>
        <v>0</v>
      </c>
      <c r="AC230" s="120">
        <f>sumifs('jiliarena_代理数据_底稿'!$O:$O,'jiliarena_代理数据_底稿'!$B:$B,AC$211,'jiliarena_代理数据_底稿'!$A:$A,$A230)</f>
        <v>0</v>
      </c>
      <c r="AD230" s="120">
        <f>sumifs('jiliarena_代理数据_底稿'!$O:$O,'jiliarena_代理数据_底稿'!$B:$B,AD$211,'jiliarena_代理数据_底稿'!$A:$A,$A230)</f>
        <v>0</v>
      </c>
      <c r="AE230" s="120">
        <f>sumifs('jiliarena_代理数据_底稿'!$O:$O,'jiliarena_代理数据_底稿'!$B:$B,AE$211,'jiliarena_代理数据_底稿'!$A:$A,$A230)</f>
        <v>0</v>
      </c>
      <c r="AF230" s="120">
        <f>sumifs('jiliarena_代理数据_底稿'!$O:$O,'jiliarena_代理数据_底稿'!$B:$B,AF$211,'jiliarena_代理数据_底稿'!$A:$A,$A230)</f>
        <v>0</v>
      </c>
      <c r="AG230" s="120">
        <f>sumifs('jiliarena_代理数据_底稿'!$O:$O,'jiliarena_代理数据_底稿'!$B:$B,AG$211,'jiliarena_代理数据_底稿'!$A:$A,$A230)</f>
        <v>0</v>
      </c>
      <c r="AH230" s="120">
        <f>sumifs('jiliarena_代理数据_底稿'!$O:$O,'jiliarena_代理数据_底稿'!$B:$B,AH$211,'jiliarena_代理数据_底稿'!$A:$A,$A230)</f>
        <v>0</v>
      </c>
      <c r="AI230" s="120">
        <f>sumifs('jiliarena_代理数据_底稿'!$O:$O,'jiliarena_代理数据_底稿'!$B:$B,AI$211,'jiliarena_代理数据_底稿'!$A:$A,$A230)</f>
        <v>0</v>
      </c>
      <c r="AJ230" s="120">
        <f>sumifs('jiliarena_代理数据_底稿'!$O:$O,'jiliarena_代理数据_底稿'!$B:$B,AJ$211,'jiliarena_代理数据_底稿'!$A:$A,$A230)</f>
        <v>0</v>
      </c>
      <c r="AK230" s="63">
        <f t="shared" si="34"/>
        <v>32864</v>
      </c>
    </row>
    <row r="231">
      <c r="A231" s="122">
        <f t="shared" si="35"/>
        <v>46072</v>
      </c>
      <c r="B231" s="120">
        <f>sumifs('jiliarena_代理数据_底稿'!$O:$O,'jiliarena_代理数据_底稿'!$B:$B,B$211,'jiliarena_代理数据_底稿'!$A:$A,$A231)</f>
        <v>0</v>
      </c>
      <c r="C231" s="120">
        <f>sumifs('jiliarena_代理数据_底稿'!$O:$O,'jiliarena_代理数据_底稿'!$B:$B,C$211,'jiliarena_代理数据_底稿'!$A:$A,$A231)</f>
        <v>44718</v>
      </c>
      <c r="D231" s="120">
        <f>sumifs('jiliarena_代理数据_底稿'!$O:$O,'jiliarena_代理数据_底稿'!$B:$B,D$211,'jiliarena_代理数据_底稿'!$A:$A,$A231)</f>
        <v>0</v>
      </c>
      <c r="E231" s="120">
        <f>sumifs('jiliarena_代理数据_底稿'!$O:$O,'jiliarena_代理数据_底稿'!$B:$B,E$211,'jiliarena_代理数据_底稿'!$A:$A,$A231)</f>
        <v>0</v>
      </c>
      <c r="F231" s="120">
        <f>sumifs('jiliarena_代理数据_底稿'!$O:$O,'jiliarena_代理数据_底稿'!$B:$B,F$211,'jiliarena_代理数据_底稿'!$A:$A,$A231)</f>
        <v>0</v>
      </c>
      <c r="G231" s="120">
        <f>sumifs('jiliarena_代理数据_底稿'!$O:$O,'jiliarena_代理数据_底稿'!$B:$B,G$211,'jiliarena_代理数据_底稿'!$A:$A,$A231)</f>
        <v>0</v>
      </c>
      <c r="H231" s="120">
        <f>sumifs('jiliarena_代理数据_底稿'!$O:$O,'jiliarena_代理数据_底稿'!$B:$B,H$211,'jiliarena_代理数据_底稿'!$A:$A,$A231)</f>
        <v>0</v>
      </c>
      <c r="I231" s="120">
        <f>sumifs('jiliarena_代理数据_底稿'!$O:$O,'jiliarena_代理数据_底稿'!$B:$B,I$211,'jiliarena_代理数据_底稿'!$A:$A,$A231)</f>
        <v>0</v>
      </c>
      <c r="J231" s="120">
        <f>sumifs('jiliarena_代理数据_底稿'!$O:$O,'jiliarena_代理数据_底稿'!$B:$B,J$211,'jiliarena_代理数据_底稿'!$A:$A,$A231)</f>
        <v>0</v>
      </c>
      <c r="K231" s="120">
        <f>sumifs('jiliarena_代理数据_底稿'!$O:$O,'jiliarena_代理数据_底稿'!$B:$B,K$211,'jiliarena_代理数据_底稿'!$A:$A,$A231)</f>
        <v>0</v>
      </c>
      <c r="L231" s="120">
        <f>sumifs('jiliarena_代理数据_底稿'!$O:$O,'jiliarena_代理数据_底稿'!$B:$B,L$211,'jiliarena_代理数据_底稿'!$A:$A,$A231)</f>
        <v>0</v>
      </c>
      <c r="M231" s="120">
        <f>sumifs('jiliarena_代理数据_底稿'!$O:$O,'jiliarena_代理数据_底稿'!$B:$B,M$211,'jiliarena_代理数据_底稿'!$A:$A,$A231)</f>
        <v>0</v>
      </c>
      <c r="N231" s="120">
        <f>sumifs('jiliarena_代理数据_底稿'!$O:$O,'jiliarena_代理数据_底稿'!$B:$B,N$211,'jiliarena_代理数据_底稿'!$A:$A,$A231)</f>
        <v>0</v>
      </c>
      <c r="O231" s="120">
        <f>sumifs('jiliarena_代理数据_底稿'!$O:$O,'jiliarena_代理数据_底稿'!$B:$B,O$211,'jiliarena_代理数据_底稿'!$A:$A,$A231)</f>
        <v>0</v>
      </c>
      <c r="P231" s="120">
        <f>sumifs('jiliarena_代理数据_底稿'!$O:$O,'jiliarena_代理数据_底稿'!$B:$B,P$211,'jiliarena_代理数据_底稿'!$A:$A,$A231)</f>
        <v>0</v>
      </c>
      <c r="Q231" s="120">
        <f>sumifs('jiliarena_代理数据_底稿'!$O:$O,'jiliarena_代理数据_底稿'!$B:$B,Q$211,'jiliarena_代理数据_底稿'!$A:$A,$A231)</f>
        <v>0</v>
      </c>
      <c r="R231" s="120">
        <f>sumifs('jiliarena_代理数据_底稿'!$O:$O,'jiliarena_代理数据_底稿'!$B:$B,R$211,'jiliarena_代理数据_底稿'!$A:$A,$A231)</f>
        <v>0</v>
      </c>
      <c r="S231" s="120">
        <f>sumifs('jiliarena_代理数据_底稿'!$O:$O,'jiliarena_代理数据_底稿'!$B:$B,S$211,'jiliarena_代理数据_底稿'!$A:$A,$A231)</f>
        <v>0</v>
      </c>
      <c r="T231" s="120">
        <f>sumifs('jiliarena_代理数据_底稿'!$O:$O,'jiliarena_代理数据_底稿'!$B:$B,T$211,'jiliarena_代理数据_底稿'!$A:$A,$A231)</f>
        <v>0</v>
      </c>
      <c r="U231" s="120">
        <f>sumifs('jiliarena_代理数据_底稿'!$O:$O,'jiliarena_代理数据_底稿'!$B:$B,U$211,'jiliarena_代理数据_底稿'!$A:$A,$A231)</f>
        <v>0</v>
      </c>
      <c r="V231" s="120">
        <f>sumifs('jiliarena_代理数据_底稿'!$O:$O,'jiliarena_代理数据_底稿'!$B:$B,V$211,'jiliarena_代理数据_底稿'!$A:$A,$A231)</f>
        <v>0</v>
      </c>
      <c r="W231" s="120">
        <f>sumifs('jiliarena_代理数据_底稿'!$O:$O,'jiliarena_代理数据_底稿'!$B:$B,W$211,'jiliarena_代理数据_底稿'!$A:$A,$A231)</f>
        <v>0</v>
      </c>
      <c r="X231" s="120">
        <f>sumifs('jiliarena_代理数据_底稿'!$O:$O,'jiliarena_代理数据_底稿'!$B:$B,X$211,'jiliarena_代理数据_底稿'!$A:$A,$A231)</f>
        <v>0</v>
      </c>
      <c r="Y231" s="120">
        <f>sumifs('jiliarena_代理数据_底稿'!$O:$O,'jiliarena_代理数据_底稿'!$B:$B,Y$211,'jiliarena_代理数据_底稿'!$A:$A,$A231)</f>
        <v>0</v>
      </c>
      <c r="Z231" s="120">
        <f>sumifs('jiliarena_代理数据_底稿'!$O:$O,'jiliarena_代理数据_底稿'!$B:$B,Z$211,'jiliarena_代理数据_底稿'!$A:$A,$A231)</f>
        <v>0</v>
      </c>
      <c r="AA231" s="120">
        <f>sumifs('jiliarena_代理数据_底稿'!$O:$O,'jiliarena_代理数据_底稿'!$B:$B,AA$211,'jiliarena_代理数据_底稿'!$A:$A,$A231)</f>
        <v>0</v>
      </c>
      <c r="AB231" s="120">
        <f>sumifs('jiliarena_代理数据_底稿'!$O:$O,'jiliarena_代理数据_底稿'!$B:$B,AB$211,'jiliarena_代理数据_底稿'!$A:$A,$A231)</f>
        <v>0</v>
      </c>
      <c r="AC231" s="120">
        <f>sumifs('jiliarena_代理数据_底稿'!$O:$O,'jiliarena_代理数据_底稿'!$B:$B,AC$211,'jiliarena_代理数据_底稿'!$A:$A,$A231)</f>
        <v>0</v>
      </c>
      <c r="AD231" s="120">
        <f>sumifs('jiliarena_代理数据_底稿'!$O:$O,'jiliarena_代理数据_底稿'!$B:$B,AD$211,'jiliarena_代理数据_底稿'!$A:$A,$A231)</f>
        <v>0</v>
      </c>
      <c r="AE231" s="120">
        <f>sumifs('jiliarena_代理数据_底稿'!$O:$O,'jiliarena_代理数据_底稿'!$B:$B,AE$211,'jiliarena_代理数据_底稿'!$A:$A,$A231)</f>
        <v>0</v>
      </c>
      <c r="AF231" s="120">
        <f>sumifs('jiliarena_代理数据_底稿'!$O:$O,'jiliarena_代理数据_底稿'!$B:$B,AF$211,'jiliarena_代理数据_底稿'!$A:$A,$A231)</f>
        <v>0</v>
      </c>
      <c r="AG231" s="120">
        <f>sumifs('jiliarena_代理数据_底稿'!$O:$O,'jiliarena_代理数据_底稿'!$B:$B,AG$211,'jiliarena_代理数据_底稿'!$A:$A,$A231)</f>
        <v>0</v>
      </c>
      <c r="AH231" s="120">
        <f>sumifs('jiliarena_代理数据_底稿'!$O:$O,'jiliarena_代理数据_底稿'!$B:$B,AH$211,'jiliarena_代理数据_底稿'!$A:$A,$A231)</f>
        <v>0</v>
      </c>
      <c r="AI231" s="120">
        <f>sumifs('jiliarena_代理数据_底稿'!$O:$O,'jiliarena_代理数据_底稿'!$B:$B,AI$211,'jiliarena_代理数据_底稿'!$A:$A,$A231)</f>
        <v>0</v>
      </c>
      <c r="AJ231" s="120">
        <f>sumifs('jiliarena_代理数据_底稿'!$O:$O,'jiliarena_代理数据_底稿'!$B:$B,AJ$211,'jiliarena_代理数据_底稿'!$A:$A,$A231)</f>
        <v>0</v>
      </c>
      <c r="AK231" s="63">
        <f t="shared" si="34"/>
        <v>44718</v>
      </c>
    </row>
    <row r="232">
      <c r="A232" s="122">
        <f t="shared" si="35"/>
        <v>46073</v>
      </c>
      <c r="B232" s="120">
        <f>sumifs('jiliarena_代理数据_底稿'!$O:$O,'jiliarena_代理数据_底稿'!$B:$B,B$211,'jiliarena_代理数据_底稿'!$A:$A,$A232)</f>
        <v>0</v>
      </c>
      <c r="C232" s="120">
        <f>sumifs('jiliarena_代理数据_底稿'!$O:$O,'jiliarena_代理数据_底稿'!$B:$B,C$211,'jiliarena_代理数据_底稿'!$A:$A,$A232)</f>
        <v>42635</v>
      </c>
      <c r="D232" s="120">
        <f>sumifs('jiliarena_代理数据_底稿'!$O:$O,'jiliarena_代理数据_底稿'!$B:$B,D$211,'jiliarena_代理数据_底稿'!$A:$A,$A232)</f>
        <v>0</v>
      </c>
      <c r="E232" s="120">
        <f>sumifs('jiliarena_代理数据_底稿'!$O:$O,'jiliarena_代理数据_底稿'!$B:$B,E$211,'jiliarena_代理数据_底稿'!$A:$A,$A232)</f>
        <v>0</v>
      </c>
      <c r="F232" s="120">
        <f>sumifs('jiliarena_代理数据_底稿'!$O:$O,'jiliarena_代理数据_底稿'!$B:$B,F$211,'jiliarena_代理数据_底稿'!$A:$A,$A232)</f>
        <v>0</v>
      </c>
      <c r="G232" s="120">
        <f>sumifs('jiliarena_代理数据_底稿'!$O:$O,'jiliarena_代理数据_底稿'!$B:$B,G$211,'jiliarena_代理数据_底稿'!$A:$A,$A232)</f>
        <v>0</v>
      </c>
      <c r="H232" s="120">
        <f>sumifs('jiliarena_代理数据_底稿'!$O:$O,'jiliarena_代理数据_底稿'!$B:$B,H$211,'jiliarena_代理数据_底稿'!$A:$A,$A232)</f>
        <v>0</v>
      </c>
      <c r="I232" s="120">
        <f>sumifs('jiliarena_代理数据_底稿'!$O:$O,'jiliarena_代理数据_底稿'!$B:$B,I$211,'jiliarena_代理数据_底稿'!$A:$A,$A232)</f>
        <v>0</v>
      </c>
      <c r="J232" s="120">
        <f>sumifs('jiliarena_代理数据_底稿'!$O:$O,'jiliarena_代理数据_底稿'!$B:$B,J$211,'jiliarena_代理数据_底稿'!$A:$A,$A232)</f>
        <v>0</v>
      </c>
      <c r="K232" s="120">
        <f>sumifs('jiliarena_代理数据_底稿'!$O:$O,'jiliarena_代理数据_底稿'!$B:$B,K$211,'jiliarena_代理数据_底稿'!$A:$A,$A232)</f>
        <v>0</v>
      </c>
      <c r="L232" s="120">
        <f>sumifs('jiliarena_代理数据_底稿'!$O:$O,'jiliarena_代理数据_底稿'!$B:$B,L$211,'jiliarena_代理数据_底稿'!$A:$A,$A232)</f>
        <v>0</v>
      </c>
      <c r="M232" s="120">
        <f>sumifs('jiliarena_代理数据_底稿'!$O:$O,'jiliarena_代理数据_底稿'!$B:$B,M$211,'jiliarena_代理数据_底稿'!$A:$A,$A232)</f>
        <v>0</v>
      </c>
      <c r="N232" s="120">
        <f>sumifs('jiliarena_代理数据_底稿'!$O:$O,'jiliarena_代理数据_底稿'!$B:$B,N$211,'jiliarena_代理数据_底稿'!$A:$A,$A232)</f>
        <v>0</v>
      </c>
      <c r="O232" s="120">
        <f>sumifs('jiliarena_代理数据_底稿'!$O:$O,'jiliarena_代理数据_底稿'!$B:$B,O$211,'jiliarena_代理数据_底稿'!$A:$A,$A232)</f>
        <v>0</v>
      </c>
      <c r="P232" s="120">
        <f>sumifs('jiliarena_代理数据_底稿'!$O:$O,'jiliarena_代理数据_底稿'!$B:$B,P$211,'jiliarena_代理数据_底稿'!$A:$A,$A232)</f>
        <v>0</v>
      </c>
      <c r="Q232" s="120">
        <f>sumifs('jiliarena_代理数据_底稿'!$O:$O,'jiliarena_代理数据_底稿'!$B:$B,Q$211,'jiliarena_代理数据_底稿'!$A:$A,$A232)</f>
        <v>0</v>
      </c>
      <c r="R232" s="120">
        <f>sumifs('jiliarena_代理数据_底稿'!$O:$O,'jiliarena_代理数据_底稿'!$B:$B,R$211,'jiliarena_代理数据_底稿'!$A:$A,$A232)</f>
        <v>0</v>
      </c>
      <c r="S232" s="120">
        <f>sumifs('jiliarena_代理数据_底稿'!$O:$O,'jiliarena_代理数据_底稿'!$B:$B,S$211,'jiliarena_代理数据_底稿'!$A:$A,$A232)</f>
        <v>0</v>
      </c>
      <c r="T232" s="120">
        <f>sumifs('jiliarena_代理数据_底稿'!$O:$O,'jiliarena_代理数据_底稿'!$B:$B,T$211,'jiliarena_代理数据_底稿'!$A:$A,$A232)</f>
        <v>0</v>
      </c>
      <c r="U232" s="120">
        <f>sumifs('jiliarena_代理数据_底稿'!$O:$O,'jiliarena_代理数据_底稿'!$B:$B,U$211,'jiliarena_代理数据_底稿'!$A:$A,$A232)</f>
        <v>0</v>
      </c>
      <c r="V232" s="120">
        <f>sumifs('jiliarena_代理数据_底稿'!$O:$O,'jiliarena_代理数据_底稿'!$B:$B,V$211,'jiliarena_代理数据_底稿'!$A:$A,$A232)</f>
        <v>0</v>
      </c>
      <c r="W232" s="120">
        <f>sumifs('jiliarena_代理数据_底稿'!$O:$O,'jiliarena_代理数据_底稿'!$B:$B,W$211,'jiliarena_代理数据_底稿'!$A:$A,$A232)</f>
        <v>0</v>
      </c>
      <c r="X232" s="120">
        <f>sumifs('jiliarena_代理数据_底稿'!$O:$O,'jiliarena_代理数据_底稿'!$B:$B,X$211,'jiliarena_代理数据_底稿'!$A:$A,$A232)</f>
        <v>0</v>
      </c>
      <c r="Y232" s="120">
        <f>sumifs('jiliarena_代理数据_底稿'!$O:$O,'jiliarena_代理数据_底稿'!$B:$B,Y$211,'jiliarena_代理数据_底稿'!$A:$A,$A232)</f>
        <v>0</v>
      </c>
      <c r="Z232" s="120">
        <f>sumifs('jiliarena_代理数据_底稿'!$O:$O,'jiliarena_代理数据_底稿'!$B:$B,Z$211,'jiliarena_代理数据_底稿'!$A:$A,$A232)</f>
        <v>0</v>
      </c>
      <c r="AA232" s="120">
        <f>sumifs('jiliarena_代理数据_底稿'!$O:$O,'jiliarena_代理数据_底稿'!$B:$B,AA$211,'jiliarena_代理数据_底稿'!$A:$A,$A232)</f>
        <v>0</v>
      </c>
      <c r="AB232" s="120">
        <f>sumifs('jiliarena_代理数据_底稿'!$O:$O,'jiliarena_代理数据_底稿'!$B:$B,AB$211,'jiliarena_代理数据_底稿'!$A:$A,$A232)</f>
        <v>0</v>
      </c>
      <c r="AC232" s="120">
        <f>sumifs('jiliarena_代理数据_底稿'!$O:$O,'jiliarena_代理数据_底稿'!$B:$B,AC$211,'jiliarena_代理数据_底稿'!$A:$A,$A232)</f>
        <v>0</v>
      </c>
      <c r="AD232" s="120">
        <f>sumifs('jiliarena_代理数据_底稿'!$O:$O,'jiliarena_代理数据_底稿'!$B:$B,AD$211,'jiliarena_代理数据_底稿'!$A:$A,$A232)</f>
        <v>0</v>
      </c>
      <c r="AE232" s="120">
        <f>sumifs('jiliarena_代理数据_底稿'!$O:$O,'jiliarena_代理数据_底稿'!$B:$B,AE$211,'jiliarena_代理数据_底稿'!$A:$A,$A232)</f>
        <v>0</v>
      </c>
      <c r="AF232" s="120">
        <f>sumifs('jiliarena_代理数据_底稿'!$O:$O,'jiliarena_代理数据_底稿'!$B:$B,AF$211,'jiliarena_代理数据_底稿'!$A:$A,$A232)</f>
        <v>0</v>
      </c>
      <c r="AG232" s="120">
        <f>sumifs('jiliarena_代理数据_底稿'!$O:$O,'jiliarena_代理数据_底稿'!$B:$B,AG$211,'jiliarena_代理数据_底稿'!$A:$A,$A232)</f>
        <v>0</v>
      </c>
      <c r="AH232" s="120">
        <f>sumifs('jiliarena_代理数据_底稿'!$O:$O,'jiliarena_代理数据_底稿'!$B:$B,AH$211,'jiliarena_代理数据_底稿'!$A:$A,$A232)</f>
        <v>0</v>
      </c>
      <c r="AI232" s="120">
        <f>sumifs('jiliarena_代理数据_底稿'!$O:$O,'jiliarena_代理数据_底稿'!$B:$B,AI$211,'jiliarena_代理数据_底稿'!$A:$A,$A232)</f>
        <v>0</v>
      </c>
      <c r="AJ232" s="120">
        <f>sumifs('jiliarena_代理数据_底稿'!$O:$O,'jiliarena_代理数据_底稿'!$B:$B,AJ$211,'jiliarena_代理数据_底稿'!$A:$A,$A232)</f>
        <v>0</v>
      </c>
      <c r="AK232" s="63">
        <f t="shared" si="34"/>
        <v>42635</v>
      </c>
    </row>
    <row r="233">
      <c r="A233" s="122">
        <f t="shared" si="35"/>
        <v>46074</v>
      </c>
      <c r="B233" s="120">
        <f>sumifs('jiliarena_代理数据_底稿'!$O:$O,'jiliarena_代理数据_底稿'!$B:$B,B$211,'jiliarena_代理数据_底稿'!$A:$A,$A233)</f>
        <v>0</v>
      </c>
      <c r="C233" s="120">
        <f>sumifs('jiliarena_代理数据_底稿'!$O:$O,'jiliarena_代理数据_底稿'!$B:$B,C$211,'jiliarena_代理数据_底稿'!$A:$A,$A233)</f>
        <v>39674</v>
      </c>
      <c r="D233" s="120">
        <f>sumifs('jiliarena_代理数据_底稿'!$O:$O,'jiliarena_代理数据_底稿'!$B:$B,D$211,'jiliarena_代理数据_底稿'!$A:$A,$A233)</f>
        <v>0</v>
      </c>
      <c r="E233" s="120">
        <f>sumifs('jiliarena_代理数据_底稿'!$O:$O,'jiliarena_代理数据_底稿'!$B:$B,E$211,'jiliarena_代理数据_底稿'!$A:$A,$A233)</f>
        <v>0</v>
      </c>
      <c r="F233" s="120">
        <f>sumifs('jiliarena_代理数据_底稿'!$O:$O,'jiliarena_代理数据_底稿'!$B:$B,F$211,'jiliarena_代理数据_底稿'!$A:$A,$A233)</f>
        <v>0</v>
      </c>
      <c r="G233" s="120">
        <f>sumifs('jiliarena_代理数据_底稿'!$O:$O,'jiliarena_代理数据_底稿'!$B:$B,G$211,'jiliarena_代理数据_底稿'!$A:$A,$A233)</f>
        <v>0</v>
      </c>
      <c r="H233" s="120">
        <f>sumifs('jiliarena_代理数据_底稿'!$O:$O,'jiliarena_代理数据_底稿'!$B:$B,H$211,'jiliarena_代理数据_底稿'!$A:$A,$A233)</f>
        <v>0</v>
      </c>
      <c r="I233" s="120">
        <f>sumifs('jiliarena_代理数据_底稿'!$O:$O,'jiliarena_代理数据_底稿'!$B:$B,I$211,'jiliarena_代理数据_底稿'!$A:$A,$A233)</f>
        <v>0</v>
      </c>
      <c r="J233" s="120">
        <f>sumifs('jiliarena_代理数据_底稿'!$O:$O,'jiliarena_代理数据_底稿'!$B:$B,J$211,'jiliarena_代理数据_底稿'!$A:$A,$A233)</f>
        <v>0</v>
      </c>
      <c r="K233" s="120">
        <f>sumifs('jiliarena_代理数据_底稿'!$O:$O,'jiliarena_代理数据_底稿'!$B:$B,K$211,'jiliarena_代理数据_底稿'!$A:$A,$A233)</f>
        <v>0</v>
      </c>
      <c r="L233" s="120">
        <f>sumifs('jiliarena_代理数据_底稿'!$O:$O,'jiliarena_代理数据_底稿'!$B:$B,L$211,'jiliarena_代理数据_底稿'!$A:$A,$A233)</f>
        <v>0</v>
      </c>
      <c r="M233" s="120">
        <f>sumifs('jiliarena_代理数据_底稿'!$O:$O,'jiliarena_代理数据_底稿'!$B:$B,M$211,'jiliarena_代理数据_底稿'!$A:$A,$A233)</f>
        <v>0</v>
      </c>
      <c r="N233" s="120">
        <f>sumifs('jiliarena_代理数据_底稿'!$O:$O,'jiliarena_代理数据_底稿'!$B:$B,N$211,'jiliarena_代理数据_底稿'!$A:$A,$A233)</f>
        <v>0</v>
      </c>
      <c r="O233" s="120">
        <f>sumifs('jiliarena_代理数据_底稿'!$O:$O,'jiliarena_代理数据_底稿'!$B:$B,O$211,'jiliarena_代理数据_底稿'!$A:$A,$A233)</f>
        <v>0</v>
      </c>
      <c r="P233" s="120">
        <f>sumifs('jiliarena_代理数据_底稿'!$O:$O,'jiliarena_代理数据_底稿'!$B:$B,P$211,'jiliarena_代理数据_底稿'!$A:$A,$A233)</f>
        <v>0</v>
      </c>
      <c r="Q233" s="120">
        <f>sumifs('jiliarena_代理数据_底稿'!$O:$O,'jiliarena_代理数据_底稿'!$B:$B,Q$211,'jiliarena_代理数据_底稿'!$A:$A,$A233)</f>
        <v>0</v>
      </c>
      <c r="R233" s="120">
        <f>sumifs('jiliarena_代理数据_底稿'!$O:$O,'jiliarena_代理数据_底稿'!$B:$B,R$211,'jiliarena_代理数据_底稿'!$A:$A,$A233)</f>
        <v>0</v>
      </c>
      <c r="S233" s="120">
        <f>sumifs('jiliarena_代理数据_底稿'!$O:$O,'jiliarena_代理数据_底稿'!$B:$B,S$211,'jiliarena_代理数据_底稿'!$A:$A,$A233)</f>
        <v>0</v>
      </c>
      <c r="T233" s="120">
        <f>sumifs('jiliarena_代理数据_底稿'!$O:$O,'jiliarena_代理数据_底稿'!$B:$B,T$211,'jiliarena_代理数据_底稿'!$A:$A,$A233)</f>
        <v>0</v>
      </c>
      <c r="U233" s="120">
        <f>sumifs('jiliarena_代理数据_底稿'!$O:$O,'jiliarena_代理数据_底稿'!$B:$B,U$211,'jiliarena_代理数据_底稿'!$A:$A,$A233)</f>
        <v>0</v>
      </c>
      <c r="V233" s="120">
        <f>sumifs('jiliarena_代理数据_底稿'!$O:$O,'jiliarena_代理数据_底稿'!$B:$B,V$211,'jiliarena_代理数据_底稿'!$A:$A,$A233)</f>
        <v>0</v>
      </c>
      <c r="W233" s="120">
        <f>sumifs('jiliarena_代理数据_底稿'!$O:$O,'jiliarena_代理数据_底稿'!$B:$B,W$211,'jiliarena_代理数据_底稿'!$A:$A,$A233)</f>
        <v>0</v>
      </c>
      <c r="X233" s="120">
        <f>sumifs('jiliarena_代理数据_底稿'!$O:$O,'jiliarena_代理数据_底稿'!$B:$B,X$211,'jiliarena_代理数据_底稿'!$A:$A,$A233)</f>
        <v>0</v>
      </c>
      <c r="Y233" s="120">
        <f>sumifs('jiliarena_代理数据_底稿'!$O:$O,'jiliarena_代理数据_底稿'!$B:$B,Y$211,'jiliarena_代理数据_底稿'!$A:$A,$A233)</f>
        <v>0</v>
      </c>
      <c r="Z233" s="120">
        <f>sumifs('jiliarena_代理数据_底稿'!$O:$O,'jiliarena_代理数据_底稿'!$B:$B,Z$211,'jiliarena_代理数据_底稿'!$A:$A,$A233)</f>
        <v>0</v>
      </c>
      <c r="AA233" s="120">
        <f>sumifs('jiliarena_代理数据_底稿'!$O:$O,'jiliarena_代理数据_底稿'!$B:$B,AA$211,'jiliarena_代理数据_底稿'!$A:$A,$A233)</f>
        <v>0</v>
      </c>
      <c r="AB233" s="120">
        <f>sumifs('jiliarena_代理数据_底稿'!$O:$O,'jiliarena_代理数据_底稿'!$B:$B,AB$211,'jiliarena_代理数据_底稿'!$A:$A,$A233)</f>
        <v>0</v>
      </c>
      <c r="AC233" s="120">
        <f>sumifs('jiliarena_代理数据_底稿'!$O:$O,'jiliarena_代理数据_底稿'!$B:$B,AC$211,'jiliarena_代理数据_底稿'!$A:$A,$A233)</f>
        <v>0</v>
      </c>
      <c r="AD233" s="120">
        <f>sumifs('jiliarena_代理数据_底稿'!$O:$O,'jiliarena_代理数据_底稿'!$B:$B,AD$211,'jiliarena_代理数据_底稿'!$A:$A,$A233)</f>
        <v>0</v>
      </c>
      <c r="AE233" s="120">
        <f>sumifs('jiliarena_代理数据_底稿'!$O:$O,'jiliarena_代理数据_底稿'!$B:$B,AE$211,'jiliarena_代理数据_底稿'!$A:$A,$A233)</f>
        <v>0</v>
      </c>
      <c r="AF233" s="120">
        <f>sumifs('jiliarena_代理数据_底稿'!$O:$O,'jiliarena_代理数据_底稿'!$B:$B,AF$211,'jiliarena_代理数据_底稿'!$A:$A,$A233)</f>
        <v>0</v>
      </c>
      <c r="AG233" s="120">
        <f>sumifs('jiliarena_代理数据_底稿'!$O:$O,'jiliarena_代理数据_底稿'!$B:$B,AG$211,'jiliarena_代理数据_底稿'!$A:$A,$A233)</f>
        <v>0</v>
      </c>
      <c r="AH233" s="120">
        <f>sumifs('jiliarena_代理数据_底稿'!$O:$O,'jiliarena_代理数据_底稿'!$B:$B,AH$211,'jiliarena_代理数据_底稿'!$A:$A,$A233)</f>
        <v>0</v>
      </c>
      <c r="AI233" s="120">
        <f>sumifs('jiliarena_代理数据_底稿'!$O:$O,'jiliarena_代理数据_底稿'!$B:$B,AI$211,'jiliarena_代理数据_底稿'!$A:$A,$A233)</f>
        <v>0</v>
      </c>
      <c r="AJ233" s="120">
        <f>sumifs('jiliarena_代理数据_底稿'!$O:$O,'jiliarena_代理数据_底稿'!$B:$B,AJ$211,'jiliarena_代理数据_底稿'!$A:$A,$A233)</f>
        <v>0</v>
      </c>
      <c r="AK233" s="63">
        <f t="shared" si="34"/>
        <v>39674</v>
      </c>
    </row>
    <row r="234">
      <c r="A234" s="122">
        <f t="shared" si="35"/>
        <v>46075</v>
      </c>
      <c r="B234" s="120">
        <f>sumifs('jiliarena_代理数据_底稿'!$O:$O,'jiliarena_代理数据_底稿'!$B:$B,B$211,'jiliarena_代理数据_底稿'!$A:$A,$A234)</f>
        <v>0</v>
      </c>
      <c r="C234" s="120">
        <f>sumifs('jiliarena_代理数据_底稿'!$O:$O,'jiliarena_代理数据_底稿'!$B:$B,C$211,'jiliarena_代理数据_底稿'!$A:$A,$A234)</f>
        <v>33270</v>
      </c>
      <c r="D234" s="120">
        <f>sumifs('jiliarena_代理数据_底稿'!$O:$O,'jiliarena_代理数据_底稿'!$B:$B,D$211,'jiliarena_代理数据_底稿'!$A:$A,$A234)</f>
        <v>0</v>
      </c>
      <c r="E234" s="120">
        <f>sumifs('jiliarena_代理数据_底稿'!$O:$O,'jiliarena_代理数据_底稿'!$B:$B,E$211,'jiliarena_代理数据_底稿'!$A:$A,$A234)</f>
        <v>0</v>
      </c>
      <c r="F234" s="120">
        <f>sumifs('jiliarena_代理数据_底稿'!$O:$O,'jiliarena_代理数据_底稿'!$B:$B,F$211,'jiliarena_代理数据_底稿'!$A:$A,$A234)</f>
        <v>0</v>
      </c>
      <c r="G234" s="120">
        <f>sumifs('jiliarena_代理数据_底稿'!$O:$O,'jiliarena_代理数据_底稿'!$B:$B,G$211,'jiliarena_代理数据_底稿'!$A:$A,$A234)</f>
        <v>0</v>
      </c>
      <c r="H234" s="120">
        <f>sumifs('jiliarena_代理数据_底稿'!$O:$O,'jiliarena_代理数据_底稿'!$B:$B,H$211,'jiliarena_代理数据_底稿'!$A:$A,$A234)</f>
        <v>0</v>
      </c>
      <c r="I234" s="120">
        <f>sumifs('jiliarena_代理数据_底稿'!$O:$O,'jiliarena_代理数据_底稿'!$B:$B,I$211,'jiliarena_代理数据_底稿'!$A:$A,$A234)</f>
        <v>0</v>
      </c>
      <c r="J234" s="120">
        <f>sumifs('jiliarena_代理数据_底稿'!$O:$O,'jiliarena_代理数据_底稿'!$B:$B,J$211,'jiliarena_代理数据_底稿'!$A:$A,$A234)</f>
        <v>0</v>
      </c>
      <c r="K234" s="120">
        <f>sumifs('jiliarena_代理数据_底稿'!$O:$O,'jiliarena_代理数据_底稿'!$B:$B,K$211,'jiliarena_代理数据_底稿'!$A:$A,$A234)</f>
        <v>0</v>
      </c>
      <c r="L234" s="120">
        <f>sumifs('jiliarena_代理数据_底稿'!$O:$O,'jiliarena_代理数据_底稿'!$B:$B,L$211,'jiliarena_代理数据_底稿'!$A:$A,$A234)</f>
        <v>0</v>
      </c>
      <c r="M234" s="120">
        <f>sumifs('jiliarena_代理数据_底稿'!$O:$O,'jiliarena_代理数据_底稿'!$B:$B,M$211,'jiliarena_代理数据_底稿'!$A:$A,$A234)</f>
        <v>0</v>
      </c>
      <c r="N234" s="120">
        <f>sumifs('jiliarena_代理数据_底稿'!$O:$O,'jiliarena_代理数据_底稿'!$B:$B,N$211,'jiliarena_代理数据_底稿'!$A:$A,$A234)</f>
        <v>0</v>
      </c>
      <c r="O234" s="120">
        <f>sumifs('jiliarena_代理数据_底稿'!$O:$O,'jiliarena_代理数据_底稿'!$B:$B,O$211,'jiliarena_代理数据_底稿'!$A:$A,$A234)</f>
        <v>0</v>
      </c>
      <c r="P234" s="120">
        <f>sumifs('jiliarena_代理数据_底稿'!$O:$O,'jiliarena_代理数据_底稿'!$B:$B,P$211,'jiliarena_代理数据_底稿'!$A:$A,$A234)</f>
        <v>0</v>
      </c>
      <c r="Q234" s="120">
        <f>sumifs('jiliarena_代理数据_底稿'!$O:$O,'jiliarena_代理数据_底稿'!$B:$B,Q$211,'jiliarena_代理数据_底稿'!$A:$A,$A234)</f>
        <v>0</v>
      </c>
      <c r="R234" s="120">
        <f>sumifs('jiliarena_代理数据_底稿'!$O:$O,'jiliarena_代理数据_底稿'!$B:$B,R$211,'jiliarena_代理数据_底稿'!$A:$A,$A234)</f>
        <v>0</v>
      </c>
      <c r="S234" s="120">
        <f>sumifs('jiliarena_代理数据_底稿'!$O:$O,'jiliarena_代理数据_底稿'!$B:$B,S$211,'jiliarena_代理数据_底稿'!$A:$A,$A234)</f>
        <v>0</v>
      </c>
      <c r="T234" s="120">
        <f>sumifs('jiliarena_代理数据_底稿'!$O:$O,'jiliarena_代理数据_底稿'!$B:$B,T$211,'jiliarena_代理数据_底稿'!$A:$A,$A234)</f>
        <v>0</v>
      </c>
      <c r="U234" s="120">
        <f>sumifs('jiliarena_代理数据_底稿'!$O:$O,'jiliarena_代理数据_底稿'!$B:$B,U$211,'jiliarena_代理数据_底稿'!$A:$A,$A234)</f>
        <v>0</v>
      </c>
      <c r="V234" s="120">
        <f>sumifs('jiliarena_代理数据_底稿'!$O:$O,'jiliarena_代理数据_底稿'!$B:$B,V$211,'jiliarena_代理数据_底稿'!$A:$A,$A234)</f>
        <v>0</v>
      </c>
      <c r="W234" s="120">
        <f>sumifs('jiliarena_代理数据_底稿'!$O:$O,'jiliarena_代理数据_底稿'!$B:$B,W$211,'jiliarena_代理数据_底稿'!$A:$A,$A234)</f>
        <v>0</v>
      </c>
      <c r="X234" s="120">
        <f>sumifs('jiliarena_代理数据_底稿'!$O:$O,'jiliarena_代理数据_底稿'!$B:$B,X$211,'jiliarena_代理数据_底稿'!$A:$A,$A234)</f>
        <v>0</v>
      </c>
      <c r="Y234" s="120">
        <f>sumifs('jiliarena_代理数据_底稿'!$O:$O,'jiliarena_代理数据_底稿'!$B:$B,Y$211,'jiliarena_代理数据_底稿'!$A:$A,$A234)</f>
        <v>0</v>
      </c>
      <c r="Z234" s="120">
        <f>sumifs('jiliarena_代理数据_底稿'!$O:$O,'jiliarena_代理数据_底稿'!$B:$B,Z$211,'jiliarena_代理数据_底稿'!$A:$A,$A234)</f>
        <v>0</v>
      </c>
      <c r="AA234" s="120">
        <f>sumifs('jiliarena_代理数据_底稿'!$O:$O,'jiliarena_代理数据_底稿'!$B:$B,AA$211,'jiliarena_代理数据_底稿'!$A:$A,$A234)</f>
        <v>0</v>
      </c>
      <c r="AB234" s="120">
        <f>sumifs('jiliarena_代理数据_底稿'!$O:$O,'jiliarena_代理数据_底稿'!$B:$B,AB$211,'jiliarena_代理数据_底稿'!$A:$A,$A234)</f>
        <v>0</v>
      </c>
      <c r="AC234" s="120">
        <f>sumifs('jiliarena_代理数据_底稿'!$O:$O,'jiliarena_代理数据_底稿'!$B:$B,AC$211,'jiliarena_代理数据_底稿'!$A:$A,$A234)</f>
        <v>0</v>
      </c>
      <c r="AD234" s="120">
        <f>sumifs('jiliarena_代理数据_底稿'!$O:$O,'jiliarena_代理数据_底稿'!$B:$B,AD$211,'jiliarena_代理数据_底稿'!$A:$A,$A234)</f>
        <v>0</v>
      </c>
      <c r="AE234" s="120">
        <f>sumifs('jiliarena_代理数据_底稿'!$O:$O,'jiliarena_代理数据_底稿'!$B:$B,AE$211,'jiliarena_代理数据_底稿'!$A:$A,$A234)</f>
        <v>0</v>
      </c>
      <c r="AF234" s="120">
        <f>sumifs('jiliarena_代理数据_底稿'!$O:$O,'jiliarena_代理数据_底稿'!$B:$B,AF$211,'jiliarena_代理数据_底稿'!$A:$A,$A234)</f>
        <v>0</v>
      </c>
      <c r="AG234" s="120">
        <f>sumifs('jiliarena_代理数据_底稿'!$O:$O,'jiliarena_代理数据_底稿'!$B:$B,AG$211,'jiliarena_代理数据_底稿'!$A:$A,$A234)</f>
        <v>0</v>
      </c>
      <c r="AH234" s="120">
        <f>sumifs('jiliarena_代理数据_底稿'!$O:$O,'jiliarena_代理数据_底稿'!$B:$B,AH$211,'jiliarena_代理数据_底稿'!$A:$A,$A234)</f>
        <v>0</v>
      </c>
      <c r="AI234" s="120">
        <f>sumifs('jiliarena_代理数据_底稿'!$O:$O,'jiliarena_代理数据_底稿'!$B:$B,AI$211,'jiliarena_代理数据_底稿'!$A:$A,$A234)</f>
        <v>0</v>
      </c>
      <c r="AJ234" s="120">
        <f>sumifs('jiliarena_代理数据_底稿'!$O:$O,'jiliarena_代理数据_底稿'!$B:$B,AJ$211,'jiliarena_代理数据_底稿'!$A:$A,$A234)</f>
        <v>0</v>
      </c>
      <c r="AK234" s="63">
        <f t="shared" si="34"/>
        <v>33270</v>
      </c>
    </row>
    <row r="235">
      <c r="A235" s="122">
        <f t="shared" si="35"/>
        <v>46076</v>
      </c>
      <c r="B235" s="120">
        <f>sumifs('jiliarena_代理数据_底稿'!$O:$O,'jiliarena_代理数据_底稿'!$B:$B,B$211,'jiliarena_代理数据_底稿'!$A:$A,$A235)</f>
        <v>0</v>
      </c>
      <c r="C235" s="120">
        <f>sumifs('jiliarena_代理数据_底稿'!$O:$O,'jiliarena_代理数据_底稿'!$B:$B,C$211,'jiliarena_代理数据_底稿'!$A:$A,$A235)</f>
        <v>24941</v>
      </c>
      <c r="D235" s="120">
        <f>sumifs('jiliarena_代理数据_底稿'!$O:$O,'jiliarena_代理数据_底稿'!$B:$B,D$211,'jiliarena_代理数据_底稿'!$A:$A,$A235)</f>
        <v>0</v>
      </c>
      <c r="E235" s="120">
        <f>sumifs('jiliarena_代理数据_底稿'!$O:$O,'jiliarena_代理数据_底稿'!$B:$B,E$211,'jiliarena_代理数据_底稿'!$A:$A,$A235)</f>
        <v>0</v>
      </c>
      <c r="F235" s="120">
        <f>sumifs('jiliarena_代理数据_底稿'!$O:$O,'jiliarena_代理数据_底稿'!$B:$B,F$211,'jiliarena_代理数据_底稿'!$A:$A,$A235)</f>
        <v>0</v>
      </c>
      <c r="G235" s="120">
        <f>sumifs('jiliarena_代理数据_底稿'!$O:$O,'jiliarena_代理数据_底稿'!$B:$B,G$211,'jiliarena_代理数据_底稿'!$A:$A,$A235)</f>
        <v>0</v>
      </c>
      <c r="H235" s="120">
        <f>sumifs('jiliarena_代理数据_底稿'!$O:$O,'jiliarena_代理数据_底稿'!$B:$B,H$211,'jiliarena_代理数据_底稿'!$A:$A,$A235)</f>
        <v>0</v>
      </c>
      <c r="I235" s="120">
        <f>sumifs('jiliarena_代理数据_底稿'!$O:$O,'jiliarena_代理数据_底稿'!$B:$B,I$211,'jiliarena_代理数据_底稿'!$A:$A,$A235)</f>
        <v>0</v>
      </c>
      <c r="J235" s="120">
        <f>sumifs('jiliarena_代理数据_底稿'!$O:$O,'jiliarena_代理数据_底稿'!$B:$B,J$211,'jiliarena_代理数据_底稿'!$A:$A,$A235)</f>
        <v>0</v>
      </c>
      <c r="K235" s="120">
        <f>sumifs('jiliarena_代理数据_底稿'!$O:$O,'jiliarena_代理数据_底稿'!$B:$B,K$211,'jiliarena_代理数据_底稿'!$A:$A,$A235)</f>
        <v>0</v>
      </c>
      <c r="L235" s="120">
        <f>sumifs('jiliarena_代理数据_底稿'!$O:$O,'jiliarena_代理数据_底稿'!$B:$B,L$211,'jiliarena_代理数据_底稿'!$A:$A,$A235)</f>
        <v>0</v>
      </c>
      <c r="M235" s="120">
        <f>sumifs('jiliarena_代理数据_底稿'!$O:$O,'jiliarena_代理数据_底稿'!$B:$B,M$211,'jiliarena_代理数据_底稿'!$A:$A,$A235)</f>
        <v>0</v>
      </c>
      <c r="N235" s="120">
        <f>sumifs('jiliarena_代理数据_底稿'!$O:$O,'jiliarena_代理数据_底稿'!$B:$B,N$211,'jiliarena_代理数据_底稿'!$A:$A,$A235)</f>
        <v>0</v>
      </c>
      <c r="O235" s="120">
        <f>sumifs('jiliarena_代理数据_底稿'!$O:$O,'jiliarena_代理数据_底稿'!$B:$B,O$211,'jiliarena_代理数据_底稿'!$A:$A,$A235)</f>
        <v>0</v>
      </c>
      <c r="P235" s="120">
        <f>sumifs('jiliarena_代理数据_底稿'!$O:$O,'jiliarena_代理数据_底稿'!$B:$B,P$211,'jiliarena_代理数据_底稿'!$A:$A,$A235)</f>
        <v>0</v>
      </c>
      <c r="Q235" s="120">
        <f>sumifs('jiliarena_代理数据_底稿'!$O:$O,'jiliarena_代理数据_底稿'!$B:$B,Q$211,'jiliarena_代理数据_底稿'!$A:$A,$A235)</f>
        <v>0</v>
      </c>
      <c r="R235" s="120">
        <f>sumifs('jiliarena_代理数据_底稿'!$O:$O,'jiliarena_代理数据_底稿'!$B:$B,R$211,'jiliarena_代理数据_底稿'!$A:$A,$A235)</f>
        <v>0</v>
      </c>
      <c r="S235" s="120">
        <f>sumifs('jiliarena_代理数据_底稿'!$O:$O,'jiliarena_代理数据_底稿'!$B:$B,S$211,'jiliarena_代理数据_底稿'!$A:$A,$A235)</f>
        <v>0</v>
      </c>
      <c r="T235" s="120">
        <f>sumifs('jiliarena_代理数据_底稿'!$O:$O,'jiliarena_代理数据_底稿'!$B:$B,T$211,'jiliarena_代理数据_底稿'!$A:$A,$A235)</f>
        <v>0</v>
      </c>
      <c r="U235" s="120">
        <f>sumifs('jiliarena_代理数据_底稿'!$O:$O,'jiliarena_代理数据_底稿'!$B:$B,U$211,'jiliarena_代理数据_底稿'!$A:$A,$A235)</f>
        <v>0</v>
      </c>
      <c r="V235" s="120">
        <f>sumifs('jiliarena_代理数据_底稿'!$O:$O,'jiliarena_代理数据_底稿'!$B:$B,V$211,'jiliarena_代理数据_底稿'!$A:$A,$A235)</f>
        <v>0</v>
      </c>
      <c r="W235" s="120">
        <f>sumifs('jiliarena_代理数据_底稿'!$O:$O,'jiliarena_代理数据_底稿'!$B:$B,W$211,'jiliarena_代理数据_底稿'!$A:$A,$A235)</f>
        <v>0</v>
      </c>
      <c r="X235" s="120">
        <f>sumifs('jiliarena_代理数据_底稿'!$O:$O,'jiliarena_代理数据_底稿'!$B:$B,X$211,'jiliarena_代理数据_底稿'!$A:$A,$A235)</f>
        <v>0</v>
      </c>
      <c r="Y235" s="120">
        <f>sumifs('jiliarena_代理数据_底稿'!$O:$O,'jiliarena_代理数据_底稿'!$B:$B,Y$211,'jiliarena_代理数据_底稿'!$A:$A,$A235)</f>
        <v>0</v>
      </c>
      <c r="Z235" s="120">
        <f>sumifs('jiliarena_代理数据_底稿'!$O:$O,'jiliarena_代理数据_底稿'!$B:$B,Z$211,'jiliarena_代理数据_底稿'!$A:$A,$A235)</f>
        <v>0</v>
      </c>
      <c r="AA235" s="120">
        <f>sumifs('jiliarena_代理数据_底稿'!$O:$O,'jiliarena_代理数据_底稿'!$B:$B,AA$211,'jiliarena_代理数据_底稿'!$A:$A,$A235)</f>
        <v>0</v>
      </c>
      <c r="AB235" s="120">
        <f>sumifs('jiliarena_代理数据_底稿'!$O:$O,'jiliarena_代理数据_底稿'!$B:$B,AB$211,'jiliarena_代理数据_底稿'!$A:$A,$A235)</f>
        <v>0</v>
      </c>
      <c r="AC235" s="120">
        <f>sumifs('jiliarena_代理数据_底稿'!$O:$O,'jiliarena_代理数据_底稿'!$B:$B,AC$211,'jiliarena_代理数据_底稿'!$A:$A,$A235)</f>
        <v>0</v>
      </c>
      <c r="AD235" s="120">
        <f>sumifs('jiliarena_代理数据_底稿'!$O:$O,'jiliarena_代理数据_底稿'!$B:$B,AD$211,'jiliarena_代理数据_底稿'!$A:$A,$A235)</f>
        <v>0</v>
      </c>
      <c r="AE235" s="120">
        <f>sumifs('jiliarena_代理数据_底稿'!$O:$O,'jiliarena_代理数据_底稿'!$B:$B,AE$211,'jiliarena_代理数据_底稿'!$A:$A,$A235)</f>
        <v>0</v>
      </c>
      <c r="AF235" s="120">
        <f>sumifs('jiliarena_代理数据_底稿'!$O:$O,'jiliarena_代理数据_底稿'!$B:$B,AF$211,'jiliarena_代理数据_底稿'!$A:$A,$A235)</f>
        <v>0</v>
      </c>
      <c r="AG235" s="120">
        <f>sumifs('jiliarena_代理数据_底稿'!$O:$O,'jiliarena_代理数据_底稿'!$B:$B,AG$211,'jiliarena_代理数据_底稿'!$A:$A,$A235)</f>
        <v>0</v>
      </c>
      <c r="AH235" s="120">
        <f>sumifs('jiliarena_代理数据_底稿'!$O:$O,'jiliarena_代理数据_底稿'!$B:$B,AH$211,'jiliarena_代理数据_底稿'!$A:$A,$A235)</f>
        <v>0</v>
      </c>
      <c r="AI235" s="120">
        <f>sumifs('jiliarena_代理数据_底稿'!$O:$O,'jiliarena_代理数据_底稿'!$B:$B,AI$211,'jiliarena_代理数据_底稿'!$A:$A,$A235)</f>
        <v>0</v>
      </c>
      <c r="AJ235" s="120">
        <f>sumifs('jiliarena_代理数据_底稿'!$O:$O,'jiliarena_代理数据_底稿'!$B:$B,AJ$211,'jiliarena_代理数据_底稿'!$A:$A,$A235)</f>
        <v>0</v>
      </c>
      <c r="AK235" s="63">
        <f t="shared" si="34"/>
        <v>24941</v>
      </c>
    </row>
    <row r="236">
      <c r="A236" s="122">
        <f t="shared" si="35"/>
        <v>46077</v>
      </c>
      <c r="B236" s="120">
        <f>sumifs('jiliarena_代理数据_底稿'!$O:$O,'jiliarena_代理数据_底稿'!$B:$B,B$211,'jiliarena_代理数据_底稿'!$A:$A,$A236)</f>
        <v>0</v>
      </c>
      <c r="C236" s="120">
        <f>sumifs('jiliarena_代理数据_底稿'!$O:$O,'jiliarena_代理数据_底稿'!$B:$B,C$211,'jiliarena_代理数据_底稿'!$A:$A,$A236)</f>
        <v>41483</v>
      </c>
      <c r="D236" s="120">
        <f>sumifs('jiliarena_代理数据_底稿'!$O:$O,'jiliarena_代理数据_底稿'!$B:$B,D$211,'jiliarena_代理数据_底稿'!$A:$A,$A236)</f>
        <v>0</v>
      </c>
      <c r="E236" s="120">
        <f>sumifs('jiliarena_代理数据_底稿'!$O:$O,'jiliarena_代理数据_底稿'!$B:$B,E$211,'jiliarena_代理数据_底稿'!$A:$A,$A236)</f>
        <v>0</v>
      </c>
      <c r="F236" s="120">
        <f>sumifs('jiliarena_代理数据_底稿'!$O:$O,'jiliarena_代理数据_底稿'!$B:$B,F$211,'jiliarena_代理数据_底稿'!$A:$A,$A236)</f>
        <v>0</v>
      </c>
      <c r="G236" s="120">
        <f>sumifs('jiliarena_代理数据_底稿'!$O:$O,'jiliarena_代理数据_底稿'!$B:$B,G$211,'jiliarena_代理数据_底稿'!$A:$A,$A236)</f>
        <v>0</v>
      </c>
      <c r="H236" s="120">
        <f>sumifs('jiliarena_代理数据_底稿'!$O:$O,'jiliarena_代理数据_底稿'!$B:$B,H$211,'jiliarena_代理数据_底稿'!$A:$A,$A236)</f>
        <v>0</v>
      </c>
      <c r="I236" s="120">
        <f>sumifs('jiliarena_代理数据_底稿'!$O:$O,'jiliarena_代理数据_底稿'!$B:$B,I$211,'jiliarena_代理数据_底稿'!$A:$A,$A236)</f>
        <v>0</v>
      </c>
      <c r="J236" s="120">
        <f>sumifs('jiliarena_代理数据_底稿'!$O:$O,'jiliarena_代理数据_底稿'!$B:$B,J$211,'jiliarena_代理数据_底稿'!$A:$A,$A236)</f>
        <v>0</v>
      </c>
      <c r="K236" s="120">
        <f>sumifs('jiliarena_代理数据_底稿'!$O:$O,'jiliarena_代理数据_底稿'!$B:$B,K$211,'jiliarena_代理数据_底稿'!$A:$A,$A236)</f>
        <v>0</v>
      </c>
      <c r="L236" s="120">
        <f>sumifs('jiliarena_代理数据_底稿'!$O:$O,'jiliarena_代理数据_底稿'!$B:$B,L$211,'jiliarena_代理数据_底稿'!$A:$A,$A236)</f>
        <v>0</v>
      </c>
      <c r="M236" s="120">
        <f>sumifs('jiliarena_代理数据_底稿'!$O:$O,'jiliarena_代理数据_底稿'!$B:$B,M$211,'jiliarena_代理数据_底稿'!$A:$A,$A236)</f>
        <v>0</v>
      </c>
      <c r="N236" s="120">
        <f>sumifs('jiliarena_代理数据_底稿'!$O:$O,'jiliarena_代理数据_底稿'!$B:$B,N$211,'jiliarena_代理数据_底稿'!$A:$A,$A236)</f>
        <v>0</v>
      </c>
      <c r="O236" s="120">
        <f>sumifs('jiliarena_代理数据_底稿'!$O:$O,'jiliarena_代理数据_底稿'!$B:$B,O$211,'jiliarena_代理数据_底稿'!$A:$A,$A236)</f>
        <v>0</v>
      </c>
      <c r="P236" s="120">
        <f>sumifs('jiliarena_代理数据_底稿'!$O:$O,'jiliarena_代理数据_底稿'!$B:$B,P$211,'jiliarena_代理数据_底稿'!$A:$A,$A236)</f>
        <v>0</v>
      </c>
      <c r="Q236" s="120">
        <f>sumifs('jiliarena_代理数据_底稿'!$O:$O,'jiliarena_代理数据_底稿'!$B:$B,Q$211,'jiliarena_代理数据_底稿'!$A:$A,$A236)</f>
        <v>0</v>
      </c>
      <c r="R236" s="120">
        <f>sumifs('jiliarena_代理数据_底稿'!$O:$O,'jiliarena_代理数据_底稿'!$B:$B,R$211,'jiliarena_代理数据_底稿'!$A:$A,$A236)</f>
        <v>0</v>
      </c>
      <c r="S236" s="120">
        <f>sumifs('jiliarena_代理数据_底稿'!$O:$O,'jiliarena_代理数据_底稿'!$B:$B,S$211,'jiliarena_代理数据_底稿'!$A:$A,$A236)</f>
        <v>0</v>
      </c>
      <c r="T236" s="120">
        <f>sumifs('jiliarena_代理数据_底稿'!$O:$O,'jiliarena_代理数据_底稿'!$B:$B,T$211,'jiliarena_代理数据_底稿'!$A:$A,$A236)</f>
        <v>0</v>
      </c>
      <c r="U236" s="120">
        <f>sumifs('jiliarena_代理数据_底稿'!$O:$O,'jiliarena_代理数据_底稿'!$B:$B,U$211,'jiliarena_代理数据_底稿'!$A:$A,$A236)</f>
        <v>0</v>
      </c>
      <c r="V236" s="120">
        <f>sumifs('jiliarena_代理数据_底稿'!$O:$O,'jiliarena_代理数据_底稿'!$B:$B,V$211,'jiliarena_代理数据_底稿'!$A:$A,$A236)</f>
        <v>0</v>
      </c>
      <c r="W236" s="120">
        <f>sumifs('jiliarena_代理数据_底稿'!$O:$O,'jiliarena_代理数据_底稿'!$B:$B,W$211,'jiliarena_代理数据_底稿'!$A:$A,$A236)</f>
        <v>0</v>
      </c>
      <c r="X236" s="120">
        <f>sumifs('jiliarena_代理数据_底稿'!$O:$O,'jiliarena_代理数据_底稿'!$B:$B,X$211,'jiliarena_代理数据_底稿'!$A:$A,$A236)</f>
        <v>0</v>
      </c>
      <c r="Y236" s="120">
        <f>sumifs('jiliarena_代理数据_底稿'!$O:$O,'jiliarena_代理数据_底稿'!$B:$B,Y$211,'jiliarena_代理数据_底稿'!$A:$A,$A236)</f>
        <v>0</v>
      </c>
      <c r="Z236" s="120">
        <f>sumifs('jiliarena_代理数据_底稿'!$O:$O,'jiliarena_代理数据_底稿'!$B:$B,Z$211,'jiliarena_代理数据_底稿'!$A:$A,$A236)</f>
        <v>0</v>
      </c>
      <c r="AA236" s="120">
        <f>sumifs('jiliarena_代理数据_底稿'!$O:$O,'jiliarena_代理数据_底稿'!$B:$B,AA$211,'jiliarena_代理数据_底稿'!$A:$A,$A236)</f>
        <v>0</v>
      </c>
      <c r="AB236" s="120">
        <f>sumifs('jiliarena_代理数据_底稿'!$O:$O,'jiliarena_代理数据_底稿'!$B:$B,AB$211,'jiliarena_代理数据_底稿'!$A:$A,$A236)</f>
        <v>0</v>
      </c>
      <c r="AC236" s="120">
        <f>sumifs('jiliarena_代理数据_底稿'!$O:$O,'jiliarena_代理数据_底稿'!$B:$B,AC$211,'jiliarena_代理数据_底稿'!$A:$A,$A236)</f>
        <v>0</v>
      </c>
      <c r="AD236" s="120">
        <f>sumifs('jiliarena_代理数据_底稿'!$O:$O,'jiliarena_代理数据_底稿'!$B:$B,AD$211,'jiliarena_代理数据_底稿'!$A:$A,$A236)</f>
        <v>0</v>
      </c>
      <c r="AE236" s="120">
        <f>sumifs('jiliarena_代理数据_底稿'!$O:$O,'jiliarena_代理数据_底稿'!$B:$B,AE$211,'jiliarena_代理数据_底稿'!$A:$A,$A236)</f>
        <v>0</v>
      </c>
      <c r="AF236" s="120">
        <f>sumifs('jiliarena_代理数据_底稿'!$O:$O,'jiliarena_代理数据_底稿'!$B:$B,AF$211,'jiliarena_代理数据_底稿'!$A:$A,$A236)</f>
        <v>0</v>
      </c>
      <c r="AG236" s="120">
        <f>sumifs('jiliarena_代理数据_底稿'!$O:$O,'jiliarena_代理数据_底稿'!$B:$B,AG$211,'jiliarena_代理数据_底稿'!$A:$A,$A236)</f>
        <v>0</v>
      </c>
      <c r="AH236" s="120">
        <f>sumifs('jiliarena_代理数据_底稿'!$O:$O,'jiliarena_代理数据_底稿'!$B:$B,AH$211,'jiliarena_代理数据_底稿'!$A:$A,$A236)</f>
        <v>0</v>
      </c>
      <c r="AI236" s="120">
        <f>sumifs('jiliarena_代理数据_底稿'!$O:$O,'jiliarena_代理数据_底稿'!$B:$B,AI$211,'jiliarena_代理数据_底稿'!$A:$A,$A236)</f>
        <v>0</v>
      </c>
      <c r="AJ236" s="120">
        <f>sumifs('jiliarena_代理数据_底稿'!$O:$O,'jiliarena_代理数据_底稿'!$B:$B,AJ$211,'jiliarena_代理数据_底稿'!$A:$A,$A236)</f>
        <v>0</v>
      </c>
      <c r="AK236" s="63">
        <f t="shared" si="34"/>
        <v>41483</v>
      </c>
    </row>
    <row r="237">
      <c r="A237" s="122">
        <f t="shared" si="35"/>
        <v>46078</v>
      </c>
      <c r="B237" s="120">
        <f>sumifs('jiliarena_代理数据_底稿'!$O:$O,'jiliarena_代理数据_底稿'!$B:$B,B$211,'jiliarena_代理数据_底稿'!$A:$A,$A237)</f>
        <v>0</v>
      </c>
      <c r="C237" s="120">
        <f>sumifs('jiliarena_代理数据_底稿'!$O:$O,'jiliarena_代理数据_底稿'!$B:$B,C$211,'jiliarena_代理数据_底稿'!$A:$A,$A237)</f>
        <v>35551</v>
      </c>
      <c r="D237" s="120">
        <f>sumifs('jiliarena_代理数据_底稿'!$O:$O,'jiliarena_代理数据_底稿'!$B:$B,D$211,'jiliarena_代理数据_底稿'!$A:$A,$A237)</f>
        <v>0</v>
      </c>
      <c r="E237" s="120">
        <f>sumifs('jiliarena_代理数据_底稿'!$O:$O,'jiliarena_代理数据_底稿'!$B:$B,E$211,'jiliarena_代理数据_底稿'!$A:$A,$A237)</f>
        <v>0</v>
      </c>
      <c r="F237" s="120">
        <f>sumifs('jiliarena_代理数据_底稿'!$O:$O,'jiliarena_代理数据_底稿'!$B:$B,F$211,'jiliarena_代理数据_底稿'!$A:$A,$A237)</f>
        <v>0</v>
      </c>
      <c r="G237" s="120">
        <f>sumifs('jiliarena_代理数据_底稿'!$O:$O,'jiliarena_代理数据_底稿'!$B:$B,G$211,'jiliarena_代理数据_底稿'!$A:$A,$A237)</f>
        <v>0</v>
      </c>
      <c r="H237" s="120">
        <f>sumifs('jiliarena_代理数据_底稿'!$O:$O,'jiliarena_代理数据_底稿'!$B:$B,H$211,'jiliarena_代理数据_底稿'!$A:$A,$A237)</f>
        <v>0</v>
      </c>
      <c r="I237" s="120">
        <f>sumifs('jiliarena_代理数据_底稿'!$O:$O,'jiliarena_代理数据_底稿'!$B:$B,I$211,'jiliarena_代理数据_底稿'!$A:$A,$A237)</f>
        <v>0</v>
      </c>
      <c r="J237" s="120">
        <f>sumifs('jiliarena_代理数据_底稿'!$O:$O,'jiliarena_代理数据_底稿'!$B:$B,J$211,'jiliarena_代理数据_底稿'!$A:$A,$A237)</f>
        <v>0</v>
      </c>
      <c r="K237" s="120">
        <f>sumifs('jiliarena_代理数据_底稿'!$O:$O,'jiliarena_代理数据_底稿'!$B:$B,K$211,'jiliarena_代理数据_底稿'!$A:$A,$A237)</f>
        <v>0</v>
      </c>
      <c r="L237" s="120">
        <f>sumifs('jiliarena_代理数据_底稿'!$O:$O,'jiliarena_代理数据_底稿'!$B:$B,L$211,'jiliarena_代理数据_底稿'!$A:$A,$A237)</f>
        <v>0</v>
      </c>
      <c r="M237" s="120">
        <f>sumifs('jiliarena_代理数据_底稿'!$O:$O,'jiliarena_代理数据_底稿'!$B:$B,M$211,'jiliarena_代理数据_底稿'!$A:$A,$A237)</f>
        <v>0</v>
      </c>
      <c r="N237" s="120">
        <f>sumifs('jiliarena_代理数据_底稿'!$O:$O,'jiliarena_代理数据_底稿'!$B:$B,N$211,'jiliarena_代理数据_底稿'!$A:$A,$A237)</f>
        <v>0</v>
      </c>
      <c r="O237" s="120">
        <f>sumifs('jiliarena_代理数据_底稿'!$O:$O,'jiliarena_代理数据_底稿'!$B:$B,O$211,'jiliarena_代理数据_底稿'!$A:$A,$A237)</f>
        <v>0</v>
      </c>
      <c r="P237" s="120">
        <f>sumifs('jiliarena_代理数据_底稿'!$O:$O,'jiliarena_代理数据_底稿'!$B:$B,P$211,'jiliarena_代理数据_底稿'!$A:$A,$A237)</f>
        <v>0</v>
      </c>
      <c r="Q237" s="120">
        <f>sumifs('jiliarena_代理数据_底稿'!$O:$O,'jiliarena_代理数据_底稿'!$B:$B,Q$211,'jiliarena_代理数据_底稿'!$A:$A,$A237)</f>
        <v>0</v>
      </c>
      <c r="R237" s="120">
        <f>sumifs('jiliarena_代理数据_底稿'!$O:$O,'jiliarena_代理数据_底稿'!$B:$B,R$211,'jiliarena_代理数据_底稿'!$A:$A,$A237)</f>
        <v>0</v>
      </c>
      <c r="S237" s="120">
        <f>sumifs('jiliarena_代理数据_底稿'!$O:$O,'jiliarena_代理数据_底稿'!$B:$B,S$211,'jiliarena_代理数据_底稿'!$A:$A,$A237)</f>
        <v>0</v>
      </c>
      <c r="T237" s="120">
        <f>sumifs('jiliarena_代理数据_底稿'!$O:$O,'jiliarena_代理数据_底稿'!$B:$B,T$211,'jiliarena_代理数据_底稿'!$A:$A,$A237)</f>
        <v>0</v>
      </c>
      <c r="U237" s="120">
        <f>sumifs('jiliarena_代理数据_底稿'!$O:$O,'jiliarena_代理数据_底稿'!$B:$B,U$211,'jiliarena_代理数据_底稿'!$A:$A,$A237)</f>
        <v>0</v>
      </c>
      <c r="V237" s="120">
        <f>sumifs('jiliarena_代理数据_底稿'!$O:$O,'jiliarena_代理数据_底稿'!$B:$B,V$211,'jiliarena_代理数据_底稿'!$A:$A,$A237)</f>
        <v>0</v>
      </c>
      <c r="W237" s="120">
        <f>sumifs('jiliarena_代理数据_底稿'!$O:$O,'jiliarena_代理数据_底稿'!$B:$B,W$211,'jiliarena_代理数据_底稿'!$A:$A,$A237)</f>
        <v>0</v>
      </c>
      <c r="X237" s="120">
        <f>sumifs('jiliarena_代理数据_底稿'!$O:$O,'jiliarena_代理数据_底稿'!$B:$B,X$211,'jiliarena_代理数据_底稿'!$A:$A,$A237)</f>
        <v>0</v>
      </c>
      <c r="Y237" s="120">
        <f>sumifs('jiliarena_代理数据_底稿'!$O:$O,'jiliarena_代理数据_底稿'!$B:$B,Y$211,'jiliarena_代理数据_底稿'!$A:$A,$A237)</f>
        <v>0</v>
      </c>
      <c r="Z237" s="120">
        <f>sumifs('jiliarena_代理数据_底稿'!$O:$O,'jiliarena_代理数据_底稿'!$B:$B,Z$211,'jiliarena_代理数据_底稿'!$A:$A,$A237)</f>
        <v>0</v>
      </c>
      <c r="AA237" s="120">
        <f>sumifs('jiliarena_代理数据_底稿'!$O:$O,'jiliarena_代理数据_底稿'!$B:$B,AA$211,'jiliarena_代理数据_底稿'!$A:$A,$A237)</f>
        <v>0</v>
      </c>
      <c r="AB237" s="120">
        <f>sumifs('jiliarena_代理数据_底稿'!$O:$O,'jiliarena_代理数据_底稿'!$B:$B,AB$211,'jiliarena_代理数据_底稿'!$A:$A,$A237)</f>
        <v>0</v>
      </c>
      <c r="AC237" s="120">
        <f>sumifs('jiliarena_代理数据_底稿'!$O:$O,'jiliarena_代理数据_底稿'!$B:$B,AC$211,'jiliarena_代理数据_底稿'!$A:$A,$A237)</f>
        <v>0</v>
      </c>
      <c r="AD237" s="120">
        <f>sumifs('jiliarena_代理数据_底稿'!$O:$O,'jiliarena_代理数据_底稿'!$B:$B,AD$211,'jiliarena_代理数据_底稿'!$A:$A,$A237)</f>
        <v>0</v>
      </c>
      <c r="AE237" s="120">
        <f>sumifs('jiliarena_代理数据_底稿'!$O:$O,'jiliarena_代理数据_底稿'!$B:$B,AE$211,'jiliarena_代理数据_底稿'!$A:$A,$A237)</f>
        <v>0</v>
      </c>
      <c r="AF237" s="120">
        <f>sumifs('jiliarena_代理数据_底稿'!$O:$O,'jiliarena_代理数据_底稿'!$B:$B,AF$211,'jiliarena_代理数据_底稿'!$A:$A,$A237)</f>
        <v>0</v>
      </c>
      <c r="AG237" s="120">
        <f>sumifs('jiliarena_代理数据_底稿'!$O:$O,'jiliarena_代理数据_底稿'!$B:$B,AG$211,'jiliarena_代理数据_底稿'!$A:$A,$A237)</f>
        <v>0</v>
      </c>
      <c r="AH237" s="120">
        <f>sumifs('jiliarena_代理数据_底稿'!$O:$O,'jiliarena_代理数据_底稿'!$B:$B,AH$211,'jiliarena_代理数据_底稿'!$A:$A,$A237)</f>
        <v>0</v>
      </c>
      <c r="AI237" s="120">
        <f>sumifs('jiliarena_代理数据_底稿'!$O:$O,'jiliarena_代理数据_底稿'!$B:$B,AI$211,'jiliarena_代理数据_底稿'!$A:$A,$A237)</f>
        <v>0</v>
      </c>
      <c r="AJ237" s="120">
        <f>sumifs('jiliarena_代理数据_底稿'!$O:$O,'jiliarena_代理数据_底稿'!$B:$B,AJ$211,'jiliarena_代理数据_底稿'!$A:$A,$A237)</f>
        <v>0</v>
      </c>
      <c r="AK237" s="63">
        <f t="shared" si="34"/>
        <v>35551</v>
      </c>
    </row>
    <row r="238">
      <c r="A238" s="122">
        <f t="shared" si="35"/>
        <v>46079</v>
      </c>
      <c r="B238" s="120">
        <f>sumifs('jiliarena_代理数据_底稿'!$O:$O,'jiliarena_代理数据_底稿'!$B:$B,B$211,'jiliarena_代理数据_底稿'!$A:$A,$A238)</f>
        <v>0</v>
      </c>
      <c r="C238" s="120">
        <f>sumifs('jiliarena_代理数据_底稿'!$O:$O,'jiliarena_代理数据_底稿'!$B:$B,C$211,'jiliarena_代理数据_底稿'!$A:$A,$A238)</f>
        <v>40952</v>
      </c>
      <c r="D238" s="120">
        <f>sumifs('jiliarena_代理数据_底稿'!$O:$O,'jiliarena_代理数据_底稿'!$B:$B,D$211,'jiliarena_代理数据_底稿'!$A:$A,$A238)</f>
        <v>0</v>
      </c>
      <c r="E238" s="120">
        <f>sumifs('jiliarena_代理数据_底稿'!$O:$O,'jiliarena_代理数据_底稿'!$B:$B,E$211,'jiliarena_代理数据_底稿'!$A:$A,$A238)</f>
        <v>0</v>
      </c>
      <c r="F238" s="120">
        <f>sumifs('jiliarena_代理数据_底稿'!$O:$O,'jiliarena_代理数据_底稿'!$B:$B,F$211,'jiliarena_代理数据_底稿'!$A:$A,$A238)</f>
        <v>0</v>
      </c>
      <c r="G238" s="120">
        <f>sumifs('jiliarena_代理数据_底稿'!$O:$O,'jiliarena_代理数据_底稿'!$B:$B,G$211,'jiliarena_代理数据_底稿'!$A:$A,$A238)</f>
        <v>0</v>
      </c>
      <c r="H238" s="120">
        <f>sumifs('jiliarena_代理数据_底稿'!$O:$O,'jiliarena_代理数据_底稿'!$B:$B,H$211,'jiliarena_代理数据_底稿'!$A:$A,$A238)</f>
        <v>0</v>
      </c>
      <c r="I238" s="120">
        <f>sumifs('jiliarena_代理数据_底稿'!$O:$O,'jiliarena_代理数据_底稿'!$B:$B,I$211,'jiliarena_代理数据_底稿'!$A:$A,$A238)</f>
        <v>0</v>
      </c>
      <c r="J238" s="120">
        <f>sumifs('jiliarena_代理数据_底稿'!$O:$O,'jiliarena_代理数据_底稿'!$B:$B,J$211,'jiliarena_代理数据_底稿'!$A:$A,$A238)</f>
        <v>0</v>
      </c>
      <c r="K238" s="120">
        <f>sumifs('jiliarena_代理数据_底稿'!$O:$O,'jiliarena_代理数据_底稿'!$B:$B,K$211,'jiliarena_代理数据_底稿'!$A:$A,$A238)</f>
        <v>0</v>
      </c>
      <c r="L238" s="120">
        <f>sumifs('jiliarena_代理数据_底稿'!$O:$O,'jiliarena_代理数据_底稿'!$B:$B,L$211,'jiliarena_代理数据_底稿'!$A:$A,$A238)</f>
        <v>0</v>
      </c>
      <c r="M238" s="120">
        <f>sumifs('jiliarena_代理数据_底稿'!$O:$O,'jiliarena_代理数据_底稿'!$B:$B,M$211,'jiliarena_代理数据_底稿'!$A:$A,$A238)</f>
        <v>0</v>
      </c>
      <c r="N238" s="120">
        <f>sumifs('jiliarena_代理数据_底稿'!$O:$O,'jiliarena_代理数据_底稿'!$B:$B,N$211,'jiliarena_代理数据_底稿'!$A:$A,$A238)</f>
        <v>0</v>
      </c>
      <c r="O238" s="120">
        <f>sumifs('jiliarena_代理数据_底稿'!$O:$O,'jiliarena_代理数据_底稿'!$B:$B,O$211,'jiliarena_代理数据_底稿'!$A:$A,$A238)</f>
        <v>0</v>
      </c>
      <c r="P238" s="120">
        <f>sumifs('jiliarena_代理数据_底稿'!$O:$O,'jiliarena_代理数据_底稿'!$B:$B,P$211,'jiliarena_代理数据_底稿'!$A:$A,$A238)</f>
        <v>0</v>
      </c>
      <c r="Q238" s="120">
        <f>sumifs('jiliarena_代理数据_底稿'!$O:$O,'jiliarena_代理数据_底稿'!$B:$B,Q$211,'jiliarena_代理数据_底稿'!$A:$A,$A238)</f>
        <v>0</v>
      </c>
      <c r="R238" s="120">
        <f>sumifs('jiliarena_代理数据_底稿'!$O:$O,'jiliarena_代理数据_底稿'!$B:$B,R$211,'jiliarena_代理数据_底稿'!$A:$A,$A238)</f>
        <v>0</v>
      </c>
      <c r="S238" s="120">
        <f>sumifs('jiliarena_代理数据_底稿'!$O:$O,'jiliarena_代理数据_底稿'!$B:$B,S$211,'jiliarena_代理数据_底稿'!$A:$A,$A238)</f>
        <v>0</v>
      </c>
      <c r="T238" s="120">
        <f>sumifs('jiliarena_代理数据_底稿'!$O:$O,'jiliarena_代理数据_底稿'!$B:$B,T$211,'jiliarena_代理数据_底稿'!$A:$A,$A238)</f>
        <v>0</v>
      </c>
      <c r="U238" s="120">
        <f>sumifs('jiliarena_代理数据_底稿'!$O:$O,'jiliarena_代理数据_底稿'!$B:$B,U$211,'jiliarena_代理数据_底稿'!$A:$A,$A238)</f>
        <v>0</v>
      </c>
      <c r="V238" s="120">
        <f>sumifs('jiliarena_代理数据_底稿'!$O:$O,'jiliarena_代理数据_底稿'!$B:$B,V$211,'jiliarena_代理数据_底稿'!$A:$A,$A238)</f>
        <v>0</v>
      </c>
      <c r="W238" s="120">
        <f>sumifs('jiliarena_代理数据_底稿'!$O:$O,'jiliarena_代理数据_底稿'!$B:$B,W$211,'jiliarena_代理数据_底稿'!$A:$A,$A238)</f>
        <v>0</v>
      </c>
      <c r="X238" s="120">
        <f>sumifs('jiliarena_代理数据_底稿'!$O:$O,'jiliarena_代理数据_底稿'!$B:$B,X$211,'jiliarena_代理数据_底稿'!$A:$A,$A238)</f>
        <v>0</v>
      </c>
      <c r="Y238" s="120">
        <f>sumifs('jiliarena_代理数据_底稿'!$O:$O,'jiliarena_代理数据_底稿'!$B:$B,Y$211,'jiliarena_代理数据_底稿'!$A:$A,$A238)</f>
        <v>0</v>
      </c>
      <c r="Z238" s="120">
        <f>sumifs('jiliarena_代理数据_底稿'!$O:$O,'jiliarena_代理数据_底稿'!$B:$B,Z$211,'jiliarena_代理数据_底稿'!$A:$A,$A238)</f>
        <v>0</v>
      </c>
      <c r="AA238" s="120">
        <f>sumifs('jiliarena_代理数据_底稿'!$O:$O,'jiliarena_代理数据_底稿'!$B:$B,AA$211,'jiliarena_代理数据_底稿'!$A:$A,$A238)</f>
        <v>0</v>
      </c>
      <c r="AB238" s="120">
        <f>sumifs('jiliarena_代理数据_底稿'!$O:$O,'jiliarena_代理数据_底稿'!$B:$B,AB$211,'jiliarena_代理数据_底稿'!$A:$A,$A238)</f>
        <v>0</v>
      </c>
      <c r="AC238" s="120">
        <f>sumifs('jiliarena_代理数据_底稿'!$O:$O,'jiliarena_代理数据_底稿'!$B:$B,AC$211,'jiliarena_代理数据_底稿'!$A:$A,$A238)</f>
        <v>0</v>
      </c>
      <c r="AD238" s="120">
        <f>sumifs('jiliarena_代理数据_底稿'!$O:$O,'jiliarena_代理数据_底稿'!$B:$B,AD$211,'jiliarena_代理数据_底稿'!$A:$A,$A238)</f>
        <v>0</v>
      </c>
      <c r="AE238" s="120">
        <f>sumifs('jiliarena_代理数据_底稿'!$O:$O,'jiliarena_代理数据_底稿'!$B:$B,AE$211,'jiliarena_代理数据_底稿'!$A:$A,$A238)</f>
        <v>0</v>
      </c>
      <c r="AF238" s="120">
        <f>sumifs('jiliarena_代理数据_底稿'!$O:$O,'jiliarena_代理数据_底稿'!$B:$B,AF$211,'jiliarena_代理数据_底稿'!$A:$A,$A238)</f>
        <v>0</v>
      </c>
      <c r="AG238" s="120">
        <f>sumifs('jiliarena_代理数据_底稿'!$O:$O,'jiliarena_代理数据_底稿'!$B:$B,AG$211,'jiliarena_代理数据_底稿'!$A:$A,$A238)</f>
        <v>0</v>
      </c>
      <c r="AH238" s="120">
        <f>sumifs('jiliarena_代理数据_底稿'!$O:$O,'jiliarena_代理数据_底稿'!$B:$B,AH$211,'jiliarena_代理数据_底稿'!$A:$A,$A238)</f>
        <v>0</v>
      </c>
      <c r="AI238" s="120">
        <f>sumifs('jiliarena_代理数据_底稿'!$O:$O,'jiliarena_代理数据_底稿'!$B:$B,AI$211,'jiliarena_代理数据_底稿'!$A:$A,$A238)</f>
        <v>0</v>
      </c>
      <c r="AJ238" s="120">
        <f>sumifs('jiliarena_代理数据_底稿'!$O:$O,'jiliarena_代理数据_底稿'!$B:$B,AJ$211,'jiliarena_代理数据_底稿'!$A:$A,$A238)</f>
        <v>0</v>
      </c>
      <c r="AK238" s="63">
        <f t="shared" si="34"/>
        <v>40952</v>
      </c>
    </row>
    <row r="239">
      <c r="A239" s="122">
        <f t="shared" si="35"/>
        <v>46080</v>
      </c>
      <c r="B239" s="120">
        <f>sumifs('jiliarena_代理数据_底稿'!$O:$O,'jiliarena_代理数据_底稿'!$B:$B,B$211,'jiliarena_代理数据_底稿'!$A:$A,$A239)</f>
        <v>0</v>
      </c>
      <c r="C239" s="120">
        <f>sumifs('jiliarena_代理数据_底稿'!$O:$O,'jiliarena_代理数据_底稿'!$B:$B,C$211,'jiliarena_代理数据_底稿'!$A:$A,$A239)</f>
        <v>38744</v>
      </c>
      <c r="D239" s="120">
        <f>sumifs('jiliarena_代理数据_底稿'!$O:$O,'jiliarena_代理数据_底稿'!$B:$B,D$211,'jiliarena_代理数据_底稿'!$A:$A,$A239)</f>
        <v>0</v>
      </c>
      <c r="E239" s="120">
        <f>sumifs('jiliarena_代理数据_底稿'!$O:$O,'jiliarena_代理数据_底稿'!$B:$B,E$211,'jiliarena_代理数据_底稿'!$A:$A,$A239)</f>
        <v>0</v>
      </c>
      <c r="F239" s="120">
        <f>sumifs('jiliarena_代理数据_底稿'!$O:$O,'jiliarena_代理数据_底稿'!$B:$B,F$211,'jiliarena_代理数据_底稿'!$A:$A,$A239)</f>
        <v>0</v>
      </c>
      <c r="G239" s="120">
        <f>sumifs('jiliarena_代理数据_底稿'!$O:$O,'jiliarena_代理数据_底稿'!$B:$B,G$211,'jiliarena_代理数据_底稿'!$A:$A,$A239)</f>
        <v>0</v>
      </c>
      <c r="H239" s="120">
        <f>sumifs('jiliarena_代理数据_底稿'!$O:$O,'jiliarena_代理数据_底稿'!$B:$B,H$211,'jiliarena_代理数据_底稿'!$A:$A,$A239)</f>
        <v>0</v>
      </c>
      <c r="I239" s="120">
        <f>sumifs('jiliarena_代理数据_底稿'!$O:$O,'jiliarena_代理数据_底稿'!$B:$B,I$211,'jiliarena_代理数据_底稿'!$A:$A,$A239)</f>
        <v>0</v>
      </c>
      <c r="J239" s="120">
        <f>sumifs('jiliarena_代理数据_底稿'!$O:$O,'jiliarena_代理数据_底稿'!$B:$B,J$211,'jiliarena_代理数据_底稿'!$A:$A,$A239)</f>
        <v>0</v>
      </c>
      <c r="K239" s="120">
        <f>sumifs('jiliarena_代理数据_底稿'!$O:$O,'jiliarena_代理数据_底稿'!$B:$B,K$211,'jiliarena_代理数据_底稿'!$A:$A,$A239)</f>
        <v>0</v>
      </c>
      <c r="L239" s="120">
        <f>sumifs('jiliarena_代理数据_底稿'!$O:$O,'jiliarena_代理数据_底稿'!$B:$B,L$211,'jiliarena_代理数据_底稿'!$A:$A,$A239)</f>
        <v>0</v>
      </c>
      <c r="M239" s="120">
        <f>sumifs('jiliarena_代理数据_底稿'!$O:$O,'jiliarena_代理数据_底稿'!$B:$B,M$211,'jiliarena_代理数据_底稿'!$A:$A,$A239)</f>
        <v>0</v>
      </c>
      <c r="N239" s="120">
        <f>sumifs('jiliarena_代理数据_底稿'!$O:$O,'jiliarena_代理数据_底稿'!$B:$B,N$211,'jiliarena_代理数据_底稿'!$A:$A,$A239)</f>
        <v>0</v>
      </c>
      <c r="O239" s="120">
        <f>sumifs('jiliarena_代理数据_底稿'!$O:$O,'jiliarena_代理数据_底稿'!$B:$B,O$211,'jiliarena_代理数据_底稿'!$A:$A,$A239)</f>
        <v>0</v>
      </c>
      <c r="P239" s="120">
        <f>sumifs('jiliarena_代理数据_底稿'!$O:$O,'jiliarena_代理数据_底稿'!$B:$B,P$211,'jiliarena_代理数据_底稿'!$A:$A,$A239)</f>
        <v>0</v>
      </c>
      <c r="Q239" s="120">
        <f>sumifs('jiliarena_代理数据_底稿'!$O:$O,'jiliarena_代理数据_底稿'!$B:$B,Q$211,'jiliarena_代理数据_底稿'!$A:$A,$A239)</f>
        <v>0</v>
      </c>
      <c r="R239" s="120">
        <f>sumifs('jiliarena_代理数据_底稿'!$O:$O,'jiliarena_代理数据_底稿'!$B:$B,R$211,'jiliarena_代理数据_底稿'!$A:$A,$A239)</f>
        <v>0</v>
      </c>
      <c r="S239" s="120">
        <f>sumifs('jiliarena_代理数据_底稿'!$O:$O,'jiliarena_代理数据_底稿'!$B:$B,S$211,'jiliarena_代理数据_底稿'!$A:$A,$A239)</f>
        <v>0</v>
      </c>
      <c r="T239" s="120">
        <f>sumifs('jiliarena_代理数据_底稿'!$O:$O,'jiliarena_代理数据_底稿'!$B:$B,T$211,'jiliarena_代理数据_底稿'!$A:$A,$A239)</f>
        <v>0</v>
      </c>
      <c r="U239" s="120">
        <f>sumifs('jiliarena_代理数据_底稿'!$O:$O,'jiliarena_代理数据_底稿'!$B:$B,U$211,'jiliarena_代理数据_底稿'!$A:$A,$A239)</f>
        <v>0</v>
      </c>
      <c r="V239" s="120">
        <f>sumifs('jiliarena_代理数据_底稿'!$O:$O,'jiliarena_代理数据_底稿'!$B:$B,V$211,'jiliarena_代理数据_底稿'!$A:$A,$A239)</f>
        <v>0</v>
      </c>
      <c r="W239" s="120">
        <f>sumifs('jiliarena_代理数据_底稿'!$O:$O,'jiliarena_代理数据_底稿'!$B:$B,W$211,'jiliarena_代理数据_底稿'!$A:$A,$A239)</f>
        <v>0</v>
      </c>
      <c r="X239" s="120">
        <f>sumifs('jiliarena_代理数据_底稿'!$O:$O,'jiliarena_代理数据_底稿'!$B:$B,X$211,'jiliarena_代理数据_底稿'!$A:$A,$A239)</f>
        <v>0</v>
      </c>
      <c r="Y239" s="120">
        <f>sumifs('jiliarena_代理数据_底稿'!$O:$O,'jiliarena_代理数据_底稿'!$B:$B,Y$211,'jiliarena_代理数据_底稿'!$A:$A,$A239)</f>
        <v>0</v>
      </c>
      <c r="Z239" s="120">
        <f>sumifs('jiliarena_代理数据_底稿'!$O:$O,'jiliarena_代理数据_底稿'!$B:$B,Z$211,'jiliarena_代理数据_底稿'!$A:$A,$A239)</f>
        <v>0</v>
      </c>
      <c r="AA239" s="120">
        <f>sumifs('jiliarena_代理数据_底稿'!$O:$O,'jiliarena_代理数据_底稿'!$B:$B,AA$211,'jiliarena_代理数据_底稿'!$A:$A,$A239)</f>
        <v>0</v>
      </c>
      <c r="AB239" s="120">
        <f>sumifs('jiliarena_代理数据_底稿'!$O:$O,'jiliarena_代理数据_底稿'!$B:$B,AB$211,'jiliarena_代理数据_底稿'!$A:$A,$A239)</f>
        <v>0</v>
      </c>
      <c r="AC239" s="120">
        <f>sumifs('jiliarena_代理数据_底稿'!$O:$O,'jiliarena_代理数据_底稿'!$B:$B,AC$211,'jiliarena_代理数据_底稿'!$A:$A,$A239)</f>
        <v>0</v>
      </c>
      <c r="AD239" s="120">
        <f>sumifs('jiliarena_代理数据_底稿'!$O:$O,'jiliarena_代理数据_底稿'!$B:$B,AD$211,'jiliarena_代理数据_底稿'!$A:$A,$A239)</f>
        <v>0</v>
      </c>
      <c r="AE239" s="120">
        <f>sumifs('jiliarena_代理数据_底稿'!$O:$O,'jiliarena_代理数据_底稿'!$B:$B,AE$211,'jiliarena_代理数据_底稿'!$A:$A,$A239)</f>
        <v>0</v>
      </c>
      <c r="AF239" s="120">
        <f>sumifs('jiliarena_代理数据_底稿'!$O:$O,'jiliarena_代理数据_底稿'!$B:$B,AF$211,'jiliarena_代理数据_底稿'!$A:$A,$A239)</f>
        <v>0</v>
      </c>
      <c r="AG239" s="120">
        <f>sumifs('jiliarena_代理数据_底稿'!$O:$O,'jiliarena_代理数据_底稿'!$B:$B,AG$211,'jiliarena_代理数据_底稿'!$A:$A,$A239)</f>
        <v>0</v>
      </c>
      <c r="AH239" s="120">
        <f>sumifs('jiliarena_代理数据_底稿'!$O:$O,'jiliarena_代理数据_底稿'!$B:$B,AH$211,'jiliarena_代理数据_底稿'!$A:$A,$A239)</f>
        <v>0</v>
      </c>
      <c r="AI239" s="120">
        <f>sumifs('jiliarena_代理数据_底稿'!$O:$O,'jiliarena_代理数据_底稿'!$B:$B,AI$211,'jiliarena_代理数据_底稿'!$A:$A,$A239)</f>
        <v>0</v>
      </c>
      <c r="AJ239" s="120">
        <f>sumifs('jiliarena_代理数据_底稿'!$O:$O,'jiliarena_代理数据_底稿'!$B:$B,AJ$211,'jiliarena_代理数据_底稿'!$A:$A,$A239)</f>
        <v>0</v>
      </c>
      <c r="AK239" s="63">
        <f t="shared" si="34"/>
        <v>38744</v>
      </c>
    </row>
    <row r="240">
      <c r="A240" s="122">
        <f t="shared" si="35"/>
        <v>46081</v>
      </c>
      <c r="B240" s="120">
        <f>sumifs('jiliarena_代理数据_底稿'!$O:$O,'jiliarena_代理数据_底稿'!$B:$B,B$211,'jiliarena_代理数据_底稿'!$A:$A,$A240)</f>
        <v>0</v>
      </c>
      <c r="C240" s="120">
        <f>sumifs('jiliarena_代理数据_底稿'!$O:$O,'jiliarena_代理数据_底稿'!$B:$B,C$211,'jiliarena_代理数据_底稿'!$A:$A,$A240)</f>
        <v>27691</v>
      </c>
      <c r="D240" s="120">
        <f>sumifs('jiliarena_代理数据_底稿'!$O:$O,'jiliarena_代理数据_底稿'!$B:$B,D$211,'jiliarena_代理数据_底稿'!$A:$A,$A240)</f>
        <v>0</v>
      </c>
      <c r="E240" s="120">
        <f>sumifs('jiliarena_代理数据_底稿'!$O:$O,'jiliarena_代理数据_底稿'!$B:$B,E$211,'jiliarena_代理数据_底稿'!$A:$A,$A240)</f>
        <v>0</v>
      </c>
      <c r="F240" s="120">
        <f>sumifs('jiliarena_代理数据_底稿'!$O:$O,'jiliarena_代理数据_底稿'!$B:$B,F$211,'jiliarena_代理数据_底稿'!$A:$A,$A240)</f>
        <v>0</v>
      </c>
      <c r="G240" s="120">
        <f>sumifs('jiliarena_代理数据_底稿'!$O:$O,'jiliarena_代理数据_底稿'!$B:$B,G$211,'jiliarena_代理数据_底稿'!$A:$A,$A240)</f>
        <v>0</v>
      </c>
      <c r="H240" s="120">
        <f>sumifs('jiliarena_代理数据_底稿'!$O:$O,'jiliarena_代理数据_底稿'!$B:$B,H$211,'jiliarena_代理数据_底稿'!$A:$A,$A240)</f>
        <v>0</v>
      </c>
      <c r="I240" s="120">
        <f>sumifs('jiliarena_代理数据_底稿'!$O:$O,'jiliarena_代理数据_底稿'!$B:$B,I$211,'jiliarena_代理数据_底稿'!$A:$A,$A240)</f>
        <v>0</v>
      </c>
      <c r="J240" s="120">
        <f>sumifs('jiliarena_代理数据_底稿'!$O:$O,'jiliarena_代理数据_底稿'!$B:$B,J$211,'jiliarena_代理数据_底稿'!$A:$A,$A240)</f>
        <v>0</v>
      </c>
      <c r="K240" s="120">
        <f>sumifs('jiliarena_代理数据_底稿'!$O:$O,'jiliarena_代理数据_底稿'!$B:$B,K$211,'jiliarena_代理数据_底稿'!$A:$A,$A240)</f>
        <v>0</v>
      </c>
      <c r="L240" s="120">
        <f>sumifs('jiliarena_代理数据_底稿'!$O:$O,'jiliarena_代理数据_底稿'!$B:$B,L$211,'jiliarena_代理数据_底稿'!$A:$A,$A240)</f>
        <v>0</v>
      </c>
      <c r="M240" s="120">
        <f>sumifs('jiliarena_代理数据_底稿'!$O:$O,'jiliarena_代理数据_底稿'!$B:$B,M$211,'jiliarena_代理数据_底稿'!$A:$A,$A240)</f>
        <v>0</v>
      </c>
      <c r="N240" s="120">
        <f>sumifs('jiliarena_代理数据_底稿'!$O:$O,'jiliarena_代理数据_底稿'!$B:$B,N$211,'jiliarena_代理数据_底稿'!$A:$A,$A240)</f>
        <v>0</v>
      </c>
      <c r="O240" s="120">
        <f>sumifs('jiliarena_代理数据_底稿'!$O:$O,'jiliarena_代理数据_底稿'!$B:$B,O$211,'jiliarena_代理数据_底稿'!$A:$A,$A240)</f>
        <v>0</v>
      </c>
      <c r="P240" s="120">
        <f>sumifs('jiliarena_代理数据_底稿'!$O:$O,'jiliarena_代理数据_底稿'!$B:$B,P$211,'jiliarena_代理数据_底稿'!$A:$A,$A240)</f>
        <v>0</v>
      </c>
      <c r="Q240" s="120">
        <f>sumifs('jiliarena_代理数据_底稿'!$O:$O,'jiliarena_代理数据_底稿'!$B:$B,Q$211,'jiliarena_代理数据_底稿'!$A:$A,$A240)</f>
        <v>0</v>
      </c>
      <c r="R240" s="120">
        <f>sumifs('jiliarena_代理数据_底稿'!$O:$O,'jiliarena_代理数据_底稿'!$B:$B,R$211,'jiliarena_代理数据_底稿'!$A:$A,$A240)</f>
        <v>0</v>
      </c>
      <c r="S240" s="120">
        <f>sumifs('jiliarena_代理数据_底稿'!$O:$O,'jiliarena_代理数据_底稿'!$B:$B,S$211,'jiliarena_代理数据_底稿'!$A:$A,$A240)</f>
        <v>0</v>
      </c>
      <c r="T240" s="120">
        <f>sumifs('jiliarena_代理数据_底稿'!$O:$O,'jiliarena_代理数据_底稿'!$B:$B,T$211,'jiliarena_代理数据_底稿'!$A:$A,$A240)</f>
        <v>0</v>
      </c>
      <c r="U240" s="120">
        <f>sumifs('jiliarena_代理数据_底稿'!$O:$O,'jiliarena_代理数据_底稿'!$B:$B,U$211,'jiliarena_代理数据_底稿'!$A:$A,$A240)</f>
        <v>0</v>
      </c>
      <c r="V240" s="120">
        <f>sumifs('jiliarena_代理数据_底稿'!$O:$O,'jiliarena_代理数据_底稿'!$B:$B,V$211,'jiliarena_代理数据_底稿'!$A:$A,$A240)</f>
        <v>0</v>
      </c>
      <c r="W240" s="120">
        <f>sumifs('jiliarena_代理数据_底稿'!$O:$O,'jiliarena_代理数据_底稿'!$B:$B,W$211,'jiliarena_代理数据_底稿'!$A:$A,$A240)</f>
        <v>0</v>
      </c>
      <c r="X240" s="120">
        <f>sumifs('jiliarena_代理数据_底稿'!$O:$O,'jiliarena_代理数据_底稿'!$B:$B,X$211,'jiliarena_代理数据_底稿'!$A:$A,$A240)</f>
        <v>0</v>
      </c>
      <c r="Y240" s="120">
        <f>sumifs('jiliarena_代理数据_底稿'!$O:$O,'jiliarena_代理数据_底稿'!$B:$B,Y$211,'jiliarena_代理数据_底稿'!$A:$A,$A240)</f>
        <v>0</v>
      </c>
      <c r="Z240" s="120">
        <f>sumifs('jiliarena_代理数据_底稿'!$O:$O,'jiliarena_代理数据_底稿'!$B:$B,Z$211,'jiliarena_代理数据_底稿'!$A:$A,$A240)</f>
        <v>0</v>
      </c>
      <c r="AA240" s="120">
        <f>sumifs('jiliarena_代理数据_底稿'!$O:$O,'jiliarena_代理数据_底稿'!$B:$B,AA$211,'jiliarena_代理数据_底稿'!$A:$A,$A240)</f>
        <v>0</v>
      </c>
      <c r="AB240" s="120">
        <f>sumifs('jiliarena_代理数据_底稿'!$O:$O,'jiliarena_代理数据_底稿'!$B:$B,AB$211,'jiliarena_代理数据_底稿'!$A:$A,$A240)</f>
        <v>0</v>
      </c>
      <c r="AC240" s="120">
        <f>sumifs('jiliarena_代理数据_底稿'!$O:$O,'jiliarena_代理数据_底稿'!$B:$B,AC$211,'jiliarena_代理数据_底稿'!$A:$A,$A240)</f>
        <v>0</v>
      </c>
      <c r="AD240" s="120">
        <f>sumifs('jiliarena_代理数据_底稿'!$O:$O,'jiliarena_代理数据_底稿'!$B:$B,AD$211,'jiliarena_代理数据_底稿'!$A:$A,$A240)</f>
        <v>0</v>
      </c>
      <c r="AE240" s="120">
        <f>sumifs('jiliarena_代理数据_底稿'!$O:$O,'jiliarena_代理数据_底稿'!$B:$B,AE$211,'jiliarena_代理数据_底稿'!$A:$A,$A240)</f>
        <v>0</v>
      </c>
      <c r="AF240" s="120">
        <f>sumifs('jiliarena_代理数据_底稿'!$O:$O,'jiliarena_代理数据_底稿'!$B:$B,AF$211,'jiliarena_代理数据_底稿'!$A:$A,$A240)</f>
        <v>0</v>
      </c>
      <c r="AG240" s="120">
        <f>sumifs('jiliarena_代理数据_底稿'!$O:$O,'jiliarena_代理数据_底稿'!$B:$B,AG$211,'jiliarena_代理数据_底稿'!$A:$A,$A240)</f>
        <v>0</v>
      </c>
      <c r="AH240" s="120">
        <f>sumifs('jiliarena_代理数据_底稿'!$O:$O,'jiliarena_代理数据_底稿'!$B:$B,AH$211,'jiliarena_代理数据_底稿'!$A:$A,$A240)</f>
        <v>0</v>
      </c>
      <c r="AI240" s="120">
        <f>sumifs('jiliarena_代理数据_底稿'!$O:$O,'jiliarena_代理数据_底稿'!$B:$B,AI$211,'jiliarena_代理数据_底稿'!$A:$A,$A240)</f>
        <v>0</v>
      </c>
      <c r="AJ240" s="120">
        <f>sumifs('jiliarena_代理数据_底稿'!$O:$O,'jiliarena_代理数据_底稿'!$B:$B,AJ$211,'jiliarena_代理数据_底稿'!$A:$A,$A240)</f>
        <v>0</v>
      </c>
      <c r="AK240" s="63">
        <f t="shared" si="34"/>
        <v>27691</v>
      </c>
    </row>
    <row r="241">
      <c r="A241" s="122">
        <f t="shared" si="35"/>
        <v>46082</v>
      </c>
      <c r="B241" s="120">
        <f>sumifs('jiliarena_代理数据_底稿'!$O:$O,'jiliarena_代理数据_底稿'!$B:$B,B$211,'jiliarena_代理数据_底稿'!$A:$A,$A241)</f>
        <v>0</v>
      </c>
      <c r="C241" s="120">
        <f>sumifs('jiliarena_代理数据_底稿'!$O:$O,'jiliarena_代理数据_底稿'!$B:$B,C$211,'jiliarena_代理数据_底稿'!$A:$A,$A241)</f>
        <v>0</v>
      </c>
      <c r="D241" s="120">
        <f>sumifs('jiliarena_代理数据_底稿'!$O:$O,'jiliarena_代理数据_底稿'!$B:$B,D$211,'jiliarena_代理数据_底稿'!$A:$A,$A241)</f>
        <v>0</v>
      </c>
      <c r="E241" s="120">
        <f>sumifs('jiliarena_代理数据_底稿'!$O:$O,'jiliarena_代理数据_底稿'!$B:$B,E$211,'jiliarena_代理数据_底稿'!$A:$A,$A241)</f>
        <v>0</v>
      </c>
      <c r="F241" s="120">
        <f>sumifs('jiliarena_代理数据_底稿'!$O:$O,'jiliarena_代理数据_底稿'!$B:$B,F$211,'jiliarena_代理数据_底稿'!$A:$A,$A241)</f>
        <v>0</v>
      </c>
      <c r="G241" s="120">
        <f>sumifs('jiliarena_代理数据_底稿'!$O:$O,'jiliarena_代理数据_底稿'!$B:$B,G$211,'jiliarena_代理数据_底稿'!$A:$A,$A241)</f>
        <v>0</v>
      </c>
      <c r="H241" s="120">
        <f>sumifs('jiliarena_代理数据_底稿'!$O:$O,'jiliarena_代理数据_底稿'!$B:$B,H$211,'jiliarena_代理数据_底稿'!$A:$A,$A241)</f>
        <v>0</v>
      </c>
      <c r="I241" s="120">
        <f>sumifs('jiliarena_代理数据_底稿'!$O:$O,'jiliarena_代理数据_底稿'!$B:$B,I$211,'jiliarena_代理数据_底稿'!$A:$A,$A241)</f>
        <v>0</v>
      </c>
      <c r="J241" s="120">
        <f>sumifs('jiliarena_代理数据_底稿'!$O:$O,'jiliarena_代理数据_底稿'!$B:$B,J$211,'jiliarena_代理数据_底稿'!$A:$A,$A241)</f>
        <v>0</v>
      </c>
      <c r="K241" s="120">
        <f>sumifs('jiliarena_代理数据_底稿'!$O:$O,'jiliarena_代理数据_底稿'!$B:$B,K$211,'jiliarena_代理数据_底稿'!$A:$A,$A241)</f>
        <v>0</v>
      </c>
      <c r="L241" s="120">
        <f>sumifs('jiliarena_代理数据_底稿'!$O:$O,'jiliarena_代理数据_底稿'!$B:$B,L$211,'jiliarena_代理数据_底稿'!$A:$A,$A241)</f>
        <v>0</v>
      </c>
      <c r="M241" s="120">
        <f>sumifs('jiliarena_代理数据_底稿'!$O:$O,'jiliarena_代理数据_底稿'!$B:$B,M$211,'jiliarena_代理数据_底稿'!$A:$A,$A241)</f>
        <v>0</v>
      </c>
      <c r="N241" s="120">
        <f>sumifs('jiliarena_代理数据_底稿'!$O:$O,'jiliarena_代理数据_底稿'!$B:$B,N$211,'jiliarena_代理数据_底稿'!$A:$A,$A241)</f>
        <v>0</v>
      </c>
      <c r="O241" s="120">
        <f>sumifs('jiliarena_代理数据_底稿'!$O:$O,'jiliarena_代理数据_底稿'!$B:$B,O$211,'jiliarena_代理数据_底稿'!$A:$A,$A241)</f>
        <v>0</v>
      </c>
      <c r="P241" s="120">
        <f>sumifs('jiliarena_代理数据_底稿'!$O:$O,'jiliarena_代理数据_底稿'!$B:$B,P$211,'jiliarena_代理数据_底稿'!$A:$A,$A241)</f>
        <v>0</v>
      </c>
      <c r="Q241" s="120">
        <f>sumifs('jiliarena_代理数据_底稿'!$O:$O,'jiliarena_代理数据_底稿'!$B:$B,Q$211,'jiliarena_代理数据_底稿'!$A:$A,$A241)</f>
        <v>0</v>
      </c>
      <c r="R241" s="120">
        <f>sumifs('jiliarena_代理数据_底稿'!$O:$O,'jiliarena_代理数据_底稿'!$B:$B,R$211,'jiliarena_代理数据_底稿'!$A:$A,$A241)</f>
        <v>0</v>
      </c>
      <c r="S241" s="120">
        <f>sumifs('jiliarena_代理数据_底稿'!$O:$O,'jiliarena_代理数据_底稿'!$B:$B,S$211,'jiliarena_代理数据_底稿'!$A:$A,$A241)</f>
        <v>0</v>
      </c>
      <c r="T241" s="120">
        <f>sumifs('jiliarena_代理数据_底稿'!$O:$O,'jiliarena_代理数据_底稿'!$B:$B,T$211,'jiliarena_代理数据_底稿'!$A:$A,$A241)</f>
        <v>0</v>
      </c>
      <c r="U241" s="120">
        <f>sumifs('jiliarena_代理数据_底稿'!$O:$O,'jiliarena_代理数据_底稿'!$B:$B,U$211,'jiliarena_代理数据_底稿'!$A:$A,$A241)</f>
        <v>0</v>
      </c>
      <c r="V241" s="120">
        <f>sumifs('jiliarena_代理数据_底稿'!$O:$O,'jiliarena_代理数据_底稿'!$B:$B,V$211,'jiliarena_代理数据_底稿'!$A:$A,$A241)</f>
        <v>0</v>
      </c>
      <c r="W241" s="120">
        <f>sumifs('jiliarena_代理数据_底稿'!$O:$O,'jiliarena_代理数据_底稿'!$B:$B,W$211,'jiliarena_代理数据_底稿'!$A:$A,$A241)</f>
        <v>0</v>
      </c>
      <c r="X241" s="120">
        <f>sumifs('jiliarena_代理数据_底稿'!$O:$O,'jiliarena_代理数据_底稿'!$B:$B,X$211,'jiliarena_代理数据_底稿'!$A:$A,$A241)</f>
        <v>0</v>
      </c>
      <c r="Y241" s="120">
        <f>sumifs('jiliarena_代理数据_底稿'!$O:$O,'jiliarena_代理数据_底稿'!$B:$B,Y$211,'jiliarena_代理数据_底稿'!$A:$A,$A241)</f>
        <v>0</v>
      </c>
      <c r="Z241" s="120">
        <f>sumifs('jiliarena_代理数据_底稿'!$O:$O,'jiliarena_代理数据_底稿'!$B:$B,Z$211,'jiliarena_代理数据_底稿'!$A:$A,$A241)</f>
        <v>0</v>
      </c>
      <c r="AA241" s="120">
        <f>sumifs('jiliarena_代理数据_底稿'!$O:$O,'jiliarena_代理数据_底稿'!$B:$B,AA$211,'jiliarena_代理数据_底稿'!$A:$A,$A241)</f>
        <v>0</v>
      </c>
      <c r="AB241" s="120">
        <f>sumifs('jiliarena_代理数据_底稿'!$O:$O,'jiliarena_代理数据_底稿'!$B:$B,AB$211,'jiliarena_代理数据_底稿'!$A:$A,$A241)</f>
        <v>0</v>
      </c>
      <c r="AC241" s="120">
        <f>sumifs('jiliarena_代理数据_底稿'!$O:$O,'jiliarena_代理数据_底稿'!$B:$B,AC$211,'jiliarena_代理数据_底稿'!$A:$A,$A241)</f>
        <v>0</v>
      </c>
      <c r="AD241" s="120">
        <f>sumifs('jiliarena_代理数据_底稿'!$O:$O,'jiliarena_代理数据_底稿'!$B:$B,AD$211,'jiliarena_代理数据_底稿'!$A:$A,$A241)</f>
        <v>0</v>
      </c>
      <c r="AE241" s="120">
        <f>sumifs('jiliarena_代理数据_底稿'!$O:$O,'jiliarena_代理数据_底稿'!$B:$B,AE$211,'jiliarena_代理数据_底稿'!$A:$A,$A241)</f>
        <v>0</v>
      </c>
      <c r="AF241" s="120">
        <f>sumifs('jiliarena_代理数据_底稿'!$O:$O,'jiliarena_代理数据_底稿'!$B:$B,AF$211,'jiliarena_代理数据_底稿'!$A:$A,$A241)</f>
        <v>0</v>
      </c>
      <c r="AG241" s="120">
        <f>sumifs('jiliarena_代理数据_底稿'!$O:$O,'jiliarena_代理数据_底稿'!$B:$B,AG$211,'jiliarena_代理数据_底稿'!$A:$A,$A241)</f>
        <v>0</v>
      </c>
      <c r="AH241" s="120">
        <f>sumifs('jiliarena_代理数据_底稿'!$O:$O,'jiliarena_代理数据_底稿'!$B:$B,AH$211,'jiliarena_代理数据_底稿'!$A:$A,$A241)</f>
        <v>0</v>
      </c>
      <c r="AI241" s="120">
        <f>sumifs('jiliarena_代理数据_底稿'!$O:$O,'jiliarena_代理数据_底稿'!$B:$B,AI$211,'jiliarena_代理数据_底稿'!$A:$A,$A241)</f>
        <v>0</v>
      </c>
      <c r="AJ241" s="120">
        <f>sumifs('jiliarena_代理数据_底稿'!$O:$O,'jiliarena_代理数据_底稿'!$B:$B,AJ$211,'jiliarena_代理数据_底稿'!$A:$A,$A241)</f>
        <v>0</v>
      </c>
      <c r="AK241" s="63">
        <f t="shared" si="34"/>
        <v>0</v>
      </c>
    </row>
    <row r="242">
      <c r="A242" s="122">
        <f t="shared" si="35"/>
        <v>46083</v>
      </c>
      <c r="B242" s="120">
        <f>sumifs('jiliarena_代理数据_底稿'!$O:$O,'jiliarena_代理数据_底稿'!$B:$B,B$211,'jiliarena_代理数据_底稿'!$A:$A,$A242)</f>
        <v>0</v>
      </c>
      <c r="C242" s="120">
        <f>sumifs('jiliarena_代理数据_底稿'!$O:$O,'jiliarena_代理数据_底稿'!$B:$B,C$211,'jiliarena_代理数据_底稿'!$A:$A,$A242)</f>
        <v>0</v>
      </c>
      <c r="D242" s="120">
        <f>sumifs('jiliarena_代理数据_底稿'!$O:$O,'jiliarena_代理数据_底稿'!$B:$B,D$211,'jiliarena_代理数据_底稿'!$A:$A,$A242)</f>
        <v>0</v>
      </c>
      <c r="E242" s="120">
        <f>sumifs('jiliarena_代理数据_底稿'!$O:$O,'jiliarena_代理数据_底稿'!$B:$B,E$211,'jiliarena_代理数据_底稿'!$A:$A,$A242)</f>
        <v>0</v>
      </c>
      <c r="F242" s="120">
        <f>sumifs('jiliarena_代理数据_底稿'!$O:$O,'jiliarena_代理数据_底稿'!$B:$B,F$211,'jiliarena_代理数据_底稿'!$A:$A,$A242)</f>
        <v>0</v>
      </c>
      <c r="G242" s="120">
        <f>sumifs('jiliarena_代理数据_底稿'!$O:$O,'jiliarena_代理数据_底稿'!$B:$B,G$211,'jiliarena_代理数据_底稿'!$A:$A,$A242)</f>
        <v>0</v>
      </c>
      <c r="H242" s="120">
        <f>sumifs('jiliarena_代理数据_底稿'!$O:$O,'jiliarena_代理数据_底稿'!$B:$B,H$211,'jiliarena_代理数据_底稿'!$A:$A,$A242)</f>
        <v>0</v>
      </c>
      <c r="I242" s="120">
        <f>sumifs('jiliarena_代理数据_底稿'!$O:$O,'jiliarena_代理数据_底稿'!$B:$B,I$211,'jiliarena_代理数据_底稿'!$A:$A,$A242)</f>
        <v>0</v>
      </c>
      <c r="J242" s="120">
        <f>sumifs('jiliarena_代理数据_底稿'!$O:$O,'jiliarena_代理数据_底稿'!$B:$B,J$211,'jiliarena_代理数据_底稿'!$A:$A,$A242)</f>
        <v>0</v>
      </c>
      <c r="K242" s="120">
        <f>sumifs('jiliarena_代理数据_底稿'!$O:$O,'jiliarena_代理数据_底稿'!$B:$B,K$211,'jiliarena_代理数据_底稿'!$A:$A,$A242)</f>
        <v>0</v>
      </c>
      <c r="L242" s="120">
        <f>sumifs('jiliarena_代理数据_底稿'!$O:$O,'jiliarena_代理数据_底稿'!$B:$B,L$211,'jiliarena_代理数据_底稿'!$A:$A,$A242)</f>
        <v>0</v>
      </c>
      <c r="M242" s="120">
        <f>sumifs('jiliarena_代理数据_底稿'!$O:$O,'jiliarena_代理数据_底稿'!$B:$B,M$211,'jiliarena_代理数据_底稿'!$A:$A,$A242)</f>
        <v>0</v>
      </c>
      <c r="N242" s="120">
        <f>sumifs('jiliarena_代理数据_底稿'!$O:$O,'jiliarena_代理数据_底稿'!$B:$B,N$211,'jiliarena_代理数据_底稿'!$A:$A,$A242)</f>
        <v>0</v>
      </c>
      <c r="O242" s="120">
        <f>sumifs('jiliarena_代理数据_底稿'!$O:$O,'jiliarena_代理数据_底稿'!$B:$B,O$211,'jiliarena_代理数据_底稿'!$A:$A,$A242)</f>
        <v>0</v>
      </c>
      <c r="P242" s="120">
        <f>sumifs('jiliarena_代理数据_底稿'!$O:$O,'jiliarena_代理数据_底稿'!$B:$B,P$211,'jiliarena_代理数据_底稿'!$A:$A,$A242)</f>
        <v>0</v>
      </c>
      <c r="Q242" s="120">
        <f>sumifs('jiliarena_代理数据_底稿'!$O:$O,'jiliarena_代理数据_底稿'!$B:$B,Q$211,'jiliarena_代理数据_底稿'!$A:$A,$A242)</f>
        <v>0</v>
      </c>
      <c r="R242" s="120">
        <f>sumifs('jiliarena_代理数据_底稿'!$O:$O,'jiliarena_代理数据_底稿'!$B:$B,R$211,'jiliarena_代理数据_底稿'!$A:$A,$A242)</f>
        <v>0</v>
      </c>
      <c r="S242" s="120">
        <f>sumifs('jiliarena_代理数据_底稿'!$O:$O,'jiliarena_代理数据_底稿'!$B:$B,S$211,'jiliarena_代理数据_底稿'!$A:$A,$A242)</f>
        <v>0</v>
      </c>
      <c r="T242" s="120">
        <f>sumifs('jiliarena_代理数据_底稿'!$O:$O,'jiliarena_代理数据_底稿'!$B:$B,T$211,'jiliarena_代理数据_底稿'!$A:$A,$A242)</f>
        <v>0</v>
      </c>
      <c r="U242" s="120">
        <f>sumifs('jiliarena_代理数据_底稿'!$O:$O,'jiliarena_代理数据_底稿'!$B:$B,U$211,'jiliarena_代理数据_底稿'!$A:$A,$A242)</f>
        <v>0</v>
      </c>
      <c r="V242" s="120">
        <f>sumifs('jiliarena_代理数据_底稿'!$O:$O,'jiliarena_代理数据_底稿'!$B:$B,V$211,'jiliarena_代理数据_底稿'!$A:$A,$A242)</f>
        <v>0</v>
      </c>
      <c r="W242" s="120">
        <f>sumifs('jiliarena_代理数据_底稿'!$O:$O,'jiliarena_代理数据_底稿'!$B:$B,W$211,'jiliarena_代理数据_底稿'!$A:$A,$A242)</f>
        <v>0</v>
      </c>
      <c r="X242" s="120">
        <f>sumifs('jiliarena_代理数据_底稿'!$O:$O,'jiliarena_代理数据_底稿'!$B:$B,X$211,'jiliarena_代理数据_底稿'!$A:$A,$A242)</f>
        <v>0</v>
      </c>
      <c r="Y242" s="120">
        <f>sumifs('jiliarena_代理数据_底稿'!$O:$O,'jiliarena_代理数据_底稿'!$B:$B,Y$211,'jiliarena_代理数据_底稿'!$A:$A,$A242)</f>
        <v>0</v>
      </c>
      <c r="Z242" s="120">
        <f>sumifs('jiliarena_代理数据_底稿'!$O:$O,'jiliarena_代理数据_底稿'!$B:$B,Z$211,'jiliarena_代理数据_底稿'!$A:$A,$A242)</f>
        <v>0</v>
      </c>
      <c r="AA242" s="120">
        <f>sumifs('jiliarena_代理数据_底稿'!$O:$O,'jiliarena_代理数据_底稿'!$B:$B,AA$211,'jiliarena_代理数据_底稿'!$A:$A,$A242)</f>
        <v>0</v>
      </c>
      <c r="AB242" s="120">
        <f>sumifs('jiliarena_代理数据_底稿'!$O:$O,'jiliarena_代理数据_底稿'!$B:$B,AB$211,'jiliarena_代理数据_底稿'!$A:$A,$A242)</f>
        <v>0</v>
      </c>
      <c r="AC242" s="120">
        <f>sumifs('jiliarena_代理数据_底稿'!$O:$O,'jiliarena_代理数据_底稿'!$B:$B,AC$211,'jiliarena_代理数据_底稿'!$A:$A,$A242)</f>
        <v>0</v>
      </c>
      <c r="AD242" s="120">
        <f>sumifs('jiliarena_代理数据_底稿'!$O:$O,'jiliarena_代理数据_底稿'!$B:$B,AD$211,'jiliarena_代理数据_底稿'!$A:$A,$A242)</f>
        <v>0</v>
      </c>
      <c r="AE242" s="120">
        <f>sumifs('jiliarena_代理数据_底稿'!$O:$O,'jiliarena_代理数据_底稿'!$B:$B,AE$211,'jiliarena_代理数据_底稿'!$A:$A,$A242)</f>
        <v>0</v>
      </c>
      <c r="AF242" s="120">
        <f>sumifs('jiliarena_代理数据_底稿'!$O:$O,'jiliarena_代理数据_底稿'!$B:$B,AF$211,'jiliarena_代理数据_底稿'!$A:$A,$A242)</f>
        <v>0</v>
      </c>
      <c r="AG242" s="120">
        <f>sumifs('jiliarena_代理数据_底稿'!$O:$O,'jiliarena_代理数据_底稿'!$B:$B,AG$211,'jiliarena_代理数据_底稿'!$A:$A,$A242)</f>
        <v>0</v>
      </c>
      <c r="AH242" s="120">
        <f>sumifs('jiliarena_代理数据_底稿'!$O:$O,'jiliarena_代理数据_底稿'!$B:$B,AH$211,'jiliarena_代理数据_底稿'!$A:$A,$A242)</f>
        <v>0</v>
      </c>
      <c r="AI242" s="120">
        <f>sumifs('jiliarena_代理数据_底稿'!$O:$O,'jiliarena_代理数据_底稿'!$B:$B,AI$211,'jiliarena_代理数据_底稿'!$A:$A,$A242)</f>
        <v>0</v>
      </c>
      <c r="AJ242" s="120">
        <f>sumifs('jiliarena_代理数据_底稿'!$O:$O,'jiliarena_代理数据_底稿'!$B:$B,AJ$211,'jiliarena_代理数据_底稿'!$A:$A,$A242)</f>
        <v>0</v>
      </c>
      <c r="AK242" s="63">
        <f t="shared" si="34"/>
        <v>0</v>
      </c>
    </row>
    <row r="243">
      <c r="A243" s="122">
        <f t="shared" si="35"/>
        <v>46084</v>
      </c>
      <c r="B243" s="120">
        <f>sumifs('jiliarena_代理数据_底稿'!$O:$O,'jiliarena_代理数据_底稿'!$B:$B,B$211,'jiliarena_代理数据_底稿'!$A:$A,$A243)</f>
        <v>0</v>
      </c>
      <c r="C243" s="120">
        <f>sumifs('jiliarena_代理数据_底稿'!$O:$O,'jiliarena_代理数据_底稿'!$B:$B,C$211,'jiliarena_代理数据_底稿'!$A:$A,$A243)</f>
        <v>0</v>
      </c>
      <c r="D243" s="120">
        <f>sumifs('jiliarena_代理数据_底稿'!$O:$O,'jiliarena_代理数据_底稿'!$B:$B,D$211,'jiliarena_代理数据_底稿'!$A:$A,$A243)</f>
        <v>0</v>
      </c>
      <c r="E243" s="120">
        <f>sumifs('jiliarena_代理数据_底稿'!$O:$O,'jiliarena_代理数据_底稿'!$B:$B,E$211,'jiliarena_代理数据_底稿'!$A:$A,$A243)</f>
        <v>0</v>
      </c>
      <c r="F243" s="120">
        <f>sumifs('jiliarena_代理数据_底稿'!$O:$O,'jiliarena_代理数据_底稿'!$B:$B,F$211,'jiliarena_代理数据_底稿'!$A:$A,$A243)</f>
        <v>0</v>
      </c>
      <c r="G243" s="120">
        <f>sumifs('jiliarena_代理数据_底稿'!$O:$O,'jiliarena_代理数据_底稿'!$B:$B,G$211,'jiliarena_代理数据_底稿'!$A:$A,$A243)</f>
        <v>0</v>
      </c>
      <c r="H243" s="120">
        <f>sumifs('jiliarena_代理数据_底稿'!$O:$O,'jiliarena_代理数据_底稿'!$B:$B,H$211,'jiliarena_代理数据_底稿'!$A:$A,$A243)</f>
        <v>0</v>
      </c>
      <c r="I243" s="120">
        <f>sumifs('jiliarena_代理数据_底稿'!$O:$O,'jiliarena_代理数据_底稿'!$B:$B,I$211,'jiliarena_代理数据_底稿'!$A:$A,$A243)</f>
        <v>0</v>
      </c>
      <c r="J243" s="120">
        <f>sumifs('jiliarena_代理数据_底稿'!$O:$O,'jiliarena_代理数据_底稿'!$B:$B,J$211,'jiliarena_代理数据_底稿'!$A:$A,$A243)</f>
        <v>0</v>
      </c>
      <c r="K243" s="120">
        <f>sumifs('jiliarena_代理数据_底稿'!$O:$O,'jiliarena_代理数据_底稿'!$B:$B,K$211,'jiliarena_代理数据_底稿'!$A:$A,$A243)</f>
        <v>0</v>
      </c>
      <c r="L243" s="120">
        <f>sumifs('jiliarena_代理数据_底稿'!$O:$O,'jiliarena_代理数据_底稿'!$B:$B,L$211,'jiliarena_代理数据_底稿'!$A:$A,$A243)</f>
        <v>0</v>
      </c>
      <c r="M243" s="120">
        <f>sumifs('jiliarena_代理数据_底稿'!$O:$O,'jiliarena_代理数据_底稿'!$B:$B,M$211,'jiliarena_代理数据_底稿'!$A:$A,$A243)</f>
        <v>0</v>
      </c>
      <c r="N243" s="120">
        <f>sumifs('jiliarena_代理数据_底稿'!$O:$O,'jiliarena_代理数据_底稿'!$B:$B,N$211,'jiliarena_代理数据_底稿'!$A:$A,$A243)</f>
        <v>0</v>
      </c>
      <c r="O243" s="120">
        <f>sumifs('jiliarena_代理数据_底稿'!$O:$O,'jiliarena_代理数据_底稿'!$B:$B,O$211,'jiliarena_代理数据_底稿'!$A:$A,$A243)</f>
        <v>0</v>
      </c>
      <c r="P243" s="120">
        <f>sumifs('jiliarena_代理数据_底稿'!$O:$O,'jiliarena_代理数据_底稿'!$B:$B,P$211,'jiliarena_代理数据_底稿'!$A:$A,$A243)</f>
        <v>0</v>
      </c>
      <c r="Q243" s="120">
        <f>sumifs('jiliarena_代理数据_底稿'!$O:$O,'jiliarena_代理数据_底稿'!$B:$B,Q$211,'jiliarena_代理数据_底稿'!$A:$A,$A243)</f>
        <v>0</v>
      </c>
      <c r="R243" s="120">
        <f>sumifs('jiliarena_代理数据_底稿'!$O:$O,'jiliarena_代理数据_底稿'!$B:$B,R$211,'jiliarena_代理数据_底稿'!$A:$A,$A243)</f>
        <v>0</v>
      </c>
      <c r="S243" s="120">
        <f>sumifs('jiliarena_代理数据_底稿'!$O:$O,'jiliarena_代理数据_底稿'!$B:$B,S$211,'jiliarena_代理数据_底稿'!$A:$A,$A243)</f>
        <v>0</v>
      </c>
      <c r="T243" s="120">
        <f>sumifs('jiliarena_代理数据_底稿'!$O:$O,'jiliarena_代理数据_底稿'!$B:$B,T$211,'jiliarena_代理数据_底稿'!$A:$A,$A243)</f>
        <v>0</v>
      </c>
      <c r="U243" s="120">
        <f>sumifs('jiliarena_代理数据_底稿'!$O:$O,'jiliarena_代理数据_底稿'!$B:$B,U$211,'jiliarena_代理数据_底稿'!$A:$A,$A243)</f>
        <v>0</v>
      </c>
      <c r="V243" s="120">
        <f>sumifs('jiliarena_代理数据_底稿'!$O:$O,'jiliarena_代理数据_底稿'!$B:$B,V$211,'jiliarena_代理数据_底稿'!$A:$A,$A243)</f>
        <v>0</v>
      </c>
      <c r="W243" s="120">
        <f>sumifs('jiliarena_代理数据_底稿'!$O:$O,'jiliarena_代理数据_底稿'!$B:$B,W$211,'jiliarena_代理数据_底稿'!$A:$A,$A243)</f>
        <v>0</v>
      </c>
      <c r="X243" s="120">
        <f>sumifs('jiliarena_代理数据_底稿'!$O:$O,'jiliarena_代理数据_底稿'!$B:$B,X$211,'jiliarena_代理数据_底稿'!$A:$A,$A243)</f>
        <v>0</v>
      </c>
      <c r="Y243" s="120">
        <f>sumifs('jiliarena_代理数据_底稿'!$O:$O,'jiliarena_代理数据_底稿'!$B:$B,Y$211,'jiliarena_代理数据_底稿'!$A:$A,$A243)</f>
        <v>0</v>
      </c>
      <c r="Z243" s="120">
        <f>sumifs('jiliarena_代理数据_底稿'!$O:$O,'jiliarena_代理数据_底稿'!$B:$B,Z$211,'jiliarena_代理数据_底稿'!$A:$A,$A243)</f>
        <v>0</v>
      </c>
      <c r="AA243" s="120">
        <f>sumifs('jiliarena_代理数据_底稿'!$O:$O,'jiliarena_代理数据_底稿'!$B:$B,AA$211,'jiliarena_代理数据_底稿'!$A:$A,$A243)</f>
        <v>0</v>
      </c>
      <c r="AB243" s="120">
        <f>sumifs('jiliarena_代理数据_底稿'!$O:$O,'jiliarena_代理数据_底稿'!$B:$B,AB$211,'jiliarena_代理数据_底稿'!$A:$A,$A243)</f>
        <v>0</v>
      </c>
      <c r="AC243" s="120">
        <f>sumifs('jiliarena_代理数据_底稿'!$O:$O,'jiliarena_代理数据_底稿'!$B:$B,AC$211,'jiliarena_代理数据_底稿'!$A:$A,$A243)</f>
        <v>0</v>
      </c>
      <c r="AD243" s="120">
        <f>sumifs('jiliarena_代理数据_底稿'!$O:$O,'jiliarena_代理数据_底稿'!$B:$B,AD$211,'jiliarena_代理数据_底稿'!$A:$A,$A243)</f>
        <v>0</v>
      </c>
      <c r="AE243" s="120">
        <f>sumifs('jiliarena_代理数据_底稿'!$O:$O,'jiliarena_代理数据_底稿'!$B:$B,AE$211,'jiliarena_代理数据_底稿'!$A:$A,$A243)</f>
        <v>0</v>
      </c>
      <c r="AF243" s="120">
        <f>sumifs('jiliarena_代理数据_底稿'!$O:$O,'jiliarena_代理数据_底稿'!$B:$B,AF$211,'jiliarena_代理数据_底稿'!$A:$A,$A243)</f>
        <v>0</v>
      </c>
      <c r="AG243" s="120">
        <f>sumifs('jiliarena_代理数据_底稿'!$O:$O,'jiliarena_代理数据_底稿'!$B:$B,AG$211,'jiliarena_代理数据_底稿'!$A:$A,$A243)</f>
        <v>0</v>
      </c>
      <c r="AH243" s="120">
        <f>sumifs('jiliarena_代理数据_底稿'!$O:$O,'jiliarena_代理数据_底稿'!$B:$B,AH$211,'jiliarena_代理数据_底稿'!$A:$A,$A243)</f>
        <v>0</v>
      </c>
      <c r="AI243" s="120">
        <f>sumifs('jiliarena_代理数据_底稿'!$O:$O,'jiliarena_代理数据_底稿'!$B:$B,AI$211,'jiliarena_代理数据_底稿'!$A:$A,$A243)</f>
        <v>0</v>
      </c>
      <c r="AJ243" s="120">
        <f>sumifs('jiliarena_代理数据_底稿'!$O:$O,'jiliarena_代理数据_底稿'!$B:$B,AJ$211,'jiliarena_代理数据_底稿'!$A:$A,$A243)</f>
        <v>0</v>
      </c>
      <c r="AK243" s="63">
        <f t="shared" si="34"/>
        <v>0</v>
      </c>
    </row>
    <row r="244">
      <c r="A244" s="113" t="s">
        <v>172</v>
      </c>
      <c r="B244" s="120">
        <f t="shared" ref="B244:AJ244" si="36">SUM(B213:B242)</f>
        <v>0</v>
      </c>
      <c r="C244" s="120">
        <f t="shared" si="36"/>
        <v>747330</v>
      </c>
      <c r="D244" s="120">
        <f t="shared" si="36"/>
        <v>0</v>
      </c>
      <c r="E244" s="120">
        <f t="shared" si="36"/>
        <v>0</v>
      </c>
      <c r="F244" s="120">
        <f t="shared" si="36"/>
        <v>0</v>
      </c>
      <c r="G244" s="120">
        <f t="shared" si="36"/>
        <v>0</v>
      </c>
      <c r="H244" s="120">
        <f t="shared" si="36"/>
        <v>0</v>
      </c>
      <c r="I244" s="120">
        <f t="shared" si="36"/>
        <v>0</v>
      </c>
      <c r="J244" s="120">
        <f t="shared" si="36"/>
        <v>0</v>
      </c>
      <c r="K244" s="120">
        <f t="shared" si="36"/>
        <v>0</v>
      </c>
      <c r="L244" s="120">
        <f t="shared" si="36"/>
        <v>0</v>
      </c>
      <c r="M244" s="120">
        <f t="shared" si="36"/>
        <v>0</v>
      </c>
      <c r="N244" s="120">
        <f t="shared" si="36"/>
        <v>0</v>
      </c>
      <c r="O244" s="120">
        <f t="shared" si="36"/>
        <v>0</v>
      </c>
      <c r="P244" s="120">
        <f t="shared" si="36"/>
        <v>0</v>
      </c>
      <c r="Q244" s="120">
        <f t="shared" si="36"/>
        <v>0</v>
      </c>
      <c r="R244" s="120">
        <f t="shared" si="36"/>
        <v>0</v>
      </c>
      <c r="S244" s="120">
        <f t="shared" si="36"/>
        <v>0</v>
      </c>
      <c r="T244" s="120">
        <f t="shared" si="36"/>
        <v>0</v>
      </c>
      <c r="U244" s="120">
        <f t="shared" si="36"/>
        <v>0</v>
      </c>
      <c r="V244" s="120">
        <f t="shared" si="36"/>
        <v>0</v>
      </c>
      <c r="W244" s="120">
        <f t="shared" si="36"/>
        <v>0</v>
      </c>
      <c r="X244" s="120">
        <f t="shared" si="36"/>
        <v>0</v>
      </c>
      <c r="Y244" s="120">
        <f t="shared" si="36"/>
        <v>0</v>
      </c>
      <c r="Z244" s="120">
        <f t="shared" si="36"/>
        <v>0</v>
      </c>
      <c r="AA244" s="120">
        <f t="shared" si="36"/>
        <v>0</v>
      </c>
      <c r="AB244" s="120">
        <f t="shared" si="36"/>
        <v>0</v>
      </c>
      <c r="AC244" s="120">
        <f t="shared" si="36"/>
        <v>0</v>
      </c>
      <c r="AD244" s="120">
        <f t="shared" si="36"/>
        <v>0</v>
      </c>
      <c r="AE244" s="120">
        <f t="shared" si="36"/>
        <v>0</v>
      </c>
      <c r="AF244" s="120">
        <f t="shared" si="36"/>
        <v>0</v>
      </c>
      <c r="AG244" s="120">
        <f t="shared" si="36"/>
        <v>0</v>
      </c>
      <c r="AH244" s="120">
        <f t="shared" si="36"/>
        <v>0</v>
      </c>
      <c r="AI244" s="120">
        <f t="shared" si="36"/>
        <v>0</v>
      </c>
      <c r="AJ244" s="120">
        <f t="shared" si="36"/>
        <v>0</v>
      </c>
    </row>
    <row r="246">
      <c r="F246" s="51" t="s">
        <v>273</v>
      </c>
      <c r="G246" s="51" t="str">
        <f>MONTH(B2)&amp;"/"&amp;DAY(B2)&amp;"金额"</f>
        <v>2/12金额</v>
      </c>
      <c r="H246" s="57" t="str">
        <f>MONTH(B2-1)&amp;"/"&amp;DAY(B2-1)&amp;"金额"</f>
        <v>2/11金额</v>
      </c>
      <c r="I246" s="51" t="s">
        <v>173</v>
      </c>
    </row>
    <row r="247">
      <c r="F247" s="114" t="s">
        <v>243</v>
      </c>
      <c r="G247" s="63">
        <f t="shared" ref="G247:G276" si="37">INDEX($A$211:$AJ$244,MATCH($B$2,$A$211:$A$244,0),MATCH($F247,$A$211:$AJ$211,0))</f>
        <v>0</v>
      </c>
      <c r="H247" s="63">
        <f t="shared" ref="H247:H276" si="38">INDEX($A$211:$AJ$244,MATCH(($B$2-1),$A$211:$A$244,0),MATCH($F247,$A$211:$AJ$211,0))</f>
        <v>0</v>
      </c>
      <c r="I247" s="63">
        <f t="shared" ref="I247:I276" si="39">G247-H247</f>
        <v>0</v>
      </c>
    </row>
    <row r="248">
      <c r="F248" s="114" t="s">
        <v>244</v>
      </c>
      <c r="G248" s="63">
        <f t="shared" si="37"/>
        <v>102513</v>
      </c>
      <c r="H248" s="63">
        <f t="shared" si="38"/>
        <v>100</v>
      </c>
      <c r="I248" s="63">
        <f t="shared" si="39"/>
        <v>102413</v>
      </c>
    </row>
    <row r="249">
      <c r="F249" s="114" t="s">
        <v>245</v>
      </c>
      <c r="G249" s="63">
        <f t="shared" si="37"/>
        <v>0</v>
      </c>
      <c r="H249" s="63">
        <f t="shared" si="38"/>
        <v>0</v>
      </c>
      <c r="I249" s="63">
        <f t="shared" si="39"/>
        <v>0</v>
      </c>
    </row>
    <row r="250">
      <c r="B250" s="51" t="str">
        <f>MONTH(B2)&amp;"/"&amp;DAY(B2)&amp;" jiliarena代理充值"</f>
        <v>2/12 jiliarena代理充值</v>
      </c>
      <c r="F250" s="114" t="s">
        <v>246</v>
      </c>
      <c r="G250" s="63">
        <f t="shared" si="37"/>
        <v>0</v>
      </c>
      <c r="H250" s="63">
        <f t="shared" si="38"/>
        <v>0</v>
      </c>
      <c r="I250" s="63">
        <f t="shared" si="39"/>
        <v>0</v>
      </c>
    </row>
    <row r="251">
      <c r="B251" s="51" t="str">
        <f t="array" ref="B251">"代理充值金额： "&amp;TEXT(INDEX($A$211:$AK$244,MATCH($B$2,$A$211:$A$244,0),MATCH("加总",$A$211:$AK$211,0)),"0,000")</f>
        <v>代理充值金额： 102,513</v>
      </c>
      <c r="C251" s="123">
        <f t="array" ref="C251">index(jiliarena!$A$3:$M$37,match(($B$2),jiliarena!$A$3:$A$37,0),match("日充值",jiliarena!$A$3:$M$3,0))</f>
        <v>548736</v>
      </c>
      <c r="F251" s="114" t="s">
        <v>247</v>
      </c>
      <c r="G251" s="63">
        <f t="shared" si="37"/>
        <v>0</v>
      </c>
      <c r="H251" s="63">
        <f t="shared" si="38"/>
        <v>0</v>
      </c>
      <c r="I251" s="63">
        <f t="shared" si="39"/>
        <v>0</v>
      </c>
    </row>
    <row r="252">
      <c r="B252" s="51" t="str">
        <f t="array" ref="B252">"前日代理充值金额："&amp;TEXT(INDEX($A$211:$AK$244,MATCH($B$2-1,$A$211:$A$244,0),MATCH("加总",$A$211:$AK$211,0)),"0,000")</f>
        <v>前日代理充值金额：0,100</v>
      </c>
      <c r="C252" s="123">
        <f t="array" ref="C252">index(jiliarena!$A$3:$M$37,match($B$2-1,jiliarena!$A$3:$A$37,0),match("日充值",jiliarena!$A$3:$M$3,0))</f>
        <v>50713</v>
      </c>
      <c r="F252" s="114" t="s">
        <v>248</v>
      </c>
      <c r="G252" s="63">
        <f t="shared" si="37"/>
        <v>0</v>
      </c>
      <c r="H252" s="63">
        <f t="shared" si="38"/>
        <v>0</v>
      </c>
      <c r="I252" s="63">
        <f t="shared" si="39"/>
        <v>0</v>
      </c>
    </row>
    <row r="253">
      <c r="B253" s="51" t="str">
        <f t="array" ref="B253">IF((INDEX($A$211:$AK$244,MATCH($B$2,$A$211:$A$244,0),MATCH("加总",$A$211:$AK$211,0))-INDEX($A$211:$AK$244,MATCH($B$2-1,$A$211:$A$244,0),MATCH("加总",$A$211:$AK$211,0)))&gt;0,"对比增长："&amp;TEXT(INDEX($A$211:$AK$244,MATCH($B$2,$A$211:$A$244,0),MATCH("加总",$A$211:$AK$211,0))-INDEX($A$211:$AK$244,MATCH($B$2-1,$A$211:$A$244,0),MATCH("加总",$A$211:$AK$211,0)),"0,000"),"对比减："&amp;TEXT(INDEX($A$211:$AK$244,MATCH($B$2,$A$211:$A$244,0),MATCH("加总",$A$211:$AK$211,0))-INDEX($A$211:$AK$244,MATCH($B$2-1,$A$211:$A$244,0),MATCH("加总",$A$211:$AK$211,0)),"0,000"))</f>
        <v>对比增长：102,413</v>
      </c>
      <c r="C253" s="123">
        <f>C251-C252</f>
        <v>498023</v>
      </c>
      <c r="F253" s="114" t="s">
        <v>249</v>
      </c>
      <c r="G253" s="63">
        <f t="shared" si="37"/>
        <v>0</v>
      </c>
      <c r="H253" s="63">
        <f t="shared" si="38"/>
        <v>0</v>
      </c>
      <c r="I253" s="63">
        <f t="shared" si="39"/>
        <v>0</v>
      </c>
    </row>
    <row r="254">
      <c r="F254" s="114" t="s">
        <v>250</v>
      </c>
      <c r="G254" s="63">
        <f t="shared" si="37"/>
        <v>0</v>
      </c>
      <c r="H254" s="63">
        <f t="shared" si="38"/>
        <v>0</v>
      </c>
      <c r="I254" s="63">
        <f t="shared" si="39"/>
        <v>0</v>
      </c>
    </row>
    <row r="255">
      <c r="B255" s="51" t="str">
        <f>MONTH(B2)&amp;"/"&amp;DAY(B2)&amp;"对比 "&amp;MONTH(B2-1)&amp;"/"&amp;DAY(B2-1)&amp;" 充值对比"</f>
        <v>2/12对比 2/11 充值对比</v>
      </c>
      <c r="F255" s="114" t="s">
        <v>251</v>
      </c>
      <c r="G255" s="63">
        <f t="shared" si="37"/>
        <v>0</v>
      </c>
      <c r="H255" s="63">
        <f t="shared" si="38"/>
        <v>0</v>
      </c>
      <c r="I255" s="63">
        <f t="shared" si="39"/>
        <v>0</v>
      </c>
    </row>
    <row r="256">
      <c r="B256" s="51" t="str">
        <f t="array" ref="B256">"主要增长代理："&amp;index($F$246:$I$280, match(large($I$246:$I$280,1),$I$246:$I$280,0),1)</f>
        <v>主要增长代理：eli168</v>
      </c>
      <c r="F256" s="114" t="s">
        <v>252</v>
      </c>
      <c r="G256" s="63">
        <f t="shared" si="37"/>
        <v>0</v>
      </c>
      <c r="H256" s="63">
        <f t="shared" si="38"/>
        <v>0</v>
      </c>
      <c r="I256" s="63">
        <f t="shared" si="39"/>
        <v>0</v>
      </c>
    </row>
    <row r="257">
      <c r="B257" s="51" t="str">
        <f t="array" ref="B257">"充值量：" &amp;TEXT(index($F$246:$I$280, match(large($I$246:$I$280,1),$I$246:$I$280,0),2),"0,000")</f>
        <v>充值量：102,513</v>
      </c>
      <c r="F257" s="114" t="s">
        <v>253</v>
      </c>
      <c r="G257" s="63">
        <f t="shared" si="37"/>
        <v>0</v>
      </c>
      <c r="H257" s="63">
        <f t="shared" si="38"/>
        <v>0</v>
      </c>
      <c r="I257" s="63">
        <f t="shared" si="39"/>
        <v>0</v>
      </c>
    </row>
    <row r="258">
      <c r="B258" s="57" t="str">
        <f t="array" ref="B258">"增长量："&amp;TEXT(index($F$246:$I$280, match(large($I$246:$I$280,1),$I$246:$I$280,0),4),"0,000")</f>
        <v>增长量：102,413</v>
      </c>
      <c r="F258" s="115" t="s">
        <v>254</v>
      </c>
      <c r="G258" s="63">
        <f t="shared" si="37"/>
        <v>0</v>
      </c>
      <c r="H258" s="63">
        <f t="shared" si="38"/>
        <v>0</v>
      </c>
      <c r="I258" s="63">
        <f t="shared" si="39"/>
        <v>0</v>
      </c>
    </row>
    <row r="259">
      <c r="B259" s="51" t="str">
        <f t="array" ref="B259">"主要降量代理："&amp;index($F$246:$I$280, match(SMALL($I$246:$I$280,1),$I$246:$I$280,0),1)</f>
        <v>主要降量代理：winp001</v>
      </c>
      <c r="F259" s="115" t="s">
        <v>255</v>
      </c>
      <c r="G259" s="63">
        <f t="shared" si="37"/>
        <v>0</v>
      </c>
      <c r="H259" s="63">
        <f t="shared" si="38"/>
        <v>0</v>
      </c>
      <c r="I259" s="63">
        <f t="shared" si="39"/>
        <v>0</v>
      </c>
    </row>
    <row r="260">
      <c r="B260" s="51" t="str">
        <f t="array" ref="B260">"充值量："&amp;TEXT(index($F$246:$I$280, match(SMALL($I$246:$I$280,1),$I$246:$I$280,0),2),"0,000")</f>
        <v>充值量：0,000</v>
      </c>
      <c r="F260" s="115" t="s">
        <v>256</v>
      </c>
      <c r="G260" s="63">
        <f t="shared" si="37"/>
        <v>0</v>
      </c>
      <c r="H260" s="63">
        <f t="shared" si="38"/>
        <v>0</v>
      </c>
      <c r="I260" s="63">
        <f t="shared" si="39"/>
        <v>0</v>
      </c>
    </row>
    <row r="261">
      <c r="B261" s="57" t="str">
        <f t="array" ref="B261">"降低量："&amp;TEXT(index($F$246:$I$280, match(SMALL($I$246:$I$280,1),$I$246:$I$280,0),4),"0,000")</f>
        <v>降低量：0,000</v>
      </c>
      <c r="F261" s="115" t="s">
        <v>257</v>
      </c>
      <c r="G261" s="63">
        <f t="shared" si="37"/>
        <v>0</v>
      </c>
      <c r="H261" s="63">
        <f t="shared" si="38"/>
        <v>0</v>
      </c>
      <c r="I261" s="63">
        <f t="shared" si="39"/>
        <v>0</v>
      </c>
    </row>
    <row r="262">
      <c r="F262" s="115" t="s">
        <v>258</v>
      </c>
      <c r="G262" s="63">
        <f t="shared" si="37"/>
        <v>0</v>
      </c>
      <c r="H262" s="63">
        <f t="shared" si="38"/>
        <v>0</v>
      </c>
      <c r="I262" s="63">
        <f t="shared" si="39"/>
        <v>0</v>
      </c>
    </row>
    <row r="263">
      <c r="F263" s="115" t="s">
        <v>259</v>
      </c>
      <c r="G263" s="63">
        <f t="shared" si="37"/>
        <v>0</v>
      </c>
      <c r="H263" s="63">
        <f t="shared" si="38"/>
        <v>0</v>
      </c>
      <c r="I263" s="63">
        <f t="shared" si="39"/>
        <v>0</v>
      </c>
    </row>
    <row r="264">
      <c r="F264" s="116" t="s">
        <v>260</v>
      </c>
      <c r="G264" s="63">
        <f t="shared" si="37"/>
        <v>0</v>
      </c>
      <c r="H264" s="63">
        <f t="shared" si="38"/>
        <v>0</v>
      </c>
      <c r="I264" s="63">
        <f t="shared" si="39"/>
        <v>0</v>
      </c>
    </row>
    <row r="265">
      <c r="F265" s="116" t="s">
        <v>261</v>
      </c>
      <c r="G265" s="63">
        <f t="shared" si="37"/>
        <v>0</v>
      </c>
      <c r="H265" s="63">
        <f t="shared" si="38"/>
        <v>0</v>
      </c>
      <c r="I265" s="63">
        <f t="shared" si="39"/>
        <v>0</v>
      </c>
    </row>
    <row r="266">
      <c r="F266" s="116" t="s">
        <v>262</v>
      </c>
      <c r="G266" s="63">
        <f t="shared" si="37"/>
        <v>0</v>
      </c>
      <c r="H266" s="63">
        <f t="shared" si="38"/>
        <v>0</v>
      </c>
      <c r="I266" s="63">
        <f t="shared" si="39"/>
        <v>0</v>
      </c>
    </row>
    <row r="267">
      <c r="F267" s="116" t="s">
        <v>263</v>
      </c>
      <c r="G267" s="63">
        <f t="shared" si="37"/>
        <v>0</v>
      </c>
      <c r="H267" s="63">
        <f t="shared" si="38"/>
        <v>0</v>
      </c>
      <c r="I267" s="63">
        <f t="shared" si="39"/>
        <v>0</v>
      </c>
    </row>
    <row r="268">
      <c r="F268" s="116" t="s">
        <v>264</v>
      </c>
      <c r="G268" s="63">
        <f t="shared" si="37"/>
        <v>0</v>
      </c>
      <c r="H268" s="63">
        <f t="shared" si="38"/>
        <v>0</v>
      </c>
      <c r="I268" s="63">
        <f t="shared" si="39"/>
        <v>0</v>
      </c>
    </row>
    <row r="269">
      <c r="F269" s="116" t="s">
        <v>265</v>
      </c>
      <c r="G269" s="63">
        <f t="shared" si="37"/>
        <v>0</v>
      </c>
      <c r="H269" s="63">
        <f t="shared" si="38"/>
        <v>0</v>
      </c>
      <c r="I269" s="63">
        <f t="shared" si="39"/>
        <v>0</v>
      </c>
    </row>
    <row r="270">
      <c r="F270" s="116" t="s">
        <v>266</v>
      </c>
      <c r="G270" s="63">
        <f t="shared" si="37"/>
        <v>0</v>
      </c>
      <c r="H270" s="63">
        <f t="shared" si="38"/>
        <v>0</v>
      </c>
      <c r="I270" s="63">
        <f t="shared" si="39"/>
        <v>0</v>
      </c>
    </row>
    <row r="271">
      <c r="F271" s="116" t="s">
        <v>267</v>
      </c>
      <c r="G271" s="63">
        <f t="shared" si="37"/>
        <v>0</v>
      </c>
      <c r="H271" s="63">
        <f t="shared" si="38"/>
        <v>0</v>
      </c>
      <c r="I271" s="63">
        <f t="shared" si="39"/>
        <v>0</v>
      </c>
    </row>
    <row r="272">
      <c r="F272" s="116" t="s">
        <v>268</v>
      </c>
      <c r="G272" s="63">
        <f t="shared" si="37"/>
        <v>0</v>
      </c>
      <c r="H272" s="63">
        <f t="shared" si="38"/>
        <v>0</v>
      </c>
      <c r="I272" s="63">
        <f t="shared" si="39"/>
        <v>0</v>
      </c>
    </row>
    <row r="273">
      <c r="F273" s="116" t="s">
        <v>269</v>
      </c>
      <c r="G273" s="63">
        <f t="shared" si="37"/>
        <v>0</v>
      </c>
      <c r="H273" s="63">
        <f t="shared" si="38"/>
        <v>0</v>
      </c>
      <c r="I273" s="63">
        <f t="shared" si="39"/>
        <v>0</v>
      </c>
    </row>
    <row r="274">
      <c r="F274" s="116" t="s">
        <v>270</v>
      </c>
      <c r="G274" s="63">
        <f t="shared" si="37"/>
        <v>0</v>
      </c>
      <c r="H274" s="63">
        <f t="shared" si="38"/>
        <v>0</v>
      </c>
      <c r="I274" s="63">
        <f t="shared" si="39"/>
        <v>0</v>
      </c>
    </row>
    <row r="275">
      <c r="F275" s="116" t="s">
        <v>271</v>
      </c>
      <c r="G275" s="63">
        <f t="shared" si="37"/>
        <v>0</v>
      </c>
      <c r="H275" s="63">
        <f t="shared" si="38"/>
        <v>0</v>
      </c>
      <c r="I275" s="63">
        <f t="shared" si="39"/>
        <v>0</v>
      </c>
    </row>
    <row r="276">
      <c r="F276" s="116" t="s">
        <v>272</v>
      </c>
      <c r="G276" s="63">
        <f t="shared" si="37"/>
        <v>0</v>
      </c>
      <c r="H276" s="63">
        <f t="shared" si="38"/>
        <v>0</v>
      </c>
      <c r="I276" s="63">
        <f t="shared" si="39"/>
        <v>0</v>
      </c>
    </row>
    <row r="277">
      <c r="F277" s="116"/>
    </row>
    <row r="278">
      <c r="F278" s="116"/>
    </row>
    <row r="279">
      <c r="F279" s="116"/>
    </row>
    <row r="280">
      <c r="F280" s="116"/>
    </row>
    <row r="281">
      <c r="G281" s="63">
        <f t="shared" ref="G281:I281" si="40">SUM(G247:G280)</f>
        <v>102513</v>
      </c>
      <c r="H281" s="63">
        <f t="shared" si="40"/>
        <v>100</v>
      </c>
      <c r="I281" s="63">
        <f t="shared" si="40"/>
        <v>102413</v>
      </c>
    </row>
  </sheetData>
  <mergeCells count="7">
    <mergeCell ref="B5:B10"/>
    <mergeCell ref="B13:B18"/>
    <mergeCell ref="A82:L82"/>
    <mergeCell ref="A85:A90"/>
    <mergeCell ref="C85:C90"/>
    <mergeCell ref="A93:A104"/>
    <mergeCell ref="A108:A115"/>
  </mergeCells>
  <dataValidations>
    <dataValidation type="list" allowBlank="1" showErrorMessage="1" sqref="B2">
      <formula1>'渠道充值成功率-统整'!$A$2:$A$169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FF"/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2" max="2" width="9.88"/>
    <col customWidth="1" min="15" max="15" width="4.63"/>
    <col customWidth="1" min="103" max="104" width="14.38"/>
    <col customWidth="1" min="119" max="119" width="14.38"/>
    <col customWidth="1" min="122" max="122" width="14.38"/>
  </cols>
  <sheetData>
    <row r="1">
      <c r="A1" s="124" t="s">
        <v>274</v>
      </c>
      <c r="B1" s="125" t="s">
        <v>275</v>
      </c>
    </row>
    <row r="2">
      <c r="A2" s="126" t="s">
        <v>276</v>
      </c>
      <c r="B2" s="127"/>
      <c r="C2" s="127"/>
      <c r="D2" s="127"/>
      <c r="E2" s="127"/>
      <c r="F2" s="127"/>
      <c r="G2" s="127"/>
      <c r="H2" s="127"/>
      <c r="I2" s="127"/>
      <c r="J2" s="127"/>
      <c r="K2" s="127"/>
      <c r="L2" s="127"/>
      <c r="M2" s="127"/>
      <c r="N2" s="127"/>
      <c r="P2" s="128" t="s">
        <v>277</v>
      </c>
    </row>
    <row r="3">
      <c r="A3" s="129" t="s">
        <v>242</v>
      </c>
      <c r="B3" s="130" t="s">
        <v>278</v>
      </c>
      <c r="C3" s="131" t="s">
        <v>279</v>
      </c>
      <c r="D3" s="129" t="s">
        <v>280</v>
      </c>
      <c r="E3" s="132" t="s">
        <v>281</v>
      </c>
      <c r="F3" s="129" t="s">
        <v>282</v>
      </c>
      <c r="G3" s="129" t="s">
        <v>283</v>
      </c>
      <c r="H3" s="129" t="s">
        <v>284</v>
      </c>
      <c r="I3" s="129" t="s">
        <v>285</v>
      </c>
      <c r="J3" s="129" t="s">
        <v>286</v>
      </c>
      <c r="K3" s="129" t="s">
        <v>287</v>
      </c>
      <c r="L3" s="129" t="s">
        <v>288</v>
      </c>
      <c r="M3" s="132" t="s">
        <v>289</v>
      </c>
      <c r="N3" s="129" t="s">
        <v>290</v>
      </c>
      <c r="P3" s="133" t="s">
        <v>242</v>
      </c>
      <c r="Q3" s="133" t="s">
        <v>291</v>
      </c>
      <c r="R3" s="133" t="s">
        <v>292</v>
      </c>
      <c r="S3" s="133" t="s">
        <v>293</v>
      </c>
      <c r="T3" s="133" t="s">
        <v>294</v>
      </c>
      <c r="U3" s="133" t="s">
        <v>295</v>
      </c>
      <c r="V3" s="133" t="s">
        <v>288</v>
      </c>
      <c r="W3" s="133" t="s">
        <v>296</v>
      </c>
      <c r="X3" s="133" t="s">
        <v>297</v>
      </c>
      <c r="Y3" s="133" t="s">
        <v>298</v>
      </c>
      <c r="Z3" s="133" t="s">
        <v>299</v>
      </c>
      <c r="AA3" s="133" t="s">
        <v>300</v>
      </c>
      <c r="AB3" s="133" t="s">
        <v>301</v>
      </c>
      <c r="AC3" s="133" t="s">
        <v>302</v>
      </c>
      <c r="AD3" s="133" t="s">
        <v>303</v>
      </c>
      <c r="AE3" s="133" t="s">
        <v>304</v>
      </c>
      <c r="AF3" s="133" t="s">
        <v>305</v>
      </c>
      <c r="AG3" s="133" t="s">
        <v>306</v>
      </c>
      <c r="AH3" s="133" t="s">
        <v>307</v>
      </c>
      <c r="AI3" s="133" t="s">
        <v>308</v>
      </c>
      <c r="AJ3" s="133" t="s">
        <v>309</v>
      </c>
      <c r="AK3" s="133" t="s">
        <v>310</v>
      </c>
      <c r="AL3" s="133" t="s">
        <v>311</v>
      </c>
      <c r="AM3" s="133" t="s">
        <v>312</v>
      </c>
      <c r="AN3" s="133" t="s">
        <v>313</v>
      </c>
      <c r="AO3" s="133" t="s">
        <v>314</v>
      </c>
      <c r="AP3" s="133" t="s">
        <v>315</v>
      </c>
      <c r="AQ3" s="133" t="s">
        <v>316</v>
      </c>
      <c r="AR3" s="133" t="s">
        <v>317</v>
      </c>
      <c r="AS3" s="133" t="s">
        <v>318</v>
      </c>
      <c r="AT3" s="133" t="s">
        <v>319</v>
      </c>
      <c r="AU3" s="133" t="s">
        <v>320</v>
      </c>
      <c r="AV3" s="133" t="s">
        <v>321</v>
      </c>
      <c r="AW3" s="133" t="s">
        <v>322</v>
      </c>
      <c r="AX3" s="133" t="s">
        <v>323</v>
      </c>
      <c r="AY3" s="133" t="s">
        <v>324</v>
      </c>
      <c r="AZ3" s="133" t="s">
        <v>325</v>
      </c>
      <c r="BA3" s="133" t="s">
        <v>326</v>
      </c>
      <c r="BB3" s="133" t="s">
        <v>327</v>
      </c>
      <c r="BC3" s="133" t="s">
        <v>328</v>
      </c>
      <c r="BD3" s="133" t="s">
        <v>329</v>
      </c>
      <c r="BE3" s="133" t="s">
        <v>330</v>
      </c>
      <c r="BF3" s="133" t="s">
        <v>331</v>
      </c>
      <c r="BG3" s="133" t="s">
        <v>332</v>
      </c>
      <c r="BH3" s="133" t="s">
        <v>333</v>
      </c>
      <c r="BI3" s="133" t="s">
        <v>334</v>
      </c>
      <c r="BJ3" s="133" t="s">
        <v>335</v>
      </c>
      <c r="BK3" s="133" t="s">
        <v>336</v>
      </c>
      <c r="BL3" s="133" t="s">
        <v>337</v>
      </c>
      <c r="BM3" s="133" t="s">
        <v>338</v>
      </c>
      <c r="BN3" s="133" t="s">
        <v>339</v>
      </c>
      <c r="BO3" s="133" t="s">
        <v>340</v>
      </c>
      <c r="BP3" s="133" t="s">
        <v>341</v>
      </c>
      <c r="BQ3" s="133" t="s">
        <v>342</v>
      </c>
      <c r="BR3" s="133" t="s">
        <v>343</v>
      </c>
      <c r="BS3" s="133" t="s">
        <v>344</v>
      </c>
      <c r="BT3" s="133" t="s">
        <v>345</v>
      </c>
      <c r="BU3" s="133" t="s">
        <v>346</v>
      </c>
      <c r="BV3" s="133" t="s">
        <v>347</v>
      </c>
      <c r="BW3" s="133" t="s">
        <v>348</v>
      </c>
      <c r="BX3" s="133" t="s">
        <v>349</v>
      </c>
      <c r="BY3" s="133" t="s">
        <v>350</v>
      </c>
      <c r="BZ3" s="133" t="s">
        <v>351</v>
      </c>
      <c r="CA3" s="133" t="s">
        <v>352</v>
      </c>
      <c r="CB3" s="133" t="s">
        <v>353</v>
      </c>
      <c r="CC3" s="133" t="s">
        <v>354</v>
      </c>
      <c r="CD3" s="133" t="s">
        <v>355</v>
      </c>
      <c r="CE3" s="133" t="s">
        <v>356</v>
      </c>
      <c r="CF3" s="133" t="s">
        <v>357</v>
      </c>
      <c r="CG3" s="133" t="s">
        <v>358</v>
      </c>
      <c r="CH3" s="133" t="s">
        <v>359</v>
      </c>
      <c r="CI3" s="133" t="s">
        <v>360</v>
      </c>
      <c r="CJ3" s="133" t="s">
        <v>361</v>
      </c>
      <c r="CK3" s="133" t="s">
        <v>362</v>
      </c>
      <c r="CL3" s="133" t="s">
        <v>363</v>
      </c>
      <c r="CM3" s="133" t="s">
        <v>364</v>
      </c>
      <c r="CN3" s="133" t="s">
        <v>365</v>
      </c>
      <c r="CO3" s="133" t="s">
        <v>366</v>
      </c>
      <c r="CP3" s="133" t="s">
        <v>367</v>
      </c>
      <c r="CQ3" s="133" t="s">
        <v>368</v>
      </c>
      <c r="CR3" s="133" t="s">
        <v>369</v>
      </c>
      <c r="CS3" s="133" t="s">
        <v>370</v>
      </c>
      <c r="CT3" s="133" t="s">
        <v>371</v>
      </c>
      <c r="CU3" s="133" t="s">
        <v>372</v>
      </c>
      <c r="CV3" s="133" t="s">
        <v>373</v>
      </c>
      <c r="CW3" s="133" t="s">
        <v>329</v>
      </c>
      <c r="CX3" s="133" t="s">
        <v>374</v>
      </c>
      <c r="CY3" s="133" t="s">
        <v>375</v>
      </c>
      <c r="CZ3" s="133" t="s">
        <v>376</v>
      </c>
      <c r="DA3" s="133" t="s">
        <v>377</v>
      </c>
      <c r="DB3" s="133" t="s">
        <v>378</v>
      </c>
      <c r="DC3" s="133" t="s">
        <v>379</v>
      </c>
      <c r="DD3" s="133" t="s">
        <v>380</v>
      </c>
      <c r="DE3" s="133" t="s">
        <v>381</v>
      </c>
      <c r="DF3" s="133" t="s">
        <v>382</v>
      </c>
      <c r="DG3" s="133" t="s">
        <v>383</v>
      </c>
      <c r="DH3" s="133" t="s">
        <v>384</v>
      </c>
      <c r="DI3" s="133" t="s">
        <v>385</v>
      </c>
      <c r="DJ3" s="133" t="s">
        <v>386</v>
      </c>
      <c r="DK3" s="133" t="s">
        <v>387</v>
      </c>
      <c r="DL3" s="133" t="s">
        <v>388</v>
      </c>
      <c r="DM3" s="133" t="s">
        <v>389</v>
      </c>
      <c r="DN3" s="133" t="s">
        <v>390</v>
      </c>
      <c r="DO3" s="133" t="s">
        <v>391</v>
      </c>
      <c r="DP3" s="133" t="s">
        <v>392</v>
      </c>
      <c r="DQ3" s="133" t="s">
        <v>393</v>
      </c>
      <c r="DR3" s="133" t="s">
        <v>394</v>
      </c>
      <c r="DS3" s="133" t="s">
        <v>395</v>
      </c>
    </row>
    <row r="4">
      <c r="A4" s="134">
        <f t="shared" ref="A4:A30" si="1">A5+1</f>
        <v>46081</v>
      </c>
      <c r="B4" s="135">
        <v>45101.0</v>
      </c>
      <c r="C4" s="136">
        <v>3515.0</v>
      </c>
      <c r="D4" s="136">
        <v>2404.0</v>
      </c>
      <c r="E4" s="136">
        <v>515.0</v>
      </c>
      <c r="F4" s="136">
        <v>98.0</v>
      </c>
      <c r="G4" s="136">
        <v>717.0</v>
      </c>
      <c r="H4" s="136">
        <v>438.0</v>
      </c>
      <c r="I4" s="136">
        <v>231.0</v>
      </c>
      <c r="J4" s="136">
        <v>44.0</v>
      </c>
      <c r="K4" s="136">
        <v>2936.0</v>
      </c>
      <c r="L4" s="136">
        <v>35409.0</v>
      </c>
      <c r="M4" s="136">
        <v>103745.0</v>
      </c>
      <c r="N4" s="136">
        <v>201.44</v>
      </c>
      <c r="P4" s="134">
        <f t="shared" ref="P4:P30" si="2">P5+1</f>
        <v>46081</v>
      </c>
      <c r="Q4" s="113">
        <v>10242.6799</v>
      </c>
      <c r="R4" s="113">
        <v>103745.0</v>
      </c>
      <c r="S4" s="113">
        <v>68336.0</v>
      </c>
      <c r="T4" s="113">
        <v>515.0</v>
      </c>
      <c r="U4" s="113">
        <v>98.0</v>
      </c>
      <c r="V4" s="113">
        <v>35409.0</v>
      </c>
      <c r="W4" s="113">
        <v>0.0</v>
      </c>
      <c r="X4" s="113">
        <v>0.0</v>
      </c>
      <c r="Y4" s="113">
        <v>1632.09</v>
      </c>
      <c r="Z4" s="113">
        <v>-1632.09</v>
      </c>
      <c r="AA4" s="113">
        <v>893340.12</v>
      </c>
      <c r="AB4" s="113">
        <v>831495.63</v>
      </c>
      <c r="AC4" s="113">
        <v>864325.06</v>
      </c>
      <c r="AD4" s="113">
        <v>7942.1</v>
      </c>
      <c r="AE4" s="113">
        <v>2245.66</v>
      </c>
      <c r="AF4" s="113">
        <v>26.8151</v>
      </c>
      <c r="AG4" s="113">
        <v>0.0</v>
      </c>
      <c r="AH4" s="113">
        <v>0.0</v>
      </c>
      <c r="AI4" s="113">
        <v>0.0</v>
      </c>
      <c r="AJ4" s="113">
        <v>0.0</v>
      </c>
      <c r="AK4" s="113">
        <v>18800.4849</v>
      </c>
      <c r="AL4" s="113">
        <v>7245.31</v>
      </c>
      <c r="AM4" s="113">
        <v>7020.31</v>
      </c>
      <c r="AN4" s="113">
        <v>8340.0</v>
      </c>
      <c r="AO4" s="113">
        <v>0.0</v>
      </c>
      <c r="AP4" s="113">
        <v>5.45</v>
      </c>
      <c r="AQ4" s="113">
        <v>0.175</v>
      </c>
      <c r="AR4" s="113">
        <v>0.0</v>
      </c>
      <c r="AS4" s="113">
        <v>0.0</v>
      </c>
      <c r="AT4" s="113">
        <v>0.0</v>
      </c>
      <c r="AU4" s="113">
        <v>0.0</v>
      </c>
      <c r="AV4" s="113">
        <v>-1100.315</v>
      </c>
      <c r="AW4" s="113">
        <v>0.0</v>
      </c>
      <c r="AX4" s="113">
        <v>0.0</v>
      </c>
      <c r="AY4" s="113">
        <v>0.0</v>
      </c>
      <c r="AZ4" s="113">
        <v>0.0</v>
      </c>
      <c r="BA4" s="113">
        <v>0.0</v>
      </c>
      <c r="BB4" s="113">
        <v>0.0</v>
      </c>
      <c r="BC4" s="113">
        <v>0.0</v>
      </c>
      <c r="BD4" s="113">
        <v>0.0</v>
      </c>
      <c r="BE4" s="113">
        <v>0.0</v>
      </c>
      <c r="BF4" s="113">
        <v>0.0</v>
      </c>
      <c r="BG4" s="113">
        <v>0.0</v>
      </c>
      <c r="BH4" s="113">
        <v>0.0</v>
      </c>
      <c r="BI4" s="113">
        <v>1.0</v>
      </c>
      <c r="BJ4" s="113">
        <v>0.5</v>
      </c>
      <c r="BK4" s="113">
        <v>0.0</v>
      </c>
      <c r="BL4" s="113">
        <v>0.0</v>
      </c>
      <c r="BM4" s="113">
        <v>0.0</v>
      </c>
      <c r="BN4" s="113">
        <v>0.0</v>
      </c>
      <c r="BO4" s="113">
        <v>0.0</v>
      </c>
      <c r="BP4" s="113">
        <v>0.0</v>
      </c>
      <c r="BQ4" s="113">
        <v>0.0</v>
      </c>
      <c r="BR4" s="113">
        <v>0.0</v>
      </c>
      <c r="BS4" s="113">
        <v>1.0</v>
      </c>
      <c r="BT4" s="113">
        <v>12950.2</v>
      </c>
      <c r="BU4" s="113">
        <v>12930.2</v>
      </c>
      <c r="BV4" s="113">
        <v>13845.05</v>
      </c>
      <c r="BW4" s="113">
        <v>0.0</v>
      </c>
      <c r="BX4" s="113">
        <v>0.0</v>
      </c>
      <c r="BY4" s="113">
        <v>0.0</v>
      </c>
      <c r="BZ4" s="113">
        <v>0.0</v>
      </c>
      <c r="CA4" s="113">
        <v>0.0</v>
      </c>
      <c r="CB4" s="113">
        <v>0.0</v>
      </c>
      <c r="CC4" s="113">
        <v>0.0</v>
      </c>
      <c r="CD4" s="113">
        <v>-894.85</v>
      </c>
      <c r="CE4" s="113">
        <v>0.0</v>
      </c>
      <c r="CF4" s="113">
        <v>0.0</v>
      </c>
      <c r="CG4" s="113">
        <v>0.0</v>
      </c>
      <c r="CH4" s="113">
        <v>0.0</v>
      </c>
      <c r="CI4" s="113">
        <v>0.0</v>
      </c>
      <c r="CJ4" s="113">
        <v>0.0</v>
      </c>
      <c r="CK4" s="113">
        <v>0.0</v>
      </c>
      <c r="CL4" s="113">
        <v>0.0</v>
      </c>
      <c r="CM4" s="113">
        <v>0.0</v>
      </c>
      <c r="CN4" s="113">
        <v>0.0</v>
      </c>
      <c r="CO4" s="113">
        <v>0.0</v>
      </c>
      <c r="CP4" s="113">
        <v>3.0</v>
      </c>
      <c r="CQ4" s="113">
        <v>3.0</v>
      </c>
      <c r="CR4" s="113">
        <v>0.0</v>
      </c>
      <c r="CS4" s="113">
        <v>0.0</v>
      </c>
      <c r="CT4" s="113">
        <v>0.0</v>
      </c>
      <c r="CU4" s="113">
        <v>0.0</v>
      </c>
      <c r="CV4" s="113">
        <v>0.0</v>
      </c>
      <c r="CW4" s="113">
        <v>0.0</v>
      </c>
      <c r="CX4" s="113">
        <v>0.0</v>
      </c>
      <c r="CY4" s="113">
        <v>0.0</v>
      </c>
      <c r="CZ4" s="113">
        <v>0.0</v>
      </c>
      <c r="DA4" s="113">
        <v>3.0</v>
      </c>
      <c r="DB4" s="113">
        <v>0.0</v>
      </c>
      <c r="DC4" s="113">
        <v>0.0</v>
      </c>
      <c r="DD4" s="113">
        <v>4900.49</v>
      </c>
      <c r="DE4" s="113">
        <v>0.0</v>
      </c>
      <c r="DF4" s="113">
        <v>0.0</v>
      </c>
      <c r="DG4" s="113">
        <v>0.0</v>
      </c>
      <c r="DH4" s="113">
        <v>30.0</v>
      </c>
      <c r="DI4" s="113">
        <v>0.0</v>
      </c>
      <c r="DJ4" s="113">
        <v>4.06</v>
      </c>
      <c r="DK4" s="113">
        <v>0.0</v>
      </c>
      <c r="DL4" s="113">
        <v>0.0</v>
      </c>
      <c r="DM4" s="113">
        <v>-4934.55</v>
      </c>
      <c r="DN4" s="113">
        <v>96202.4037</v>
      </c>
      <c r="DO4" s="113">
        <v>448009.1855</v>
      </c>
      <c r="DP4" s="113">
        <v>96202.4037</v>
      </c>
      <c r="DQ4" s="113">
        <v>113632.8738</v>
      </c>
      <c r="DR4" s="113">
        <v>460446.1855</v>
      </c>
      <c r="DS4" s="113">
        <v>113632.8738</v>
      </c>
    </row>
    <row r="5">
      <c r="A5" s="134">
        <f t="shared" si="1"/>
        <v>46080</v>
      </c>
      <c r="B5" s="135">
        <v>44226.0</v>
      </c>
      <c r="C5" s="136">
        <v>2890.0</v>
      </c>
      <c r="D5" s="136">
        <v>2122.0</v>
      </c>
      <c r="E5" s="136">
        <v>352.0</v>
      </c>
      <c r="F5" s="136">
        <v>92.0</v>
      </c>
      <c r="G5" s="136">
        <v>268.0</v>
      </c>
      <c r="H5" s="136">
        <v>203.0</v>
      </c>
      <c r="I5" s="136">
        <v>89.0</v>
      </c>
      <c r="J5" s="136">
        <v>40.0</v>
      </c>
      <c r="K5" s="136">
        <v>2466.0</v>
      </c>
      <c r="L5" s="136">
        <v>1319.0</v>
      </c>
      <c r="M5" s="136">
        <v>94962.0</v>
      </c>
      <c r="N5" s="136">
        <v>269.77</v>
      </c>
      <c r="P5" s="134">
        <f t="shared" si="2"/>
        <v>46080</v>
      </c>
      <c r="Q5" s="113">
        <v>-2378.5037</v>
      </c>
      <c r="R5" s="113">
        <v>94962.0</v>
      </c>
      <c r="S5" s="113">
        <v>93643.0</v>
      </c>
      <c r="T5" s="113">
        <v>352.0</v>
      </c>
      <c r="U5" s="113">
        <v>92.0</v>
      </c>
      <c r="V5" s="113">
        <v>1319.0</v>
      </c>
      <c r="W5" s="113">
        <v>0.0</v>
      </c>
      <c r="X5" s="113">
        <v>0.0</v>
      </c>
      <c r="Y5" s="113">
        <v>1563.72</v>
      </c>
      <c r="Z5" s="113">
        <v>-1563.72</v>
      </c>
      <c r="AA5" s="113">
        <v>734752.98</v>
      </c>
      <c r="AB5" s="113">
        <v>685755.37</v>
      </c>
      <c r="AC5" s="113">
        <v>724516.445</v>
      </c>
      <c r="AD5" s="113">
        <v>4628.2</v>
      </c>
      <c r="AE5" s="113">
        <v>2559.04</v>
      </c>
      <c r="AF5" s="113">
        <v>38.0387</v>
      </c>
      <c r="AG5" s="113">
        <v>0.0</v>
      </c>
      <c r="AH5" s="113">
        <v>0.0</v>
      </c>
      <c r="AI5" s="113">
        <v>0.0</v>
      </c>
      <c r="AJ5" s="113">
        <v>0.0</v>
      </c>
      <c r="AK5" s="113">
        <v>3011.2563</v>
      </c>
      <c r="AL5" s="113">
        <v>2734.5</v>
      </c>
      <c r="AM5" s="113">
        <v>2453.5</v>
      </c>
      <c r="AN5" s="113">
        <v>1846.5</v>
      </c>
      <c r="AO5" s="113">
        <v>0.0</v>
      </c>
      <c r="AP5" s="113">
        <v>46.0</v>
      </c>
      <c r="AQ5" s="113">
        <v>0.0</v>
      </c>
      <c r="AR5" s="113">
        <v>0.0</v>
      </c>
      <c r="AS5" s="113">
        <v>0.0</v>
      </c>
      <c r="AT5" s="113">
        <v>0.0</v>
      </c>
      <c r="AU5" s="113">
        <v>0.0</v>
      </c>
      <c r="AV5" s="113">
        <v>842.0</v>
      </c>
      <c r="AW5" s="113">
        <v>0.0</v>
      </c>
      <c r="AX5" s="113">
        <v>0.0</v>
      </c>
      <c r="AY5" s="113">
        <v>0.0</v>
      </c>
      <c r="AZ5" s="113">
        <v>0.0</v>
      </c>
      <c r="BA5" s="113">
        <v>0.0</v>
      </c>
      <c r="BB5" s="113">
        <v>0.0</v>
      </c>
      <c r="BC5" s="113">
        <v>0.0</v>
      </c>
      <c r="BD5" s="113">
        <v>0.0</v>
      </c>
      <c r="BE5" s="113">
        <v>0.0</v>
      </c>
      <c r="BF5" s="113">
        <v>0.0</v>
      </c>
      <c r="BG5" s="113">
        <v>0.0</v>
      </c>
      <c r="BH5" s="113">
        <v>0.0</v>
      </c>
      <c r="BI5" s="113">
        <v>0.0</v>
      </c>
      <c r="BJ5" s="113">
        <v>0.0</v>
      </c>
      <c r="BK5" s="113">
        <v>0.0</v>
      </c>
      <c r="BL5" s="113">
        <v>0.0</v>
      </c>
      <c r="BM5" s="113">
        <v>0.17</v>
      </c>
      <c r="BN5" s="113">
        <v>0.0</v>
      </c>
      <c r="BO5" s="113">
        <v>0.0</v>
      </c>
      <c r="BP5" s="113">
        <v>0.0</v>
      </c>
      <c r="BQ5" s="113">
        <v>0.0</v>
      </c>
      <c r="BR5" s="113">
        <v>0.0</v>
      </c>
      <c r="BS5" s="113">
        <v>-0.17</v>
      </c>
      <c r="BT5" s="113">
        <v>4639.9</v>
      </c>
      <c r="BU5" s="113">
        <v>4639.9</v>
      </c>
      <c r="BV5" s="113">
        <v>4734.4</v>
      </c>
      <c r="BW5" s="113">
        <v>0.0</v>
      </c>
      <c r="BX5" s="113">
        <v>0.0</v>
      </c>
      <c r="BY5" s="113">
        <v>0.0</v>
      </c>
      <c r="BZ5" s="113">
        <v>0.0</v>
      </c>
      <c r="CA5" s="113">
        <v>0.0</v>
      </c>
      <c r="CB5" s="113">
        <v>0.0</v>
      </c>
      <c r="CC5" s="113">
        <v>0.0</v>
      </c>
      <c r="CD5" s="113">
        <v>-94.5</v>
      </c>
      <c r="CE5" s="113">
        <v>0.0</v>
      </c>
      <c r="CF5" s="113">
        <v>0.0</v>
      </c>
      <c r="CG5" s="113">
        <v>0.0</v>
      </c>
      <c r="CH5" s="113">
        <v>0.0</v>
      </c>
      <c r="CI5" s="113">
        <v>0.0</v>
      </c>
      <c r="CJ5" s="113">
        <v>0.0</v>
      </c>
      <c r="CK5" s="113">
        <v>0.0</v>
      </c>
      <c r="CL5" s="113">
        <v>0.0</v>
      </c>
      <c r="CM5" s="113">
        <v>0.0</v>
      </c>
      <c r="CN5" s="113">
        <v>0.0</v>
      </c>
      <c r="CO5" s="113">
        <v>0.0</v>
      </c>
      <c r="CP5" s="113">
        <v>2.0</v>
      </c>
      <c r="CQ5" s="113">
        <v>2.0</v>
      </c>
      <c r="CR5" s="113">
        <v>0.0</v>
      </c>
      <c r="CS5" s="113">
        <v>0.0</v>
      </c>
      <c r="CT5" s="113">
        <v>0.0</v>
      </c>
      <c r="CU5" s="113">
        <v>0.0</v>
      </c>
      <c r="CV5" s="113">
        <v>0.0</v>
      </c>
      <c r="CW5" s="113">
        <v>0.0</v>
      </c>
      <c r="CX5" s="113">
        <v>0.0</v>
      </c>
      <c r="CY5" s="113">
        <v>0.0</v>
      </c>
      <c r="CZ5" s="113">
        <v>0.0</v>
      </c>
      <c r="DA5" s="113">
        <v>2.0</v>
      </c>
      <c r="DB5" s="113">
        <v>0.0</v>
      </c>
      <c r="DC5" s="113">
        <v>0.0</v>
      </c>
      <c r="DD5" s="113">
        <v>4405.3</v>
      </c>
      <c r="DE5" s="113">
        <v>0.0</v>
      </c>
      <c r="DF5" s="113">
        <v>0.0</v>
      </c>
      <c r="DG5" s="113">
        <v>0.0</v>
      </c>
      <c r="DH5" s="113">
        <v>150.0</v>
      </c>
      <c r="DI5" s="113">
        <v>15.0</v>
      </c>
      <c r="DJ5" s="113">
        <v>5.07</v>
      </c>
      <c r="DK5" s="113">
        <v>0.0</v>
      </c>
      <c r="DL5" s="113">
        <v>0.0</v>
      </c>
      <c r="DM5" s="113">
        <v>-4575.37</v>
      </c>
      <c r="DN5" s="113">
        <v>94316.745</v>
      </c>
      <c r="DO5" s="113">
        <v>459403.1855</v>
      </c>
      <c r="DP5" s="113">
        <v>94316.745</v>
      </c>
      <c r="DQ5" s="113">
        <v>96202.4037</v>
      </c>
      <c r="DR5" s="113">
        <v>448009.1855</v>
      </c>
      <c r="DS5" s="113">
        <v>96202.4037</v>
      </c>
    </row>
    <row r="6">
      <c r="A6" s="134">
        <f t="shared" si="1"/>
        <v>46079</v>
      </c>
      <c r="B6" s="137">
        <v>43919.0</v>
      </c>
      <c r="C6" s="136">
        <v>3223.0</v>
      </c>
      <c r="D6" s="136">
        <v>2304.0</v>
      </c>
      <c r="E6" s="136">
        <v>437.0</v>
      </c>
      <c r="F6" s="136">
        <v>108.0</v>
      </c>
      <c r="G6" s="136">
        <v>594.0</v>
      </c>
      <c r="H6" s="136">
        <v>388.0</v>
      </c>
      <c r="I6" s="136">
        <v>172.0</v>
      </c>
      <c r="J6" s="136">
        <v>58.0</v>
      </c>
      <c r="K6" s="136">
        <v>2635.0</v>
      </c>
      <c r="L6" s="136">
        <v>6723.0</v>
      </c>
      <c r="M6" s="136">
        <v>96473.0</v>
      </c>
      <c r="N6" s="136">
        <v>220.76</v>
      </c>
      <c r="P6" s="134">
        <f t="shared" si="2"/>
        <v>46079</v>
      </c>
      <c r="Q6" s="138">
        <v>-4441.5865</v>
      </c>
      <c r="R6" s="138">
        <v>96473.0</v>
      </c>
      <c r="S6" s="138">
        <v>89750.0</v>
      </c>
      <c r="T6" s="138">
        <v>437.0</v>
      </c>
      <c r="U6" s="138">
        <v>108.0</v>
      </c>
      <c r="V6" s="138">
        <v>6723.0</v>
      </c>
      <c r="W6" s="138">
        <v>0.0</v>
      </c>
      <c r="X6" s="138">
        <v>0.0</v>
      </c>
      <c r="Y6" s="138">
        <v>1502.14</v>
      </c>
      <c r="Z6" s="138">
        <v>-1502.14</v>
      </c>
      <c r="AA6" s="138">
        <v>821477.24</v>
      </c>
      <c r="AB6" s="138">
        <v>773582.835</v>
      </c>
      <c r="AC6" s="138">
        <v>808905.7522</v>
      </c>
      <c r="AD6" s="138">
        <v>8075.7</v>
      </c>
      <c r="AE6" s="138">
        <v>3055.64</v>
      </c>
      <c r="AF6" s="138">
        <v>39.4043</v>
      </c>
      <c r="AG6" s="138">
        <v>0.0</v>
      </c>
      <c r="AH6" s="138">
        <v>0.0</v>
      </c>
      <c r="AI6" s="138">
        <v>0.0</v>
      </c>
      <c r="AJ6" s="138">
        <v>0.0</v>
      </c>
      <c r="AK6" s="138">
        <v>1400.7435</v>
      </c>
      <c r="AL6" s="138">
        <v>18235.59</v>
      </c>
      <c r="AM6" s="138">
        <v>17330.59</v>
      </c>
      <c r="AN6" s="138">
        <v>19190.0</v>
      </c>
      <c r="AO6" s="138">
        <v>0.0</v>
      </c>
      <c r="AP6" s="138">
        <v>20.86</v>
      </c>
      <c r="AQ6" s="138">
        <v>0.0</v>
      </c>
      <c r="AR6" s="138">
        <v>0.0</v>
      </c>
      <c r="AS6" s="138">
        <v>0.0</v>
      </c>
      <c r="AT6" s="138">
        <v>0.0</v>
      </c>
      <c r="AU6" s="138">
        <v>0.0</v>
      </c>
      <c r="AV6" s="138">
        <v>-975.27</v>
      </c>
      <c r="AW6" s="138">
        <v>0.0</v>
      </c>
      <c r="AX6" s="138">
        <v>0.0</v>
      </c>
      <c r="AY6" s="138">
        <v>0.0</v>
      </c>
      <c r="AZ6" s="138">
        <v>0.0</v>
      </c>
      <c r="BA6" s="138">
        <v>0.0</v>
      </c>
      <c r="BB6" s="138">
        <v>0.0</v>
      </c>
      <c r="BC6" s="138">
        <v>0.0</v>
      </c>
      <c r="BD6" s="138">
        <v>0.0</v>
      </c>
      <c r="BE6" s="138">
        <v>0.0</v>
      </c>
      <c r="BF6" s="138">
        <v>0.0</v>
      </c>
      <c r="BG6" s="138">
        <v>0.0</v>
      </c>
      <c r="BH6" s="138">
        <v>0.0</v>
      </c>
      <c r="BI6" s="138">
        <v>60.0</v>
      </c>
      <c r="BJ6" s="138">
        <v>60.0</v>
      </c>
      <c r="BK6" s="138">
        <v>0.0</v>
      </c>
      <c r="BL6" s="138">
        <v>0.0</v>
      </c>
      <c r="BM6" s="138">
        <v>0.0</v>
      </c>
      <c r="BN6" s="138">
        <v>0.0</v>
      </c>
      <c r="BO6" s="138">
        <v>0.0</v>
      </c>
      <c r="BP6" s="138">
        <v>0.0</v>
      </c>
      <c r="BQ6" s="138">
        <v>0.0</v>
      </c>
      <c r="BR6" s="138">
        <v>0.0</v>
      </c>
      <c r="BS6" s="138">
        <v>60.0</v>
      </c>
      <c r="BT6" s="138">
        <v>13524.8</v>
      </c>
      <c r="BU6" s="138">
        <v>13332.0</v>
      </c>
      <c r="BV6" s="138">
        <v>12056.66</v>
      </c>
      <c r="BW6" s="138">
        <v>0.0</v>
      </c>
      <c r="BX6" s="138">
        <v>0.0</v>
      </c>
      <c r="BY6" s="138">
        <v>0.0</v>
      </c>
      <c r="BZ6" s="138">
        <v>0.0</v>
      </c>
      <c r="CA6" s="138">
        <v>0.0</v>
      </c>
      <c r="CB6" s="138">
        <v>0.0</v>
      </c>
      <c r="CC6" s="138">
        <v>0.0</v>
      </c>
      <c r="CD6" s="138">
        <v>1468.14</v>
      </c>
      <c r="CE6" s="138">
        <v>0.0</v>
      </c>
      <c r="CF6" s="138">
        <v>0.0</v>
      </c>
      <c r="CG6" s="138">
        <v>0.0</v>
      </c>
      <c r="CH6" s="138">
        <v>0.0</v>
      </c>
      <c r="CI6" s="138">
        <v>0.0</v>
      </c>
      <c r="CJ6" s="138">
        <v>0.0</v>
      </c>
      <c r="CK6" s="138">
        <v>0.0</v>
      </c>
      <c r="CL6" s="138">
        <v>0.0</v>
      </c>
      <c r="CM6" s="138">
        <v>0.0</v>
      </c>
      <c r="CN6" s="138">
        <v>0.0</v>
      </c>
      <c r="CO6" s="138">
        <v>0.0</v>
      </c>
      <c r="CP6" s="138">
        <v>1.0</v>
      </c>
      <c r="CQ6" s="138">
        <v>1.0</v>
      </c>
      <c r="CR6" s="138">
        <v>0.0</v>
      </c>
      <c r="CS6" s="138">
        <v>0.0</v>
      </c>
      <c r="CT6" s="138">
        <v>0.0</v>
      </c>
      <c r="CU6" s="138">
        <v>0.0</v>
      </c>
      <c r="CV6" s="138">
        <v>0.0</v>
      </c>
      <c r="CW6" s="138">
        <v>0.0</v>
      </c>
      <c r="CX6" s="138">
        <v>0.0</v>
      </c>
      <c r="CY6" s="138">
        <v>0.0</v>
      </c>
      <c r="CZ6" s="138">
        <v>0.0</v>
      </c>
      <c r="DA6" s="138">
        <v>1.0</v>
      </c>
      <c r="DB6" s="138">
        <v>0.0</v>
      </c>
      <c r="DC6" s="138">
        <v>0.0</v>
      </c>
      <c r="DD6" s="138">
        <v>4829.0</v>
      </c>
      <c r="DE6" s="138">
        <v>0.0</v>
      </c>
      <c r="DF6" s="138">
        <v>0.0</v>
      </c>
      <c r="DG6" s="138">
        <v>0.0</v>
      </c>
      <c r="DH6" s="138">
        <v>60.0</v>
      </c>
      <c r="DI6" s="138">
        <v>0.0</v>
      </c>
      <c r="DJ6" s="138">
        <v>5.06</v>
      </c>
      <c r="DK6" s="138">
        <v>0.0</v>
      </c>
      <c r="DL6" s="138">
        <v>0.0</v>
      </c>
      <c r="DM6" s="138">
        <v>-4894.06</v>
      </c>
      <c r="DN6" s="138">
        <v>96459.3807</v>
      </c>
      <c r="DO6" s="138">
        <v>442980.4855</v>
      </c>
      <c r="DP6" s="138">
        <v>96459.3807</v>
      </c>
      <c r="DQ6" s="138">
        <v>94316.745</v>
      </c>
      <c r="DR6" s="138">
        <v>459403.1855</v>
      </c>
      <c r="DS6" s="138">
        <v>94316.745</v>
      </c>
    </row>
    <row r="7">
      <c r="A7" s="134">
        <f t="shared" si="1"/>
        <v>46078</v>
      </c>
      <c r="B7" s="137">
        <v>43332.0</v>
      </c>
      <c r="C7" s="136">
        <v>3611.0</v>
      </c>
      <c r="D7" s="136">
        <v>2548.0</v>
      </c>
      <c r="E7" s="136">
        <v>481.0</v>
      </c>
      <c r="F7" s="136">
        <v>97.0</v>
      </c>
      <c r="G7" s="136">
        <v>826.0</v>
      </c>
      <c r="H7" s="136">
        <v>488.0</v>
      </c>
      <c r="I7" s="136">
        <v>213.0</v>
      </c>
      <c r="J7" s="136">
        <v>53.0</v>
      </c>
      <c r="K7" s="136">
        <v>2869.0</v>
      </c>
      <c r="L7" s="136">
        <v>17282.0</v>
      </c>
      <c r="M7" s="136">
        <v>92719.0</v>
      </c>
      <c r="N7" s="136">
        <v>192.76</v>
      </c>
      <c r="P7" s="134">
        <f t="shared" si="2"/>
        <v>46078</v>
      </c>
      <c r="Q7" s="138">
        <v>-1655.4399</v>
      </c>
      <c r="R7" s="138">
        <v>92719.0</v>
      </c>
      <c r="S7" s="138">
        <v>75437.0</v>
      </c>
      <c r="T7" s="138">
        <v>481.0</v>
      </c>
      <c r="U7" s="138">
        <v>97.0</v>
      </c>
      <c r="V7" s="138">
        <v>17282.0</v>
      </c>
      <c r="W7" s="138">
        <v>0.0</v>
      </c>
      <c r="X7" s="138">
        <v>0.0</v>
      </c>
      <c r="Y7" s="138">
        <v>1490.23</v>
      </c>
      <c r="Z7" s="138">
        <v>-1490.23</v>
      </c>
      <c r="AA7" s="138">
        <v>840574.91</v>
      </c>
      <c r="AB7" s="138">
        <v>789677.615</v>
      </c>
      <c r="AC7" s="138">
        <v>823468.455</v>
      </c>
      <c r="AD7" s="138">
        <v>7556.2</v>
      </c>
      <c r="AE7" s="138">
        <v>3869.24</v>
      </c>
      <c r="AF7" s="138">
        <v>40.7879</v>
      </c>
      <c r="AG7" s="138">
        <v>0.0</v>
      </c>
      <c r="AH7" s="138">
        <v>0.0</v>
      </c>
      <c r="AI7" s="138">
        <v>0.0</v>
      </c>
      <c r="AJ7" s="138">
        <v>0.0</v>
      </c>
      <c r="AK7" s="138">
        <v>5640.2271</v>
      </c>
      <c r="AL7" s="138">
        <v>15722.08</v>
      </c>
      <c r="AM7" s="138">
        <v>15443.58</v>
      </c>
      <c r="AN7" s="138">
        <v>15147.22</v>
      </c>
      <c r="AO7" s="138">
        <v>0.0</v>
      </c>
      <c r="AP7" s="138">
        <v>37.62</v>
      </c>
      <c r="AQ7" s="138">
        <v>0.0</v>
      </c>
      <c r="AR7" s="138">
        <v>0.0</v>
      </c>
      <c r="AS7" s="138">
        <v>0.0</v>
      </c>
      <c r="AT7" s="138">
        <v>0.0</v>
      </c>
      <c r="AU7" s="138">
        <v>0.0</v>
      </c>
      <c r="AV7" s="138">
        <v>537.24</v>
      </c>
      <c r="AW7" s="138">
        <v>0.0</v>
      </c>
      <c r="AX7" s="138">
        <v>0.0</v>
      </c>
      <c r="AY7" s="138">
        <v>0.0</v>
      </c>
      <c r="AZ7" s="138">
        <v>0.0</v>
      </c>
      <c r="BA7" s="138">
        <v>0.0</v>
      </c>
      <c r="BB7" s="138">
        <v>0.0</v>
      </c>
      <c r="BC7" s="138">
        <v>0.0</v>
      </c>
      <c r="BD7" s="138">
        <v>0.0</v>
      </c>
      <c r="BE7" s="138">
        <v>0.0</v>
      </c>
      <c r="BF7" s="138">
        <v>0.0</v>
      </c>
      <c r="BG7" s="138">
        <v>0.0</v>
      </c>
      <c r="BH7" s="138">
        <v>0.0</v>
      </c>
      <c r="BI7" s="138">
        <v>0.0</v>
      </c>
      <c r="BJ7" s="138">
        <v>0.0</v>
      </c>
      <c r="BK7" s="138">
        <v>0.0</v>
      </c>
      <c r="BL7" s="138">
        <v>0.0</v>
      </c>
      <c r="BM7" s="138">
        <v>0.0</v>
      </c>
      <c r="BN7" s="138">
        <v>0.0</v>
      </c>
      <c r="BO7" s="138">
        <v>0.0</v>
      </c>
      <c r="BP7" s="138">
        <v>0.0</v>
      </c>
      <c r="BQ7" s="138">
        <v>0.0</v>
      </c>
      <c r="BR7" s="138">
        <v>0.0</v>
      </c>
      <c r="BS7" s="138">
        <v>0.0</v>
      </c>
      <c r="BT7" s="138">
        <v>17582.43</v>
      </c>
      <c r="BU7" s="138">
        <v>17427.73</v>
      </c>
      <c r="BV7" s="138">
        <v>18115.62</v>
      </c>
      <c r="BW7" s="138">
        <v>0.0</v>
      </c>
      <c r="BX7" s="138">
        <v>0.0</v>
      </c>
      <c r="BY7" s="138">
        <v>0.0</v>
      </c>
      <c r="BZ7" s="138">
        <v>0.0</v>
      </c>
      <c r="CA7" s="138">
        <v>0.0</v>
      </c>
      <c r="CB7" s="138">
        <v>0.0</v>
      </c>
      <c r="CC7" s="138">
        <v>0.0</v>
      </c>
      <c r="CD7" s="138">
        <v>-533.19</v>
      </c>
      <c r="CE7" s="138">
        <v>100.0</v>
      </c>
      <c r="CF7" s="138">
        <v>100.0</v>
      </c>
      <c r="CG7" s="138">
        <v>0.0</v>
      </c>
      <c r="CH7" s="138">
        <v>0.0</v>
      </c>
      <c r="CI7" s="138">
        <v>0.0</v>
      </c>
      <c r="CJ7" s="138">
        <v>0.0</v>
      </c>
      <c r="CK7" s="138">
        <v>0.0</v>
      </c>
      <c r="CL7" s="138">
        <v>0.0</v>
      </c>
      <c r="CM7" s="138">
        <v>0.0</v>
      </c>
      <c r="CN7" s="138">
        <v>0.0</v>
      </c>
      <c r="CO7" s="138">
        <v>100.0</v>
      </c>
      <c r="CP7" s="138">
        <v>4.0</v>
      </c>
      <c r="CQ7" s="138">
        <v>4.0</v>
      </c>
      <c r="CR7" s="138">
        <v>0.0</v>
      </c>
      <c r="CS7" s="138">
        <v>0.0</v>
      </c>
      <c r="CT7" s="138">
        <v>0.0</v>
      </c>
      <c r="CU7" s="138">
        <v>0.0</v>
      </c>
      <c r="CV7" s="138">
        <v>0.0</v>
      </c>
      <c r="CW7" s="138">
        <v>0.0</v>
      </c>
      <c r="CX7" s="138">
        <v>0.0</v>
      </c>
      <c r="CY7" s="138">
        <v>0.0</v>
      </c>
      <c r="CZ7" s="138">
        <v>0.0</v>
      </c>
      <c r="DA7" s="138">
        <v>4.0</v>
      </c>
      <c r="DB7" s="138">
        <v>0.0</v>
      </c>
      <c r="DC7" s="138">
        <v>0.0</v>
      </c>
      <c r="DD7" s="138">
        <v>5682.31</v>
      </c>
      <c r="DE7" s="138">
        <v>0.0</v>
      </c>
      <c r="DF7" s="138">
        <v>0.0</v>
      </c>
      <c r="DG7" s="138">
        <v>0.0</v>
      </c>
      <c r="DH7" s="138">
        <v>210.0</v>
      </c>
      <c r="DI7" s="138">
        <v>15.0</v>
      </c>
      <c r="DJ7" s="138">
        <v>6.177</v>
      </c>
      <c r="DK7" s="138">
        <v>0.0</v>
      </c>
      <c r="DL7" s="138">
        <v>0.0</v>
      </c>
      <c r="DM7" s="138">
        <v>-5913.487</v>
      </c>
      <c r="DN7" s="138">
        <v>93016.9658</v>
      </c>
      <c r="DO7" s="138">
        <v>488797.4855</v>
      </c>
      <c r="DP7" s="138">
        <v>93016.9658</v>
      </c>
      <c r="DQ7" s="138">
        <v>96459.3807</v>
      </c>
      <c r="DR7" s="138">
        <v>442980.4855</v>
      </c>
      <c r="DS7" s="138">
        <v>96459.3807</v>
      </c>
    </row>
    <row r="8">
      <c r="A8" s="134">
        <f t="shared" si="1"/>
        <v>46077</v>
      </c>
      <c r="B8" s="137">
        <v>42520.0</v>
      </c>
      <c r="C8" s="136">
        <v>3785.0</v>
      </c>
      <c r="D8" s="136">
        <v>2686.0</v>
      </c>
      <c r="E8" s="136">
        <v>498.0</v>
      </c>
      <c r="F8" s="136">
        <v>95.0</v>
      </c>
      <c r="G8" s="136">
        <v>707.0</v>
      </c>
      <c r="H8" s="136">
        <v>455.0</v>
      </c>
      <c r="I8" s="136">
        <v>199.0</v>
      </c>
      <c r="J8" s="136">
        <v>50.0</v>
      </c>
      <c r="K8" s="136">
        <v>3090.0</v>
      </c>
      <c r="L8" s="136">
        <v>61492.0</v>
      </c>
      <c r="M8" s="136">
        <v>120843.0</v>
      </c>
      <c r="N8" s="136">
        <v>242.65</v>
      </c>
      <c r="P8" s="134">
        <f t="shared" si="2"/>
        <v>46077</v>
      </c>
      <c r="Q8" s="138">
        <v>45355.2306</v>
      </c>
      <c r="R8" s="138">
        <v>120843.0</v>
      </c>
      <c r="S8" s="138">
        <v>59351.0</v>
      </c>
      <c r="T8" s="138">
        <v>498.0</v>
      </c>
      <c r="U8" s="138">
        <v>95.0</v>
      </c>
      <c r="V8" s="138">
        <v>61492.0</v>
      </c>
      <c r="W8" s="138">
        <v>0.0</v>
      </c>
      <c r="X8" s="138">
        <v>0.0</v>
      </c>
      <c r="Y8" s="138">
        <v>1945.67</v>
      </c>
      <c r="Z8" s="138">
        <v>-1945.67</v>
      </c>
      <c r="AA8" s="138">
        <v>1086922.29</v>
      </c>
      <c r="AB8" s="138">
        <v>1020854.855</v>
      </c>
      <c r="AC8" s="138">
        <v>1029615.405</v>
      </c>
      <c r="AD8" s="138">
        <v>7578.4</v>
      </c>
      <c r="AE8" s="138">
        <v>2413.28</v>
      </c>
      <c r="AF8" s="138">
        <v>50.5814</v>
      </c>
      <c r="AG8" s="138">
        <v>0.0</v>
      </c>
      <c r="AH8" s="138">
        <v>0.0</v>
      </c>
      <c r="AI8" s="138">
        <v>0.0</v>
      </c>
      <c r="AJ8" s="138">
        <v>0.0</v>
      </c>
      <c r="AK8" s="138">
        <v>47264.6236</v>
      </c>
      <c r="AL8" s="138">
        <v>14221.23</v>
      </c>
      <c r="AM8" s="138">
        <v>13642.73</v>
      </c>
      <c r="AN8" s="138">
        <v>10874.82</v>
      </c>
      <c r="AO8" s="138">
        <v>0.0</v>
      </c>
      <c r="AP8" s="138">
        <v>4.67</v>
      </c>
      <c r="AQ8" s="138">
        <v>0.0</v>
      </c>
      <c r="AR8" s="138">
        <v>0.0</v>
      </c>
      <c r="AS8" s="138">
        <v>0.0</v>
      </c>
      <c r="AT8" s="138">
        <v>0.0</v>
      </c>
      <c r="AU8" s="138">
        <v>0.0</v>
      </c>
      <c r="AV8" s="138">
        <v>3341.74</v>
      </c>
      <c r="AW8" s="138">
        <v>0.0</v>
      </c>
      <c r="AX8" s="138">
        <v>0.0</v>
      </c>
      <c r="AY8" s="138">
        <v>0.0</v>
      </c>
      <c r="AZ8" s="138">
        <v>0.0</v>
      </c>
      <c r="BA8" s="138">
        <v>0.0</v>
      </c>
      <c r="BB8" s="138">
        <v>0.0</v>
      </c>
      <c r="BC8" s="138">
        <v>0.0</v>
      </c>
      <c r="BD8" s="138">
        <v>0.0</v>
      </c>
      <c r="BE8" s="138">
        <v>0.0</v>
      </c>
      <c r="BF8" s="138">
        <v>0.0</v>
      </c>
      <c r="BG8" s="138">
        <v>0.0</v>
      </c>
      <c r="BH8" s="138">
        <v>0.0</v>
      </c>
      <c r="BI8" s="138">
        <v>1.0</v>
      </c>
      <c r="BJ8" s="138">
        <v>0.5</v>
      </c>
      <c r="BK8" s="138">
        <v>0.0</v>
      </c>
      <c r="BL8" s="138">
        <v>0.0</v>
      </c>
      <c r="BM8" s="138">
        <v>0.0</v>
      </c>
      <c r="BN8" s="138">
        <v>0.0</v>
      </c>
      <c r="BO8" s="138">
        <v>0.0</v>
      </c>
      <c r="BP8" s="138">
        <v>0.0</v>
      </c>
      <c r="BQ8" s="138">
        <v>0.0</v>
      </c>
      <c r="BR8" s="138">
        <v>0.0</v>
      </c>
      <c r="BS8" s="138">
        <v>1.0</v>
      </c>
      <c r="BT8" s="138">
        <v>71861.15</v>
      </c>
      <c r="BU8" s="138">
        <v>71783.85</v>
      </c>
      <c r="BV8" s="138">
        <v>69691.8</v>
      </c>
      <c r="BW8" s="138">
        <v>0.0</v>
      </c>
      <c r="BX8" s="138">
        <v>0.0</v>
      </c>
      <c r="BY8" s="138">
        <v>0.0</v>
      </c>
      <c r="BZ8" s="138">
        <v>0.0</v>
      </c>
      <c r="CA8" s="138">
        <v>0.0</v>
      </c>
      <c r="CB8" s="138">
        <v>0.0</v>
      </c>
      <c r="CC8" s="138">
        <v>0.0</v>
      </c>
      <c r="CD8" s="138">
        <v>2169.35</v>
      </c>
      <c r="CE8" s="138">
        <v>2018.0</v>
      </c>
      <c r="CF8" s="138">
        <v>1998.0</v>
      </c>
      <c r="CG8" s="138">
        <v>1416.17</v>
      </c>
      <c r="CH8" s="138">
        <v>0.0</v>
      </c>
      <c r="CI8" s="138">
        <v>0.0</v>
      </c>
      <c r="CJ8" s="138">
        <v>0.0</v>
      </c>
      <c r="CK8" s="138">
        <v>0.0</v>
      </c>
      <c r="CL8" s="138">
        <v>0.0</v>
      </c>
      <c r="CM8" s="138">
        <v>0.0</v>
      </c>
      <c r="CN8" s="138">
        <v>0.0</v>
      </c>
      <c r="CO8" s="138">
        <v>601.83</v>
      </c>
      <c r="CP8" s="138">
        <v>2.0</v>
      </c>
      <c r="CQ8" s="138">
        <v>2.0</v>
      </c>
      <c r="CR8" s="138">
        <v>0.0</v>
      </c>
      <c r="CS8" s="138">
        <v>0.0</v>
      </c>
      <c r="CT8" s="138">
        <v>0.0</v>
      </c>
      <c r="CU8" s="138">
        <v>0.0</v>
      </c>
      <c r="CV8" s="138">
        <v>0.0</v>
      </c>
      <c r="CW8" s="138">
        <v>0.0</v>
      </c>
      <c r="CX8" s="138">
        <v>0.0</v>
      </c>
      <c r="CY8" s="138">
        <v>0.0</v>
      </c>
      <c r="CZ8" s="138">
        <v>0.0</v>
      </c>
      <c r="DA8" s="138">
        <v>2.0</v>
      </c>
      <c r="DB8" s="138">
        <v>0.0</v>
      </c>
      <c r="DC8" s="138">
        <v>0.0</v>
      </c>
      <c r="DD8" s="138">
        <v>5658.37</v>
      </c>
      <c r="DE8" s="138">
        <v>0.0</v>
      </c>
      <c r="DF8" s="138">
        <v>0.0</v>
      </c>
      <c r="DG8" s="138">
        <v>0.0</v>
      </c>
      <c r="DH8" s="138">
        <v>360.0</v>
      </c>
      <c r="DI8" s="138">
        <v>55.0</v>
      </c>
      <c r="DJ8" s="138">
        <v>6.273</v>
      </c>
      <c r="DK8" s="138">
        <v>0.0</v>
      </c>
      <c r="DL8" s="138">
        <v>0.0</v>
      </c>
      <c r="DM8" s="138">
        <v>-6079.643</v>
      </c>
      <c r="DN8" s="138">
        <v>88711.7314</v>
      </c>
      <c r="DO8" s="138">
        <v>488188.2455</v>
      </c>
      <c r="DP8" s="138">
        <v>88711.7314</v>
      </c>
      <c r="DQ8" s="138">
        <v>93016.9658</v>
      </c>
      <c r="DR8" s="138">
        <v>488797.4855</v>
      </c>
      <c r="DS8" s="138">
        <v>93016.9658</v>
      </c>
    </row>
    <row r="9">
      <c r="A9" s="134">
        <f t="shared" si="1"/>
        <v>46076</v>
      </c>
      <c r="B9" s="137">
        <v>41903.0</v>
      </c>
      <c r="C9" s="136">
        <v>3493.0</v>
      </c>
      <c r="D9" s="136">
        <v>2358.0</v>
      </c>
      <c r="E9" s="136">
        <v>419.0</v>
      </c>
      <c r="F9" s="136">
        <v>94.0</v>
      </c>
      <c r="G9" s="136">
        <v>623.0</v>
      </c>
      <c r="H9" s="136">
        <v>373.0</v>
      </c>
      <c r="I9" s="136">
        <v>161.0</v>
      </c>
      <c r="J9" s="136">
        <v>49.0</v>
      </c>
      <c r="K9" s="136">
        <v>2823.0</v>
      </c>
      <c r="L9" s="136">
        <v>7755.0</v>
      </c>
      <c r="M9" s="136">
        <v>75103.0</v>
      </c>
      <c r="N9" s="136">
        <v>179.24</v>
      </c>
      <c r="P9" s="134">
        <f t="shared" si="2"/>
        <v>46076</v>
      </c>
      <c r="Q9" s="138">
        <v>4673.82</v>
      </c>
      <c r="R9" s="138">
        <v>75103.0</v>
      </c>
      <c r="S9" s="138">
        <v>67348.0</v>
      </c>
      <c r="T9" s="138">
        <v>419.0</v>
      </c>
      <c r="U9" s="138">
        <v>94.0</v>
      </c>
      <c r="V9" s="138">
        <v>7755.0</v>
      </c>
      <c r="W9" s="138">
        <v>0.0</v>
      </c>
      <c r="X9" s="138">
        <v>0.0</v>
      </c>
      <c r="Y9" s="138">
        <v>1245.56</v>
      </c>
      <c r="Z9" s="138">
        <v>-1245.56</v>
      </c>
      <c r="AA9" s="138">
        <v>767010.59</v>
      </c>
      <c r="AB9" s="138">
        <v>719505.38</v>
      </c>
      <c r="AC9" s="138">
        <v>740575.58</v>
      </c>
      <c r="AD9" s="138">
        <v>7095.2</v>
      </c>
      <c r="AE9" s="138">
        <v>5099.51</v>
      </c>
      <c r="AF9" s="138">
        <v>56.636</v>
      </c>
      <c r="AG9" s="138">
        <v>0.0</v>
      </c>
      <c r="AH9" s="138">
        <v>0.0</v>
      </c>
      <c r="AI9" s="138">
        <v>0.0</v>
      </c>
      <c r="AJ9" s="138">
        <v>0.0</v>
      </c>
      <c r="AK9" s="138">
        <v>14183.664</v>
      </c>
      <c r="AL9" s="138">
        <v>3935.0</v>
      </c>
      <c r="AM9" s="138">
        <v>3935.0</v>
      </c>
      <c r="AN9" s="138">
        <v>4190.0</v>
      </c>
      <c r="AO9" s="138">
        <v>0.0</v>
      </c>
      <c r="AP9" s="138">
        <v>307.42</v>
      </c>
      <c r="AQ9" s="138">
        <v>0.0</v>
      </c>
      <c r="AR9" s="138">
        <v>0.0</v>
      </c>
      <c r="AS9" s="138">
        <v>0.0</v>
      </c>
      <c r="AT9" s="138">
        <v>0.0</v>
      </c>
      <c r="AU9" s="138">
        <v>0.0</v>
      </c>
      <c r="AV9" s="138">
        <v>-562.42</v>
      </c>
      <c r="AW9" s="138">
        <v>0.0</v>
      </c>
      <c r="AX9" s="138">
        <v>0.0</v>
      </c>
      <c r="AY9" s="138">
        <v>0.0</v>
      </c>
      <c r="AZ9" s="138">
        <v>0.0</v>
      </c>
      <c r="BA9" s="138">
        <v>0.0</v>
      </c>
      <c r="BB9" s="138">
        <v>0.0</v>
      </c>
      <c r="BC9" s="138">
        <v>0.0</v>
      </c>
      <c r="BD9" s="138">
        <v>0.0</v>
      </c>
      <c r="BE9" s="138">
        <v>0.0</v>
      </c>
      <c r="BF9" s="138">
        <v>0.0</v>
      </c>
      <c r="BG9" s="138">
        <v>0.0</v>
      </c>
      <c r="BH9" s="138">
        <v>0.0</v>
      </c>
      <c r="BI9" s="138">
        <v>0.0</v>
      </c>
      <c r="BJ9" s="138">
        <v>0.0</v>
      </c>
      <c r="BK9" s="138">
        <v>0.0</v>
      </c>
      <c r="BL9" s="138">
        <v>0.0</v>
      </c>
      <c r="BM9" s="138">
        <v>0.0</v>
      </c>
      <c r="BN9" s="138">
        <v>0.0</v>
      </c>
      <c r="BO9" s="138">
        <v>0.0</v>
      </c>
      <c r="BP9" s="138">
        <v>0.0</v>
      </c>
      <c r="BQ9" s="138">
        <v>0.0</v>
      </c>
      <c r="BR9" s="138">
        <v>0.0</v>
      </c>
      <c r="BS9" s="138">
        <v>0.0</v>
      </c>
      <c r="BT9" s="138">
        <v>27093.9</v>
      </c>
      <c r="BU9" s="138">
        <v>27093.9</v>
      </c>
      <c r="BV9" s="138">
        <v>28727.6</v>
      </c>
      <c r="BW9" s="138">
        <v>0.0</v>
      </c>
      <c r="BX9" s="138">
        <v>0.0</v>
      </c>
      <c r="BY9" s="138">
        <v>0.0</v>
      </c>
      <c r="BZ9" s="138">
        <v>0.0</v>
      </c>
      <c r="CA9" s="138">
        <v>0.0</v>
      </c>
      <c r="CB9" s="138">
        <v>0.0</v>
      </c>
      <c r="CC9" s="138">
        <v>0.0</v>
      </c>
      <c r="CD9" s="138">
        <v>-1633.7</v>
      </c>
      <c r="CE9" s="138">
        <v>1495.1</v>
      </c>
      <c r="CF9" s="138">
        <v>1416.1</v>
      </c>
      <c r="CG9" s="138">
        <v>981.32</v>
      </c>
      <c r="CH9" s="138">
        <v>0.0</v>
      </c>
      <c r="CI9" s="138">
        <v>0.0</v>
      </c>
      <c r="CJ9" s="138">
        <v>0.0</v>
      </c>
      <c r="CK9" s="138">
        <v>0.0</v>
      </c>
      <c r="CL9" s="138">
        <v>0.0</v>
      </c>
      <c r="CM9" s="138">
        <v>0.0</v>
      </c>
      <c r="CN9" s="138">
        <v>0.0</v>
      </c>
      <c r="CO9" s="138">
        <v>513.78</v>
      </c>
      <c r="CP9" s="138">
        <v>6.0</v>
      </c>
      <c r="CQ9" s="138">
        <v>6.0</v>
      </c>
      <c r="CR9" s="138">
        <v>1080.0</v>
      </c>
      <c r="CS9" s="138">
        <v>0.0</v>
      </c>
      <c r="CT9" s="138">
        <v>0.0</v>
      </c>
      <c r="CU9" s="138">
        <v>0.0</v>
      </c>
      <c r="CV9" s="138">
        <v>0.0</v>
      </c>
      <c r="CW9" s="138">
        <v>0.0</v>
      </c>
      <c r="CX9" s="138">
        <v>0.0</v>
      </c>
      <c r="CY9" s="138">
        <v>0.0</v>
      </c>
      <c r="CZ9" s="138">
        <v>0.0</v>
      </c>
      <c r="DA9" s="138">
        <v>-1074.0</v>
      </c>
      <c r="DB9" s="138">
        <v>0.0</v>
      </c>
      <c r="DC9" s="138">
        <v>0.0</v>
      </c>
      <c r="DD9" s="138">
        <v>5106.9</v>
      </c>
      <c r="DE9" s="138">
        <v>0.0</v>
      </c>
      <c r="DF9" s="138">
        <v>0.0</v>
      </c>
      <c r="DG9" s="138">
        <v>0.0</v>
      </c>
      <c r="DH9" s="138">
        <v>360.0</v>
      </c>
      <c r="DI9" s="138">
        <v>35.0</v>
      </c>
      <c r="DJ9" s="138">
        <v>6.044</v>
      </c>
      <c r="DK9" s="138">
        <v>0.0</v>
      </c>
      <c r="DL9" s="138">
        <v>0.0</v>
      </c>
      <c r="DM9" s="138">
        <v>-5507.944</v>
      </c>
      <c r="DN9" s="138">
        <v>87680.7714</v>
      </c>
      <c r="DO9" s="138">
        <v>482503.4455</v>
      </c>
      <c r="DP9" s="138">
        <v>87680.7714</v>
      </c>
      <c r="DQ9" s="138">
        <v>88711.7314</v>
      </c>
      <c r="DR9" s="138">
        <v>488188.2455</v>
      </c>
      <c r="DS9" s="138">
        <v>88711.7314</v>
      </c>
    </row>
    <row r="10">
      <c r="A10" s="134">
        <f t="shared" si="1"/>
        <v>46075</v>
      </c>
      <c r="B10" s="137">
        <v>41171.0</v>
      </c>
      <c r="C10" s="136">
        <v>3650.0</v>
      </c>
      <c r="D10" s="136">
        <v>2691.0</v>
      </c>
      <c r="E10" s="136">
        <v>509.0</v>
      </c>
      <c r="F10" s="136">
        <v>117.0</v>
      </c>
      <c r="G10" s="136">
        <v>600.0</v>
      </c>
      <c r="H10" s="136">
        <v>445.0</v>
      </c>
      <c r="I10" s="136">
        <v>208.0</v>
      </c>
      <c r="J10" s="136">
        <v>73.0</v>
      </c>
      <c r="K10" s="136">
        <v>3089.0</v>
      </c>
      <c r="L10" s="136">
        <v>31371.0</v>
      </c>
      <c r="M10" s="136">
        <v>123790.0</v>
      </c>
      <c r="N10" s="136">
        <v>243.2</v>
      </c>
      <c r="P10" s="134">
        <f t="shared" si="2"/>
        <v>46075</v>
      </c>
      <c r="Q10" s="138">
        <v>25652.2154</v>
      </c>
      <c r="R10" s="138">
        <v>123790.0</v>
      </c>
      <c r="S10" s="138">
        <v>92419.0</v>
      </c>
      <c r="T10" s="138">
        <v>509.0</v>
      </c>
      <c r="U10" s="138">
        <v>117.0</v>
      </c>
      <c r="V10" s="138">
        <v>31371.0</v>
      </c>
      <c r="W10" s="138">
        <v>0.0</v>
      </c>
      <c r="X10" s="138">
        <v>0.0</v>
      </c>
      <c r="Y10" s="138">
        <v>2017.75</v>
      </c>
      <c r="Z10" s="138">
        <v>-2017.75</v>
      </c>
      <c r="AA10" s="138">
        <v>1282834.1</v>
      </c>
      <c r="AB10" s="138">
        <v>1205444.145</v>
      </c>
      <c r="AC10" s="138">
        <v>1257340.035</v>
      </c>
      <c r="AD10" s="138">
        <v>8814.4</v>
      </c>
      <c r="AE10" s="138">
        <v>2430.01</v>
      </c>
      <c r="AF10" s="138">
        <v>52.5976</v>
      </c>
      <c r="AG10" s="138">
        <v>0.0</v>
      </c>
      <c r="AH10" s="138">
        <v>0.0</v>
      </c>
      <c r="AI10" s="138">
        <v>0.0</v>
      </c>
      <c r="AJ10" s="138">
        <v>0.0</v>
      </c>
      <c r="AK10" s="138">
        <v>14197.0574</v>
      </c>
      <c r="AL10" s="138">
        <v>75223.0</v>
      </c>
      <c r="AM10" s="138">
        <v>74523.0</v>
      </c>
      <c r="AN10" s="138">
        <v>55475.5</v>
      </c>
      <c r="AO10" s="138">
        <v>0.0</v>
      </c>
      <c r="AP10" s="138">
        <v>157.01</v>
      </c>
      <c r="AQ10" s="138">
        <v>0.0</v>
      </c>
      <c r="AR10" s="138">
        <v>0.0</v>
      </c>
      <c r="AS10" s="138">
        <v>0.0</v>
      </c>
      <c r="AT10" s="138">
        <v>0.0</v>
      </c>
      <c r="AU10" s="138">
        <v>0.0</v>
      </c>
      <c r="AV10" s="138">
        <v>19590.49</v>
      </c>
      <c r="AW10" s="138">
        <v>0.0</v>
      </c>
      <c r="AX10" s="138">
        <v>0.0</v>
      </c>
      <c r="AY10" s="138">
        <v>0.0</v>
      </c>
      <c r="AZ10" s="138">
        <v>0.0</v>
      </c>
      <c r="BA10" s="138">
        <v>0.0</v>
      </c>
      <c r="BB10" s="138">
        <v>0.0</v>
      </c>
      <c r="BC10" s="138">
        <v>0.0</v>
      </c>
      <c r="BD10" s="138">
        <v>0.0</v>
      </c>
      <c r="BE10" s="138">
        <v>0.0</v>
      </c>
      <c r="BF10" s="138">
        <v>0.0</v>
      </c>
      <c r="BG10" s="138">
        <v>0.0</v>
      </c>
      <c r="BH10" s="138">
        <v>0.0</v>
      </c>
      <c r="BI10" s="138">
        <v>0.0</v>
      </c>
      <c r="BJ10" s="138">
        <v>0.0</v>
      </c>
      <c r="BK10" s="138">
        <v>0.0</v>
      </c>
      <c r="BL10" s="138">
        <v>0.0</v>
      </c>
      <c r="BM10" s="138">
        <v>0.0</v>
      </c>
      <c r="BN10" s="138">
        <v>0.0</v>
      </c>
      <c r="BO10" s="138">
        <v>0.0</v>
      </c>
      <c r="BP10" s="138">
        <v>0.0</v>
      </c>
      <c r="BQ10" s="138">
        <v>0.0</v>
      </c>
      <c r="BR10" s="138">
        <v>0.0</v>
      </c>
      <c r="BS10" s="138">
        <v>0.0</v>
      </c>
      <c r="BT10" s="138">
        <v>9369.9</v>
      </c>
      <c r="BU10" s="138">
        <v>9369.9</v>
      </c>
      <c r="BV10" s="138">
        <v>9514.16</v>
      </c>
      <c r="BW10" s="138">
        <v>0.0</v>
      </c>
      <c r="BX10" s="138">
        <v>0.0</v>
      </c>
      <c r="BY10" s="138">
        <v>0.0</v>
      </c>
      <c r="BZ10" s="138">
        <v>0.0</v>
      </c>
      <c r="CA10" s="138">
        <v>0.0</v>
      </c>
      <c r="CB10" s="138">
        <v>0.0</v>
      </c>
      <c r="CC10" s="138">
        <v>0.0</v>
      </c>
      <c r="CD10" s="138">
        <v>-144.26</v>
      </c>
      <c r="CE10" s="138">
        <v>100.0</v>
      </c>
      <c r="CF10" s="138">
        <v>100.0</v>
      </c>
      <c r="CG10" s="138">
        <v>0.0</v>
      </c>
      <c r="CH10" s="138">
        <v>0.0</v>
      </c>
      <c r="CI10" s="138">
        <v>0.0</v>
      </c>
      <c r="CJ10" s="138">
        <v>0.0</v>
      </c>
      <c r="CK10" s="138">
        <v>0.0</v>
      </c>
      <c r="CL10" s="138">
        <v>0.0</v>
      </c>
      <c r="CM10" s="138">
        <v>0.0</v>
      </c>
      <c r="CN10" s="138">
        <v>0.0</v>
      </c>
      <c r="CO10" s="138">
        <v>100.0</v>
      </c>
      <c r="CP10" s="138">
        <v>9.0</v>
      </c>
      <c r="CQ10" s="138">
        <v>9.0</v>
      </c>
      <c r="CR10" s="138">
        <v>0.0</v>
      </c>
      <c r="CS10" s="138">
        <v>0.0</v>
      </c>
      <c r="CT10" s="138">
        <v>0.0</v>
      </c>
      <c r="CU10" s="138">
        <v>0.0</v>
      </c>
      <c r="CV10" s="138">
        <v>0.0</v>
      </c>
      <c r="CW10" s="138">
        <v>0.0</v>
      </c>
      <c r="CX10" s="138">
        <v>0.0</v>
      </c>
      <c r="CY10" s="138">
        <v>0.0</v>
      </c>
      <c r="CZ10" s="138">
        <v>0.0</v>
      </c>
      <c r="DA10" s="138">
        <v>9.0</v>
      </c>
      <c r="DB10" s="138">
        <v>0.0</v>
      </c>
      <c r="DC10" s="138">
        <v>0.0</v>
      </c>
      <c r="DD10" s="138">
        <v>5699.75</v>
      </c>
      <c r="DE10" s="138">
        <v>0.0</v>
      </c>
      <c r="DF10" s="138">
        <v>0.0</v>
      </c>
      <c r="DG10" s="138">
        <v>0.0</v>
      </c>
      <c r="DH10" s="138">
        <v>360.0</v>
      </c>
      <c r="DI10" s="138">
        <v>15.0</v>
      </c>
      <c r="DJ10" s="138">
        <v>7.572</v>
      </c>
      <c r="DK10" s="138">
        <v>0.0</v>
      </c>
      <c r="DL10" s="138">
        <v>0.0</v>
      </c>
      <c r="DM10" s="138">
        <v>-6082.322</v>
      </c>
      <c r="DN10" s="138">
        <v>90410.5218</v>
      </c>
      <c r="DO10" s="138">
        <v>487873.4455</v>
      </c>
      <c r="DP10" s="138">
        <v>90410.5218</v>
      </c>
      <c r="DQ10" s="138">
        <v>87680.7714</v>
      </c>
      <c r="DR10" s="138">
        <v>482503.4455</v>
      </c>
      <c r="DS10" s="138">
        <v>87680.7714</v>
      </c>
    </row>
    <row r="11">
      <c r="A11" s="134">
        <f t="shared" si="1"/>
        <v>46074</v>
      </c>
      <c r="B11" s="137">
        <v>40581.0</v>
      </c>
      <c r="C11" s="136">
        <v>3808.0</v>
      </c>
      <c r="D11" s="136">
        <v>2628.0</v>
      </c>
      <c r="E11" s="136">
        <v>554.0</v>
      </c>
      <c r="F11" s="136">
        <v>106.0</v>
      </c>
      <c r="G11" s="136">
        <v>676.0</v>
      </c>
      <c r="H11" s="136">
        <v>438.0</v>
      </c>
      <c r="I11" s="136">
        <v>227.0</v>
      </c>
      <c r="J11" s="136">
        <v>48.0</v>
      </c>
      <c r="K11" s="136">
        <v>3124.0</v>
      </c>
      <c r="L11" s="136">
        <v>58693.0</v>
      </c>
      <c r="M11" s="136">
        <v>128243.0</v>
      </c>
      <c r="N11" s="136">
        <v>231.48</v>
      </c>
      <c r="P11" s="134">
        <f t="shared" si="2"/>
        <v>46074</v>
      </c>
      <c r="Q11" s="138">
        <v>45803.0506</v>
      </c>
      <c r="R11" s="138">
        <v>128243.0</v>
      </c>
      <c r="S11" s="138">
        <v>69550.0</v>
      </c>
      <c r="T11" s="138">
        <v>554.0</v>
      </c>
      <c r="U11" s="138">
        <v>106.0</v>
      </c>
      <c r="V11" s="138">
        <v>58693.0</v>
      </c>
      <c r="W11" s="138">
        <v>0.0</v>
      </c>
      <c r="X11" s="138">
        <v>0.0</v>
      </c>
      <c r="Y11" s="138">
        <v>2030.24</v>
      </c>
      <c r="Z11" s="138">
        <v>-2030.24</v>
      </c>
      <c r="AA11" s="138">
        <v>910332.01</v>
      </c>
      <c r="AB11" s="138">
        <v>853371.155</v>
      </c>
      <c r="AC11" s="138">
        <v>856643.71</v>
      </c>
      <c r="AD11" s="138">
        <v>10132.0</v>
      </c>
      <c r="AE11" s="138">
        <v>3998.37</v>
      </c>
      <c r="AF11" s="138">
        <v>45.0094</v>
      </c>
      <c r="AG11" s="138">
        <v>0.0</v>
      </c>
      <c r="AH11" s="138">
        <v>0.0</v>
      </c>
      <c r="AI11" s="138">
        <v>0.0</v>
      </c>
      <c r="AJ11" s="138">
        <v>0.0</v>
      </c>
      <c r="AK11" s="138">
        <v>39512.9206</v>
      </c>
      <c r="AL11" s="138">
        <v>42245.0</v>
      </c>
      <c r="AM11" s="138">
        <v>41881.0</v>
      </c>
      <c r="AN11" s="138">
        <v>28142.5</v>
      </c>
      <c r="AO11" s="138">
        <v>0.0</v>
      </c>
      <c r="AP11" s="138">
        <v>16.42</v>
      </c>
      <c r="AQ11" s="138">
        <v>0.06</v>
      </c>
      <c r="AR11" s="138">
        <v>0.0</v>
      </c>
      <c r="AS11" s="138">
        <v>0.0</v>
      </c>
      <c r="AT11" s="138">
        <v>0.0</v>
      </c>
      <c r="AU11" s="138">
        <v>0.0</v>
      </c>
      <c r="AV11" s="138">
        <v>14086.02</v>
      </c>
      <c r="AW11" s="138">
        <v>0.0</v>
      </c>
      <c r="AX11" s="138">
        <v>0.0</v>
      </c>
      <c r="AY11" s="138">
        <v>0.0</v>
      </c>
      <c r="AZ11" s="138">
        <v>0.0</v>
      </c>
      <c r="BA11" s="138">
        <v>0.0</v>
      </c>
      <c r="BB11" s="138">
        <v>0.0</v>
      </c>
      <c r="BC11" s="138">
        <v>0.0</v>
      </c>
      <c r="BD11" s="138">
        <v>0.0</v>
      </c>
      <c r="BE11" s="138">
        <v>0.0</v>
      </c>
      <c r="BF11" s="138">
        <v>0.0</v>
      </c>
      <c r="BG11" s="138">
        <v>0.0</v>
      </c>
      <c r="BH11" s="138">
        <v>0.0</v>
      </c>
      <c r="BI11" s="138">
        <v>0.0</v>
      </c>
      <c r="BJ11" s="138">
        <v>0.0</v>
      </c>
      <c r="BK11" s="138">
        <v>0.0</v>
      </c>
      <c r="BL11" s="138">
        <v>0.0</v>
      </c>
      <c r="BM11" s="138">
        <v>0.0</v>
      </c>
      <c r="BN11" s="138">
        <v>0.0</v>
      </c>
      <c r="BO11" s="138">
        <v>0.0</v>
      </c>
      <c r="BP11" s="138">
        <v>0.0</v>
      </c>
      <c r="BQ11" s="138">
        <v>0.0</v>
      </c>
      <c r="BR11" s="138">
        <v>0.0</v>
      </c>
      <c r="BS11" s="138">
        <v>0.0</v>
      </c>
      <c r="BT11" s="138">
        <v>15435.25</v>
      </c>
      <c r="BU11" s="138">
        <v>15435.25</v>
      </c>
      <c r="BV11" s="138">
        <v>15335.42</v>
      </c>
      <c r="BW11" s="138">
        <v>0.0</v>
      </c>
      <c r="BX11" s="138">
        <v>0.0</v>
      </c>
      <c r="BY11" s="138">
        <v>0.0</v>
      </c>
      <c r="BZ11" s="138">
        <v>0.0</v>
      </c>
      <c r="CA11" s="138">
        <v>0.0</v>
      </c>
      <c r="CB11" s="138">
        <v>0.0</v>
      </c>
      <c r="CC11" s="138">
        <v>0.0</v>
      </c>
      <c r="CD11" s="138">
        <v>99.83</v>
      </c>
      <c r="CE11" s="138">
        <v>200.0</v>
      </c>
      <c r="CF11" s="138">
        <v>200.0</v>
      </c>
      <c r="CG11" s="138">
        <v>115.0</v>
      </c>
      <c r="CH11" s="138">
        <v>0.0</v>
      </c>
      <c r="CI11" s="138">
        <v>0.0</v>
      </c>
      <c r="CJ11" s="138">
        <v>0.0</v>
      </c>
      <c r="CK11" s="138">
        <v>0.0</v>
      </c>
      <c r="CL11" s="138">
        <v>0.0</v>
      </c>
      <c r="CM11" s="138">
        <v>0.0</v>
      </c>
      <c r="CN11" s="138">
        <v>0.0</v>
      </c>
      <c r="CO11" s="138">
        <v>85.0</v>
      </c>
      <c r="CP11" s="138">
        <v>2.0</v>
      </c>
      <c r="CQ11" s="138">
        <v>2.0</v>
      </c>
      <c r="CR11" s="138">
        <v>0.0</v>
      </c>
      <c r="CS11" s="138">
        <v>0.0</v>
      </c>
      <c r="CT11" s="138">
        <v>0.0</v>
      </c>
      <c r="CU11" s="138">
        <v>0.0</v>
      </c>
      <c r="CV11" s="138">
        <v>0.0</v>
      </c>
      <c r="CW11" s="138">
        <v>0.0</v>
      </c>
      <c r="CX11" s="138">
        <v>0.0</v>
      </c>
      <c r="CY11" s="138">
        <v>0.0</v>
      </c>
      <c r="CZ11" s="138">
        <v>0.0</v>
      </c>
      <c r="DA11" s="138">
        <v>2.0</v>
      </c>
      <c r="DB11" s="138">
        <v>0.0</v>
      </c>
      <c r="DC11" s="138">
        <v>0.0</v>
      </c>
      <c r="DD11" s="138">
        <v>5590.83</v>
      </c>
      <c r="DE11" s="138">
        <v>0.0</v>
      </c>
      <c r="DF11" s="138">
        <v>0.0</v>
      </c>
      <c r="DG11" s="138">
        <v>0.0</v>
      </c>
      <c r="DH11" s="138">
        <v>330.0</v>
      </c>
      <c r="DI11" s="138">
        <v>25.0</v>
      </c>
      <c r="DJ11" s="138">
        <v>6.65</v>
      </c>
      <c r="DK11" s="138">
        <v>0.0</v>
      </c>
      <c r="DL11" s="138">
        <v>0.0</v>
      </c>
      <c r="DM11" s="138">
        <v>-5952.48</v>
      </c>
      <c r="DN11" s="138">
        <v>92945.1624</v>
      </c>
      <c r="DO11" s="138">
        <v>482420.0855</v>
      </c>
      <c r="DP11" s="138">
        <v>92945.1624</v>
      </c>
      <c r="DQ11" s="138">
        <v>90410.5218</v>
      </c>
      <c r="DR11" s="138">
        <v>487873.4455</v>
      </c>
      <c r="DS11" s="138">
        <v>90410.5218</v>
      </c>
    </row>
    <row r="12">
      <c r="A12" s="134">
        <f t="shared" si="1"/>
        <v>46073</v>
      </c>
      <c r="B12" s="137">
        <v>39911.0</v>
      </c>
      <c r="C12" s="136">
        <v>4200.0</v>
      </c>
      <c r="D12" s="136">
        <v>2965.0</v>
      </c>
      <c r="E12" s="136">
        <v>625.0</v>
      </c>
      <c r="F12" s="136">
        <v>126.0</v>
      </c>
      <c r="G12" s="136">
        <v>739.0</v>
      </c>
      <c r="H12" s="136">
        <v>512.0</v>
      </c>
      <c r="I12" s="136">
        <v>272.0</v>
      </c>
      <c r="J12" s="136">
        <v>62.0</v>
      </c>
      <c r="K12" s="136">
        <v>3459.0</v>
      </c>
      <c r="L12" s="136">
        <v>34543.0</v>
      </c>
      <c r="M12" s="136">
        <v>139268.0</v>
      </c>
      <c r="N12" s="136">
        <v>222.82</v>
      </c>
      <c r="P12" s="134">
        <f t="shared" si="2"/>
        <v>46073</v>
      </c>
      <c r="Q12" s="138">
        <v>11486.965</v>
      </c>
      <c r="R12" s="138">
        <v>139268.0</v>
      </c>
      <c r="S12" s="138">
        <v>104725.0</v>
      </c>
      <c r="T12" s="138">
        <v>625.0</v>
      </c>
      <c r="U12" s="138">
        <v>126.0</v>
      </c>
      <c r="V12" s="138">
        <v>34543.0</v>
      </c>
      <c r="W12" s="138">
        <v>0.0</v>
      </c>
      <c r="X12" s="138">
        <v>0.0</v>
      </c>
      <c r="Y12" s="138">
        <v>2285.87</v>
      </c>
      <c r="Z12" s="138">
        <v>-2285.87</v>
      </c>
      <c r="AA12" s="138">
        <v>1259267.58</v>
      </c>
      <c r="AB12" s="138">
        <v>1158886.299</v>
      </c>
      <c r="AC12" s="138">
        <v>1233542.764</v>
      </c>
      <c r="AD12" s="138">
        <v>13097.1</v>
      </c>
      <c r="AE12" s="138">
        <v>4704.36</v>
      </c>
      <c r="AF12" s="138">
        <v>63.9716</v>
      </c>
      <c r="AG12" s="138">
        <v>0.0</v>
      </c>
      <c r="AH12" s="138">
        <v>0.0</v>
      </c>
      <c r="AI12" s="138">
        <v>0.0</v>
      </c>
      <c r="AJ12" s="138">
        <v>0.0</v>
      </c>
      <c r="AK12" s="138">
        <v>7859.384</v>
      </c>
      <c r="AL12" s="138">
        <v>7031.44</v>
      </c>
      <c r="AM12" s="138">
        <v>6418.44</v>
      </c>
      <c r="AN12" s="138">
        <v>5330.46</v>
      </c>
      <c r="AO12" s="138">
        <v>0.0</v>
      </c>
      <c r="AP12" s="138">
        <v>23.94</v>
      </c>
      <c r="AQ12" s="138">
        <v>0.31</v>
      </c>
      <c r="AR12" s="138">
        <v>0.0</v>
      </c>
      <c r="AS12" s="138">
        <v>0.0</v>
      </c>
      <c r="AT12" s="138">
        <v>0.0</v>
      </c>
      <c r="AU12" s="138">
        <v>0.0</v>
      </c>
      <c r="AV12" s="138">
        <v>1676.73</v>
      </c>
      <c r="AW12" s="138">
        <v>0.0</v>
      </c>
      <c r="AX12" s="138">
        <v>0.0</v>
      </c>
      <c r="AY12" s="138">
        <v>0.0</v>
      </c>
      <c r="AZ12" s="138">
        <v>0.0</v>
      </c>
      <c r="BA12" s="138">
        <v>0.0</v>
      </c>
      <c r="BB12" s="138">
        <v>0.0</v>
      </c>
      <c r="BC12" s="138">
        <v>0.0</v>
      </c>
      <c r="BD12" s="138">
        <v>0.0</v>
      </c>
      <c r="BE12" s="138">
        <v>0.0</v>
      </c>
      <c r="BF12" s="138">
        <v>0.0</v>
      </c>
      <c r="BG12" s="138">
        <v>0.0</v>
      </c>
      <c r="BH12" s="138">
        <v>0.0</v>
      </c>
      <c r="BI12" s="138">
        <v>0.0</v>
      </c>
      <c r="BJ12" s="138">
        <v>0.0</v>
      </c>
      <c r="BK12" s="138">
        <v>0.0</v>
      </c>
      <c r="BL12" s="138">
        <v>0.0</v>
      </c>
      <c r="BM12" s="138">
        <v>1.06</v>
      </c>
      <c r="BN12" s="138">
        <v>0.0</v>
      </c>
      <c r="BO12" s="138">
        <v>0.0</v>
      </c>
      <c r="BP12" s="138">
        <v>0.0</v>
      </c>
      <c r="BQ12" s="138">
        <v>0.0</v>
      </c>
      <c r="BR12" s="138">
        <v>0.0</v>
      </c>
      <c r="BS12" s="138">
        <v>-1.06</v>
      </c>
      <c r="BT12" s="138">
        <v>31820.1</v>
      </c>
      <c r="BU12" s="138">
        <v>31820.1</v>
      </c>
      <c r="BV12" s="138">
        <v>20901.79</v>
      </c>
      <c r="BW12" s="138">
        <v>0.0</v>
      </c>
      <c r="BX12" s="138">
        <v>0.0</v>
      </c>
      <c r="BY12" s="138">
        <v>0.0</v>
      </c>
      <c r="BZ12" s="138">
        <v>0.0</v>
      </c>
      <c r="CA12" s="138">
        <v>0.0</v>
      </c>
      <c r="CB12" s="138">
        <v>0.0</v>
      </c>
      <c r="CC12" s="138">
        <v>0.0</v>
      </c>
      <c r="CD12" s="138">
        <v>10918.31</v>
      </c>
      <c r="CE12" s="138">
        <v>200.0</v>
      </c>
      <c r="CF12" s="138">
        <v>200.0</v>
      </c>
      <c r="CG12" s="138">
        <v>0.0</v>
      </c>
      <c r="CH12" s="138">
        <v>0.0</v>
      </c>
      <c r="CI12" s="138">
        <v>0.0</v>
      </c>
      <c r="CJ12" s="138">
        <v>0.0</v>
      </c>
      <c r="CK12" s="138">
        <v>0.0</v>
      </c>
      <c r="CL12" s="138">
        <v>0.0</v>
      </c>
      <c r="CM12" s="138">
        <v>0.0</v>
      </c>
      <c r="CN12" s="138">
        <v>0.0</v>
      </c>
      <c r="CO12" s="138">
        <v>200.0</v>
      </c>
      <c r="CP12" s="138">
        <v>17.0</v>
      </c>
      <c r="CQ12" s="138">
        <v>17.0</v>
      </c>
      <c r="CR12" s="138">
        <v>0.0</v>
      </c>
      <c r="CS12" s="138">
        <v>0.0</v>
      </c>
      <c r="CT12" s="138">
        <v>0.0</v>
      </c>
      <c r="CU12" s="138">
        <v>0.0</v>
      </c>
      <c r="CV12" s="138">
        <v>0.0</v>
      </c>
      <c r="CW12" s="138">
        <v>0.0</v>
      </c>
      <c r="CX12" s="138">
        <v>0.0</v>
      </c>
      <c r="CY12" s="138">
        <v>0.0</v>
      </c>
      <c r="CZ12" s="138">
        <v>0.0</v>
      </c>
      <c r="DA12" s="138">
        <v>17.0</v>
      </c>
      <c r="DB12" s="138">
        <v>0.0</v>
      </c>
      <c r="DC12" s="138">
        <v>0.0</v>
      </c>
      <c r="DD12" s="138">
        <v>6505.83</v>
      </c>
      <c r="DE12" s="138">
        <v>0.0</v>
      </c>
      <c r="DF12" s="138">
        <v>0.0</v>
      </c>
      <c r="DG12" s="138">
        <v>0.0</v>
      </c>
      <c r="DH12" s="138">
        <v>270.0</v>
      </c>
      <c r="DI12" s="138">
        <v>115.0</v>
      </c>
      <c r="DJ12" s="138">
        <v>6.699</v>
      </c>
      <c r="DK12" s="138">
        <v>0.0</v>
      </c>
      <c r="DL12" s="138">
        <v>0.0</v>
      </c>
      <c r="DM12" s="138">
        <v>-6897.529</v>
      </c>
      <c r="DN12" s="138">
        <v>84574.5318</v>
      </c>
      <c r="DO12" s="138">
        <v>470218.9255</v>
      </c>
      <c r="DP12" s="138">
        <v>84574.5318</v>
      </c>
      <c r="DQ12" s="138">
        <v>92945.1624</v>
      </c>
      <c r="DR12" s="138">
        <v>482420.0855</v>
      </c>
      <c r="DS12" s="138">
        <v>92945.1624</v>
      </c>
    </row>
    <row r="13">
      <c r="A13" s="134">
        <f t="shared" si="1"/>
        <v>46072</v>
      </c>
      <c r="B13" s="137">
        <v>39300.0</v>
      </c>
      <c r="C13" s="136">
        <v>4710.0</v>
      </c>
      <c r="D13" s="136">
        <v>3204.0</v>
      </c>
      <c r="E13" s="136">
        <v>667.0</v>
      </c>
      <c r="F13" s="136">
        <v>147.0</v>
      </c>
      <c r="G13" s="136">
        <v>1186.0</v>
      </c>
      <c r="H13" s="136">
        <v>753.0</v>
      </c>
      <c r="I13" s="136">
        <v>344.0</v>
      </c>
      <c r="J13" s="136">
        <v>89.0</v>
      </c>
      <c r="K13" s="136">
        <v>3798.0</v>
      </c>
      <c r="L13" s="136">
        <v>44346.0</v>
      </c>
      <c r="M13" s="136">
        <v>146521.0</v>
      </c>
      <c r="N13" s="136">
        <v>219.67</v>
      </c>
      <c r="P13" s="134">
        <f t="shared" si="2"/>
        <v>46072</v>
      </c>
      <c r="Q13" s="138">
        <v>-23378.276</v>
      </c>
      <c r="R13" s="138">
        <v>146521.0</v>
      </c>
      <c r="S13" s="138">
        <v>102175.0</v>
      </c>
      <c r="T13" s="138">
        <v>667.0</v>
      </c>
      <c r="U13" s="138">
        <v>147.0</v>
      </c>
      <c r="V13" s="138">
        <v>44346.0</v>
      </c>
      <c r="W13" s="138">
        <v>0.0</v>
      </c>
      <c r="X13" s="138">
        <v>0.0</v>
      </c>
      <c r="Y13" s="138">
        <v>2374.79</v>
      </c>
      <c r="Z13" s="138">
        <v>-2374.79</v>
      </c>
      <c r="AA13" s="138">
        <v>1445994.25</v>
      </c>
      <c r="AB13" s="138">
        <v>1337299.53</v>
      </c>
      <c r="AC13" s="138">
        <v>1441145.24</v>
      </c>
      <c r="AD13" s="138">
        <v>15475.8</v>
      </c>
      <c r="AE13" s="138">
        <v>3475.02</v>
      </c>
      <c r="AF13" s="138">
        <v>49.71</v>
      </c>
      <c r="AG13" s="138">
        <v>0.0</v>
      </c>
      <c r="AH13" s="138">
        <v>0.0</v>
      </c>
      <c r="AI13" s="138">
        <v>0.0</v>
      </c>
      <c r="AJ13" s="138">
        <v>0.0</v>
      </c>
      <c r="AK13" s="138">
        <v>-14151.52</v>
      </c>
      <c r="AL13" s="138">
        <v>11203.77</v>
      </c>
      <c r="AM13" s="138">
        <v>10895.77</v>
      </c>
      <c r="AN13" s="138">
        <v>10535.2</v>
      </c>
      <c r="AO13" s="138">
        <v>0.0</v>
      </c>
      <c r="AP13" s="138">
        <v>2.28</v>
      </c>
      <c r="AQ13" s="138">
        <v>0.0</v>
      </c>
      <c r="AR13" s="138">
        <v>0.0</v>
      </c>
      <c r="AS13" s="138">
        <v>0.0</v>
      </c>
      <c r="AT13" s="138">
        <v>0.0</v>
      </c>
      <c r="AU13" s="138">
        <v>0.0</v>
      </c>
      <c r="AV13" s="138">
        <v>666.29</v>
      </c>
      <c r="AW13" s="138">
        <v>0.0</v>
      </c>
      <c r="AX13" s="138">
        <v>0.0</v>
      </c>
      <c r="AY13" s="138">
        <v>0.0</v>
      </c>
      <c r="AZ13" s="138">
        <v>0.0</v>
      </c>
      <c r="BA13" s="138">
        <v>0.0</v>
      </c>
      <c r="BB13" s="138">
        <v>0.0</v>
      </c>
      <c r="BC13" s="138">
        <v>0.0</v>
      </c>
      <c r="BD13" s="138">
        <v>0.0</v>
      </c>
      <c r="BE13" s="138">
        <v>0.0</v>
      </c>
      <c r="BF13" s="138">
        <v>0.0</v>
      </c>
      <c r="BG13" s="138">
        <v>0.0</v>
      </c>
      <c r="BH13" s="138">
        <v>0.0</v>
      </c>
      <c r="BI13" s="138">
        <v>358.0</v>
      </c>
      <c r="BJ13" s="138">
        <v>358.0</v>
      </c>
      <c r="BK13" s="138">
        <v>366.0</v>
      </c>
      <c r="BL13" s="138">
        <v>0.0</v>
      </c>
      <c r="BM13" s="138">
        <v>0.63</v>
      </c>
      <c r="BN13" s="138">
        <v>0.0</v>
      </c>
      <c r="BO13" s="138">
        <v>0.0</v>
      </c>
      <c r="BP13" s="138">
        <v>0.0</v>
      </c>
      <c r="BQ13" s="138">
        <v>0.0</v>
      </c>
      <c r="BR13" s="138">
        <v>0.0</v>
      </c>
      <c r="BS13" s="138">
        <v>-8.63</v>
      </c>
      <c r="BT13" s="138">
        <v>11893.0</v>
      </c>
      <c r="BU13" s="138">
        <v>11851.0</v>
      </c>
      <c r="BV13" s="138">
        <v>11878.7</v>
      </c>
      <c r="BW13" s="138">
        <v>0.0</v>
      </c>
      <c r="BX13" s="138">
        <v>0.0</v>
      </c>
      <c r="BY13" s="138">
        <v>0.0</v>
      </c>
      <c r="BZ13" s="138">
        <v>0.0</v>
      </c>
      <c r="CA13" s="138">
        <v>0.0</v>
      </c>
      <c r="CB13" s="138">
        <v>0.0</v>
      </c>
      <c r="CC13" s="138">
        <v>0.0</v>
      </c>
      <c r="CD13" s="138">
        <v>14.3</v>
      </c>
      <c r="CE13" s="138">
        <v>1079.0</v>
      </c>
      <c r="CF13" s="138">
        <v>1079.0</v>
      </c>
      <c r="CG13" s="138">
        <v>1224.31</v>
      </c>
      <c r="CH13" s="138">
        <v>0.0</v>
      </c>
      <c r="CI13" s="138">
        <v>0.0</v>
      </c>
      <c r="CJ13" s="138">
        <v>0.0</v>
      </c>
      <c r="CK13" s="138">
        <v>0.0</v>
      </c>
      <c r="CL13" s="138">
        <v>0.0</v>
      </c>
      <c r="CM13" s="138">
        <v>0.0</v>
      </c>
      <c r="CN13" s="138">
        <v>0.0</v>
      </c>
      <c r="CO13" s="138">
        <v>-145.31</v>
      </c>
      <c r="CP13" s="138">
        <v>26.0</v>
      </c>
      <c r="CQ13" s="138">
        <v>26.0</v>
      </c>
      <c r="CR13" s="138">
        <v>180.0</v>
      </c>
      <c r="CS13" s="138">
        <v>0.0</v>
      </c>
      <c r="CT13" s="138">
        <v>0.0</v>
      </c>
      <c r="CU13" s="138">
        <v>0.0</v>
      </c>
      <c r="CV13" s="138">
        <v>0.0</v>
      </c>
      <c r="CW13" s="138">
        <v>0.0</v>
      </c>
      <c r="CX13" s="138">
        <v>0.0</v>
      </c>
      <c r="CY13" s="138">
        <v>0.0</v>
      </c>
      <c r="CZ13" s="138">
        <v>0.0</v>
      </c>
      <c r="DA13" s="138">
        <v>-154.0</v>
      </c>
      <c r="DB13" s="138">
        <v>0.0</v>
      </c>
      <c r="DC13" s="138">
        <v>0.0</v>
      </c>
      <c r="DD13" s="138">
        <v>6847.96</v>
      </c>
      <c r="DE13" s="138">
        <v>0.0</v>
      </c>
      <c r="DF13" s="138">
        <v>0.0</v>
      </c>
      <c r="DG13" s="138">
        <v>0.0</v>
      </c>
      <c r="DH13" s="138">
        <v>330.0</v>
      </c>
      <c r="DI13" s="138">
        <v>40.0</v>
      </c>
      <c r="DJ13" s="138">
        <v>6.656</v>
      </c>
      <c r="DK13" s="138">
        <v>0.0</v>
      </c>
      <c r="DL13" s="138">
        <v>0.0</v>
      </c>
      <c r="DM13" s="138">
        <v>-7224.616</v>
      </c>
      <c r="DN13" s="138">
        <v>81187.6958</v>
      </c>
      <c r="DO13" s="138">
        <v>416200.1955</v>
      </c>
      <c r="DP13" s="138">
        <v>81187.6958</v>
      </c>
      <c r="DQ13" s="138">
        <v>84574.5318</v>
      </c>
      <c r="DR13" s="138">
        <v>470218.9255</v>
      </c>
      <c r="DS13" s="138">
        <v>84574.5318</v>
      </c>
    </row>
    <row r="14">
      <c r="A14" s="134">
        <f t="shared" si="1"/>
        <v>46071</v>
      </c>
      <c r="B14" s="137">
        <v>37987.0</v>
      </c>
      <c r="C14" s="136">
        <v>4444.0</v>
      </c>
      <c r="D14" s="136">
        <v>3251.0</v>
      </c>
      <c r="E14" s="136">
        <v>670.0</v>
      </c>
      <c r="F14" s="136">
        <v>151.0</v>
      </c>
      <c r="G14" s="136">
        <v>829.0</v>
      </c>
      <c r="H14" s="136">
        <v>598.0</v>
      </c>
      <c r="I14" s="136">
        <v>291.0</v>
      </c>
      <c r="J14" s="136">
        <v>92.0</v>
      </c>
      <c r="K14" s="136">
        <v>3747.0</v>
      </c>
      <c r="L14" s="136">
        <v>23017.0</v>
      </c>
      <c r="M14" s="136">
        <v>131088.0</v>
      </c>
      <c r="N14" s="136">
        <v>195.65</v>
      </c>
      <c r="P14" s="134">
        <f t="shared" si="2"/>
        <v>46071</v>
      </c>
      <c r="Q14" s="138">
        <v>38224.3369</v>
      </c>
      <c r="R14" s="138">
        <v>131088.0</v>
      </c>
      <c r="S14" s="138">
        <v>108071.0</v>
      </c>
      <c r="T14" s="138">
        <v>670.0</v>
      </c>
      <c r="U14" s="138">
        <v>151.0</v>
      </c>
      <c r="V14" s="138">
        <v>23017.0</v>
      </c>
      <c r="W14" s="138">
        <v>0.0</v>
      </c>
      <c r="X14" s="138">
        <v>0.0</v>
      </c>
      <c r="Y14" s="138">
        <v>2120.79</v>
      </c>
      <c r="Z14" s="138">
        <v>-2120.79</v>
      </c>
      <c r="AA14" s="138">
        <v>1227872.21</v>
      </c>
      <c r="AB14" s="138">
        <v>1112240.73</v>
      </c>
      <c r="AC14" s="138">
        <v>1158142.095</v>
      </c>
      <c r="AD14" s="138">
        <v>16912.3</v>
      </c>
      <c r="AE14" s="138">
        <v>4534.93</v>
      </c>
      <c r="AF14" s="138">
        <v>73.8911</v>
      </c>
      <c r="AG14" s="138">
        <v>0.0</v>
      </c>
      <c r="AH14" s="138">
        <v>0.0</v>
      </c>
      <c r="AI14" s="138">
        <v>0.0</v>
      </c>
      <c r="AJ14" s="138">
        <v>0.0</v>
      </c>
      <c r="AK14" s="138">
        <v>48208.9939</v>
      </c>
      <c r="AL14" s="138">
        <v>900.0</v>
      </c>
      <c r="AM14" s="138">
        <v>777.0</v>
      </c>
      <c r="AN14" s="138">
        <v>663.0</v>
      </c>
      <c r="AO14" s="138">
        <v>0.0</v>
      </c>
      <c r="AP14" s="138">
        <v>3.74</v>
      </c>
      <c r="AQ14" s="138">
        <v>0.33</v>
      </c>
      <c r="AR14" s="138">
        <v>0.0</v>
      </c>
      <c r="AS14" s="138">
        <v>0.0</v>
      </c>
      <c r="AT14" s="138">
        <v>0.0</v>
      </c>
      <c r="AU14" s="138">
        <v>0.0</v>
      </c>
      <c r="AV14" s="138">
        <v>232.93</v>
      </c>
      <c r="AW14" s="138">
        <v>0.0</v>
      </c>
      <c r="AX14" s="138">
        <v>0.0</v>
      </c>
      <c r="AY14" s="138">
        <v>0.0</v>
      </c>
      <c r="AZ14" s="138">
        <v>0.0</v>
      </c>
      <c r="BA14" s="138">
        <v>0.0</v>
      </c>
      <c r="BB14" s="138">
        <v>0.0</v>
      </c>
      <c r="BC14" s="138">
        <v>0.0</v>
      </c>
      <c r="BD14" s="138">
        <v>0.0</v>
      </c>
      <c r="BE14" s="138">
        <v>0.0</v>
      </c>
      <c r="BF14" s="138">
        <v>0.0</v>
      </c>
      <c r="BG14" s="138">
        <v>0.0</v>
      </c>
      <c r="BH14" s="138">
        <v>0.0</v>
      </c>
      <c r="BI14" s="138">
        <v>216.0</v>
      </c>
      <c r="BJ14" s="138">
        <v>214.0</v>
      </c>
      <c r="BK14" s="138">
        <v>12.0</v>
      </c>
      <c r="BL14" s="138">
        <v>0.0</v>
      </c>
      <c r="BM14" s="138">
        <v>0.17</v>
      </c>
      <c r="BN14" s="138">
        <v>0.0</v>
      </c>
      <c r="BO14" s="138">
        <v>0.0</v>
      </c>
      <c r="BP14" s="138">
        <v>0.0</v>
      </c>
      <c r="BQ14" s="138">
        <v>0.0</v>
      </c>
      <c r="BR14" s="138">
        <v>0.0</v>
      </c>
      <c r="BS14" s="138">
        <v>203.83</v>
      </c>
      <c r="BT14" s="138">
        <v>5999.37</v>
      </c>
      <c r="BU14" s="138">
        <v>5999.37</v>
      </c>
      <c r="BV14" s="138">
        <v>6058.81</v>
      </c>
      <c r="BW14" s="138">
        <v>0.0</v>
      </c>
      <c r="BX14" s="138">
        <v>0.0</v>
      </c>
      <c r="BY14" s="138">
        <v>0.0</v>
      </c>
      <c r="BZ14" s="138">
        <v>0.0</v>
      </c>
      <c r="CA14" s="138">
        <v>0.0</v>
      </c>
      <c r="CB14" s="138">
        <v>0.0</v>
      </c>
      <c r="CC14" s="138">
        <v>0.0</v>
      </c>
      <c r="CD14" s="138">
        <v>-59.44</v>
      </c>
      <c r="CE14" s="138">
        <v>0.0</v>
      </c>
      <c r="CF14" s="138">
        <v>0.0</v>
      </c>
      <c r="CG14" s="138">
        <v>0.0</v>
      </c>
      <c r="CH14" s="138">
        <v>0.0</v>
      </c>
      <c r="CI14" s="138">
        <v>0.0</v>
      </c>
      <c r="CJ14" s="138">
        <v>0.0</v>
      </c>
      <c r="CK14" s="138">
        <v>0.0</v>
      </c>
      <c r="CL14" s="138">
        <v>0.0</v>
      </c>
      <c r="CM14" s="138">
        <v>0.0</v>
      </c>
      <c r="CN14" s="138">
        <v>0.0</v>
      </c>
      <c r="CO14" s="138">
        <v>0.0</v>
      </c>
      <c r="CP14" s="138">
        <v>13.0</v>
      </c>
      <c r="CQ14" s="138">
        <v>13.0</v>
      </c>
      <c r="CR14" s="138">
        <v>0.0</v>
      </c>
      <c r="CS14" s="138">
        <v>0.0</v>
      </c>
      <c r="CT14" s="138">
        <v>0.0</v>
      </c>
      <c r="CU14" s="138">
        <v>0.0</v>
      </c>
      <c r="CV14" s="138">
        <v>0.0</v>
      </c>
      <c r="CW14" s="138">
        <v>0.0</v>
      </c>
      <c r="CX14" s="138">
        <v>0.0</v>
      </c>
      <c r="CY14" s="138">
        <v>0.0</v>
      </c>
      <c r="CZ14" s="138">
        <v>0.0</v>
      </c>
      <c r="DA14" s="138">
        <v>13.0</v>
      </c>
      <c r="DB14" s="138">
        <v>0.0</v>
      </c>
      <c r="DC14" s="138">
        <v>0.0</v>
      </c>
      <c r="DD14" s="138">
        <v>7810.81</v>
      </c>
      <c r="DE14" s="138">
        <v>0.0</v>
      </c>
      <c r="DF14" s="138">
        <v>0.0</v>
      </c>
      <c r="DG14" s="138">
        <v>0.0</v>
      </c>
      <c r="DH14" s="138">
        <v>420.0</v>
      </c>
      <c r="DI14" s="138">
        <v>15.0</v>
      </c>
      <c r="DJ14" s="138">
        <v>8.377</v>
      </c>
      <c r="DK14" s="138">
        <v>0.0</v>
      </c>
      <c r="DL14" s="138">
        <v>0.0</v>
      </c>
      <c r="DM14" s="138">
        <v>-8254.187</v>
      </c>
      <c r="DN14" s="138">
        <v>85921.3877</v>
      </c>
      <c r="DO14" s="138">
        <v>419731.5255</v>
      </c>
      <c r="DP14" s="138">
        <v>85921.3877</v>
      </c>
      <c r="DQ14" s="138">
        <v>81187.6958</v>
      </c>
      <c r="DR14" s="138">
        <v>416200.1955</v>
      </c>
      <c r="DS14" s="138">
        <v>81187.6958</v>
      </c>
    </row>
    <row r="15">
      <c r="A15" s="134">
        <f t="shared" si="1"/>
        <v>46070</v>
      </c>
      <c r="B15" s="137">
        <v>37169.0</v>
      </c>
      <c r="C15" s="136">
        <v>5216.0</v>
      </c>
      <c r="D15" s="136">
        <v>3764.0</v>
      </c>
      <c r="E15" s="136">
        <v>787.0</v>
      </c>
      <c r="F15" s="136">
        <v>180.0</v>
      </c>
      <c r="G15" s="136">
        <v>881.0</v>
      </c>
      <c r="H15" s="136">
        <v>723.0</v>
      </c>
      <c r="I15" s="136">
        <v>378.0</v>
      </c>
      <c r="J15" s="136">
        <v>119.0</v>
      </c>
      <c r="K15" s="136">
        <v>4379.0</v>
      </c>
      <c r="L15" s="136">
        <v>49826.0</v>
      </c>
      <c r="M15" s="136">
        <v>165666.0</v>
      </c>
      <c r="N15" s="136">
        <v>210.5</v>
      </c>
      <c r="P15" s="134">
        <f t="shared" si="2"/>
        <v>46070</v>
      </c>
      <c r="Q15" s="138">
        <v>24432.9238</v>
      </c>
      <c r="R15" s="138">
        <v>165666.0</v>
      </c>
      <c r="S15" s="138">
        <v>115840.0</v>
      </c>
      <c r="T15" s="138">
        <v>787.0</v>
      </c>
      <c r="U15" s="138">
        <v>180.0</v>
      </c>
      <c r="V15" s="138">
        <v>49826.0</v>
      </c>
      <c r="W15" s="138">
        <v>0.0</v>
      </c>
      <c r="X15" s="138">
        <v>0.0</v>
      </c>
      <c r="Y15" s="138">
        <v>2652.23</v>
      </c>
      <c r="Z15" s="138">
        <v>-2652.23</v>
      </c>
      <c r="AA15" s="138">
        <v>1509509.29</v>
      </c>
      <c r="AB15" s="138">
        <v>1401706.03</v>
      </c>
      <c r="AC15" s="138">
        <v>1449055.74</v>
      </c>
      <c r="AD15" s="138">
        <v>21277.1</v>
      </c>
      <c r="AE15" s="138">
        <v>4494.99</v>
      </c>
      <c r="AF15" s="138">
        <v>61.7902</v>
      </c>
      <c r="AG15" s="138">
        <v>0.0</v>
      </c>
      <c r="AH15" s="138">
        <v>0.0</v>
      </c>
      <c r="AI15" s="138">
        <v>0.0</v>
      </c>
      <c r="AJ15" s="138">
        <v>0.0</v>
      </c>
      <c r="AK15" s="138">
        <v>34619.6698</v>
      </c>
      <c r="AL15" s="138">
        <v>2993.0</v>
      </c>
      <c r="AM15" s="138">
        <v>2811.5</v>
      </c>
      <c r="AN15" s="138">
        <v>2564.5</v>
      </c>
      <c r="AO15" s="138">
        <v>0.0</v>
      </c>
      <c r="AP15" s="138">
        <v>6.78</v>
      </c>
      <c r="AQ15" s="138">
        <v>0.03</v>
      </c>
      <c r="AR15" s="138">
        <v>0.0</v>
      </c>
      <c r="AS15" s="138">
        <v>0.0</v>
      </c>
      <c r="AT15" s="138">
        <v>0.0</v>
      </c>
      <c r="AU15" s="138">
        <v>0.0</v>
      </c>
      <c r="AV15" s="138">
        <v>421.69</v>
      </c>
      <c r="AW15" s="138">
        <v>0.0</v>
      </c>
      <c r="AX15" s="138">
        <v>0.0</v>
      </c>
      <c r="AY15" s="138">
        <v>0.0</v>
      </c>
      <c r="AZ15" s="138">
        <v>0.0</v>
      </c>
      <c r="BA15" s="138">
        <v>0.0</v>
      </c>
      <c r="BB15" s="138">
        <v>0.0</v>
      </c>
      <c r="BC15" s="138">
        <v>0.0</v>
      </c>
      <c r="BD15" s="138">
        <v>0.0</v>
      </c>
      <c r="BE15" s="138">
        <v>0.0</v>
      </c>
      <c r="BF15" s="138">
        <v>0.0</v>
      </c>
      <c r="BG15" s="138">
        <v>0.0</v>
      </c>
      <c r="BH15" s="138">
        <v>0.0</v>
      </c>
      <c r="BI15" s="138">
        <v>63.0</v>
      </c>
      <c r="BJ15" s="138">
        <v>61.5</v>
      </c>
      <c r="BK15" s="138">
        <v>119.72</v>
      </c>
      <c r="BL15" s="138">
        <v>0.0</v>
      </c>
      <c r="BM15" s="138">
        <v>0.0</v>
      </c>
      <c r="BN15" s="138">
        <v>0.0</v>
      </c>
      <c r="BO15" s="138">
        <v>0.0</v>
      </c>
      <c r="BP15" s="138">
        <v>0.0</v>
      </c>
      <c r="BQ15" s="138">
        <v>0.0</v>
      </c>
      <c r="BR15" s="138">
        <v>0.0</v>
      </c>
      <c r="BS15" s="138">
        <v>-56.72</v>
      </c>
      <c r="BT15" s="138">
        <v>9362.0</v>
      </c>
      <c r="BU15" s="138">
        <v>9292.8</v>
      </c>
      <c r="BV15" s="138">
        <v>8367.69</v>
      </c>
      <c r="BW15" s="138">
        <v>0.0</v>
      </c>
      <c r="BX15" s="138">
        <v>0.0</v>
      </c>
      <c r="BY15" s="138">
        <v>0.0</v>
      </c>
      <c r="BZ15" s="138">
        <v>0.0</v>
      </c>
      <c r="CA15" s="138">
        <v>0.0</v>
      </c>
      <c r="CB15" s="138">
        <v>0.0</v>
      </c>
      <c r="CC15" s="138">
        <v>0.0</v>
      </c>
      <c r="CD15" s="138">
        <v>994.31</v>
      </c>
      <c r="CE15" s="138">
        <v>1000.0</v>
      </c>
      <c r="CF15" s="138">
        <v>50.0</v>
      </c>
      <c r="CG15" s="138">
        <v>950.0</v>
      </c>
      <c r="CH15" s="138">
        <v>0.0</v>
      </c>
      <c r="CI15" s="138">
        <v>0.0</v>
      </c>
      <c r="CJ15" s="138">
        <v>0.0</v>
      </c>
      <c r="CK15" s="138">
        <v>0.0</v>
      </c>
      <c r="CL15" s="138">
        <v>0.0</v>
      </c>
      <c r="CM15" s="138">
        <v>0.0</v>
      </c>
      <c r="CN15" s="138">
        <v>0.0</v>
      </c>
      <c r="CO15" s="138">
        <v>50.0</v>
      </c>
      <c r="CP15" s="138">
        <v>9.0</v>
      </c>
      <c r="CQ15" s="138">
        <v>9.0</v>
      </c>
      <c r="CR15" s="138">
        <v>90.0</v>
      </c>
      <c r="CS15" s="138">
        <v>0.0</v>
      </c>
      <c r="CT15" s="138">
        <v>0.0</v>
      </c>
      <c r="CU15" s="138">
        <v>0.0</v>
      </c>
      <c r="CV15" s="138">
        <v>0.0</v>
      </c>
      <c r="CW15" s="138">
        <v>0.0</v>
      </c>
      <c r="CX15" s="138">
        <v>0.0</v>
      </c>
      <c r="CY15" s="138">
        <v>0.0</v>
      </c>
      <c r="CZ15" s="138">
        <v>0.0</v>
      </c>
      <c r="DA15" s="138">
        <v>-81.0</v>
      </c>
      <c r="DB15" s="138">
        <v>0.0</v>
      </c>
      <c r="DC15" s="138">
        <v>0.0</v>
      </c>
      <c r="DD15" s="138">
        <v>8379.8</v>
      </c>
      <c r="DE15" s="138">
        <v>0.0</v>
      </c>
      <c r="DF15" s="138">
        <v>0.0</v>
      </c>
      <c r="DG15" s="138">
        <v>0.0</v>
      </c>
      <c r="DH15" s="138">
        <v>390.0</v>
      </c>
      <c r="DI15" s="138">
        <v>85.0</v>
      </c>
      <c r="DJ15" s="138">
        <v>7.996</v>
      </c>
      <c r="DK15" s="138">
        <v>0.0</v>
      </c>
      <c r="DL15" s="138">
        <v>0.0</v>
      </c>
      <c r="DM15" s="138">
        <v>-8862.796</v>
      </c>
      <c r="DN15" s="138">
        <v>83755.8515</v>
      </c>
      <c r="DO15" s="138">
        <v>398227.7155</v>
      </c>
      <c r="DP15" s="138">
        <v>83755.8515</v>
      </c>
      <c r="DQ15" s="138">
        <v>85921.3877</v>
      </c>
      <c r="DR15" s="138">
        <v>419731.5255</v>
      </c>
      <c r="DS15" s="138">
        <v>85921.3877</v>
      </c>
    </row>
    <row r="16">
      <c r="A16" s="134">
        <f t="shared" si="1"/>
        <v>46069</v>
      </c>
      <c r="B16" s="137">
        <v>36288.0</v>
      </c>
      <c r="C16" s="136">
        <v>5039.0</v>
      </c>
      <c r="D16" s="136">
        <v>3597.0</v>
      </c>
      <c r="E16" s="136">
        <v>821.0</v>
      </c>
      <c r="F16" s="136">
        <v>176.0</v>
      </c>
      <c r="G16" s="136">
        <v>1031.0</v>
      </c>
      <c r="H16" s="136">
        <v>805.0</v>
      </c>
      <c r="I16" s="136">
        <v>412.0</v>
      </c>
      <c r="J16" s="136">
        <v>116.0</v>
      </c>
      <c r="K16" s="136">
        <v>4245.0</v>
      </c>
      <c r="L16" s="136">
        <v>57487.0</v>
      </c>
      <c r="M16" s="136">
        <v>161464.0</v>
      </c>
      <c r="N16" s="136">
        <v>196.66</v>
      </c>
      <c r="P16" s="134">
        <f t="shared" si="2"/>
        <v>46069</v>
      </c>
      <c r="Q16" s="138">
        <v>36398.7277</v>
      </c>
      <c r="R16" s="138">
        <v>161464.0</v>
      </c>
      <c r="S16" s="138">
        <v>103977.0</v>
      </c>
      <c r="T16" s="138">
        <v>821.0</v>
      </c>
      <c r="U16" s="138">
        <v>176.0</v>
      </c>
      <c r="V16" s="138">
        <v>57487.0</v>
      </c>
      <c r="W16" s="138">
        <v>0.0</v>
      </c>
      <c r="X16" s="138">
        <v>0.0</v>
      </c>
      <c r="Y16" s="138">
        <v>2587.29</v>
      </c>
      <c r="Z16" s="138">
        <v>-2587.29</v>
      </c>
      <c r="AA16" s="138">
        <v>1489183.92</v>
      </c>
      <c r="AB16" s="138">
        <v>1397951.415</v>
      </c>
      <c r="AC16" s="138">
        <v>1414939.445</v>
      </c>
      <c r="AD16" s="138">
        <v>20091.9</v>
      </c>
      <c r="AE16" s="138">
        <v>4975.82</v>
      </c>
      <c r="AF16" s="138">
        <v>137.5873</v>
      </c>
      <c r="AG16" s="138">
        <v>0.0</v>
      </c>
      <c r="AH16" s="138">
        <v>0.0</v>
      </c>
      <c r="AI16" s="138">
        <v>0.0</v>
      </c>
      <c r="AJ16" s="138">
        <v>0.0</v>
      </c>
      <c r="AK16" s="138">
        <v>49039.1677</v>
      </c>
      <c r="AL16" s="138">
        <v>3046.0</v>
      </c>
      <c r="AM16" s="138">
        <v>2639.5</v>
      </c>
      <c r="AN16" s="138">
        <v>4380.5</v>
      </c>
      <c r="AO16" s="138">
        <v>0.0</v>
      </c>
      <c r="AP16" s="138">
        <v>23.77</v>
      </c>
      <c r="AQ16" s="138">
        <v>1.37</v>
      </c>
      <c r="AR16" s="138">
        <v>0.0</v>
      </c>
      <c r="AS16" s="138">
        <v>0.0</v>
      </c>
      <c r="AT16" s="138">
        <v>0.0</v>
      </c>
      <c r="AU16" s="138">
        <v>0.0</v>
      </c>
      <c r="AV16" s="138">
        <v>-1359.64</v>
      </c>
      <c r="AW16" s="138">
        <v>0.0</v>
      </c>
      <c r="AX16" s="138">
        <v>0.0</v>
      </c>
      <c r="AY16" s="138">
        <v>0.0</v>
      </c>
      <c r="AZ16" s="138">
        <v>0.0</v>
      </c>
      <c r="BA16" s="138">
        <v>0.0</v>
      </c>
      <c r="BB16" s="138">
        <v>0.0</v>
      </c>
      <c r="BC16" s="138">
        <v>0.0</v>
      </c>
      <c r="BD16" s="138">
        <v>0.0</v>
      </c>
      <c r="BE16" s="138">
        <v>0.0</v>
      </c>
      <c r="BF16" s="138">
        <v>0.0</v>
      </c>
      <c r="BG16" s="138">
        <v>0.0</v>
      </c>
      <c r="BH16" s="138">
        <v>0.0</v>
      </c>
      <c r="BI16" s="138">
        <v>15.0</v>
      </c>
      <c r="BJ16" s="138">
        <v>15.0</v>
      </c>
      <c r="BK16" s="138">
        <v>0.0</v>
      </c>
      <c r="BL16" s="138">
        <v>0.0</v>
      </c>
      <c r="BM16" s="138">
        <v>0.0</v>
      </c>
      <c r="BN16" s="138">
        <v>0.0</v>
      </c>
      <c r="BO16" s="138">
        <v>0.0</v>
      </c>
      <c r="BP16" s="138">
        <v>0.0</v>
      </c>
      <c r="BQ16" s="138">
        <v>0.0</v>
      </c>
      <c r="BR16" s="138">
        <v>0.0</v>
      </c>
      <c r="BS16" s="138">
        <v>15.0</v>
      </c>
      <c r="BT16" s="138">
        <v>16216.73</v>
      </c>
      <c r="BU16" s="138">
        <v>16186.33</v>
      </c>
      <c r="BV16" s="138">
        <v>15873.63</v>
      </c>
      <c r="BW16" s="138">
        <v>0.0</v>
      </c>
      <c r="BX16" s="138">
        <v>0.0</v>
      </c>
      <c r="BY16" s="138">
        <v>0.0</v>
      </c>
      <c r="BZ16" s="138">
        <v>0.0</v>
      </c>
      <c r="CA16" s="138">
        <v>0.0</v>
      </c>
      <c r="CB16" s="138">
        <v>0.0</v>
      </c>
      <c r="CC16" s="138">
        <v>0.0</v>
      </c>
      <c r="CD16" s="138">
        <v>343.1</v>
      </c>
      <c r="CE16" s="138">
        <v>1708.0</v>
      </c>
      <c r="CF16" s="138">
        <v>1668.0</v>
      </c>
      <c r="CG16" s="138">
        <v>1760.5</v>
      </c>
      <c r="CH16" s="138">
        <v>0.0</v>
      </c>
      <c r="CI16" s="138">
        <v>0.0</v>
      </c>
      <c r="CJ16" s="138">
        <v>0.0</v>
      </c>
      <c r="CK16" s="138">
        <v>0.0</v>
      </c>
      <c r="CL16" s="138">
        <v>0.0</v>
      </c>
      <c r="CM16" s="138">
        <v>0.0</v>
      </c>
      <c r="CN16" s="138">
        <v>0.0</v>
      </c>
      <c r="CO16" s="138">
        <v>-52.5</v>
      </c>
      <c r="CP16" s="138">
        <v>12.0</v>
      </c>
      <c r="CQ16" s="138">
        <v>12.0</v>
      </c>
      <c r="CR16" s="138">
        <v>0.0</v>
      </c>
      <c r="CS16" s="138">
        <v>0.0</v>
      </c>
      <c r="CT16" s="138">
        <v>0.0</v>
      </c>
      <c r="CU16" s="138">
        <v>0.0</v>
      </c>
      <c r="CV16" s="138">
        <v>0.0</v>
      </c>
      <c r="CW16" s="138">
        <v>0.0</v>
      </c>
      <c r="CX16" s="138">
        <v>0.0</v>
      </c>
      <c r="CY16" s="138">
        <v>0.0</v>
      </c>
      <c r="CZ16" s="138">
        <v>0.0</v>
      </c>
      <c r="DA16" s="138">
        <v>12.0</v>
      </c>
      <c r="DB16" s="138">
        <v>0.0</v>
      </c>
      <c r="DC16" s="138">
        <v>0.0</v>
      </c>
      <c r="DD16" s="138">
        <v>8422.27</v>
      </c>
      <c r="DE16" s="138">
        <v>0.0</v>
      </c>
      <c r="DF16" s="138">
        <v>0.0</v>
      </c>
      <c r="DG16" s="138">
        <v>0.0</v>
      </c>
      <c r="DH16" s="138">
        <v>480.0</v>
      </c>
      <c r="DI16" s="138">
        <v>95.0</v>
      </c>
      <c r="DJ16" s="138">
        <v>13.84</v>
      </c>
      <c r="DK16" s="138">
        <v>0.0</v>
      </c>
      <c r="DL16" s="138">
        <v>0.0</v>
      </c>
      <c r="DM16" s="138">
        <v>-9011.11</v>
      </c>
      <c r="DN16" s="138">
        <v>71988.6742</v>
      </c>
      <c r="DO16" s="138">
        <v>389487.3655</v>
      </c>
      <c r="DP16" s="138">
        <v>71988.6742</v>
      </c>
      <c r="DQ16" s="138">
        <v>83755.8515</v>
      </c>
      <c r="DR16" s="138">
        <v>398227.7155</v>
      </c>
      <c r="DS16" s="138">
        <v>83755.8515</v>
      </c>
    </row>
    <row r="17">
      <c r="A17" s="134">
        <f t="shared" si="1"/>
        <v>46068</v>
      </c>
      <c r="B17" s="137">
        <v>35256.0</v>
      </c>
      <c r="C17" s="136">
        <v>5122.0</v>
      </c>
      <c r="D17" s="136">
        <v>3714.0</v>
      </c>
      <c r="E17" s="136">
        <v>915.0</v>
      </c>
      <c r="F17" s="136">
        <v>200.0</v>
      </c>
      <c r="G17" s="136">
        <v>1264.0</v>
      </c>
      <c r="H17" s="136">
        <v>1003.0</v>
      </c>
      <c r="I17" s="136">
        <v>490.0</v>
      </c>
      <c r="J17" s="136">
        <v>141.0</v>
      </c>
      <c r="K17" s="136">
        <v>4380.0</v>
      </c>
      <c r="L17" s="136">
        <v>27383.0</v>
      </c>
      <c r="M17" s="136">
        <v>186953.0</v>
      </c>
      <c r="N17" s="136">
        <v>204.32</v>
      </c>
      <c r="P17" s="134">
        <f t="shared" si="2"/>
        <v>46068</v>
      </c>
      <c r="Q17" s="138">
        <v>8314.5946</v>
      </c>
      <c r="R17" s="138">
        <v>186953.0</v>
      </c>
      <c r="S17" s="138">
        <v>159570.0</v>
      </c>
      <c r="T17" s="138">
        <v>915.0</v>
      </c>
      <c r="U17" s="138">
        <v>200.0</v>
      </c>
      <c r="V17" s="138">
        <v>27383.0</v>
      </c>
      <c r="W17" s="138">
        <v>0.0</v>
      </c>
      <c r="X17" s="138">
        <v>0.0</v>
      </c>
      <c r="Y17" s="138">
        <v>3055.78</v>
      </c>
      <c r="Z17" s="138">
        <v>-3055.78</v>
      </c>
      <c r="AA17" s="138">
        <v>1941584.16</v>
      </c>
      <c r="AB17" s="138">
        <v>1815727.255</v>
      </c>
      <c r="AC17" s="138">
        <v>1889644.575</v>
      </c>
      <c r="AD17" s="138">
        <v>25616.3</v>
      </c>
      <c r="AE17" s="138">
        <v>8040.98</v>
      </c>
      <c r="AF17" s="138">
        <v>352.7299</v>
      </c>
      <c r="AG17" s="138">
        <v>0.0</v>
      </c>
      <c r="AH17" s="138">
        <v>0.0</v>
      </c>
      <c r="AI17" s="138">
        <v>0.0</v>
      </c>
      <c r="AJ17" s="138">
        <v>0.0</v>
      </c>
      <c r="AK17" s="138">
        <v>17929.5751</v>
      </c>
      <c r="AL17" s="138">
        <v>11748.0</v>
      </c>
      <c r="AM17" s="138">
        <v>10543.5</v>
      </c>
      <c r="AN17" s="138">
        <v>8866.0</v>
      </c>
      <c r="AO17" s="138">
        <v>0.0</v>
      </c>
      <c r="AP17" s="138">
        <v>338.7</v>
      </c>
      <c r="AQ17" s="138">
        <v>38.5835</v>
      </c>
      <c r="AR17" s="138">
        <v>0.0</v>
      </c>
      <c r="AS17" s="138">
        <v>0.0</v>
      </c>
      <c r="AT17" s="138">
        <v>0.0</v>
      </c>
      <c r="AU17" s="138">
        <v>0.0</v>
      </c>
      <c r="AV17" s="138">
        <v>2504.7165</v>
      </c>
      <c r="AW17" s="138">
        <v>0.0</v>
      </c>
      <c r="AX17" s="138">
        <v>0.0</v>
      </c>
      <c r="AY17" s="138">
        <v>0.0</v>
      </c>
      <c r="AZ17" s="138">
        <v>0.0</v>
      </c>
      <c r="BA17" s="138">
        <v>0.0</v>
      </c>
      <c r="BB17" s="138">
        <v>0.0</v>
      </c>
      <c r="BC17" s="138">
        <v>0.0</v>
      </c>
      <c r="BD17" s="138">
        <v>0.0</v>
      </c>
      <c r="BE17" s="138">
        <v>0.0</v>
      </c>
      <c r="BF17" s="138">
        <v>0.0</v>
      </c>
      <c r="BG17" s="138">
        <v>0.0</v>
      </c>
      <c r="BH17" s="138">
        <v>0.0</v>
      </c>
      <c r="BI17" s="138">
        <v>0.0</v>
      </c>
      <c r="BJ17" s="138">
        <v>0.0</v>
      </c>
      <c r="BK17" s="138">
        <v>0.0</v>
      </c>
      <c r="BL17" s="138">
        <v>0.0</v>
      </c>
      <c r="BM17" s="138">
        <v>0.43</v>
      </c>
      <c r="BN17" s="138">
        <v>0.0</v>
      </c>
      <c r="BO17" s="138">
        <v>0.0</v>
      </c>
      <c r="BP17" s="138">
        <v>0.0</v>
      </c>
      <c r="BQ17" s="138">
        <v>0.0</v>
      </c>
      <c r="BR17" s="138">
        <v>0.0</v>
      </c>
      <c r="BS17" s="138">
        <v>-0.43</v>
      </c>
      <c r="BT17" s="138">
        <v>13879.9</v>
      </c>
      <c r="BU17" s="138">
        <v>13746.4</v>
      </c>
      <c r="BV17" s="138">
        <v>12844.3</v>
      </c>
      <c r="BW17" s="138">
        <v>0.0</v>
      </c>
      <c r="BX17" s="138">
        <v>0.0</v>
      </c>
      <c r="BY17" s="138">
        <v>0.0</v>
      </c>
      <c r="BZ17" s="138">
        <v>0.0</v>
      </c>
      <c r="CA17" s="138">
        <v>0.0</v>
      </c>
      <c r="CB17" s="138">
        <v>0.0</v>
      </c>
      <c r="CC17" s="138">
        <v>0.0</v>
      </c>
      <c r="CD17" s="138">
        <v>1035.6</v>
      </c>
      <c r="CE17" s="138">
        <v>1775.0</v>
      </c>
      <c r="CF17" s="138">
        <v>1635.0</v>
      </c>
      <c r="CG17" s="138">
        <v>1478.8</v>
      </c>
      <c r="CH17" s="138">
        <v>0.0</v>
      </c>
      <c r="CI17" s="138">
        <v>0.0</v>
      </c>
      <c r="CJ17" s="138">
        <v>0.0</v>
      </c>
      <c r="CK17" s="138">
        <v>0.0</v>
      </c>
      <c r="CL17" s="138">
        <v>0.0</v>
      </c>
      <c r="CM17" s="138">
        <v>0.0</v>
      </c>
      <c r="CN17" s="138">
        <v>0.0</v>
      </c>
      <c r="CO17" s="138">
        <v>296.2</v>
      </c>
      <c r="CP17" s="138">
        <v>4.0</v>
      </c>
      <c r="CQ17" s="138">
        <v>4.0</v>
      </c>
      <c r="CR17" s="138">
        <v>0.0</v>
      </c>
      <c r="CS17" s="138">
        <v>0.0</v>
      </c>
      <c r="CT17" s="138">
        <v>0.0</v>
      </c>
      <c r="CU17" s="138">
        <v>0.0</v>
      </c>
      <c r="CV17" s="138">
        <v>0.0</v>
      </c>
      <c r="CW17" s="138">
        <v>0.0</v>
      </c>
      <c r="CX17" s="138">
        <v>0.0</v>
      </c>
      <c r="CY17" s="138">
        <v>0.0</v>
      </c>
      <c r="CZ17" s="138">
        <v>0.0</v>
      </c>
      <c r="DA17" s="138">
        <v>4.0</v>
      </c>
      <c r="DB17" s="138">
        <v>0.0</v>
      </c>
      <c r="DC17" s="138">
        <v>0.0</v>
      </c>
      <c r="DD17" s="138">
        <v>9306.52</v>
      </c>
      <c r="DE17" s="138">
        <v>0.0</v>
      </c>
      <c r="DF17" s="138">
        <v>0.0</v>
      </c>
      <c r="DG17" s="138">
        <v>0.0</v>
      </c>
      <c r="DH17" s="138">
        <v>990.0</v>
      </c>
      <c r="DI17" s="138">
        <v>75.0</v>
      </c>
      <c r="DJ17" s="138">
        <v>27.767</v>
      </c>
      <c r="DK17" s="138">
        <v>0.0</v>
      </c>
      <c r="DL17" s="138">
        <v>0.0</v>
      </c>
      <c r="DM17" s="138">
        <v>-10399.287</v>
      </c>
      <c r="DN17" s="138">
        <v>68151.3193</v>
      </c>
      <c r="DO17" s="138">
        <v>353199.91</v>
      </c>
      <c r="DP17" s="138">
        <v>68151.3193</v>
      </c>
      <c r="DQ17" s="138">
        <v>71988.6742</v>
      </c>
      <c r="DR17" s="138">
        <v>389487.3655</v>
      </c>
      <c r="DS17" s="138">
        <v>71988.6742</v>
      </c>
    </row>
    <row r="18">
      <c r="A18" s="134">
        <f t="shared" si="1"/>
        <v>46067</v>
      </c>
      <c r="B18" s="137">
        <v>34040.0</v>
      </c>
      <c r="C18" s="136">
        <v>6768.0</v>
      </c>
      <c r="D18" s="136">
        <v>4953.0</v>
      </c>
      <c r="E18" s="136">
        <v>1743.0</v>
      </c>
      <c r="F18" s="136">
        <v>408.0</v>
      </c>
      <c r="G18" s="136">
        <v>2481.0</v>
      </c>
      <c r="H18" s="136">
        <v>1978.0</v>
      </c>
      <c r="I18" s="136">
        <v>1179.0</v>
      </c>
      <c r="J18" s="136">
        <v>330.0</v>
      </c>
      <c r="K18" s="136">
        <v>5745.0</v>
      </c>
      <c r="L18" s="136">
        <v>-30.0</v>
      </c>
      <c r="M18" s="136">
        <v>441981.0</v>
      </c>
      <c r="N18" s="136">
        <v>253.57</v>
      </c>
      <c r="P18" s="134">
        <f t="shared" si="2"/>
        <v>46067</v>
      </c>
      <c r="Q18" s="138">
        <v>-48257.1273</v>
      </c>
      <c r="R18" s="138">
        <v>441981.0</v>
      </c>
      <c r="S18" s="138">
        <v>442011.0</v>
      </c>
      <c r="T18" s="138">
        <v>1743.0</v>
      </c>
      <c r="U18" s="138">
        <v>408.0</v>
      </c>
      <c r="V18" s="138">
        <v>-30.0</v>
      </c>
      <c r="W18" s="138">
        <v>0.0</v>
      </c>
      <c r="X18" s="138">
        <v>0.0</v>
      </c>
      <c r="Y18" s="138">
        <v>6555.6</v>
      </c>
      <c r="Z18" s="138">
        <v>-6555.6</v>
      </c>
      <c r="AA18" s="138">
        <v>4999747.57</v>
      </c>
      <c r="AB18" s="138">
        <v>4462252.92</v>
      </c>
      <c r="AC18" s="138">
        <v>4856154.915</v>
      </c>
      <c r="AD18" s="138">
        <v>165438.5</v>
      </c>
      <c r="AE18" s="138">
        <v>9569.23</v>
      </c>
      <c r="AF18" s="138">
        <v>986.0971</v>
      </c>
      <c r="AG18" s="138">
        <v>0.0</v>
      </c>
      <c r="AH18" s="138">
        <v>0.0</v>
      </c>
      <c r="AI18" s="138">
        <v>0.0</v>
      </c>
      <c r="AJ18" s="138">
        <v>0.0</v>
      </c>
      <c r="AK18" s="138">
        <v>-32401.1721</v>
      </c>
      <c r="AL18" s="138">
        <v>130176.0</v>
      </c>
      <c r="AM18" s="138">
        <v>118368.35</v>
      </c>
      <c r="AN18" s="138">
        <v>128385.85</v>
      </c>
      <c r="AO18" s="138">
        <v>0.0</v>
      </c>
      <c r="AP18" s="138">
        <v>887.23</v>
      </c>
      <c r="AQ18" s="138">
        <v>66.8812</v>
      </c>
      <c r="AR18" s="138">
        <v>0.0</v>
      </c>
      <c r="AS18" s="138">
        <v>0.0</v>
      </c>
      <c r="AT18" s="138">
        <v>0.0</v>
      </c>
      <c r="AU18" s="138">
        <v>0.0</v>
      </c>
      <c r="AV18" s="138">
        <v>836.0388</v>
      </c>
      <c r="AW18" s="138">
        <v>0.0</v>
      </c>
      <c r="AX18" s="138">
        <v>0.0</v>
      </c>
      <c r="AY18" s="138">
        <v>0.0</v>
      </c>
      <c r="AZ18" s="138">
        <v>0.0</v>
      </c>
      <c r="BA18" s="138">
        <v>0.0</v>
      </c>
      <c r="BB18" s="138">
        <v>0.0</v>
      </c>
      <c r="BC18" s="138">
        <v>0.0</v>
      </c>
      <c r="BD18" s="138">
        <v>0.0</v>
      </c>
      <c r="BE18" s="138">
        <v>0.0</v>
      </c>
      <c r="BF18" s="138">
        <v>0.0</v>
      </c>
      <c r="BG18" s="138">
        <v>0.0</v>
      </c>
      <c r="BH18" s="138">
        <v>0.0</v>
      </c>
      <c r="BI18" s="138">
        <v>171.0</v>
      </c>
      <c r="BJ18" s="138">
        <v>170.0</v>
      </c>
      <c r="BK18" s="138">
        <v>210.0</v>
      </c>
      <c r="BL18" s="138">
        <v>0.0</v>
      </c>
      <c r="BM18" s="138">
        <v>0.0</v>
      </c>
      <c r="BN18" s="138">
        <v>0.0</v>
      </c>
      <c r="BO18" s="138">
        <v>0.0</v>
      </c>
      <c r="BP18" s="138">
        <v>0.0</v>
      </c>
      <c r="BQ18" s="138">
        <v>0.0</v>
      </c>
      <c r="BR18" s="138">
        <v>0.0</v>
      </c>
      <c r="BS18" s="138">
        <v>-39.0</v>
      </c>
      <c r="BT18" s="138">
        <v>42093.9</v>
      </c>
      <c r="BU18" s="138">
        <v>42093.9</v>
      </c>
      <c r="BV18" s="138">
        <v>38270.14</v>
      </c>
      <c r="BW18" s="138">
        <v>0.0</v>
      </c>
      <c r="BX18" s="138">
        <v>0.0</v>
      </c>
      <c r="BY18" s="138">
        <v>0.0</v>
      </c>
      <c r="BZ18" s="138">
        <v>0.0</v>
      </c>
      <c r="CA18" s="138">
        <v>0.0</v>
      </c>
      <c r="CB18" s="138">
        <v>0.0</v>
      </c>
      <c r="CC18" s="138">
        <v>0.0</v>
      </c>
      <c r="CD18" s="138">
        <v>3823.76</v>
      </c>
      <c r="CE18" s="138">
        <v>60.0</v>
      </c>
      <c r="CF18" s="138">
        <v>60.0</v>
      </c>
      <c r="CG18" s="138">
        <v>49.2</v>
      </c>
      <c r="CH18" s="138">
        <v>0.0</v>
      </c>
      <c r="CI18" s="138">
        <v>0.0</v>
      </c>
      <c r="CJ18" s="138">
        <v>0.0</v>
      </c>
      <c r="CK18" s="138">
        <v>0.0</v>
      </c>
      <c r="CL18" s="138">
        <v>0.0</v>
      </c>
      <c r="CM18" s="138">
        <v>0.0</v>
      </c>
      <c r="CN18" s="138">
        <v>0.0</v>
      </c>
      <c r="CO18" s="138">
        <v>10.8</v>
      </c>
      <c r="CP18" s="138">
        <v>13.0</v>
      </c>
      <c r="CQ18" s="138">
        <v>13.0</v>
      </c>
      <c r="CR18" s="138">
        <v>0.0</v>
      </c>
      <c r="CS18" s="138">
        <v>0.0</v>
      </c>
      <c r="CT18" s="138">
        <v>0.0</v>
      </c>
      <c r="CU18" s="138">
        <v>0.0</v>
      </c>
      <c r="CV18" s="138">
        <v>0.0</v>
      </c>
      <c r="CW18" s="138">
        <v>0.0</v>
      </c>
      <c r="CX18" s="138">
        <v>0.0</v>
      </c>
      <c r="CY18" s="138">
        <v>0.0</v>
      </c>
      <c r="CZ18" s="138">
        <v>0.0</v>
      </c>
      <c r="DA18" s="138">
        <v>13.0</v>
      </c>
      <c r="DB18" s="138">
        <v>0.0</v>
      </c>
      <c r="DC18" s="138">
        <v>0.0</v>
      </c>
      <c r="DD18" s="138">
        <v>11276.62</v>
      </c>
      <c r="DE18" s="138">
        <v>0.0</v>
      </c>
      <c r="DF18" s="138">
        <v>0.0</v>
      </c>
      <c r="DG18" s="138">
        <v>0.0</v>
      </c>
      <c r="DH18" s="138">
        <v>2220.0</v>
      </c>
      <c r="DI18" s="138">
        <v>390.0</v>
      </c>
      <c r="DJ18" s="138">
        <v>58.334</v>
      </c>
      <c r="DK18" s="138">
        <v>0.0</v>
      </c>
      <c r="DL18" s="138">
        <v>0.0</v>
      </c>
      <c r="DM18" s="138">
        <v>-13944.954</v>
      </c>
      <c r="DN18" s="138">
        <v>82040.627</v>
      </c>
      <c r="DO18" s="138">
        <v>239592.16</v>
      </c>
      <c r="DP18" s="138">
        <v>82040.627</v>
      </c>
      <c r="DQ18" s="138">
        <v>68151.3193</v>
      </c>
      <c r="DR18" s="138">
        <v>353199.91</v>
      </c>
      <c r="DS18" s="138">
        <v>68151.3193</v>
      </c>
    </row>
    <row r="19">
      <c r="A19" s="134">
        <f t="shared" si="1"/>
        <v>46066</v>
      </c>
      <c r="B19" s="137">
        <v>31696.0</v>
      </c>
      <c r="C19" s="136">
        <v>9825.0</v>
      </c>
      <c r="D19" s="136">
        <v>7496.0</v>
      </c>
      <c r="E19" s="136">
        <v>2755.0</v>
      </c>
      <c r="F19" s="136">
        <v>667.0</v>
      </c>
      <c r="G19" s="136">
        <v>5918.0</v>
      </c>
      <c r="H19" s="136">
        <v>4495.0</v>
      </c>
      <c r="I19" s="136">
        <v>2244.0</v>
      </c>
      <c r="J19" s="136">
        <v>599.0</v>
      </c>
      <c r="K19" s="136">
        <v>8324.0</v>
      </c>
      <c r="L19" s="136">
        <v>-80376.0</v>
      </c>
      <c r="M19" s="136">
        <v>549266.0</v>
      </c>
      <c r="N19" s="136">
        <v>199.37</v>
      </c>
      <c r="P19" s="134">
        <f t="shared" si="2"/>
        <v>46066</v>
      </c>
      <c r="Q19" s="138">
        <v>-237924.1992</v>
      </c>
      <c r="R19" s="138">
        <v>549266.0</v>
      </c>
      <c r="S19" s="138">
        <v>629642.0</v>
      </c>
      <c r="T19" s="138">
        <v>2755.0</v>
      </c>
      <c r="U19" s="138">
        <v>667.0</v>
      </c>
      <c r="V19" s="138">
        <v>-80376.0</v>
      </c>
      <c r="W19" s="138">
        <v>0.0</v>
      </c>
      <c r="X19" s="138">
        <v>0.0</v>
      </c>
      <c r="Y19" s="138">
        <v>8559.63</v>
      </c>
      <c r="Z19" s="138">
        <v>-8559.63</v>
      </c>
      <c r="AA19" s="138">
        <v>8392571.91</v>
      </c>
      <c r="AB19" s="138">
        <v>7600403.04</v>
      </c>
      <c r="AC19" s="138">
        <v>8223448.842</v>
      </c>
      <c r="AD19" s="138">
        <v>369656.67</v>
      </c>
      <c r="AE19" s="138">
        <v>6929.0</v>
      </c>
      <c r="AF19" s="138">
        <v>1319.2469</v>
      </c>
      <c r="AG19" s="138">
        <v>0.0</v>
      </c>
      <c r="AH19" s="138">
        <v>0.0</v>
      </c>
      <c r="AI19" s="138">
        <v>0.0</v>
      </c>
      <c r="AJ19" s="138">
        <v>0.0</v>
      </c>
      <c r="AK19" s="138">
        <v>-208781.8489</v>
      </c>
      <c r="AL19" s="138">
        <v>296008.9</v>
      </c>
      <c r="AM19" s="138">
        <v>272169.2</v>
      </c>
      <c r="AN19" s="138">
        <v>295103.4</v>
      </c>
      <c r="AO19" s="138">
        <v>0.0</v>
      </c>
      <c r="AP19" s="138">
        <v>293.36</v>
      </c>
      <c r="AQ19" s="138">
        <v>24.4803</v>
      </c>
      <c r="AR19" s="138">
        <v>0.0</v>
      </c>
      <c r="AS19" s="138">
        <v>0.0</v>
      </c>
      <c r="AT19" s="138">
        <v>0.0</v>
      </c>
      <c r="AU19" s="138">
        <v>0.0</v>
      </c>
      <c r="AV19" s="138">
        <v>587.6597</v>
      </c>
      <c r="AW19" s="138">
        <v>0.0</v>
      </c>
      <c r="AX19" s="138">
        <v>0.0</v>
      </c>
      <c r="AY19" s="138">
        <v>0.0</v>
      </c>
      <c r="AZ19" s="138">
        <v>0.0</v>
      </c>
      <c r="BA19" s="138">
        <v>0.0</v>
      </c>
      <c r="BB19" s="138">
        <v>0.0</v>
      </c>
      <c r="BC19" s="138">
        <v>0.0</v>
      </c>
      <c r="BD19" s="138">
        <v>0.0</v>
      </c>
      <c r="BE19" s="138">
        <v>0.0</v>
      </c>
      <c r="BF19" s="138">
        <v>0.0</v>
      </c>
      <c r="BG19" s="138">
        <v>0.0</v>
      </c>
      <c r="BH19" s="138">
        <v>0.0</v>
      </c>
      <c r="BI19" s="138">
        <v>0.0</v>
      </c>
      <c r="BJ19" s="138">
        <v>0.0</v>
      </c>
      <c r="BK19" s="138">
        <v>0.0</v>
      </c>
      <c r="BL19" s="138">
        <v>0.0</v>
      </c>
      <c r="BM19" s="138">
        <v>0.0</v>
      </c>
      <c r="BN19" s="138">
        <v>0.0</v>
      </c>
      <c r="BO19" s="138">
        <v>0.0</v>
      </c>
      <c r="BP19" s="138">
        <v>0.0</v>
      </c>
      <c r="BQ19" s="138">
        <v>0.0</v>
      </c>
      <c r="BR19" s="138">
        <v>0.0</v>
      </c>
      <c r="BS19" s="138">
        <v>0.0</v>
      </c>
      <c r="BT19" s="138">
        <v>93215.0</v>
      </c>
      <c r="BU19" s="138">
        <v>92838.8</v>
      </c>
      <c r="BV19" s="138">
        <v>91841.32</v>
      </c>
      <c r="BW19" s="138">
        <v>0.0</v>
      </c>
      <c r="BX19" s="138">
        <v>0.0</v>
      </c>
      <c r="BY19" s="138">
        <v>0.0</v>
      </c>
      <c r="BZ19" s="138">
        <v>0.0</v>
      </c>
      <c r="CA19" s="138">
        <v>0.0</v>
      </c>
      <c r="CB19" s="138">
        <v>0.0</v>
      </c>
      <c r="CC19" s="138">
        <v>0.0</v>
      </c>
      <c r="CD19" s="138">
        <v>1373.68</v>
      </c>
      <c r="CE19" s="138">
        <v>1167.0</v>
      </c>
      <c r="CF19" s="138">
        <v>835.0</v>
      </c>
      <c r="CG19" s="138">
        <v>944.56</v>
      </c>
      <c r="CH19" s="138">
        <v>0.0</v>
      </c>
      <c r="CI19" s="138">
        <v>0.0</v>
      </c>
      <c r="CJ19" s="138">
        <v>0.0</v>
      </c>
      <c r="CK19" s="138">
        <v>0.0</v>
      </c>
      <c r="CL19" s="138">
        <v>0.0</v>
      </c>
      <c r="CM19" s="138">
        <v>0.0</v>
      </c>
      <c r="CN19" s="138">
        <v>0.0</v>
      </c>
      <c r="CO19" s="138">
        <v>222.44</v>
      </c>
      <c r="CP19" s="138">
        <v>16.0</v>
      </c>
      <c r="CQ19" s="138">
        <v>16.0</v>
      </c>
      <c r="CR19" s="138">
        <v>90.0</v>
      </c>
      <c r="CS19" s="138">
        <v>0.0</v>
      </c>
      <c r="CT19" s="138">
        <v>0.0</v>
      </c>
      <c r="CU19" s="138">
        <v>0.0</v>
      </c>
      <c r="CV19" s="138">
        <v>0.0</v>
      </c>
      <c r="CW19" s="138">
        <v>0.0</v>
      </c>
      <c r="CX19" s="138">
        <v>0.0</v>
      </c>
      <c r="CY19" s="138">
        <v>0.0</v>
      </c>
      <c r="CZ19" s="138">
        <v>0.0</v>
      </c>
      <c r="DA19" s="138">
        <v>-74.0</v>
      </c>
      <c r="DB19" s="138">
        <v>0.0</v>
      </c>
      <c r="DC19" s="138">
        <v>0.0</v>
      </c>
      <c r="DD19" s="138">
        <v>14542.0</v>
      </c>
      <c r="DE19" s="138">
        <v>0.0</v>
      </c>
      <c r="DF19" s="138">
        <v>0.0</v>
      </c>
      <c r="DG19" s="138">
        <v>0.0</v>
      </c>
      <c r="DH19" s="138">
        <v>6870.0</v>
      </c>
      <c r="DI19" s="138">
        <v>1185.0</v>
      </c>
      <c r="DJ19" s="138">
        <v>95.5</v>
      </c>
      <c r="DK19" s="138">
        <v>0.0</v>
      </c>
      <c r="DL19" s="138">
        <v>0.0</v>
      </c>
      <c r="DM19" s="138">
        <v>-22692.5</v>
      </c>
      <c r="DN19" s="138">
        <v>75885.6498</v>
      </c>
      <c r="DO19" s="138">
        <v>103848.94</v>
      </c>
      <c r="DP19" s="138">
        <v>75885.6498</v>
      </c>
      <c r="DQ19" s="138">
        <v>82040.627</v>
      </c>
      <c r="DR19" s="138">
        <v>239592.16</v>
      </c>
      <c r="DS19" s="138">
        <v>82040.627</v>
      </c>
    </row>
    <row r="20">
      <c r="A20" s="134">
        <f t="shared" si="1"/>
        <v>46065</v>
      </c>
      <c r="B20" s="137">
        <v>25814.0</v>
      </c>
      <c r="C20" s="136">
        <v>24176.0</v>
      </c>
      <c r="D20" s="136">
        <v>22593.0</v>
      </c>
      <c r="E20" s="136">
        <v>2725.0</v>
      </c>
      <c r="F20" s="136">
        <v>695.0</v>
      </c>
      <c r="G20" s="136">
        <v>24367.0</v>
      </c>
      <c r="H20" s="136">
        <v>22016.0</v>
      </c>
      <c r="I20" s="136">
        <v>2629.0</v>
      </c>
      <c r="J20" s="136">
        <v>683.0</v>
      </c>
      <c r="K20" s="136">
        <v>23234.0</v>
      </c>
      <c r="L20" s="136">
        <v>-113061.0</v>
      </c>
      <c r="M20" s="136">
        <v>548736.0</v>
      </c>
      <c r="N20" s="136">
        <v>201.37</v>
      </c>
      <c r="P20" s="134">
        <f t="shared" si="2"/>
        <v>46065</v>
      </c>
      <c r="Q20" s="138">
        <v>-342543.8666</v>
      </c>
      <c r="R20" s="138">
        <v>548736.0</v>
      </c>
      <c r="S20" s="138">
        <v>661797.0</v>
      </c>
      <c r="T20" s="138">
        <v>2725.0</v>
      </c>
      <c r="U20" s="138">
        <v>695.0</v>
      </c>
      <c r="V20" s="138">
        <v>-113061.0</v>
      </c>
      <c r="W20" s="138">
        <v>0.0</v>
      </c>
      <c r="X20" s="138">
        <v>0.0</v>
      </c>
      <c r="Y20" s="138">
        <v>8522.88</v>
      </c>
      <c r="Z20" s="138">
        <v>-8522.88</v>
      </c>
      <c r="AA20" s="138">
        <v>8470815.88</v>
      </c>
      <c r="AB20" s="138">
        <v>7845280.325</v>
      </c>
      <c r="AC20" s="138">
        <v>8218021.297</v>
      </c>
      <c r="AD20" s="138">
        <v>565890.31</v>
      </c>
      <c r="AE20" s="138">
        <v>239.87</v>
      </c>
      <c r="AF20" s="138">
        <v>23.4398</v>
      </c>
      <c r="AG20" s="138">
        <v>0.0</v>
      </c>
      <c r="AH20" s="138">
        <v>0.0</v>
      </c>
      <c r="AI20" s="138">
        <v>0.0</v>
      </c>
      <c r="AJ20" s="138">
        <v>0.0</v>
      </c>
      <c r="AK20" s="138">
        <v>-313359.0366</v>
      </c>
      <c r="AL20" s="138">
        <v>131106.5</v>
      </c>
      <c r="AM20" s="138">
        <v>108323.2</v>
      </c>
      <c r="AN20" s="138">
        <v>127685.45</v>
      </c>
      <c r="AO20" s="138">
        <v>0.0</v>
      </c>
      <c r="AP20" s="138">
        <v>5.8</v>
      </c>
      <c r="AQ20" s="138">
        <v>0.01</v>
      </c>
      <c r="AR20" s="138">
        <v>0.0</v>
      </c>
      <c r="AS20" s="138">
        <v>0.0</v>
      </c>
      <c r="AT20" s="138">
        <v>0.0</v>
      </c>
      <c r="AU20" s="138">
        <v>0.0</v>
      </c>
      <c r="AV20" s="138">
        <v>3415.24</v>
      </c>
      <c r="AW20" s="138">
        <v>0.0</v>
      </c>
      <c r="AX20" s="138">
        <v>0.0</v>
      </c>
      <c r="AY20" s="138">
        <v>0.0</v>
      </c>
      <c r="AZ20" s="138">
        <v>0.0</v>
      </c>
      <c r="BA20" s="138">
        <v>0.0</v>
      </c>
      <c r="BB20" s="138">
        <v>0.0</v>
      </c>
      <c r="BC20" s="138">
        <v>0.0</v>
      </c>
      <c r="BD20" s="138">
        <v>0.0</v>
      </c>
      <c r="BE20" s="138">
        <v>0.0</v>
      </c>
      <c r="BF20" s="138">
        <v>0.0</v>
      </c>
      <c r="BG20" s="138">
        <v>0.0</v>
      </c>
      <c r="BH20" s="138">
        <v>0.0</v>
      </c>
      <c r="BI20" s="138">
        <v>0.0</v>
      </c>
      <c r="BJ20" s="138">
        <v>0.0</v>
      </c>
      <c r="BK20" s="138">
        <v>0.0</v>
      </c>
      <c r="BL20" s="138">
        <v>0.0</v>
      </c>
      <c r="BM20" s="138">
        <v>0.0</v>
      </c>
      <c r="BN20" s="138">
        <v>0.0</v>
      </c>
      <c r="BO20" s="138">
        <v>0.0</v>
      </c>
      <c r="BP20" s="138">
        <v>0.0</v>
      </c>
      <c r="BQ20" s="138">
        <v>0.0</v>
      </c>
      <c r="BR20" s="138">
        <v>0.0</v>
      </c>
      <c r="BS20" s="138">
        <v>0.0</v>
      </c>
      <c r="BT20" s="138">
        <v>123567.19</v>
      </c>
      <c r="BU20" s="138">
        <v>120080.19</v>
      </c>
      <c r="BV20" s="138">
        <v>122807.1</v>
      </c>
      <c r="BW20" s="138">
        <v>0.0</v>
      </c>
      <c r="BX20" s="138">
        <v>0.0</v>
      </c>
      <c r="BY20" s="138">
        <v>0.0</v>
      </c>
      <c r="BZ20" s="138">
        <v>0.0</v>
      </c>
      <c r="CA20" s="138">
        <v>0.0</v>
      </c>
      <c r="CB20" s="138">
        <v>0.0</v>
      </c>
      <c r="CC20" s="138">
        <v>0.0</v>
      </c>
      <c r="CD20" s="138">
        <v>760.09</v>
      </c>
      <c r="CE20" s="138">
        <v>3245.7</v>
      </c>
      <c r="CF20" s="138">
        <v>2121.7</v>
      </c>
      <c r="CG20" s="138">
        <v>2143.71</v>
      </c>
      <c r="CH20" s="138">
        <v>0.0</v>
      </c>
      <c r="CI20" s="138">
        <v>0.0</v>
      </c>
      <c r="CJ20" s="138">
        <v>0.0</v>
      </c>
      <c r="CK20" s="138">
        <v>0.0</v>
      </c>
      <c r="CL20" s="138">
        <v>0.0</v>
      </c>
      <c r="CM20" s="138">
        <v>0.0</v>
      </c>
      <c r="CN20" s="138">
        <v>0.0</v>
      </c>
      <c r="CO20" s="138">
        <v>1101.99</v>
      </c>
      <c r="CP20" s="138">
        <v>10.0</v>
      </c>
      <c r="CQ20" s="138">
        <v>10.0</v>
      </c>
      <c r="CR20" s="138">
        <v>0.0</v>
      </c>
      <c r="CS20" s="138">
        <v>0.0</v>
      </c>
      <c r="CT20" s="138">
        <v>0.0</v>
      </c>
      <c r="CU20" s="138">
        <v>0.0</v>
      </c>
      <c r="CV20" s="138">
        <v>0.0</v>
      </c>
      <c r="CW20" s="138">
        <v>0.0</v>
      </c>
      <c r="CX20" s="138">
        <v>0.0</v>
      </c>
      <c r="CY20" s="138">
        <v>0.0</v>
      </c>
      <c r="CZ20" s="138">
        <v>0.0</v>
      </c>
      <c r="DA20" s="138">
        <v>10.0</v>
      </c>
      <c r="DB20" s="138">
        <v>0.0</v>
      </c>
      <c r="DC20" s="138">
        <v>0.0</v>
      </c>
      <c r="DD20" s="138">
        <v>11342.07</v>
      </c>
      <c r="DE20" s="138">
        <v>0.0</v>
      </c>
      <c r="DF20" s="138">
        <v>0.0</v>
      </c>
      <c r="DG20" s="138">
        <v>0.0</v>
      </c>
      <c r="DH20" s="138">
        <v>13020.0</v>
      </c>
      <c r="DI20" s="138">
        <v>1585.0</v>
      </c>
      <c r="DJ20" s="138">
        <v>2.2</v>
      </c>
      <c r="DK20" s="138">
        <v>0.0</v>
      </c>
      <c r="DL20" s="138">
        <v>0.0</v>
      </c>
      <c r="DM20" s="138">
        <v>-25949.27</v>
      </c>
      <c r="DN20" s="138">
        <v>4859.3</v>
      </c>
      <c r="DO20" s="138">
        <v>0.0</v>
      </c>
      <c r="DP20" s="138">
        <v>4859.3</v>
      </c>
      <c r="DQ20" s="138">
        <v>75885.6498</v>
      </c>
      <c r="DR20" s="138">
        <v>103848.94</v>
      </c>
      <c r="DS20" s="138">
        <v>75885.6498</v>
      </c>
    </row>
    <row r="21">
      <c r="A21" s="134">
        <f t="shared" si="1"/>
        <v>46064</v>
      </c>
      <c r="B21" s="135">
        <v>1538.0</v>
      </c>
      <c r="C21" s="136">
        <v>1158.0</v>
      </c>
      <c r="D21" s="136">
        <v>980.0</v>
      </c>
      <c r="E21" s="136">
        <v>294.0</v>
      </c>
      <c r="F21" s="136">
        <v>57.0</v>
      </c>
      <c r="G21" s="136">
        <v>1156.0</v>
      </c>
      <c r="H21" s="136">
        <v>980.0</v>
      </c>
      <c r="I21" s="136">
        <v>294.0</v>
      </c>
      <c r="J21" s="136">
        <v>57.0</v>
      </c>
      <c r="K21" s="136">
        <v>1155.0</v>
      </c>
      <c r="L21" s="136">
        <v>17398.0</v>
      </c>
      <c r="M21" s="136">
        <v>50713.0</v>
      </c>
      <c r="N21" s="136">
        <v>172.49</v>
      </c>
      <c r="P21" s="134">
        <f t="shared" si="2"/>
        <v>46064</v>
      </c>
      <c r="Q21" s="138">
        <v>-45329.415</v>
      </c>
      <c r="R21" s="138">
        <v>50713.0</v>
      </c>
      <c r="S21" s="138">
        <v>33315.0</v>
      </c>
      <c r="T21" s="138">
        <v>294.0</v>
      </c>
      <c r="U21" s="138">
        <v>57.0</v>
      </c>
      <c r="V21" s="138">
        <v>17398.0</v>
      </c>
      <c r="W21" s="138">
        <v>0.0</v>
      </c>
      <c r="X21" s="138">
        <v>0.0</v>
      </c>
      <c r="Y21" s="138">
        <v>1090.7</v>
      </c>
      <c r="Z21" s="138">
        <v>-1090.7</v>
      </c>
      <c r="AA21" s="138">
        <v>446896.25</v>
      </c>
      <c r="AB21" s="138">
        <v>418209.605</v>
      </c>
      <c r="AC21" s="138">
        <v>449947.715</v>
      </c>
      <c r="AD21" s="138">
        <v>39976.55</v>
      </c>
      <c r="AE21" s="138">
        <v>0.0</v>
      </c>
      <c r="AF21" s="138">
        <v>0.0</v>
      </c>
      <c r="AG21" s="138">
        <v>0.0</v>
      </c>
      <c r="AH21" s="138">
        <v>0.0</v>
      </c>
      <c r="AI21" s="138">
        <v>0.0</v>
      </c>
      <c r="AJ21" s="138">
        <v>0.0</v>
      </c>
      <c r="AK21" s="138">
        <v>-43028.015</v>
      </c>
      <c r="AL21" s="138">
        <v>3620.0</v>
      </c>
      <c r="AM21" s="138">
        <v>3045.0</v>
      </c>
      <c r="AN21" s="138">
        <v>3345.0</v>
      </c>
      <c r="AO21" s="138">
        <v>0.0</v>
      </c>
      <c r="AP21" s="138">
        <v>0.0</v>
      </c>
      <c r="AQ21" s="138">
        <v>0.0</v>
      </c>
      <c r="AR21" s="138">
        <v>0.0</v>
      </c>
      <c r="AS21" s="138">
        <v>0.0</v>
      </c>
      <c r="AT21" s="138">
        <v>0.0</v>
      </c>
      <c r="AU21" s="138">
        <v>0.0</v>
      </c>
      <c r="AV21" s="138">
        <v>275.0</v>
      </c>
      <c r="AW21" s="138">
        <v>0.0</v>
      </c>
      <c r="AX21" s="138">
        <v>0.0</v>
      </c>
      <c r="AY21" s="138">
        <v>0.0</v>
      </c>
      <c r="AZ21" s="138">
        <v>0.0</v>
      </c>
      <c r="BA21" s="138">
        <v>0.0</v>
      </c>
      <c r="BB21" s="138">
        <v>0.0</v>
      </c>
      <c r="BC21" s="138">
        <v>0.0</v>
      </c>
      <c r="BD21" s="138">
        <v>0.0</v>
      </c>
      <c r="BE21" s="138">
        <v>0.0</v>
      </c>
      <c r="BF21" s="138">
        <v>0.0</v>
      </c>
      <c r="BG21" s="138">
        <v>0.0</v>
      </c>
      <c r="BH21" s="138">
        <v>0.0</v>
      </c>
      <c r="BI21" s="138">
        <v>5.0</v>
      </c>
      <c r="BJ21" s="138">
        <v>2.5</v>
      </c>
      <c r="BK21" s="138">
        <v>0.0</v>
      </c>
      <c r="BL21" s="138">
        <v>0.0</v>
      </c>
      <c r="BM21" s="138">
        <v>0.0</v>
      </c>
      <c r="BN21" s="138">
        <v>0.0</v>
      </c>
      <c r="BO21" s="138">
        <v>0.0</v>
      </c>
      <c r="BP21" s="138">
        <v>0.0</v>
      </c>
      <c r="BQ21" s="138">
        <v>0.0</v>
      </c>
      <c r="BR21" s="138">
        <v>0.0</v>
      </c>
      <c r="BS21" s="138">
        <v>5.0</v>
      </c>
      <c r="BT21" s="138">
        <v>4127.8</v>
      </c>
      <c r="BU21" s="138">
        <v>4127.8</v>
      </c>
      <c r="BV21" s="138">
        <v>3937.0</v>
      </c>
      <c r="BW21" s="138">
        <v>0.0</v>
      </c>
      <c r="BX21" s="138">
        <v>0.0</v>
      </c>
      <c r="BY21" s="138">
        <v>0.0</v>
      </c>
      <c r="BZ21" s="138">
        <v>0.0</v>
      </c>
      <c r="CA21" s="138">
        <v>0.0</v>
      </c>
      <c r="CB21" s="138">
        <v>0.0</v>
      </c>
      <c r="CC21" s="138">
        <v>0.0</v>
      </c>
      <c r="CD21" s="138">
        <v>190.8</v>
      </c>
      <c r="CE21" s="138">
        <v>0.0</v>
      </c>
      <c r="CF21" s="138">
        <v>0.0</v>
      </c>
      <c r="CG21" s="138">
        <v>0.0</v>
      </c>
      <c r="CH21" s="138">
        <v>0.0</v>
      </c>
      <c r="CI21" s="138">
        <v>0.0</v>
      </c>
      <c r="CJ21" s="138">
        <v>0.0</v>
      </c>
      <c r="CK21" s="138">
        <v>0.0</v>
      </c>
      <c r="CL21" s="138">
        <v>0.0</v>
      </c>
      <c r="CM21" s="138">
        <v>0.0</v>
      </c>
      <c r="CN21" s="138">
        <v>0.0</v>
      </c>
      <c r="CO21" s="138">
        <v>0.0</v>
      </c>
      <c r="CP21" s="138">
        <v>0.0</v>
      </c>
      <c r="CQ21" s="138">
        <v>0.0</v>
      </c>
      <c r="CR21" s="138">
        <v>0.0</v>
      </c>
      <c r="CS21" s="138">
        <v>0.0</v>
      </c>
      <c r="CT21" s="138">
        <v>0.0</v>
      </c>
      <c r="CU21" s="138">
        <v>0.0</v>
      </c>
      <c r="CV21" s="138">
        <v>0.0</v>
      </c>
      <c r="CW21" s="138">
        <v>0.0</v>
      </c>
      <c r="CX21" s="138">
        <v>0.0</v>
      </c>
      <c r="CY21" s="138">
        <v>0.0</v>
      </c>
      <c r="CZ21" s="138">
        <v>0.0</v>
      </c>
      <c r="DA21" s="138">
        <v>0.0</v>
      </c>
      <c r="DB21" s="138">
        <v>0.0</v>
      </c>
      <c r="DC21" s="138">
        <v>0.0</v>
      </c>
      <c r="DD21" s="138">
        <v>1361.5</v>
      </c>
      <c r="DE21" s="138">
        <v>0.0</v>
      </c>
      <c r="DF21" s="138">
        <v>0.0</v>
      </c>
      <c r="DG21" s="138">
        <v>0.0</v>
      </c>
      <c r="DH21" s="138">
        <v>300.0</v>
      </c>
      <c r="DI21" s="138">
        <v>20.0</v>
      </c>
      <c r="DJ21" s="138">
        <v>0.0</v>
      </c>
      <c r="DK21" s="138">
        <v>0.0</v>
      </c>
      <c r="DL21" s="138">
        <v>0.0</v>
      </c>
      <c r="DM21" s="138">
        <v>-1681.5</v>
      </c>
      <c r="DN21" s="138">
        <v>619.0</v>
      </c>
      <c r="DO21" s="138">
        <v>0.0</v>
      </c>
      <c r="DP21" s="138">
        <v>619.0</v>
      </c>
      <c r="DQ21" s="138">
        <v>4859.3</v>
      </c>
      <c r="DR21" s="138">
        <v>0.0</v>
      </c>
      <c r="DS21" s="138">
        <v>4859.3</v>
      </c>
    </row>
    <row r="22">
      <c r="A22" s="134">
        <f t="shared" si="1"/>
        <v>46063</v>
      </c>
      <c r="B22" s="135">
        <v>16.0</v>
      </c>
      <c r="C22" s="136">
        <v>4.0</v>
      </c>
      <c r="D22" s="136">
        <v>0.0</v>
      </c>
      <c r="E22" s="136">
        <v>0.0</v>
      </c>
      <c r="F22" s="136">
        <v>0.0</v>
      </c>
      <c r="G22" s="136">
        <v>1.0</v>
      </c>
      <c r="H22" s="136">
        <v>0.0</v>
      </c>
      <c r="I22" s="136">
        <v>0.0</v>
      </c>
      <c r="J22" s="136">
        <v>0.0</v>
      </c>
      <c r="K22" s="136">
        <v>3.0</v>
      </c>
      <c r="L22" s="136">
        <v>0.0</v>
      </c>
      <c r="M22" s="136">
        <v>0.0</v>
      </c>
      <c r="N22" s="136">
        <v>0.0</v>
      </c>
      <c r="P22" s="134">
        <f t="shared" si="2"/>
        <v>46063</v>
      </c>
      <c r="Q22" s="138">
        <v>-39.0</v>
      </c>
      <c r="R22" s="138">
        <v>0.0</v>
      </c>
      <c r="S22" s="138">
        <v>0.0</v>
      </c>
      <c r="T22" s="138">
        <v>0.0</v>
      </c>
      <c r="U22" s="138">
        <v>0.0</v>
      </c>
      <c r="V22" s="138">
        <v>0.0</v>
      </c>
      <c r="W22" s="138">
        <v>0.0</v>
      </c>
      <c r="X22" s="138">
        <v>0.0</v>
      </c>
      <c r="Y22" s="138">
        <v>0.0</v>
      </c>
      <c r="Z22" s="138">
        <v>0.0</v>
      </c>
      <c r="AA22" s="138">
        <v>0.0</v>
      </c>
      <c r="AB22" s="138">
        <v>0.0</v>
      </c>
      <c r="AC22" s="138">
        <v>0.0</v>
      </c>
      <c r="AD22" s="138">
        <v>8.0</v>
      </c>
      <c r="AE22" s="138">
        <v>0.0</v>
      </c>
      <c r="AF22" s="138">
        <v>0.0</v>
      </c>
      <c r="AG22" s="138">
        <v>0.0</v>
      </c>
      <c r="AH22" s="138">
        <v>0.0</v>
      </c>
      <c r="AI22" s="138">
        <v>0.0</v>
      </c>
      <c r="AJ22" s="138">
        <v>0.0</v>
      </c>
      <c r="AK22" s="138">
        <v>-8.0</v>
      </c>
      <c r="AL22" s="138">
        <v>0.0</v>
      </c>
      <c r="AM22" s="138">
        <v>0.0</v>
      </c>
      <c r="AN22" s="138">
        <v>0.0</v>
      </c>
      <c r="AO22" s="138">
        <v>0.0</v>
      </c>
      <c r="AP22" s="138">
        <v>0.0</v>
      </c>
      <c r="AQ22" s="138">
        <v>0.0</v>
      </c>
      <c r="AR22" s="138">
        <v>0.0</v>
      </c>
      <c r="AS22" s="138">
        <v>0.0</v>
      </c>
      <c r="AT22" s="138">
        <v>0.0</v>
      </c>
      <c r="AU22" s="138">
        <v>0.0</v>
      </c>
      <c r="AV22" s="138">
        <v>0.0</v>
      </c>
      <c r="AW22" s="138">
        <v>0.0</v>
      </c>
      <c r="AX22" s="138">
        <v>0.0</v>
      </c>
      <c r="AY22" s="138">
        <v>0.0</v>
      </c>
      <c r="AZ22" s="138">
        <v>0.0</v>
      </c>
      <c r="BA22" s="138">
        <v>0.0</v>
      </c>
      <c r="BB22" s="138">
        <v>0.0</v>
      </c>
      <c r="BC22" s="138">
        <v>0.0</v>
      </c>
      <c r="BD22" s="138">
        <v>0.0</v>
      </c>
      <c r="BE22" s="138">
        <v>0.0</v>
      </c>
      <c r="BF22" s="138">
        <v>0.0</v>
      </c>
      <c r="BG22" s="138">
        <v>0.0</v>
      </c>
      <c r="BH22" s="138">
        <v>0.0</v>
      </c>
      <c r="BI22" s="138">
        <v>0.0</v>
      </c>
      <c r="BJ22" s="138">
        <v>0.0</v>
      </c>
      <c r="BK22" s="138">
        <v>0.0</v>
      </c>
      <c r="BL22" s="138">
        <v>0.0</v>
      </c>
      <c r="BM22" s="138">
        <v>0.0</v>
      </c>
      <c r="BN22" s="138">
        <v>0.0</v>
      </c>
      <c r="BO22" s="138">
        <v>0.0</v>
      </c>
      <c r="BP22" s="138">
        <v>0.0</v>
      </c>
      <c r="BQ22" s="138">
        <v>0.0</v>
      </c>
      <c r="BR22" s="138">
        <v>0.0</v>
      </c>
      <c r="BS22" s="138">
        <v>0.0</v>
      </c>
      <c r="BT22" s="138">
        <v>0.0</v>
      </c>
      <c r="BU22" s="138">
        <v>0.0</v>
      </c>
      <c r="BV22" s="138">
        <v>0.0</v>
      </c>
      <c r="BW22" s="138">
        <v>0.0</v>
      </c>
      <c r="BX22" s="138">
        <v>0.0</v>
      </c>
      <c r="BY22" s="138">
        <v>0.0</v>
      </c>
      <c r="BZ22" s="138">
        <v>0.0</v>
      </c>
      <c r="CA22" s="138">
        <v>0.0</v>
      </c>
      <c r="CB22" s="138">
        <v>0.0</v>
      </c>
      <c r="CC22" s="138">
        <v>0.0</v>
      </c>
      <c r="CD22" s="138">
        <v>0.0</v>
      </c>
      <c r="CE22" s="138">
        <v>0.0</v>
      </c>
      <c r="CF22" s="138">
        <v>0.0</v>
      </c>
      <c r="CG22" s="138">
        <v>0.0</v>
      </c>
      <c r="CH22" s="138">
        <v>0.0</v>
      </c>
      <c r="CI22" s="138">
        <v>0.0</v>
      </c>
      <c r="CJ22" s="138">
        <v>0.0</v>
      </c>
      <c r="CK22" s="138">
        <v>0.0</v>
      </c>
      <c r="CL22" s="138">
        <v>0.0</v>
      </c>
      <c r="CM22" s="138">
        <v>0.0</v>
      </c>
      <c r="CN22" s="138">
        <v>0.0</v>
      </c>
      <c r="CO22" s="138">
        <v>0.0</v>
      </c>
      <c r="CP22" s="138">
        <v>0.0</v>
      </c>
      <c r="CQ22" s="138">
        <v>0.0</v>
      </c>
      <c r="CR22" s="138">
        <v>0.0</v>
      </c>
      <c r="CS22" s="138">
        <v>0.0</v>
      </c>
      <c r="CT22" s="138">
        <v>0.0</v>
      </c>
      <c r="CU22" s="138">
        <v>0.0</v>
      </c>
      <c r="CV22" s="138">
        <v>0.0</v>
      </c>
      <c r="CW22" s="138">
        <v>0.0</v>
      </c>
      <c r="CX22" s="138">
        <v>0.0</v>
      </c>
      <c r="CY22" s="138">
        <v>0.0</v>
      </c>
      <c r="CZ22" s="138">
        <v>0.0</v>
      </c>
      <c r="DA22" s="138">
        <v>0.0</v>
      </c>
      <c r="DB22" s="138">
        <v>0.0</v>
      </c>
      <c r="DC22" s="138">
        <v>0.0</v>
      </c>
      <c r="DD22" s="138">
        <v>31.0</v>
      </c>
      <c r="DE22" s="138">
        <v>0.0</v>
      </c>
      <c r="DF22" s="138">
        <v>0.0</v>
      </c>
      <c r="DG22" s="138">
        <v>0.0</v>
      </c>
      <c r="DH22" s="138">
        <v>0.0</v>
      </c>
      <c r="DI22" s="138">
        <v>0.0</v>
      </c>
      <c r="DJ22" s="138">
        <v>0.0</v>
      </c>
      <c r="DK22" s="138">
        <v>0.0</v>
      </c>
      <c r="DL22" s="138">
        <v>0.0</v>
      </c>
      <c r="DM22" s="138">
        <v>-31.0</v>
      </c>
      <c r="DN22" s="138">
        <v>0.0</v>
      </c>
      <c r="DO22" s="138">
        <v>0.0</v>
      </c>
      <c r="DP22" s="138">
        <v>0.0</v>
      </c>
      <c r="DQ22" s="138">
        <v>619.0</v>
      </c>
      <c r="DR22" s="138">
        <v>0.0</v>
      </c>
      <c r="DS22" s="138">
        <v>619.0</v>
      </c>
    </row>
    <row r="23">
      <c r="A23" s="134">
        <f t="shared" si="1"/>
        <v>46062</v>
      </c>
      <c r="B23" s="137"/>
      <c r="C23" s="136"/>
      <c r="D23" s="136"/>
      <c r="E23" s="136"/>
      <c r="F23" s="136"/>
      <c r="G23" s="136"/>
      <c r="H23" s="136"/>
      <c r="I23" s="136"/>
      <c r="J23" s="136"/>
      <c r="K23" s="136"/>
      <c r="L23" s="136"/>
      <c r="M23" s="136"/>
      <c r="N23" s="136"/>
      <c r="P23" s="134">
        <f t="shared" si="2"/>
        <v>46062</v>
      </c>
      <c r="Q23" s="138"/>
      <c r="R23" s="138"/>
      <c r="S23" s="138"/>
      <c r="T23" s="138"/>
      <c r="U23" s="138"/>
      <c r="V23" s="138"/>
      <c r="W23" s="138"/>
      <c r="X23" s="138"/>
      <c r="Y23" s="138"/>
      <c r="Z23" s="138"/>
      <c r="AA23" s="138"/>
      <c r="AB23" s="138"/>
      <c r="AC23" s="138"/>
      <c r="AD23" s="138"/>
      <c r="AE23" s="138"/>
      <c r="AF23" s="138"/>
      <c r="AG23" s="138"/>
      <c r="AH23" s="138"/>
      <c r="AI23" s="138"/>
      <c r="AJ23" s="138"/>
      <c r="AK23" s="138"/>
      <c r="AL23" s="138"/>
      <c r="AM23" s="138"/>
      <c r="AN23" s="138"/>
      <c r="AO23" s="138"/>
      <c r="AP23" s="138"/>
      <c r="AQ23" s="138"/>
      <c r="AR23" s="138"/>
      <c r="AS23" s="138"/>
      <c r="AT23" s="138"/>
      <c r="AU23" s="138"/>
      <c r="AV23" s="138"/>
      <c r="AW23" s="138"/>
      <c r="AX23" s="138"/>
      <c r="AY23" s="138"/>
      <c r="AZ23" s="138"/>
      <c r="BA23" s="138"/>
      <c r="BB23" s="138"/>
      <c r="BC23" s="138"/>
      <c r="BD23" s="138"/>
      <c r="BE23" s="138"/>
      <c r="BF23" s="138"/>
      <c r="BG23" s="138"/>
      <c r="BH23" s="138"/>
      <c r="BI23" s="138"/>
      <c r="BJ23" s="138"/>
      <c r="BK23" s="138"/>
      <c r="BL23" s="138"/>
      <c r="BM23" s="138"/>
      <c r="BN23" s="138"/>
      <c r="BO23" s="138"/>
      <c r="BP23" s="138"/>
      <c r="BQ23" s="138"/>
      <c r="BR23" s="138"/>
      <c r="BS23" s="138"/>
      <c r="BT23" s="138"/>
      <c r="BU23" s="138"/>
      <c r="BV23" s="138"/>
      <c r="BW23" s="138"/>
      <c r="BX23" s="138"/>
      <c r="BY23" s="138"/>
      <c r="BZ23" s="138"/>
      <c r="CA23" s="138"/>
      <c r="CB23" s="138"/>
      <c r="CC23" s="138"/>
      <c r="CD23" s="138"/>
      <c r="CE23" s="138"/>
      <c r="CF23" s="138"/>
      <c r="CG23" s="138"/>
      <c r="CH23" s="138"/>
      <c r="CI23" s="138"/>
      <c r="CJ23" s="138"/>
      <c r="CK23" s="138"/>
      <c r="CL23" s="138"/>
      <c r="CM23" s="138"/>
      <c r="CN23" s="138"/>
      <c r="CO23" s="138"/>
      <c r="CP23" s="138"/>
      <c r="CQ23" s="138"/>
      <c r="CR23" s="138"/>
      <c r="CS23" s="138"/>
      <c r="CT23" s="138"/>
      <c r="CU23" s="138"/>
      <c r="CV23" s="138"/>
      <c r="CW23" s="138"/>
      <c r="CX23" s="138"/>
      <c r="CY23" s="138"/>
      <c r="CZ23" s="138"/>
      <c r="DA23" s="138"/>
      <c r="DB23" s="138"/>
      <c r="DC23" s="138"/>
      <c r="DD23" s="138"/>
      <c r="DE23" s="138"/>
      <c r="DF23" s="138"/>
      <c r="DG23" s="138"/>
      <c r="DH23" s="138"/>
      <c r="DI23" s="138"/>
      <c r="DJ23" s="138"/>
      <c r="DK23" s="138"/>
      <c r="DL23" s="138"/>
      <c r="DM23" s="138"/>
      <c r="DN23" s="138"/>
      <c r="DO23" s="138"/>
      <c r="DP23" s="138"/>
      <c r="DQ23" s="138"/>
      <c r="DR23" s="138"/>
      <c r="DS23" s="138"/>
    </row>
    <row r="24">
      <c r="A24" s="134">
        <f t="shared" si="1"/>
        <v>46061</v>
      </c>
      <c r="B24" s="135"/>
      <c r="C24" s="136"/>
      <c r="D24" s="136"/>
      <c r="E24" s="136"/>
      <c r="F24" s="136"/>
      <c r="G24" s="136"/>
      <c r="H24" s="136"/>
      <c r="I24" s="136"/>
      <c r="J24" s="136"/>
      <c r="K24" s="136"/>
      <c r="L24" s="136"/>
      <c r="M24" s="136"/>
      <c r="N24" s="136"/>
      <c r="P24" s="134">
        <f t="shared" si="2"/>
        <v>46061</v>
      </c>
      <c r="Q24" s="138"/>
      <c r="R24" s="138"/>
      <c r="S24" s="138"/>
      <c r="T24" s="138"/>
      <c r="U24" s="138"/>
      <c r="V24" s="138"/>
      <c r="W24" s="138"/>
      <c r="X24" s="138"/>
      <c r="Y24" s="138"/>
      <c r="Z24" s="138"/>
      <c r="AA24" s="138"/>
      <c r="AB24" s="138"/>
      <c r="AC24" s="138"/>
      <c r="AD24" s="138"/>
      <c r="AE24" s="138"/>
      <c r="AF24" s="138"/>
      <c r="AG24" s="138"/>
      <c r="AH24" s="138"/>
      <c r="AI24" s="138"/>
      <c r="AJ24" s="138"/>
      <c r="AK24" s="138"/>
      <c r="AL24" s="138"/>
      <c r="AM24" s="138"/>
      <c r="AN24" s="138"/>
      <c r="AO24" s="138"/>
      <c r="AP24" s="138"/>
      <c r="AQ24" s="138"/>
      <c r="AR24" s="138"/>
      <c r="AS24" s="138"/>
      <c r="AT24" s="138"/>
      <c r="AU24" s="138"/>
      <c r="AV24" s="138"/>
      <c r="AW24" s="138"/>
      <c r="AX24" s="138"/>
      <c r="AY24" s="138"/>
      <c r="AZ24" s="138"/>
      <c r="BA24" s="138"/>
      <c r="BB24" s="138"/>
      <c r="BC24" s="138"/>
      <c r="BD24" s="138"/>
      <c r="BE24" s="138"/>
      <c r="BF24" s="138"/>
      <c r="BG24" s="138"/>
      <c r="BH24" s="138"/>
      <c r="BI24" s="138"/>
      <c r="BJ24" s="138"/>
      <c r="BK24" s="138"/>
      <c r="BL24" s="138"/>
      <c r="BM24" s="138"/>
      <c r="BN24" s="138"/>
      <c r="BO24" s="138"/>
      <c r="BP24" s="138"/>
      <c r="BQ24" s="138"/>
      <c r="BR24" s="138"/>
      <c r="BS24" s="138"/>
      <c r="BT24" s="138"/>
      <c r="BU24" s="138"/>
      <c r="BV24" s="138"/>
      <c r="BW24" s="138"/>
      <c r="BX24" s="138"/>
      <c r="BY24" s="138"/>
      <c r="BZ24" s="138"/>
      <c r="CA24" s="138"/>
      <c r="CB24" s="138"/>
      <c r="CC24" s="138"/>
      <c r="CD24" s="138"/>
      <c r="CE24" s="138"/>
      <c r="CF24" s="138"/>
      <c r="CG24" s="138"/>
      <c r="CH24" s="138"/>
      <c r="CI24" s="138"/>
      <c r="CJ24" s="138"/>
      <c r="CK24" s="138"/>
      <c r="CL24" s="138"/>
      <c r="CM24" s="138"/>
      <c r="CN24" s="138"/>
      <c r="CO24" s="138"/>
      <c r="CP24" s="138"/>
      <c r="CQ24" s="138"/>
      <c r="CR24" s="138"/>
      <c r="CS24" s="138"/>
      <c r="CT24" s="138"/>
      <c r="CU24" s="138"/>
      <c r="CV24" s="138"/>
      <c r="CW24" s="138"/>
      <c r="CX24" s="138"/>
      <c r="CY24" s="138"/>
      <c r="CZ24" s="138"/>
      <c r="DA24" s="138"/>
      <c r="DB24" s="138"/>
      <c r="DC24" s="138"/>
      <c r="DD24" s="138"/>
      <c r="DE24" s="138"/>
      <c r="DF24" s="138"/>
      <c r="DG24" s="138"/>
      <c r="DH24" s="138"/>
      <c r="DI24" s="138"/>
      <c r="DJ24" s="138"/>
      <c r="DK24" s="138"/>
      <c r="DL24" s="138"/>
      <c r="DM24" s="138"/>
      <c r="DN24" s="138"/>
      <c r="DO24" s="138"/>
      <c r="DP24" s="138"/>
      <c r="DQ24" s="138"/>
      <c r="DR24" s="138"/>
      <c r="DS24" s="138"/>
    </row>
    <row r="25">
      <c r="A25" s="134">
        <f t="shared" si="1"/>
        <v>46060</v>
      </c>
      <c r="B25" s="135"/>
      <c r="C25" s="136"/>
      <c r="D25" s="136"/>
      <c r="E25" s="136"/>
      <c r="F25" s="136"/>
      <c r="G25" s="136"/>
      <c r="H25" s="136"/>
      <c r="I25" s="136"/>
      <c r="J25" s="136"/>
      <c r="K25" s="136"/>
      <c r="L25" s="136"/>
      <c r="M25" s="136"/>
      <c r="N25" s="136"/>
      <c r="P25" s="134">
        <f t="shared" si="2"/>
        <v>46060</v>
      </c>
      <c r="Q25" s="138"/>
      <c r="R25" s="138"/>
      <c r="S25" s="138"/>
      <c r="T25" s="138"/>
      <c r="U25" s="138"/>
      <c r="V25" s="138"/>
      <c r="W25" s="138"/>
      <c r="X25" s="138"/>
      <c r="Y25" s="138"/>
      <c r="Z25" s="138"/>
      <c r="AA25" s="138"/>
      <c r="AB25" s="138"/>
      <c r="AC25" s="138"/>
      <c r="AD25" s="138"/>
      <c r="AE25" s="138"/>
      <c r="AF25" s="138"/>
      <c r="AG25" s="138"/>
      <c r="AH25" s="138"/>
      <c r="AI25" s="138"/>
      <c r="AJ25" s="138"/>
      <c r="AK25" s="138"/>
      <c r="AL25" s="138"/>
      <c r="AM25" s="138"/>
      <c r="AN25" s="138"/>
      <c r="AO25" s="138"/>
      <c r="AP25" s="138"/>
      <c r="AQ25" s="138"/>
      <c r="AR25" s="138"/>
      <c r="AS25" s="138"/>
      <c r="AT25" s="138"/>
      <c r="AU25" s="138"/>
      <c r="AV25" s="138"/>
      <c r="AW25" s="138"/>
      <c r="AX25" s="138"/>
      <c r="AY25" s="138"/>
      <c r="AZ25" s="138"/>
      <c r="BA25" s="138"/>
      <c r="BB25" s="138"/>
      <c r="BC25" s="138"/>
      <c r="BD25" s="138"/>
      <c r="BE25" s="138"/>
      <c r="BF25" s="138"/>
      <c r="BG25" s="138"/>
      <c r="BH25" s="138"/>
      <c r="BI25" s="138"/>
      <c r="BJ25" s="138"/>
      <c r="BK25" s="138"/>
      <c r="BL25" s="138"/>
      <c r="BM25" s="138"/>
      <c r="BN25" s="138"/>
      <c r="BO25" s="138"/>
      <c r="BP25" s="138"/>
      <c r="BQ25" s="138"/>
      <c r="BR25" s="138"/>
      <c r="BS25" s="138"/>
      <c r="BT25" s="138"/>
      <c r="BU25" s="138"/>
      <c r="BV25" s="138"/>
      <c r="BW25" s="138"/>
      <c r="BX25" s="138"/>
      <c r="BY25" s="138"/>
      <c r="BZ25" s="138"/>
      <c r="CA25" s="138"/>
      <c r="CB25" s="138"/>
      <c r="CC25" s="138"/>
      <c r="CD25" s="138"/>
      <c r="CE25" s="138"/>
      <c r="CF25" s="138"/>
      <c r="CG25" s="138"/>
      <c r="CH25" s="138"/>
      <c r="CI25" s="138"/>
      <c r="CJ25" s="138"/>
      <c r="CK25" s="138"/>
      <c r="CL25" s="138"/>
      <c r="CM25" s="138"/>
      <c r="CN25" s="138"/>
      <c r="CO25" s="138"/>
      <c r="CP25" s="138"/>
      <c r="CQ25" s="138"/>
      <c r="CR25" s="138"/>
      <c r="CS25" s="138"/>
      <c r="CT25" s="138"/>
      <c r="CU25" s="138"/>
      <c r="CV25" s="138"/>
      <c r="CW25" s="138"/>
      <c r="CX25" s="138"/>
      <c r="CY25" s="138"/>
      <c r="CZ25" s="138"/>
      <c r="DA25" s="138"/>
      <c r="DB25" s="138"/>
      <c r="DC25" s="138"/>
      <c r="DD25" s="138"/>
      <c r="DE25" s="138"/>
      <c r="DF25" s="138"/>
      <c r="DG25" s="138"/>
      <c r="DH25" s="138"/>
      <c r="DI25" s="138"/>
      <c r="DJ25" s="138"/>
      <c r="DK25" s="138"/>
      <c r="DL25" s="138"/>
      <c r="DM25" s="138"/>
      <c r="DN25" s="138"/>
      <c r="DO25" s="138"/>
      <c r="DP25" s="138"/>
      <c r="DQ25" s="138"/>
      <c r="DR25" s="138"/>
      <c r="DS25" s="138"/>
    </row>
    <row r="26">
      <c r="A26" s="134">
        <f t="shared" si="1"/>
        <v>46059</v>
      </c>
      <c r="B26" s="137"/>
      <c r="C26" s="136"/>
      <c r="D26" s="136"/>
      <c r="E26" s="136"/>
      <c r="F26" s="136"/>
      <c r="G26" s="136"/>
      <c r="H26" s="136"/>
      <c r="I26" s="136"/>
      <c r="J26" s="136"/>
      <c r="K26" s="136"/>
      <c r="L26" s="136"/>
      <c r="M26" s="136"/>
      <c r="N26" s="136"/>
      <c r="P26" s="134">
        <f t="shared" si="2"/>
        <v>46059</v>
      </c>
      <c r="Q26" s="138"/>
      <c r="R26" s="138"/>
      <c r="S26" s="138"/>
      <c r="T26" s="138"/>
      <c r="U26" s="138"/>
      <c r="V26" s="138"/>
      <c r="W26" s="138"/>
      <c r="X26" s="138"/>
      <c r="Y26" s="138"/>
      <c r="Z26" s="138"/>
      <c r="AA26" s="138"/>
      <c r="AB26" s="138"/>
      <c r="AC26" s="138"/>
      <c r="AD26" s="138"/>
      <c r="AE26" s="138"/>
      <c r="AF26" s="138"/>
      <c r="AG26" s="138"/>
      <c r="AH26" s="138"/>
      <c r="AI26" s="138"/>
      <c r="AJ26" s="138"/>
      <c r="AK26" s="138"/>
      <c r="AL26" s="138"/>
      <c r="AM26" s="138"/>
      <c r="AN26" s="138"/>
      <c r="AO26" s="138"/>
      <c r="AP26" s="138"/>
      <c r="AQ26" s="138"/>
      <c r="AR26" s="138"/>
      <c r="AS26" s="138"/>
      <c r="AT26" s="138"/>
      <c r="AU26" s="138"/>
      <c r="AV26" s="138"/>
      <c r="AW26" s="138"/>
      <c r="AX26" s="138"/>
      <c r="AY26" s="138"/>
      <c r="AZ26" s="138"/>
      <c r="BA26" s="138"/>
      <c r="BB26" s="138"/>
      <c r="BC26" s="138"/>
      <c r="BD26" s="138"/>
      <c r="BE26" s="138"/>
      <c r="BF26" s="138"/>
      <c r="BG26" s="138"/>
      <c r="BH26" s="138"/>
      <c r="BI26" s="138"/>
      <c r="BJ26" s="138"/>
      <c r="BK26" s="138"/>
      <c r="BL26" s="138"/>
      <c r="BM26" s="138"/>
      <c r="BN26" s="138"/>
      <c r="BO26" s="138"/>
      <c r="BP26" s="138"/>
      <c r="BQ26" s="138"/>
      <c r="BR26" s="138"/>
      <c r="BS26" s="138"/>
      <c r="BT26" s="138"/>
      <c r="BU26" s="138"/>
      <c r="BV26" s="138"/>
      <c r="BW26" s="138"/>
      <c r="BX26" s="138"/>
      <c r="BY26" s="138"/>
      <c r="BZ26" s="138"/>
      <c r="CA26" s="138"/>
      <c r="CB26" s="138"/>
      <c r="CC26" s="138"/>
      <c r="CD26" s="138"/>
      <c r="CE26" s="138"/>
      <c r="CF26" s="138"/>
      <c r="CG26" s="138"/>
      <c r="CH26" s="138"/>
      <c r="CI26" s="138"/>
      <c r="CJ26" s="138"/>
      <c r="CK26" s="138"/>
      <c r="CL26" s="138"/>
      <c r="CM26" s="138"/>
      <c r="CN26" s="138"/>
      <c r="CO26" s="138"/>
      <c r="CP26" s="138"/>
      <c r="CQ26" s="138"/>
      <c r="CR26" s="138"/>
      <c r="CS26" s="138"/>
      <c r="CT26" s="138"/>
      <c r="CU26" s="138"/>
      <c r="CV26" s="138"/>
      <c r="CW26" s="138"/>
      <c r="CX26" s="138"/>
      <c r="CY26" s="138"/>
      <c r="CZ26" s="138"/>
      <c r="DA26" s="138"/>
      <c r="DB26" s="138"/>
      <c r="DC26" s="138"/>
      <c r="DD26" s="138"/>
      <c r="DE26" s="138"/>
      <c r="DF26" s="138"/>
      <c r="DG26" s="138"/>
      <c r="DH26" s="138"/>
      <c r="DI26" s="138"/>
      <c r="DJ26" s="138"/>
      <c r="DK26" s="138"/>
      <c r="DL26" s="138"/>
      <c r="DM26" s="138"/>
      <c r="DN26" s="138"/>
      <c r="DO26" s="138"/>
      <c r="DP26" s="138"/>
      <c r="DQ26" s="138"/>
      <c r="DR26" s="138"/>
      <c r="DS26" s="138"/>
    </row>
    <row r="27">
      <c r="A27" s="134">
        <f t="shared" si="1"/>
        <v>46058</v>
      </c>
      <c r="B27" s="137"/>
      <c r="C27" s="136"/>
      <c r="D27" s="136"/>
      <c r="E27" s="136"/>
      <c r="F27" s="136"/>
      <c r="G27" s="136"/>
      <c r="H27" s="136"/>
      <c r="I27" s="136"/>
      <c r="J27" s="136"/>
      <c r="K27" s="136"/>
      <c r="L27" s="136"/>
      <c r="M27" s="136"/>
      <c r="N27" s="136"/>
      <c r="P27" s="134">
        <f t="shared" si="2"/>
        <v>46058</v>
      </c>
      <c r="Q27" s="138"/>
      <c r="R27" s="138"/>
      <c r="S27" s="138"/>
      <c r="T27" s="138"/>
      <c r="U27" s="138"/>
      <c r="V27" s="138"/>
      <c r="W27" s="138"/>
      <c r="X27" s="138"/>
      <c r="Y27" s="138"/>
      <c r="Z27" s="138"/>
      <c r="AA27" s="138"/>
      <c r="AB27" s="138"/>
      <c r="AC27" s="138"/>
      <c r="AD27" s="138"/>
      <c r="AE27" s="138"/>
      <c r="AF27" s="138"/>
      <c r="AG27" s="138"/>
      <c r="AH27" s="138"/>
      <c r="AI27" s="138"/>
      <c r="AJ27" s="138"/>
      <c r="AK27" s="138"/>
      <c r="AL27" s="138"/>
      <c r="AM27" s="138"/>
      <c r="AN27" s="138"/>
      <c r="AO27" s="138"/>
      <c r="AP27" s="138"/>
      <c r="AQ27" s="138"/>
      <c r="AR27" s="138"/>
      <c r="AS27" s="138"/>
      <c r="AT27" s="138"/>
      <c r="AU27" s="138"/>
      <c r="AV27" s="138"/>
      <c r="AW27" s="138"/>
      <c r="AX27" s="138"/>
      <c r="AY27" s="138"/>
      <c r="AZ27" s="138"/>
      <c r="BA27" s="138"/>
      <c r="BB27" s="138"/>
      <c r="BC27" s="138"/>
      <c r="BD27" s="138"/>
      <c r="BE27" s="138"/>
      <c r="BF27" s="138"/>
      <c r="BG27" s="138"/>
      <c r="BH27" s="138"/>
      <c r="BI27" s="138"/>
      <c r="BJ27" s="138"/>
      <c r="BK27" s="138"/>
      <c r="BL27" s="138"/>
      <c r="BM27" s="138"/>
      <c r="BN27" s="138"/>
      <c r="BO27" s="138"/>
      <c r="BP27" s="138"/>
      <c r="BQ27" s="138"/>
      <c r="BR27" s="138"/>
      <c r="BS27" s="138"/>
      <c r="BT27" s="138"/>
      <c r="BU27" s="138"/>
      <c r="BV27" s="138"/>
      <c r="BW27" s="138"/>
      <c r="BX27" s="138"/>
      <c r="BY27" s="138"/>
      <c r="BZ27" s="138"/>
      <c r="CA27" s="138"/>
      <c r="CB27" s="138"/>
      <c r="CC27" s="138"/>
      <c r="CD27" s="138"/>
      <c r="CE27" s="138"/>
      <c r="CF27" s="138"/>
      <c r="CG27" s="138"/>
      <c r="CH27" s="138"/>
      <c r="CI27" s="138"/>
      <c r="CJ27" s="138"/>
      <c r="CK27" s="138"/>
      <c r="CL27" s="138"/>
      <c r="CM27" s="138"/>
      <c r="CN27" s="138"/>
      <c r="CO27" s="138"/>
      <c r="CP27" s="138"/>
      <c r="CQ27" s="138"/>
      <c r="CR27" s="138"/>
      <c r="CS27" s="138"/>
      <c r="CT27" s="138"/>
      <c r="CU27" s="138"/>
      <c r="CV27" s="138"/>
      <c r="CW27" s="138"/>
      <c r="CX27" s="138"/>
      <c r="CY27" s="138"/>
      <c r="CZ27" s="138"/>
      <c r="DA27" s="138"/>
      <c r="DB27" s="138"/>
      <c r="DC27" s="138"/>
      <c r="DD27" s="138"/>
      <c r="DE27" s="138"/>
      <c r="DF27" s="138"/>
      <c r="DG27" s="138"/>
      <c r="DH27" s="138"/>
      <c r="DI27" s="138"/>
      <c r="DJ27" s="138"/>
      <c r="DK27" s="138"/>
      <c r="DL27" s="138"/>
      <c r="DM27" s="138"/>
      <c r="DN27" s="138"/>
      <c r="DO27" s="138"/>
      <c r="DP27" s="138"/>
      <c r="DQ27" s="138"/>
      <c r="DR27" s="138"/>
      <c r="DS27" s="138"/>
    </row>
    <row r="28">
      <c r="A28" s="134">
        <f t="shared" si="1"/>
        <v>46057</v>
      </c>
      <c r="B28" s="135"/>
      <c r="C28" s="136"/>
      <c r="D28" s="136"/>
      <c r="E28" s="136"/>
      <c r="F28" s="136"/>
      <c r="G28" s="136"/>
      <c r="H28" s="136"/>
      <c r="I28" s="136"/>
      <c r="J28" s="136"/>
      <c r="K28" s="136"/>
      <c r="L28" s="136"/>
      <c r="M28" s="136"/>
      <c r="N28" s="136"/>
      <c r="P28" s="134">
        <f t="shared" si="2"/>
        <v>46057</v>
      </c>
      <c r="Q28" s="138"/>
      <c r="R28" s="138"/>
      <c r="S28" s="138"/>
      <c r="T28" s="138"/>
      <c r="U28" s="138"/>
      <c r="V28" s="138"/>
      <c r="W28" s="138"/>
      <c r="X28" s="138"/>
      <c r="Y28" s="138"/>
      <c r="Z28" s="138"/>
      <c r="AA28" s="138"/>
      <c r="AB28" s="138"/>
      <c r="AC28" s="138"/>
      <c r="AD28" s="138"/>
      <c r="AE28" s="138"/>
      <c r="AF28" s="138"/>
      <c r="AG28" s="138"/>
      <c r="AH28" s="138"/>
      <c r="AI28" s="138"/>
      <c r="AJ28" s="138"/>
      <c r="AK28" s="138"/>
      <c r="AL28" s="138"/>
      <c r="AM28" s="138"/>
      <c r="AN28" s="138"/>
      <c r="AO28" s="138"/>
      <c r="AP28" s="138"/>
      <c r="AQ28" s="138"/>
      <c r="AR28" s="138"/>
      <c r="AS28" s="138"/>
      <c r="AT28" s="138"/>
      <c r="AU28" s="138"/>
      <c r="AV28" s="138"/>
      <c r="AW28" s="138"/>
      <c r="AX28" s="138"/>
      <c r="AY28" s="138"/>
      <c r="AZ28" s="138"/>
      <c r="BA28" s="138"/>
      <c r="BB28" s="138"/>
      <c r="BC28" s="138"/>
      <c r="BD28" s="138"/>
      <c r="BE28" s="138"/>
      <c r="BF28" s="138"/>
      <c r="BG28" s="138"/>
      <c r="BH28" s="138"/>
      <c r="BI28" s="138"/>
      <c r="BJ28" s="138"/>
      <c r="BK28" s="138"/>
      <c r="BL28" s="138"/>
      <c r="BM28" s="138"/>
      <c r="BN28" s="138"/>
      <c r="BO28" s="138"/>
      <c r="BP28" s="138"/>
      <c r="BQ28" s="138"/>
      <c r="BR28" s="138"/>
      <c r="BS28" s="138"/>
      <c r="BT28" s="138"/>
      <c r="BU28" s="138"/>
      <c r="BV28" s="138"/>
      <c r="BW28" s="138"/>
      <c r="BX28" s="138"/>
      <c r="BY28" s="138"/>
      <c r="BZ28" s="138"/>
      <c r="CA28" s="138"/>
      <c r="CB28" s="138"/>
      <c r="CC28" s="138"/>
      <c r="CD28" s="138"/>
      <c r="CE28" s="138"/>
      <c r="CF28" s="138"/>
      <c r="CG28" s="138"/>
      <c r="CH28" s="138"/>
      <c r="CI28" s="138"/>
      <c r="CJ28" s="138"/>
      <c r="CK28" s="138"/>
      <c r="CL28" s="138"/>
      <c r="CM28" s="138"/>
      <c r="CN28" s="138"/>
      <c r="CO28" s="138"/>
      <c r="CP28" s="138"/>
      <c r="CQ28" s="138"/>
      <c r="CR28" s="138"/>
      <c r="CS28" s="138"/>
      <c r="CT28" s="138"/>
      <c r="CU28" s="138"/>
      <c r="CV28" s="138"/>
      <c r="CW28" s="138"/>
      <c r="CX28" s="138"/>
      <c r="CY28" s="138"/>
      <c r="CZ28" s="138"/>
      <c r="DA28" s="138"/>
      <c r="DB28" s="138"/>
      <c r="DC28" s="138"/>
      <c r="DD28" s="138"/>
      <c r="DE28" s="138"/>
      <c r="DF28" s="138"/>
      <c r="DG28" s="138"/>
      <c r="DH28" s="138"/>
      <c r="DI28" s="138"/>
      <c r="DJ28" s="138"/>
      <c r="DK28" s="138"/>
      <c r="DL28" s="138"/>
      <c r="DM28" s="138"/>
      <c r="DN28" s="138"/>
      <c r="DO28" s="138"/>
      <c r="DP28" s="138"/>
      <c r="DQ28" s="138"/>
      <c r="DR28" s="138"/>
      <c r="DS28" s="138"/>
    </row>
    <row r="29">
      <c r="A29" s="134">
        <f t="shared" si="1"/>
        <v>46056</v>
      </c>
      <c r="B29" s="135"/>
      <c r="C29" s="136"/>
      <c r="D29" s="136"/>
      <c r="E29" s="136"/>
      <c r="F29" s="136"/>
      <c r="G29" s="136"/>
      <c r="H29" s="136"/>
      <c r="I29" s="136"/>
      <c r="J29" s="136"/>
      <c r="K29" s="136"/>
      <c r="L29" s="136"/>
      <c r="M29" s="136"/>
      <c r="N29" s="136"/>
      <c r="P29" s="134">
        <f t="shared" si="2"/>
        <v>46056</v>
      </c>
      <c r="Q29" s="138"/>
      <c r="R29" s="138"/>
      <c r="S29" s="138"/>
      <c r="T29" s="138"/>
      <c r="U29" s="138"/>
      <c r="V29" s="138"/>
      <c r="W29" s="138"/>
      <c r="X29" s="138"/>
      <c r="Y29" s="138"/>
      <c r="Z29" s="138"/>
      <c r="AA29" s="138"/>
      <c r="AB29" s="138"/>
      <c r="AC29" s="138"/>
      <c r="AD29" s="138"/>
      <c r="AE29" s="138"/>
      <c r="AF29" s="138"/>
      <c r="AG29" s="138"/>
      <c r="AH29" s="138"/>
      <c r="AI29" s="138"/>
      <c r="AJ29" s="138"/>
      <c r="AK29" s="138"/>
      <c r="AL29" s="138"/>
      <c r="AM29" s="138"/>
      <c r="AN29" s="138"/>
      <c r="AO29" s="138"/>
      <c r="AP29" s="138"/>
      <c r="AQ29" s="138"/>
      <c r="AR29" s="138"/>
      <c r="AS29" s="138"/>
      <c r="AT29" s="138"/>
      <c r="AU29" s="138"/>
      <c r="AV29" s="138"/>
      <c r="AW29" s="138"/>
      <c r="AX29" s="138"/>
      <c r="AY29" s="138"/>
      <c r="AZ29" s="138"/>
      <c r="BA29" s="138"/>
      <c r="BB29" s="138"/>
      <c r="BC29" s="138"/>
      <c r="BD29" s="138"/>
      <c r="BE29" s="138"/>
      <c r="BF29" s="138"/>
      <c r="BG29" s="138"/>
      <c r="BH29" s="138"/>
      <c r="BI29" s="138"/>
      <c r="BJ29" s="138"/>
      <c r="BK29" s="138"/>
      <c r="BL29" s="138"/>
      <c r="BM29" s="138"/>
      <c r="BN29" s="138"/>
      <c r="BO29" s="138"/>
      <c r="BP29" s="138"/>
      <c r="BQ29" s="138"/>
      <c r="BR29" s="138"/>
      <c r="BS29" s="138"/>
      <c r="BT29" s="138"/>
      <c r="BU29" s="138"/>
      <c r="BV29" s="138"/>
      <c r="BW29" s="138"/>
      <c r="BX29" s="138"/>
      <c r="BY29" s="138"/>
      <c r="BZ29" s="138"/>
      <c r="CA29" s="138"/>
      <c r="CB29" s="138"/>
      <c r="CC29" s="138"/>
      <c r="CD29" s="138"/>
      <c r="CE29" s="138"/>
      <c r="CF29" s="138"/>
      <c r="CG29" s="138"/>
      <c r="CH29" s="138"/>
      <c r="CI29" s="138"/>
      <c r="CJ29" s="138"/>
      <c r="CK29" s="138"/>
      <c r="CL29" s="138"/>
      <c r="CM29" s="138"/>
      <c r="CN29" s="138"/>
      <c r="CO29" s="138"/>
      <c r="CP29" s="138"/>
      <c r="CQ29" s="138"/>
      <c r="CR29" s="138"/>
      <c r="CS29" s="138"/>
      <c r="CT29" s="138"/>
      <c r="CU29" s="138"/>
      <c r="CV29" s="138"/>
      <c r="CW29" s="138"/>
      <c r="CX29" s="138"/>
      <c r="CY29" s="138"/>
      <c r="CZ29" s="138"/>
      <c r="DA29" s="138"/>
      <c r="DB29" s="138"/>
      <c r="DC29" s="138"/>
      <c r="DD29" s="138"/>
      <c r="DE29" s="138"/>
      <c r="DF29" s="138"/>
      <c r="DG29" s="138"/>
      <c r="DH29" s="138"/>
      <c r="DI29" s="138"/>
      <c r="DJ29" s="138"/>
      <c r="DK29" s="138"/>
      <c r="DL29" s="138"/>
      <c r="DM29" s="138"/>
      <c r="DN29" s="138"/>
      <c r="DO29" s="138"/>
      <c r="DP29" s="138"/>
      <c r="DQ29" s="138"/>
      <c r="DR29" s="138"/>
      <c r="DS29" s="138"/>
    </row>
    <row r="30">
      <c r="A30" s="134">
        <f t="shared" si="1"/>
        <v>46055</v>
      </c>
      <c r="B30" s="135"/>
      <c r="C30" s="136"/>
      <c r="D30" s="136"/>
      <c r="E30" s="136"/>
      <c r="F30" s="136"/>
      <c r="G30" s="136"/>
      <c r="H30" s="136"/>
      <c r="I30" s="136"/>
      <c r="J30" s="136"/>
      <c r="K30" s="136"/>
      <c r="L30" s="136"/>
      <c r="M30" s="136"/>
      <c r="N30" s="136"/>
      <c r="P30" s="134">
        <f t="shared" si="2"/>
        <v>46055</v>
      </c>
      <c r="Q30" s="138"/>
      <c r="R30" s="138"/>
      <c r="S30" s="138"/>
      <c r="T30" s="138"/>
      <c r="U30" s="138"/>
      <c r="V30" s="138"/>
      <c r="W30" s="138"/>
      <c r="X30" s="138"/>
      <c r="Y30" s="138"/>
      <c r="Z30" s="138"/>
      <c r="AA30" s="138"/>
      <c r="AB30" s="138"/>
      <c r="AC30" s="138"/>
      <c r="AD30" s="138"/>
      <c r="AE30" s="138"/>
      <c r="AF30" s="138"/>
      <c r="AG30" s="138"/>
      <c r="AH30" s="138"/>
      <c r="AI30" s="138"/>
      <c r="AJ30" s="138"/>
      <c r="AK30" s="138"/>
      <c r="AL30" s="138"/>
      <c r="AM30" s="138"/>
      <c r="AN30" s="138"/>
      <c r="AO30" s="138"/>
      <c r="AP30" s="138"/>
      <c r="AQ30" s="138"/>
      <c r="AR30" s="138"/>
      <c r="AS30" s="138"/>
      <c r="AT30" s="138"/>
      <c r="AU30" s="138"/>
      <c r="AV30" s="138"/>
      <c r="AW30" s="138"/>
      <c r="AX30" s="138"/>
      <c r="AY30" s="138"/>
      <c r="AZ30" s="138"/>
      <c r="BA30" s="138"/>
      <c r="BB30" s="138"/>
      <c r="BC30" s="138"/>
      <c r="BD30" s="138"/>
      <c r="BE30" s="138"/>
      <c r="BF30" s="138"/>
      <c r="BG30" s="138"/>
      <c r="BH30" s="138"/>
      <c r="BI30" s="138"/>
      <c r="BJ30" s="138"/>
      <c r="BK30" s="138"/>
      <c r="BL30" s="138"/>
      <c r="BM30" s="138"/>
      <c r="BN30" s="138"/>
      <c r="BO30" s="138"/>
      <c r="BP30" s="138"/>
      <c r="BQ30" s="138"/>
      <c r="BR30" s="138"/>
      <c r="BS30" s="138"/>
      <c r="BT30" s="138"/>
      <c r="BU30" s="138"/>
      <c r="BV30" s="138"/>
      <c r="BW30" s="138"/>
      <c r="BX30" s="138"/>
      <c r="BY30" s="138"/>
      <c r="BZ30" s="138"/>
      <c r="CA30" s="138"/>
      <c r="CB30" s="138"/>
      <c r="CC30" s="138"/>
      <c r="CD30" s="138"/>
      <c r="CE30" s="138"/>
      <c r="CF30" s="138"/>
      <c r="CG30" s="138"/>
      <c r="CH30" s="138"/>
      <c r="CI30" s="138"/>
      <c r="CJ30" s="138"/>
      <c r="CK30" s="138"/>
      <c r="CL30" s="138"/>
      <c r="CM30" s="138"/>
      <c r="CN30" s="138"/>
      <c r="CO30" s="138"/>
      <c r="CP30" s="138"/>
      <c r="CQ30" s="138"/>
      <c r="CR30" s="138"/>
      <c r="CS30" s="138"/>
      <c r="CT30" s="138"/>
      <c r="CU30" s="138"/>
      <c r="CV30" s="138"/>
      <c r="CW30" s="138"/>
      <c r="CX30" s="138"/>
      <c r="CY30" s="138"/>
      <c r="CZ30" s="138"/>
      <c r="DA30" s="138"/>
      <c r="DB30" s="138"/>
      <c r="DC30" s="138"/>
      <c r="DD30" s="138"/>
      <c r="DE30" s="138"/>
      <c r="DF30" s="138"/>
      <c r="DG30" s="138"/>
      <c r="DH30" s="138"/>
      <c r="DI30" s="138"/>
      <c r="DJ30" s="138"/>
      <c r="DK30" s="138"/>
      <c r="DL30" s="138"/>
      <c r="DM30" s="138"/>
      <c r="DN30" s="138"/>
      <c r="DO30" s="138"/>
      <c r="DP30" s="138"/>
      <c r="DQ30" s="138"/>
      <c r="DR30" s="138"/>
      <c r="DS30" s="138"/>
    </row>
    <row r="31">
      <c r="A31" s="134">
        <v>46054.0</v>
      </c>
      <c r="B31" s="137"/>
      <c r="C31" s="136"/>
      <c r="D31" s="136"/>
      <c r="E31" s="136"/>
      <c r="F31" s="136"/>
      <c r="G31" s="136"/>
      <c r="H31" s="136"/>
      <c r="I31" s="136"/>
      <c r="J31" s="136"/>
      <c r="K31" s="136"/>
      <c r="L31" s="136"/>
      <c r="M31" s="136"/>
      <c r="N31" s="136"/>
      <c r="P31" s="134">
        <f>A31</f>
        <v>46054</v>
      </c>
      <c r="Q31" s="138"/>
      <c r="R31" s="138"/>
      <c r="S31" s="138"/>
      <c r="T31" s="138"/>
      <c r="U31" s="138"/>
      <c r="V31" s="138"/>
      <c r="W31" s="138"/>
      <c r="X31" s="138"/>
      <c r="Y31" s="138"/>
      <c r="Z31" s="138"/>
      <c r="AA31" s="138"/>
      <c r="AB31" s="138"/>
      <c r="AC31" s="138"/>
      <c r="AD31" s="138"/>
      <c r="AE31" s="138"/>
      <c r="AF31" s="138"/>
      <c r="AG31" s="138"/>
      <c r="AH31" s="138"/>
      <c r="AI31" s="138"/>
      <c r="AJ31" s="138"/>
      <c r="AK31" s="138"/>
      <c r="AL31" s="138"/>
      <c r="AM31" s="138"/>
      <c r="AN31" s="138"/>
      <c r="AO31" s="138"/>
      <c r="AP31" s="138"/>
      <c r="AQ31" s="138"/>
      <c r="AR31" s="138"/>
      <c r="AS31" s="138"/>
      <c r="AT31" s="138"/>
      <c r="AU31" s="138"/>
      <c r="AV31" s="138"/>
      <c r="AW31" s="138"/>
      <c r="AX31" s="138"/>
      <c r="AY31" s="138"/>
      <c r="AZ31" s="138"/>
      <c r="BA31" s="138"/>
      <c r="BB31" s="138"/>
      <c r="BC31" s="138"/>
      <c r="BD31" s="138"/>
      <c r="BE31" s="138"/>
      <c r="BF31" s="138"/>
      <c r="BG31" s="138"/>
      <c r="BH31" s="138"/>
      <c r="BI31" s="138"/>
      <c r="BJ31" s="138"/>
      <c r="BK31" s="138"/>
      <c r="BL31" s="138"/>
      <c r="BM31" s="138"/>
      <c r="BN31" s="138"/>
      <c r="BO31" s="138"/>
      <c r="BP31" s="138"/>
      <c r="BQ31" s="138"/>
      <c r="BR31" s="138"/>
      <c r="BS31" s="138"/>
      <c r="BT31" s="138"/>
      <c r="BU31" s="138"/>
      <c r="BV31" s="138"/>
      <c r="BW31" s="138"/>
      <c r="BX31" s="138"/>
      <c r="BY31" s="138"/>
      <c r="BZ31" s="138"/>
      <c r="CA31" s="138"/>
      <c r="CB31" s="138"/>
      <c r="CC31" s="138"/>
      <c r="CD31" s="138"/>
      <c r="CE31" s="138"/>
      <c r="CF31" s="138"/>
      <c r="CG31" s="138"/>
      <c r="CH31" s="138"/>
      <c r="CI31" s="138"/>
      <c r="CJ31" s="138"/>
      <c r="CK31" s="138"/>
      <c r="CL31" s="138"/>
      <c r="CM31" s="138"/>
      <c r="CN31" s="138"/>
      <c r="CO31" s="138"/>
      <c r="CP31" s="138"/>
      <c r="CQ31" s="138"/>
      <c r="CR31" s="138"/>
      <c r="CS31" s="138"/>
      <c r="CT31" s="138"/>
      <c r="CU31" s="138"/>
      <c r="CV31" s="138"/>
      <c r="CW31" s="138"/>
      <c r="CX31" s="138"/>
      <c r="CY31" s="138"/>
      <c r="CZ31" s="138"/>
      <c r="DA31" s="138"/>
      <c r="DB31" s="138"/>
      <c r="DC31" s="138"/>
      <c r="DD31" s="138"/>
      <c r="DE31" s="138"/>
      <c r="DF31" s="138"/>
      <c r="DG31" s="138"/>
      <c r="DH31" s="138"/>
      <c r="DI31" s="138"/>
      <c r="DJ31" s="138"/>
      <c r="DK31" s="138"/>
      <c r="DL31" s="138"/>
      <c r="DM31" s="138"/>
      <c r="DN31" s="138"/>
      <c r="DO31" s="138"/>
      <c r="DP31" s="138"/>
      <c r="DQ31" s="138"/>
      <c r="DR31" s="138"/>
      <c r="DS31" s="138"/>
    </row>
    <row r="32">
      <c r="A32" s="139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677FF"/>
    <outlinePr summaryBelow="0" summaryRight="0"/>
  </sheetPr>
  <sheetViews>
    <sheetView showGridLines="0" workbookViewId="0">
      <pane xSplit="1.0" ySplit="4.0" topLeftCell="B5" activePane="bottomRight" state="frozen"/>
      <selection activeCell="B1" sqref="B1" pane="topRight"/>
      <selection activeCell="A5" sqref="A5" pane="bottomLeft"/>
      <selection activeCell="B5" sqref="B5" pane="bottomRight"/>
    </sheetView>
  </sheetViews>
  <sheetFormatPr customHeight="1" defaultColWidth="12.63" defaultRowHeight="15.75"/>
  <cols>
    <col customWidth="1" min="2" max="2" width="14.25"/>
    <col customWidth="1" min="3" max="4" width="12.63"/>
    <col customWidth="1" min="12" max="12" width="15.5"/>
    <col customWidth="1" min="13" max="13" width="18.0"/>
    <col customWidth="1" min="16" max="16" width="15.5"/>
    <col hidden="1" min="67" max="67" width="12.63"/>
    <col customWidth="1" min="74" max="74" width="13.0"/>
  </cols>
  <sheetData>
    <row r="1">
      <c r="A1" s="140" t="s">
        <v>1</v>
      </c>
      <c r="B1" s="141"/>
      <c r="C1" s="141"/>
      <c r="D1" s="141"/>
      <c r="E1" s="142"/>
      <c r="F1" s="141"/>
      <c r="G1" s="141"/>
      <c r="H1" s="141"/>
      <c r="I1" s="141"/>
      <c r="J1" s="141"/>
      <c r="K1" s="143"/>
      <c r="L1" s="141"/>
      <c r="M1" s="141"/>
      <c r="N1" s="141"/>
      <c r="O1" s="141"/>
      <c r="P1" s="141"/>
      <c r="Q1" s="141"/>
      <c r="R1" s="141"/>
      <c r="S1" s="141"/>
      <c r="T1" s="141"/>
      <c r="U1" s="141"/>
      <c r="V1" s="144"/>
      <c r="W1" s="145" t="s">
        <v>396</v>
      </c>
      <c r="X1" s="141"/>
      <c r="Y1" s="146"/>
      <c r="Z1" s="145" t="s">
        <v>397</v>
      </c>
      <c r="AA1" s="147"/>
      <c r="AB1" s="141"/>
      <c r="AC1" s="141"/>
      <c r="AD1" s="147"/>
      <c r="AE1" s="141"/>
      <c r="AF1" s="141"/>
      <c r="AG1" s="147"/>
      <c r="AH1" s="141"/>
      <c r="AI1" s="141"/>
      <c r="AJ1" s="147"/>
      <c r="AK1" s="141"/>
      <c r="AL1" s="141"/>
      <c r="AM1" s="147"/>
      <c r="AN1" s="141"/>
      <c r="AO1" s="141"/>
      <c r="AP1" s="147"/>
      <c r="AQ1" s="141"/>
      <c r="AR1" s="141"/>
      <c r="AS1" s="147"/>
      <c r="AT1" s="148"/>
      <c r="AU1" s="148"/>
      <c r="AV1" s="148"/>
      <c r="AW1" s="148"/>
      <c r="AX1" s="148"/>
      <c r="AY1" s="148"/>
      <c r="AZ1" s="148"/>
      <c r="BA1" s="148"/>
      <c r="BB1" s="148"/>
      <c r="BC1" s="148"/>
      <c r="BD1" s="148"/>
      <c r="BE1" s="148"/>
      <c r="BF1" s="148"/>
      <c r="BG1" s="148"/>
      <c r="BH1" s="148"/>
      <c r="BI1" s="148"/>
      <c r="BJ1" s="148"/>
      <c r="BK1" s="148"/>
      <c r="BL1" s="148"/>
      <c r="BM1" s="148"/>
      <c r="BN1" s="148"/>
      <c r="BO1" s="148"/>
      <c r="BP1" s="148"/>
      <c r="BQ1" s="141"/>
      <c r="BR1" s="142"/>
      <c r="BS1" s="142"/>
      <c r="BT1" s="141"/>
      <c r="BU1" s="141"/>
      <c r="BV1" s="141"/>
      <c r="BW1" s="149" t="s">
        <v>398</v>
      </c>
      <c r="BX1" s="150" t="s">
        <v>399</v>
      </c>
      <c r="BY1" s="151">
        <v>0.0241</v>
      </c>
      <c r="BZ1" s="151">
        <v>0.002</v>
      </c>
      <c r="CA1" s="141"/>
      <c r="CB1" s="141"/>
      <c r="CC1" s="142"/>
      <c r="CD1" s="144"/>
      <c r="CE1" s="141"/>
      <c r="CF1" s="142"/>
      <c r="CG1" s="142"/>
      <c r="CH1" s="142"/>
      <c r="CI1" s="142"/>
      <c r="CJ1" s="142"/>
      <c r="CK1" s="142"/>
    </row>
    <row r="2" hidden="1">
      <c r="A2" s="152"/>
      <c r="B2" s="153" t="s">
        <v>400</v>
      </c>
      <c r="C2" s="153" t="s">
        <v>400</v>
      </c>
      <c r="D2" s="153" t="s">
        <v>400</v>
      </c>
      <c r="E2" s="154" t="s">
        <v>401</v>
      </c>
      <c r="F2" s="153" t="s">
        <v>400</v>
      </c>
      <c r="G2" s="155" t="s">
        <v>402</v>
      </c>
      <c r="H2" s="153" t="s">
        <v>400</v>
      </c>
      <c r="I2" s="156"/>
      <c r="J2" s="153" t="s">
        <v>400</v>
      </c>
      <c r="K2" s="157"/>
      <c r="L2" s="153" t="s">
        <v>400</v>
      </c>
      <c r="M2" s="153" t="s">
        <v>400</v>
      </c>
      <c r="N2" s="156"/>
      <c r="O2" s="156"/>
      <c r="P2" s="156"/>
      <c r="Q2" s="156"/>
      <c r="R2" s="156"/>
      <c r="S2" s="156"/>
      <c r="T2" s="156"/>
      <c r="U2" s="156"/>
      <c r="V2" s="158"/>
      <c r="W2" s="159" t="s">
        <v>403</v>
      </c>
      <c r="X2" s="159" t="s">
        <v>403</v>
      </c>
      <c r="Y2" s="159" t="s">
        <v>403</v>
      </c>
      <c r="Z2" s="159" t="s">
        <v>403</v>
      </c>
      <c r="AA2" s="160"/>
      <c r="AB2" s="161"/>
      <c r="AC2" s="161"/>
      <c r="AD2" s="160"/>
      <c r="AE2" s="161"/>
      <c r="AF2" s="161"/>
      <c r="AG2" s="160"/>
      <c r="AH2" s="161"/>
      <c r="AI2" s="161"/>
      <c r="AJ2" s="160"/>
      <c r="AK2" s="161"/>
      <c r="AL2" s="161"/>
      <c r="AM2" s="160"/>
      <c r="AN2" s="161"/>
      <c r="AO2" s="161"/>
      <c r="AP2" s="160"/>
      <c r="AQ2" s="161"/>
      <c r="AR2" s="161"/>
      <c r="AS2" s="160"/>
      <c r="AT2" s="162" t="s">
        <v>404</v>
      </c>
      <c r="AU2" s="162" t="s">
        <v>405</v>
      </c>
      <c r="AV2" s="162" t="s">
        <v>406</v>
      </c>
      <c r="AW2" s="162" t="s">
        <v>407</v>
      </c>
      <c r="AX2" s="162" t="s">
        <v>408</v>
      </c>
      <c r="AY2" s="162" t="s">
        <v>409</v>
      </c>
      <c r="AZ2" s="162"/>
      <c r="BA2" s="162" t="s">
        <v>410</v>
      </c>
      <c r="BB2" s="162" t="s">
        <v>230</v>
      </c>
      <c r="BC2" s="162" t="s">
        <v>411</v>
      </c>
      <c r="BD2" s="162" t="s">
        <v>412</v>
      </c>
      <c r="BE2" s="162" t="s">
        <v>413</v>
      </c>
      <c r="BF2" s="163" t="s">
        <v>414</v>
      </c>
      <c r="BG2" s="162" t="s">
        <v>415</v>
      </c>
      <c r="BH2" s="162" t="s">
        <v>416</v>
      </c>
      <c r="BI2" s="162" t="s">
        <v>417</v>
      </c>
      <c r="BJ2" s="162" t="s">
        <v>418</v>
      </c>
      <c r="BK2" s="162"/>
      <c r="BL2" s="162"/>
      <c r="BM2" s="162"/>
      <c r="BN2" s="162"/>
      <c r="BO2" s="162"/>
      <c r="BP2" s="162"/>
      <c r="BQ2" s="161"/>
      <c r="BR2" s="164"/>
      <c r="BS2" s="159"/>
      <c r="BT2" s="161"/>
      <c r="BU2" s="161"/>
      <c r="BV2" s="161"/>
      <c r="BW2" s="161"/>
      <c r="BX2" s="164"/>
      <c r="BY2" s="159" t="s">
        <v>419</v>
      </c>
      <c r="BZ2" s="159" t="s">
        <v>419</v>
      </c>
      <c r="CA2" s="161"/>
      <c r="CB2" s="161"/>
      <c r="CC2" s="164"/>
      <c r="CD2" s="165"/>
      <c r="CE2" s="161"/>
      <c r="CF2" s="153" t="s">
        <v>420</v>
      </c>
      <c r="CG2" s="153" t="s">
        <v>420</v>
      </c>
      <c r="CH2" s="153" t="s">
        <v>420</v>
      </c>
      <c r="CI2" s="164"/>
      <c r="CJ2" s="164"/>
      <c r="CK2" s="164"/>
    </row>
    <row r="3" hidden="1">
      <c r="A3" s="166"/>
      <c r="B3" s="167" t="s">
        <v>283</v>
      </c>
      <c r="C3" s="167" t="s">
        <v>285</v>
      </c>
      <c r="D3" s="167" t="s">
        <v>279</v>
      </c>
      <c r="E3" s="167" t="s">
        <v>401</v>
      </c>
      <c r="F3" s="168" t="s">
        <v>281</v>
      </c>
      <c r="G3" s="168" t="s">
        <v>421</v>
      </c>
      <c r="H3" s="146" t="s">
        <v>282</v>
      </c>
      <c r="I3" s="146" t="s">
        <v>422</v>
      </c>
      <c r="J3" s="146" t="s">
        <v>280</v>
      </c>
      <c r="K3" s="169" t="s">
        <v>423</v>
      </c>
      <c r="L3" s="141" t="s">
        <v>289</v>
      </c>
      <c r="M3" s="146" t="s">
        <v>293</v>
      </c>
      <c r="N3" s="146" t="s">
        <v>424</v>
      </c>
      <c r="O3" s="146" t="s">
        <v>424</v>
      </c>
      <c r="P3" s="146" t="s">
        <v>424</v>
      </c>
      <c r="Q3" s="146" t="s">
        <v>424</v>
      </c>
      <c r="R3" s="146" t="s">
        <v>424</v>
      </c>
      <c r="S3" s="146" t="s">
        <v>424</v>
      </c>
      <c r="T3" s="146" t="s">
        <v>424</v>
      </c>
      <c r="U3" s="146" t="s">
        <v>424</v>
      </c>
      <c r="V3" s="170" t="s">
        <v>424</v>
      </c>
      <c r="W3" s="145" t="s">
        <v>425</v>
      </c>
      <c r="X3" s="146" t="s">
        <v>426</v>
      </c>
      <c r="Y3" s="146" t="s">
        <v>427</v>
      </c>
      <c r="Z3" s="145" t="s">
        <v>428</v>
      </c>
      <c r="AA3" s="171" t="s">
        <v>424</v>
      </c>
      <c r="AB3" s="146" t="s">
        <v>334</v>
      </c>
      <c r="AC3" s="146" t="s">
        <v>336</v>
      </c>
      <c r="AD3" s="171" t="s">
        <v>424</v>
      </c>
      <c r="AE3" s="146" t="s">
        <v>300</v>
      </c>
      <c r="AF3" s="146" t="s">
        <v>302</v>
      </c>
      <c r="AG3" s="171" t="s">
        <v>424</v>
      </c>
      <c r="AH3" s="146" t="s">
        <v>311</v>
      </c>
      <c r="AI3" s="146" t="s">
        <v>313</v>
      </c>
      <c r="AJ3" s="172" t="s">
        <v>424</v>
      </c>
      <c r="AK3" s="146" t="s">
        <v>345</v>
      </c>
      <c r="AL3" s="146" t="s">
        <v>347</v>
      </c>
      <c r="AM3" s="171" t="s">
        <v>424</v>
      </c>
      <c r="AN3" s="146" t="s">
        <v>356</v>
      </c>
      <c r="AO3" s="146" t="s">
        <v>358</v>
      </c>
      <c r="AP3" s="171" t="s">
        <v>424</v>
      </c>
      <c r="AQ3" s="146" t="s">
        <v>367</v>
      </c>
      <c r="AR3" s="146" t="s">
        <v>369</v>
      </c>
      <c r="AS3" s="171" t="s">
        <v>424</v>
      </c>
      <c r="AT3" s="173" t="s">
        <v>187</v>
      </c>
      <c r="AU3" s="173" t="s">
        <v>429</v>
      </c>
      <c r="AV3" s="173" t="s">
        <v>197</v>
      </c>
      <c r="AW3" s="173" t="s">
        <v>209</v>
      </c>
      <c r="AX3" s="173" t="s">
        <v>211</v>
      </c>
      <c r="AY3" s="173" t="s">
        <v>216</v>
      </c>
      <c r="AZ3" s="173" t="s">
        <v>430</v>
      </c>
      <c r="BA3" s="173" t="s">
        <v>224</v>
      </c>
      <c r="BB3" s="173" t="s">
        <v>230</v>
      </c>
      <c r="BC3" s="173" t="s">
        <v>228</v>
      </c>
      <c r="BD3" s="173" t="s">
        <v>231</v>
      </c>
      <c r="BE3" s="173" t="s">
        <v>236</v>
      </c>
      <c r="BF3" s="173" t="s">
        <v>226</v>
      </c>
      <c r="BG3" s="173" t="s">
        <v>431</v>
      </c>
      <c r="BH3" s="173" t="s">
        <v>227</v>
      </c>
      <c r="BI3" s="173" t="s">
        <v>229</v>
      </c>
      <c r="BJ3" s="173" t="s">
        <v>225</v>
      </c>
      <c r="BK3" s="173" t="s">
        <v>233</v>
      </c>
      <c r="BL3" s="173" t="s">
        <v>432</v>
      </c>
      <c r="BM3" s="173" t="s">
        <v>433</v>
      </c>
      <c r="BN3" s="173" t="s">
        <v>434</v>
      </c>
      <c r="BO3" s="174"/>
      <c r="BP3" s="173"/>
      <c r="BQ3" s="173" t="s">
        <v>435</v>
      </c>
      <c r="BR3" s="173" t="s">
        <v>436</v>
      </c>
      <c r="BS3" s="145" t="s">
        <v>437</v>
      </c>
      <c r="BT3" s="173" t="s">
        <v>424</v>
      </c>
      <c r="BU3" s="173"/>
      <c r="BV3" s="173"/>
      <c r="BW3" s="173" t="s">
        <v>424</v>
      </c>
      <c r="BX3" s="142"/>
      <c r="BY3" s="145" t="s">
        <v>298</v>
      </c>
      <c r="BZ3" s="145" t="s">
        <v>438</v>
      </c>
      <c r="CA3" s="173" t="s">
        <v>424</v>
      </c>
      <c r="CB3" s="173" t="s">
        <v>424</v>
      </c>
      <c r="CC3" s="142"/>
      <c r="CD3" s="170" t="s">
        <v>439</v>
      </c>
      <c r="CE3" s="146" t="s">
        <v>440</v>
      </c>
      <c r="CF3" s="145" t="s">
        <v>378</v>
      </c>
      <c r="CG3" s="145" t="s">
        <v>379</v>
      </c>
      <c r="CH3" s="145" t="s">
        <v>395</v>
      </c>
      <c r="CI3" s="142"/>
      <c r="CJ3" s="142"/>
      <c r="CK3" s="142"/>
    </row>
    <row r="4">
      <c r="A4" s="175" t="s">
        <v>441</v>
      </c>
      <c r="B4" s="176" t="s">
        <v>442</v>
      </c>
      <c r="C4" s="176" t="s">
        <v>443</v>
      </c>
      <c r="D4" s="176" t="s">
        <v>444</v>
      </c>
      <c r="E4" s="176" t="s">
        <v>445</v>
      </c>
      <c r="F4" s="176" t="s">
        <v>446</v>
      </c>
      <c r="G4" s="176" t="s">
        <v>447</v>
      </c>
      <c r="H4" s="176" t="s">
        <v>448</v>
      </c>
      <c r="I4" s="176" t="s">
        <v>449</v>
      </c>
      <c r="J4" s="176" t="s">
        <v>450</v>
      </c>
      <c r="K4" s="177" t="s">
        <v>451</v>
      </c>
      <c r="L4" s="176" t="s">
        <v>452</v>
      </c>
      <c r="M4" s="176" t="s">
        <v>453</v>
      </c>
      <c r="N4" s="178" t="s">
        <v>454</v>
      </c>
      <c r="O4" s="179" t="s">
        <v>455</v>
      </c>
      <c r="P4" s="179" t="s">
        <v>456</v>
      </c>
      <c r="Q4" s="179" t="s">
        <v>457</v>
      </c>
      <c r="R4" s="179" t="s">
        <v>458</v>
      </c>
      <c r="S4" s="179" t="s">
        <v>459</v>
      </c>
      <c r="T4" s="179" t="s">
        <v>460</v>
      </c>
      <c r="U4" s="179" t="s">
        <v>461</v>
      </c>
      <c r="V4" s="180" t="s">
        <v>462</v>
      </c>
      <c r="W4" s="176" t="s">
        <v>463</v>
      </c>
      <c r="X4" s="176" t="s">
        <v>464</v>
      </c>
      <c r="Y4" s="176" t="s">
        <v>465</v>
      </c>
      <c r="Z4" s="181" t="s">
        <v>466</v>
      </c>
      <c r="AA4" s="182" t="s">
        <v>467</v>
      </c>
      <c r="AB4" s="183" t="s">
        <v>468</v>
      </c>
      <c r="AC4" s="183" t="s">
        <v>469</v>
      </c>
      <c r="AD4" s="182" t="s">
        <v>470</v>
      </c>
      <c r="AE4" s="183" t="s">
        <v>471</v>
      </c>
      <c r="AF4" s="183" t="s">
        <v>472</v>
      </c>
      <c r="AG4" s="182" t="s">
        <v>473</v>
      </c>
      <c r="AH4" s="183" t="s">
        <v>474</v>
      </c>
      <c r="AI4" s="183" t="s">
        <v>475</v>
      </c>
      <c r="AJ4" s="182" t="s">
        <v>476</v>
      </c>
      <c r="AK4" s="183" t="s">
        <v>477</v>
      </c>
      <c r="AL4" s="183" t="s">
        <v>478</v>
      </c>
      <c r="AM4" s="182" t="s">
        <v>479</v>
      </c>
      <c r="AN4" s="183" t="s">
        <v>480</v>
      </c>
      <c r="AO4" s="183" t="s">
        <v>481</v>
      </c>
      <c r="AP4" s="182" t="s">
        <v>482</v>
      </c>
      <c r="AQ4" s="183" t="s">
        <v>483</v>
      </c>
      <c r="AR4" s="183" t="s">
        <v>484</v>
      </c>
      <c r="AS4" s="182" t="s">
        <v>485</v>
      </c>
      <c r="AT4" s="184" t="s">
        <v>187</v>
      </c>
      <c r="AU4" s="184" t="s">
        <v>429</v>
      </c>
      <c r="AV4" s="184" t="s">
        <v>197</v>
      </c>
      <c r="AW4" s="184" t="s">
        <v>209</v>
      </c>
      <c r="AX4" s="184" t="s">
        <v>211</v>
      </c>
      <c r="AY4" s="184" t="s">
        <v>216</v>
      </c>
      <c r="AZ4" s="184" t="s">
        <v>430</v>
      </c>
      <c r="BA4" s="184" t="s">
        <v>224</v>
      </c>
      <c r="BB4" s="184" t="s">
        <v>230</v>
      </c>
      <c r="BC4" s="184" t="s">
        <v>228</v>
      </c>
      <c r="BD4" s="184" t="s">
        <v>231</v>
      </c>
      <c r="BE4" s="184" t="s">
        <v>236</v>
      </c>
      <c r="BF4" s="184" t="s">
        <v>226</v>
      </c>
      <c r="BG4" s="184" t="s">
        <v>431</v>
      </c>
      <c r="BH4" s="184" t="s">
        <v>227</v>
      </c>
      <c r="BI4" s="184" t="s">
        <v>229</v>
      </c>
      <c r="BJ4" s="184" t="s">
        <v>225</v>
      </c>
      <c r="BK4" s="184" t="s">
        <v>233</v>
      </c>
      <c r="BL4" s="184" t="s">
        <v>432</v>
      </c>
      <c r="BM4" s="184" t="s">
        <v>433</v>
      </c>
      <c r="BN4" s="184" t="s">
        <v>434</v>
      </c>
      <c r="BO4" s="184"/>
      <c r="BP4" s="184" t="s">
        <v>486</v>
      </c>
      <c r="BQ4" s="185" t="s">
        <v>487</v>
      </c>
      <c r="BR4" s="185" t="s">
        <v>488</v>
      </c>
      <c r="BS4" s="185" t="s">
        <v>489</v>
      </c>
      <c r="BT4" s="186" t="s">
        <v>490</v>
      </c>
      <c r="BU4" s="186" t="s">
        <v>491</v>
      </c>
      <c r="BV4" s="186" t="s">
        <v>492</v>
      </c>
      <c r="BW4" s="187" t="s">
        <v>493</v>
      </c>
      <c r="BX4" s="187" t="s">
        <v>494</v>
      </c>
      <c r="BY4" s="176" t="s">
        <v>495</v>
      </c>
      <c r="BZ4" s="176" t="s">
        <v>496</v>
      </c>
      <c r="CA4" s="187" t="s">
        <v>497</v>
      </c>
      <c r="CB4" s="187" t="s">
        <v>498</v>
      </c>
      <c r="CC4" s="188" t="s">
        <v>499</v>
      </c>
      <c r="CD4" s="189" t="s">
        <v>500</v>
      </c>
      <c r="CE4" s="185" t="s">
        <v>501</v>
      </c>
      <c r="CF4" s="185" t="s">
        <v>502</v>
      </c>
      <c r="CG4" s="185" t="s">
        <v>503</v>
      </c>
      <c r="CH4" s="185" t="s">
        <v>504</v>
      </c>
      <c r="CI4" s="187" t="s">
        <v>505</v>
      </c>
      <c r="CJ4" s="173" t="s">
        <v>506</v>
      </c>
      <c r="CK4" s="173" t="s">
        <v>242</v>
      </c>
    </row>
    <row r="5" hidden="1">
      <c r="A5" s="190">
        <v>46054.0</v>
      </c>
      <c r="B5" s="191" t="str">
        <f t="array" ref="B5">INDEX('jiliarena_日报_底稿'!$A$3:$N$31,MATCH($A5,'jiliarena_日报_底稿'!$A$3:$A$31,0),MATCH(B$3,'jiliarena_日报_底稿'!$A$3:$N$3,0))</f>
        <v/>
      </c>
      <c r="C5" s="191" t="str">
        <f t="array" ref="C5">INDEX('jiliarena_日报_底稿'!$A$3:$N$31,MATCH($A5,'jiliarena_日报_底稿'!$A$3:$A$31,0),MATCH(C$3,'jiliarena_日报_底稿'!$A$3:$N$3,0))</f>
        <v/>
      </c>
      <c r="D5" s="191" t="str">
        <f t="array" ref="D5">INDEX('jiliarena_日报_底稿'!$A$3:$N$31,MATCH($A5,'jiliarena_日报_底稿'!$A$3:$A$31,0),MATCH(D$3,'jiliarena_日报_底稿'!$A$3:$N$3,0))</f>
        <v/>
      </c>
      <c r="E5" s="192">
        <v>18.0</v>
      </c>
      <c r="F5" s="191" t="str">
        <f t="array" ref="F5">INDEX('jiliarena_日报_底稿'!$A$3:$N$31,MATCH($A5,'jiliarena_日报_底稿'!$A$3:$A$31,0),MATCH(F$3,'jiliarena_日报_底稿'!$A$3:$N$3,0))</f>
        <v/>
      </c>
      <c r="G5" s="191">
        <f>SUMIFS('渠道充值成功率_底稿'!$F:$F,'渠道充值成功率_底稿'!$A:$A,A5)</f>
        <v>0</v>
      </c>
      <c r="H5" s="191" t="str">
        <f t="array" ref="H5">INDEX('jiliarena_日报_底稿'!$A$3:$N$31,MATCH($A5,'jiliarena_日报_底稿'!$A$3:$A$31,0),MATCH(H$3,'jiliarena_日报_底稿'!$A$3:$N$3,0))</f>
        <v/>
      </c>
      <c r="I5" s="192">
        <v>814.0</v>
      </c>
      <c r="J5" s="191" t="str">
        <f t="array" ref="J5">INDEX('jiliarena_日报_底稿'!$A$3:$N$31,MATCH($A5,'jiliarena_日报_底稿'!$A$3:$A$31,0),MATCH(J$3,'jiliarena_日报_底稿'!$A$3:$N$3,0))</f>
        <v/>
      </c>
      <c r="K5" s="193">
        <f>SUMIFS('渠道充值成功率_底稿'!$J:$J,'渠道充值成功率_底稿'!$A:$A,$A5)</f>
        <v>0</v>
      </c>
      <c r="L5" s="193" t="str">
        <f t="array" ref="L5">INDEX('jiliarena_日报_底稿'!$A$3:$N$31,MATCH($A5,'jiliarena_日报_底稿'!$A$3:$A$31,0),MATCH(L$3,'jiliarena_日报_底稿'!$A$3:$N$3,0))</f>
        <v/>
      </c>
      <c r="M5" s="193" t="str">
        <f t="array" ref="M5">INDEX('jiliarena_日报_底稿'!$P$2:$DS$31,MATCH($A5,'jiliarena_日报_底稿'!$P$2:$P$31,0),MATCH($M$3,'jiliarena_日报_底稿'!$P$3:$DS$3,0))</f>
        <v/>
      </c>
      <c r="N5" s="194" t="str">
        <f t="shared" ref="N5:N39" si="2">IF(C5="","",ROUND(C5/B5,4))</f>
        <v/>
      </c>
      <c r="O5" s="195" t="str">
        <f t="shared" ref="O5:O39" si="3">IF(K5="","",ROUND(K5/C5,0))</f>
        <v>#DIV/0!</v>
      </c>
      <c r="P5" s="194" t="str">
        <f t="shared" ref="P5:P39" si="4">IF(L5="","",ROUND(K5/L5,6))</f>
        <v/>
      </c>
      <c r="Q5" s="195" t="str">
        <f t="shared" ref="Q5:Q39" si="5">IF(G5="","",ROUND(G5/F5,1))</f>
        <v>#DIV/0!</v>
      </c>
      <c r="R5" s="196" t="str">
        <f t="shared" ref="R5:R39" si="6">IF(L5="","",ROUND(L5/F5,0))</f>
        <v/>
      </c>
      <c r="S5" s="195" t="str">
        <f t="shared" ref="S5:S39" si="7">IF(L5="","",ROUND(L5/G5,0))</f>
        <v/>
      </c>
      <c r="T5" s="195" t="str">
        <f t="shared" ref="T5:T39" si="8">IF(S5="","",ROUND(S5/O5,1))</f>
        <v/>
      </c>
      <c r="U5" s="196" t="str">
        <f t="shared" ref="U5:U39" si="9">IF(M5="","",ROUND(M5/H5,0))</f>
        <v/>
      </c>
      <c r="V5" s="197" t="str">
        <f t="shared" ref="V5:V39" si="10">IF(M5="","",L5-M5)</f>
        <v/>
      </c>
      <c r="W5" s="198">
        <f>AB5+AE5+AH5+AK5+AN5+AQ5</f>
        <v>0</v>
      </c>
      <c r="X5" s="198">
        <f t="array" ref="X5">index('jiliarena_日报_底稿'!$P$2:$DS$31,match($A5,'jiliarena_日报_底稿'!$P$2:$P$31,0),match("电子有效投注",'jiliarena_日报_底稿'!$P$3:$DS$3,0))+index('jiliarena_日报_底稿'!$P$2:$DS$31,match($A5,'jiliarena_日报_底稿'!$P$2:$P$31,0),match("真人有效投注",'jiliarena_日报_底稿'!$P$3:$DS$3,0))+index('jiliarena_日报_底稿'!$P$2:$DS$31,match($A5,'jiliarena_日报_底稿'!$P$2:$P$31,0),match("彩票有效投注",'jiliarena_日报_底稿'!$P$3:$DS$3,0))+index('jiliarena_日报_底稿'!$P$2:$DS$31,match($A5,'jiliarena_日报_底稿'!$P$2:$P$31,0),match("棋牌有效投注",'jiliarena_日报_底稿'!$P$3:$DS$3,0))+index('jiliarena_日报_底稿'!$P$2:$DS$31,match($A5,'jiliarena_日报_底稿'!$P$2:$P$31,0),match("捕鱼有效投注",'jiliarena_日报_底稿'!$P$3:$DS$3,0))+index('jiliarena_日报_底稿'!$P$2:$DS$31,match($A5,'jiliarena_日报_底稿'!$P$2:$P$31,0),match("体育有效投注",'jiliarena_日报_底稿'!$P$3:$DS$3,0))+index('jiliarena_日报_底稿'!$P$2:$DS$31,match($A5,'jiliarena_日报_底稿'!$P$2:$P$31,0),match("盘口彩票有效投注",'jiliarena_日报_底稿'!$P$3:$DS$3,0))</f>
        <v>0</v>
      </c>
      <c r="Y5" s="199">
        <f>AB5+AE5+AH5+AK5+AN5+AQ5-AR5-AO5-AL5-AI5-AF5-AC5</f>
        <v>0</v>
      </c>
      <c r="Z5" s="198">
        <f>AC5+AF5+AI5+AL5+AO5+AR5</f>
        <v>0</v>
      </c>
      <c r="AA5" s="194" t="str">
        <f t="shared" ref="AA5:AA39" si="12">IFERROR(ROUND(1-(Z5/W5),6),"")</f>
        <v/>
      </c>
      <c r="AB5" s="200" t="str">
        <f t="array" ref="AB5">INDEX('jiliarena_日报_底稿'!$P$2:$DS$31,MATCH($A5,'jiliarena_日报_底稿'!$P$2:$P$31,0),MATCH(AB$3,'jiliarena_日报_底稿'!$P$3:$DS$3,0))</f>
        <v/>
      </c>
      <c r="AC5" s="200" t="str">
        <f t="array" ref="AC5">INDEX('jiliarena_日报_底稿'!$P$2:$DS$31,MATCH($A5,'jiliarena_日报_底稿'!$P$2:$P$31,0),MATCH(AC$3,'jiliarena_日报_底稿'!$P$3:$DS$3,0))</f>
        <v/>
      </c>
      <c r="AD5" s="194" t="str">
        <f t="shared" ref="AD5:AD39" si="14">IF(AC5="","",ROUND((1-(AC5/AB5)),6))</f>
        <v/>
      </c>
      <c r="AE5" s="200" t="str">
        <f t="array" ref="AE5">INDEX('jiliarena_日报_底稿'!$P$2:$DS$31,MATCH($A5,'jiliarena_日报_底稿'!$P$2:$P$31,0),MATCH(AE$3,'jiliarena_日报_底稿'!$P$3:$DS$3,0))</f>
        <v/>
      </c>
      <c r="AF5" s="200" t="str">
        <f t="array" ref="AF5">INDEX('jiliarena_日报_底稿'!$P$2:$DS$31,MATCH($A5,'jiliarena_日报_底稿'!$P$2:$P$31,0),MATCH(AF$3,'jiliarena_日报_底稿'!$P$3:$DS$3,0))</f>
        <v/>
      </c>
      <c r="AG5" s="194" t="str">
        <f t="shared" ref="AG5:AG39" si="16">IF(AF5="","",ROUND((1-(AF5/AE5)),6))</f>
        <v/>
      </c>
      <c r="AH5" s="200" t="str">
        <f t="array" ref="AH5">INDEX('jiliarena_日报_底稿'!$P$2:$DS$31,MATCH($A5,'jiliarena_日报_底稿'!$P$2:$P$31,0),MATCH(AH$3,'jiliarena_日报_底稿'!$P$3:$DS$3,0))</f>
        <v/>
      </c>
      <c r="AI5" s="200" t="str">
        <f t="array" ref="AI5">INDEX('jiliarena_日报_底稿'!$P$2:$DS$31,MATCH($A5,'jiliarena_日报_底稿'!$P$2:$P$31,0),MATCH(AI$3,'jiliarena_日报_底稿'!$P$3:$DS$3,0))</f>
        <v/>
      </c>
      <c r="AJ5" s="194" t="str">
        <f t="shared" ref="AJ5:AJ39" si="18">IF(AI5="","",ROUND((1-(AI5/AH5)),6))</f>
        <v/>
      </c>
      <c r="AK5" s="200" t="str">
        <f t="array" ref="AK5">INDEX('jiliarena_日报_底稿'!$P$2:$DS$31,MATCH($A5,'jiliarena_日报_底稿'!$P$2:$P$31,0),MATCH(AK$3,'jiliarena_日报_底稿'!$P$3:$DS$3,0))</f>
        <v/>
      </c>
      <c r="AL5" s="200" t="str">
        <f t="array" ref="AL5">INDEX('jiliarena_日报_底稿'!$P$2:$DS$31,MATCH($A5,'jiliarena_日报_底稿'!$P$2:$P$31,0),MATCH(AL$3,'jiliarena_日报_底稿'!$P$3:$DS$3,0))</f>
        <v/>
      </c>
      <c r="AM5" s="194" t="str">
        <f t="shared" ref="AM5:AM39" si="20">IF(AL5="","",ROUND((1-(AL5/AK5)),6))</f>
        <v/>
      </c>
      <c r="AN5" s="200" t="str">
        <f t="array" ref="AN5">INDEX('jiliarena_日报_底稿'!$P$2:$DS$31,MATCH($A5,'jiliarena_日报_底稿'!$P$2:$P$31,0),MATCH(AN$3,'jiliarena_日报_底稿'!$P$3:$DS$3,0))</f>
        <v/>
      </c>
      <c r="AO5" s="200" t="str">
        <f t="array" ref="AO5">INDEX('jiliarena_日报_底稿'!$P$2:$DS$31,MATCH($A5,'jiliarena_日报_底稿'!$P$2:$P$31,0),MATCH(AO$3,'jiliarena_日报_底稿'!$P$3:$DS$3,0))</f>
        <v/>
      </c>
      <c r="AP5" s="194" t="str">
        <f t="shared" ref="AP5:AP39" si="22">IF(AO5="","",ROUND((1-(AO5/AN5)),6))</f>
        <v/>
      </c>
      <c r="AQ5" s="200" t="str">
        <f t="array" ref="AQ5">INDEX('jiliarena_日报_底稿'!$P$2:$DS$31,MATCH($A5,'jiliarena_日报_底稿'!$P$2:$P$31,0),MATCH(AQ$3,'jiliarena_日报_底稿'!$P$3:$DS$3,0))</f>
        <v/>
      </c>
      <c r="AR5" s="200" t="str">
        <f t="array" ref="AR5">INDEX('jiliarena_日报_底稿'!$P$2:$DS$31,MATCH($A5,'jiliarena_日报_底稿'!$P$2:$P$31,0),MATCH(AR$3,'jiliarena_日报_底稿'!$P$3:$DS$3,0))</f>
        <v/>
      </c>
      <c r="AS5" s="194" t="str">
        <f t="shared" ref="AS5:AS39" si="24">IF(AR5="","",ROUND((1-(AR5/AQ5)),6))</f>
        <v/>
      </c>
      <c r="AT5" s="201">
        <f>SUMIFS('jiliarena_活动分析数据_底稿'!$K:$K,'jiliarena_活动分析数据_底稿'!$B:$B,$A5,'jiliarena_活动分析数据_底稿'!$L:$L,AT$3)</f>
        <v>0</v>
      </c>
      <c r="AU5" s="201">
        <f>SUMIFS('jiliarena_活动分析数据_底稿'!$K:$K,'jiliarena_活动分析数据_底稿'!$B:$B,$A5,'jiliarena_活动分析数据_底稿'!$L:$L,AU$3)</f>
        <v>0</v>
      </c>
      <c r="AV5" s="201">
        <f>SUMIFS('jiliarena_活动分析数据_底稿'!$K:$K,'jiliarena_活动分析数据_底稿'!$B:$B,$A5,'jiliarena_活动分析数据_底稿'!$L:$L,AV$3)</f>
        <v>0</v>
      </c>
      <c r="AW5" s="201">
        <f>SUMIFS('jiliarena_活动分析数据_底稿'!$K:$K,'jiliarena_活动分析数据_底稿'!$B:$B,$A5,'jiliarena_活动分析数据_底稿'!$L:$L,AW$3)</f>
        <v>0</v>
      </c>
      <c r="AX5" s="201">
        <f>SUMIFS('jiliarena_活动分析数据_底稿'!$K:$K,'jiliarena_活动分析数据_底稿'!$B:$B,$A5,'jiliarena_活动分析数据_底稿'!$L:$L,AX$3)</f>
        <v>0</v>
      </c>
      <c r="AY5" s="201">
        <f>SUMIFS('jiliarena_活动分析数据_底稿'!$K:$K,'jiliarena_活动分析数据_底稿'!$B:$B,$A5,'jiliarena_活动分析数据_底稿'!$L:$L,AY$3)</f>
        <v>0</v>
      </c>
      <c r="AZ5" s="201">
        <f>SUMIFS('jiliarena_活动分析数据_底稿'!$K:$K,'jiliarena_活动分析数据_底稿'!$B:$B,$A5,'jiliarena_活动分析数据_底稿'!$L:$L,AZ$3)</f>
        <v>0</v>
      </c>
      <c r="BA5" s="201">
        <f>SUMIFS('jiliarena_活动分析数据_底稿'!$K:$K,'jiliarena_活动分析数据_底稿'!$B:$B,$A5,'jiliarena_活动分析数据_底稿'!$L:$L,BA$3)</f>
        <v>0</v>
      </c>
      <c r="BB5" s="201">
        <f>SUMIFS('jiliarena_活动分析数据_底稿'!$K:$K,'jiliarena_活动分析数据_底稿'!$B:$B,$A5,'jiliarena_活动分析数据_底稿'!$L:$L,BB$3)</f>
        <v>0</v>
      </c>
      <c r="BC5" s="201">
        <f>SUMIFS('jiliarena_活动分析数据_底稿'!$K:$K,'jiliarena_活动分析数据_底稿'!$B:$B,$A5,'jiliarena_活动分析数据_底稿'!$L:$L,BC$3)</f>
        <v>0</v>
      </c>
      <c r="BD5" s="201">
        <f>SUMIFS('jiliarena_活动分析数据_底稿'!$K:$K,'jiliarena_活动分析数据_底稿'!$B:$B,$A5,'jiliarena_活动分析数据_底稿'!$L:$L,BD$3)</f>
        <v>0</v>
      </c>
      <c r="BE5" s="201">
        <f>SUMIFS('jiliarena_活动分析数据_底稿'!$K:$K,'jiliarena_活动分析数据_底稿'!$B:$B,$A5,'jiliarena_活动分析数据_底稿'!$L:$L,BE$3)</f>
        <v>0</v>
      </c>
      <c r="BF5" s="201">
        <f>SUMIFS('jiliarena_活动分析数据_底稿'!$K:$K,'jiliarena_活动分析数据_底稿'!$B:$B,$A5,'jiliarena_活动分析数据_底稿'!$L:$L,BF$3)</f>
        <v>0</v>
      </c>
      <c r="BG5" s="201">
        <f>SUMIFS('jiliarena_活动分析数据_底稿'!$K:$K,'jiliarena_活动分析数据_底稿'!$B:$B,$A5,'jiliarena_活动分析数据_底稿'!$L:$L,BG$3)</f>
        <v>0</v>
      </c>
      <c r="BH5" s="201">
        <f>SUMIFS('jiliarena_活动分析数据_底稿'!$K:$K,'jiliarena_活动分析数据_底稿'!$B:$B,$A5,'jiliarena_活动分析数据_底稿'!$L:$L,BH$3)</f>
        <v>0</v>
      </c>
      <c r="BI5" s="201">
        <f>SUMIFS('jiliarena_活动分析数据_底稿'!$K:$K,'jiliarena_活动分析数据_底稿'!$B:$B,$A5,'jiliarena_活动分析数据_底稿'!$L:$L,BI$3)</f>
        <v>0</v>
      </c>
      <c r="BJ5" s="201">
        <f>SUMIFS('jiliarena_活动分析数据_底稿'!$K:$K,'jiliarena_活动分析数据_底稿'!$B:$B,$A5,'jiliarena_活动分析数据_底稿'!$L:$L,BJ$3)</f>
        <v>0</v>
      </c>
      <c r="BK5" s="201">
        <f>SUMIFS('jiliarena_活动分析数据_底稿'!$K:$K,'jiliarena_活动分析数据_底稿'!$B:$B,$A5,'jiliarena_活动分析数据_底稿'!$L:$L,BK$3)</f>
        <v>0</v>
      </c>
      <c r="BL5" s="201">
        <f>SUMIFS('jiliarena_活动分析数据_底稿'!$K:$K,'jiliarena_活动分析数据_底稿'!$B:$B,$A5,'jiliarena_活动分析数据_底稿'!$L:$L,BL$3)</f>
        <v>0</v>
      </c>
      <c r="BM5" s="201">
        <f>SUMIFS('jiliarena_活动分析数据_底稿'!$K:$K,'jiliarena_活动分析数据_底稿'!$B:$B,$A5,'jiliarena_活动分析数据_底稿'!$L:$L,BM$3)</f>
        <v>0</v>
      </c>
      <c r="BN5" s="201">
        <f>SUMIFS('jiliarena_活动分析数据_底稿'!$K:$K,'jiliarena_活动分析数据_底稿'!$B:$B,$A5,'jiliarena_活动分析数据_底稿'!$L:$L,BN$3)</f>
        <v>0</v>
      </c>
      <c r="BO5" s="201">
        <f>SUMIFS('jiliarena_活动分析数据_底稿'!$K:$K,'jiliarena_活动分析数据_底稿'!$B:$B,$A5,'jiliarena_活动分析数据_底稿'!$L:$L,BO$3)</f>
        <v>0</v>
      </c>
      <c r="BP5" s="201">
        <f>SUMIFS('jiliarena_活动分析数据_底稿'!$K:$K,'jiliarena_活动分析数据_底稿'!$B:$B,$A5,'jiliarena_活动分析数据_底稿'!$L:$L,BP$3)</f>
        <v>0</v>
      </c>
      <c r="BQ5" s="198">
        <f>SUM(AT5:BP5)</f>
        <v>0</v>
      </c>
      <c r="BR5" s="198">
        <f>AT5</f>
        <v>0</v>
      </c>
      <c r="BS5" s="198">
        <f>BB5</f>
        <v>0</v>
      </c>
      <c r="BT5" s="194" t="str">
        <f t="shared" ref="BT5:BT39" si="26">iferror(IF(BQ5="","",ROUND(BQ5/X5,6)),"")</f>
        <v/>
      </c>
      <c r="BU5" s="194" t="str">
        <f t="shared" ref="BU5:BU39" si="27">iferror(BQ5/L5,"")</f>
        <v/>
      </c>
      <c r="BV5" s="194" t="str">
        <f t="shared" ref="BV5:BV39" si="28">iferror(BQ5/Y5,"")</f>
        <v/>
      </c>
      <c r="BW5" s="202">
        <f t="shared" ref="BW5:BW39" si="29">IF(BQ5="","",Y5-BQ5)</f>
        <v>0</v>
      </c>
      <c r="BX5" s="203" t="str">
        <f t="shared" ref="BX5:BX39" si="30">iferror(BQ5/BW5,"")</f>
        <v/>
      </c>
      <c r="BY5" s="204">
        <f t="shared" ref="BY5:BY39" si="31">L5*$BY$1</f>
        <v>0</v>
      </c>
      <c r="BZ5" s="205">
        <f t="shared" ref="BZ5:BZ39" si="32">M5*$BZ$1</f>
        <v>0</v>
      </c>
      <c r="CA5" s="206">
        <f t="shared" ref="CA5:CA37" si="33">BY5+BZ5</f>
        <v>0</v>
      </c>
      <c r="CB5" s="207">
        <f t="shared" ref="CB5:CB37" si="34">IF(Y5="","",ROUND(Y5*9%,0))</f>
        <v>0</v>
      </c>
      <c r="CC5" s="203" t="str">
        <f t="shared" ref="CC5:CC39" si="35">iferror(CA5/BW5,"")</f>
        <v/>
      </c>
      <c r="CD5" s="198" t="str">
        <f t="array" ref="CD5">index('jiliarena_日报_底稿'!$P$3:$DS$31,match(A5,'jiliarena_日报_底稿'!$P$3:$P$31,0),match("综合性分红",'jiliarena_日报_底稿'!$P$3:$DS$3,0))</f>
        <v/>
      </c>
      <c r="CE5" s="208"/>
      <c r="CF5" s="198" t="str">
        <f t="array" ref="CF5">INDEX('jiliarena_日报_底稿'!$P$2:$DS$31,MATCH($A5,'jiliarena_日报_底稿'!$P$2:$P$31,0),MATCH(CF$3,'jiliarena_日报_底稿'!$P$3:$DS$3,0))</f>
        <v/>
      </c>
      <c r="CG5" s="198">
        <f t="array" ref="CG5">-INDEX('jiliarena_日报_底稿'!$P$2:$DS$31,MATCH($A5,'jiliarena_日报_底稿'!$P$2:$P$31,0),MATCH(CG$3,'jiliarena_日报_底稿'!$P$3:$DS$3,0))</f>
        <v>0</v>
      </c>
      <c r="CH5" s="198" t="str">
        <f t="array" ref="CH5">INDEX('jiliarena_日报_底稿'!$P$2:$DS$31,MATCH($A5,'jiliarena_日报_底稿'!$P$2:$P$31,0),MATCH(CH$3,'jiliarena_日报_底稿'!$P$3:$DS$3,0))</f>
        <v/>
      </c>
      <c r="CI5" s="202">
        <f t="shared" ref="CI5:CI39" si="37">IF(CA5="","",BW5-CA5-CD5-CB5)</f>
        <v>0</v>
      </c>
      <c r="CJ5" s="209">
        <f t="shared" ref="CJ5:CJ39" si="38">IFERROR(month(A5),"")</f>
        <v>2</v>
      </c>
      <c r="CK5" s="209">
        <f t="shared" ref="CK5:CK39" si="39">IFERROR(DAY(A5),"")</f>
        <v>1</v>
      </c>
    </row>
    <row r="6" hidden="1">
      <c r="A6" s="210" t="s">
        <v>507</v>
      </c>
      <c r="B6" s="211">
        <f t="shared" ref="B6:M6" si="1">SUM(B5)</f>
        <v>0</v>
      </c>
      <c r="C6" s="211">
        <f t="shared" si="1"/>
        <v>0</v>
      </c>
      <c r="D6" s="211">
        <f t="shared" si="1"/>
        <v>0</v>
      </c>
      <c r="E6" s="211">
        <f t="shared" si="1"/>
        <v>18</v>
      </c>
      <c r="F6" s="211">
        <f t="shared" si="1"/>
        <v>0</v>
      </c>
      <c r="G6" s="211">
        <f t="shared" si="1"/>
        <v>0</v>
      </c>
      <c r="H6" s="211">
        <f t="shared" si="1"/>
        <v>0</v>
      </c>
      <c r="I6" s="211">
        <f t="shared" si="1"/>
        <v>814</v>
      </c>
      <c r="J6" s="211">
        <f t="shared" si="1"/>
        <v>0</v>
      </c>
      <c r="K6" s="212">
        <f t="shared" si="1"/>
        <v>0</v>
      </c>
      <c r="L6" s="212">
        <f t="shared" si="1"/>
        <v>0</v>
      </c>
      <c r="M6" s="212">
        <f t="shared" si="1"/>
        <v>0</v>
      </c>
      <c r="N6" s="213" t="str">
        <f t="shared" si="2"/>
        <v>#DIV/0!</v>
      </c>
      <c r="O6" s="214" t="str">
        <f t="shared" si="3"/>
        <v>#DIV/0!</v>
      </c>
      <c r="P6" s="213" t="str">
        <f t="shared" si="4"/>
        <v>#DIV/0!</v>
      </c>
      <c r="Q6" s="214" t="str">
        <f t="shared" si="5"/>
        <v>#DIV/0!</v>
      </c>
      <c r="R6" s="214" t="str">
        <f t="shared" si="6"/>
        <v>#DIV/0!</v>
      </c>
      <c r="S6" s="214" t="str">
        <f t="shared" si="7"/>
        <v>#DIV/0!</v>
      </c>
      <c r="T6" s="214" t="str">
        <f t="shared" si="8"/>
        <v>#DIV/0!</v>
      </c>
      <c r="U6" s="215" t="str">
        <f t="shared" si="9"/>
        <v>#DIV/0!</v>
      </c>
      <c r="V6" s="216">
        <f t="shared" si="10"/>
        <v>0</v>
      </c>
      <c r="W6" s="217">
        <f t="shared" ref="W6:Z6" si="11">SUM(W5)</f>
        <v>0</v>
      </c>
      <c r="X6" s="217">
        <f t="shared" si="11"/>
        <v>0</v>
      </c>
      <c r="Y6" s="217">
        <f t="shared" si="11"/>
        <v>0</v>
      </c>
      <c r="Z6" s="217">
        <f t="shared" si="11"/>
        <v>0</v>
      </c>
      <c r="AA6" s="218" t="str">
        <f t="shared" si="12"/>
        <v/>
      </c>
      <c r="AB6" s="217">
        <f t="shared" ref="AB6:AC6" si="13">SUM(AB5)</f>
        <v>0</v>
      </c>
      <c r="AC6" s="217">
        <f t="shared" si="13"/>
        <v>0</v>
      </c>
      <c r="AD6" s="218" t="str">
        <f t="shared" si="14"/>
        <v>#DIV/0!</v>
      </c>
      <c r="AE6" s="217">
        <f t="shared" ref="AE6:AF6" si="15">SUM(AE5)</f>
        <v>0</v>
      </c>
      <c r="AF6" s="217">
        <f t="shared" si="15"/>
        <v>0</v>
      </c>
      <c r="AG6" s="218" t="str">
        <f t="shared" si="16"/>
        <v>#DIV/0!</v>
      </c>
      <c r="AH6" s="217">
        <f t="shared" ref="AH6:AI6" si="17">SUM(AH5)</f>
        <v>0</v>
      </c>
      <c r="AI6" s="217">
        <f t="shared" si="17"/>
        <v>0</v>
      </c>
      <c r="AJ6" s="219" t="str">
        <f t="shared" si="18"/>
        <v>#DIV/0!</v>
      </c>
      <c r="AK6" s="217">
        <f t="shared" ref="AK6:AL6" si="19">SUM(AK5)</f>
        <v>0</v>
      </c>
      <c r="AL6" s="217">
        <f t="shared" si="19"/>
        <v>0</v>
      </c>
      <c r="AM6" s="218" t="str">
        <f t="shared" si="20"/>
        <v>#DIV/0!</v>
      </c>
      <c r="AN6" s="217">
        <f t="shared" ref="AN6:AO6" si="21">SUM(AN5)</f>
        <v>0</v>
      </c>
      <c r="AO6" s="217">
        <f t="shared" si="21"/>
        <v>0</v>
      </c>
      <c r="AP6" s="218" t="str">
        <f t="shared" si="22"/>
        <v>#DIV/0!</v>
      </c>
      <c r="AQ6" s="217">
        <f t="shared" ref="AQ6:AR6" si="23">SUM(AQ5)</f>
        <v>0</v>
      </c>
      <c r="AR6" s="217">
        <f t="shared" si="23"/>
        <v>0</v>
      </c>
      <c r="AS6" s="218" t="str">
        <f t="shared" si="24"/>
        <v>#DIV/0!</v>
      </c>
      <c r="AT6" s="220">
        <f t="shared" ref="AT6:BS6" si="25">SUM(AT5)</f>
        <v>0</v>
      </c>
      <c r="AU6" s="220">
        <f t="shared" si="25"/>
        <v>0</v>
      </c>
      <c r="AV6" s="220">
        <f t="shared" si="25"/>
        <v>0</v>
      </c>
      <c r="AW6" s="220">
        <f t="shared" si="25"/>
        <v>0</v>
      </c>
      <c r="AX6" s="220">
        <f t="shared" si="25"/>
        <v>0</v>
      </c>
      <c r="AY6" s="220">
        <f t="shared" si="25"/>
        <v>0</v>
      </c>
      <c r="AZ6" s="220">
        <f t="shared" si="25"/>
        <v>0</v>
      </c>
      <c r="BA6" s="220">
        <f t="shared" si="25"/>
        <v>0</v>
      </c>
      <c r="BB6" s="220">
        <f t="shared" si="25"/>
        <v>0</v>
      </c>
      <c r="BC6" s="220">
        <f t="shared" si="25"/>
        <v>0</v>
      </c>
      <c r="BD6" s="220">
        <f t="shared" si="25"/>
        <v>0</v>
      </c>
      <c r="BE6" s="220">
        <f t="shared" si="25"/>
        <v>0</v>
      </c>
      <c r="BF6" s="220">
        <f t="shared" si="25"/>
        <v>0</v>
      </c>
      <c r="BG6" s="220">
        <f t="shared" si="25"/>
        <v>0</v>
      </c>
      <c r="BH6" s="220">
        <f t="shared" si="25"/>
        <v>0</v>
      </c>
      <c r="BI6" s="220">
        <f t="shared" si="25"/>
        <v>0</v>
      </c>
      <c r="BJ6" s="220">
        <f t="shared" si="25"/>
        <v>0</v>
      </c>
      <c r="BK6" s="220">
        <f t="shared" si="25"/>
        <v>0</v>
      </c>
      <c r="BL6" s="220">
        <f t="shared" si="25"/>
        <v>0</v>
      </c>
      <c r="BM6" s="220">
        <f t="shared" si="25"/>
        <v>0</v>
      </c>
      <c r="BN6" s="220">
        <f t="shared" si="25"/>
        <v>0</v>
      </c>
      <c r="BO6" s="220">
        <f t="shared" si="25"/>
        <v>0</v>
      </c>
      <c r="BP6" s="220">
        <f t="shared" si="25"/>
        <v>0</v>
      </c>
      <c r="BQ6" s="220">
        <f t="shared" si="25"/>
        <v>0</v>
      </c>
      <c r="BR6" s="220">
        <f t="shared" si="25"/>
        <v>0</v>
      </c>
      <c r="BS6" s="220">
        <f t="shared" si="25"/>
        <v>0</v>
      </c>
      <c r="BT6" s="213" t="str">
        <f t="shared" si="26"/>
        <v/>
      </c>
      <c r="BU6" s="213" t="str">
        <f t="shared" si="27"/>
        <v/>
      </c>
      <c r="BV6" s="213" t="str">
        <f t="shared" si="28"/>
        <v/>
      </c>
      <c r="BW6" s="215">
        <f t="shared" si="29"/>
        <v>0</v>
      </c>
      <c r="BX6" s="213" t="str">
        <f t="shared" si="30"/>
        <v/>
      </c>
      <c r="BY6" s="215">
        <f t="shared" si="31"/>
        <v>0</v>
      </c>
      <c r="BZ6" s="215">
        <f t="shared" si="32"/>
        <v>0</v>
      </c>
      <c r="CA6" s="215">
        <f t="shared" si="33"/>
        <v>0</v>
      </c>
      <c r="CB6" s="215">
        <f t="shared" si="34"/>
        <v>0</v>
      </c>
      <c r="CC6" s="221" t="str">
        <f t="shared" si="35"/>
        <v/>
      </c>
      <c r="CD6" s="220">
        <f t="shared" ref="CD6:CH6" si="36">SUM(CD5)</f>
        <v>0</v>
      </c>
      <c r="CE6" s="220">
        <f t="shared" si="36"/>
        <v>0</v>
      </c>
      <c r="CF6" s="220">
        <f t="shared" si="36"/>
        <v>0</v>
      </c>
      <c r="CG6" s="220">
        <f t="shared" si="36"/>
        <v>0</v>
      </c>
      <c r="CH6" s="220">
        <f t="shared" si="36"/>
        <v>0</v>
      </c>
      <c r="CI6" s="215">
        <f t="shared" si="37"/>
        <v>0</v>
      </c>
      <c r="CJ6" s="146" t="str">
        <f t="shared" si="38"/>
        <v/>
      </c>
      <c r="CK6" s="146" t="str">
        <f t="shared" si="39"/>
        <v/>
      </c>
    </row>
    <row r="7" hidden="1">
      <c r="A7" s="190">
        <f>A5+1</f>
        <v>46055</v>
      </c>
      <c r="B7" s="191" t="str">
        <f t="array" ref="B7">INDEX('jiliarena_日报_底稿'!$A$3:$N$31,MATCH($A7,'jiliarena_日报_底稿'!$A$3:$A$31,0),MATCH(B$3,'jiliarena_日报_底稿'!$A$3:$N$3,0))</f>
        <v/>
      </c>
      <c r="C7" s="191" t="str">
        <f t="array" ref="C7">INDEX('jiliarena_日报_底稿'!$A$3:$N$31,MATCH($A7,'jiliarena_日报_底稿'!$A$3:$A$31,0),MATCH(C$3,'jiliarena_日报_底稿'!$A$3:$N$3,0))</f>
        <v/>
      </c>
      <c r="D7" s="191" t="str">
        <f t="array" ref="D7">INDEX('jiliarena_日报_底稿'!$A$3:$N$31,MATCH($A7,'jiliarena_日报_底稿'!$A$3:$A$31,0),MATCH(D$3,'jiliarena_日报_底稿'!$A$3:$N$3,0))</f>
        <v/>
      </c>
      <c r="E7" s="192">
        <v>21.0</v>
      </c>
      <c r="F7" s="191" t="str">
        <f t="array" ref="F7">INDEX('jiliarena_日报_底稿'!$A$3:$N$31,MATCH($A7,'jiliarena_日报_底稿'!$A$3:$A$31,0),MATCH(F$3,'jiliarena_日报_底稿'!$A$3:$N$3,0))</f>
        <v/>
      </c>
      <c r="G7" s="191">
        <f>SUMIFS('渠道充值成功率_底稿'!$F:$F,'渠道充值成功率_底稿'!$A:$A,A7)</f>
        <v>0</v>
      </c>
      <c r="H7" s="191" t="str">
        <f t="array" ref="H7">INDEX('jiliarena_日报_底稿'!$A$3:$N$31,MATCH($A7,'jiliarena_日报_底稿'!$A$3:$A$31,0),MATCH(H$3,'jiliarena_日报_底稿'!$A$3:$N$3,0))</f>
        <v/>
      </c>
      <c r="I7" s="192">
        <v>893.0</v>
      </c>
      <c r="J7" s="191" t="str">
        <f t="array" ref="J7">INDEX('jiliarena_日报_底稿'!$A$3:$N$31,MATCH($A7,'jiliarena_日报_底稿'!$A$3:$A$31,0),MATCH(J$3,'jiliarena_日报_底稿'!$A$3:$N$3,0))</f>
        <v/>
      </c>
      <c r="K7" s="193">
        <f>SUMIFS('渠道充值成功率_底稿'!$J:$J,'渠道充值成功率_底稿'!$A:$A,$A7)</f>
        <v>0</v>
      </c>
      <c r="L7" s="193" t="str">
        <f t="array" ref="L7">INDEX('jiliarena_日报_底稿'!$A$3:$N$31,MATCH($A7,'jiliarena_日报_底稿'!$A$3:$A$31,0),MATCH(L$3,'jiliarena_日报_底稿'!$A$3:$N$3,0))</f>
        <v/>
      </c>
      <c r="M7" s="193" t="str">
        <f t="array" ref="M7">INDEX('jiliarena_日报_底稿'!$P$2:$DS$31,MATCH($A7,'jiliarena_日报_底稿'!$P$2:$P$31,0),MATCH($M$3,'jiliarena_日报_底稿'!$P$3:$DS$3,0))</f>
        <v/>
      </c>
      <c r="N7" s="194" t="str">
        <f t="shared" si="2"/>
        <v/>
      </c>
      <c r="O7" s="195" t="str">
        <f t="shared" si="3"/>
        <v>#DIV/0!</v>
      </c>
      <c r="P7" s="194" t="str">
        <f t="shared" si="4"/>
        <v/>
      </c>
      <c r="Q7" s="195" t="str">
        <f t="shared" si="5"/>
        <v>#DIV/0!</v>
      </c>
      <c r="R7" s="196" t="str">
        <f t="shared" si="6"/>
        <v/>
      </c>
      <c r="S7" s="195" t="str">
        <f t="shared" si="7"/>
        <v/>
      </c>
      <c r="T7" s="195" t="str">
        <f t="shared" si="8"/>
        <v/>
      </c>
      <c r="U7" s="196" t="str">
        <f t="shared" si="9"/>
        <v/>
      </c>
      <c r="V7" s="197" t="str">
        <f t="shared" si="10"/>
        <v/>
      </c>
      <c r="W7" s="198">
        <f t="shared" ref="W7:W13" si="40">AB7+AE7+AH7+AK7+AN7+AQ7</f>
        <v>0</v>
      </c>
      <c r="X7" s="198">
        <f t="array" ref="X7">index('jiliarena_日报_底稿'!$P$2:$DS$31,match($A7,'jiliarena_日报_底稿'!$P$2:$P$31,0),match("电子有效投注",'jiliarena_日报_底稿'!$P$3:$DS$3,0))+index('jiliarena_日报_底稿'!$P$2:$DS$31,match($A7,'jiliarena_日报_底稿'!$P$2:$P$31,0),match("真人有效投注",'jiliarena_日报_底稿'!$P$3:$DS$3,0))+index('jiliarena_日报_底稿'!$P$2:$DS$31,match($A7,'jiliarena_日报_底稿'!$P$2:$P$31,0),match("彩票有效投注",'jiliarena_日报_底稿'!$P$3:$DS$3,0))+index('jiliarena_日报_底稿'!$P$2:$DS$31,match($A7,'jiliarena_日报_底稿'!$P$2:$P$31,0),match("棋牌有效投注",'jiliarena_日报_底稿'!$P$3:$DS$3,0))+index('jiliarena_日报_底稿'!$P$2:$DS$31,match($A7,'jiliarena_日报_底稿'!$P$2:$P$31,0),match("捕鱼有效投注",'jiliarena_日报_底稿'!$P$3:$DS$3,0))+index('jiliarena_日报_底稿'!$P$2:$DS$31,match($A7,'jiliarena_日报_底稿'!$P$2:$P$31,0),match("体育有效投注",'jiliarena_日报_底稿'!$P$3:$DS$3,0))+index('jiliarena_日报_底稿'!$P$2:$DS$31,match($A7,'jiliarena_日报_底稿'!$P$2:$P$31,0),match("盘口彩票有效投注",'jiliarena_日报_底稿'!$P$3:$DS$3,0))</f>
        <v>0</v>
      </c>
      <c r="Y7" s="199">
        <f t="shared" ref="Y7:Y13" si="41">AB7+AE7+AH7+AK7+AN7+AQ7-AR7-AO7-AL7-AI7-AF7-AC7</f>
        <v>0</v>
      </c>
      <c r="Z7" s="198">
        <f t="shared" ref="Z7:Z13" si="42">AC7+AF7+AI7+AL7+AO7+AR7</f>
        <v>0</v>
      </c>
      <c r="AA7" s="194" t="str">
        <f t="shared" si="12"/>
        <v/>
      </c>
      <c r="AB7" s="200" t="str">
        <f t="array" ref="AB7">INDEX('jiliarena_日报_底稿'!$P$2:$DS$31,MATCH($A7,'jiliarena_日报_底稿'!$P$2:$P$31,0),MATCH(AB$3,'jiliarena_日报_底稿'!$P$3:$DS$3,0))</f>
        <v/>
      </c>
      <c r="AC7" s="200" t="str">
        <f t="array" ref="AC7">INDEX('jiliarena_日报_底稿'!$P$2:$DS$31,MATCH($A7,'jiliarena_日报_底稿'!$P$2:$P$31,0),MATCH(AC$3,'jiliarena_日报_底稿'!$P$3:$DS$3,0))</f>
        <v/>
      </c>
      <c r="AD7" s="194" t="str">
        <f t="shared" si="14"/>
        <v/>
      </c>
      <c r="AE7" s="200" t="str">
        <f t="array" ref="AE7">INDEX('jiliarena_日报_底稿'!$P$2:$DS$31,MATCH($A7,'jiliarena_日报_底稿'!$P$2:$P$31,0),MATCH(AE$3,'jiliarena_日报_底稿'!$P$3:$DS$3,0))</f>
        <v/>
      </c>
      <c r="AF7" s="200" t="str">
        <f t="array" ref="AF7">INDEX('jiliarena_日报_底稿'!$P$2:$DS$31,MATCH($A7,'jiliarena_日报_底稿'!$P$2:$P$31,0),MATCH(AF$3,'jiliarena_日报_底稿'!$P$3:$DS$3,0))</f>
        <v/>
      </c>
      <c r="AG7" s="194" t="str">
        <f t="shared" si="16"/>
        <v/>
      </c>
      <c r="AH7" s="200" t="str">
        <f t="array" ref="AH7">INDEX('jiliarena_日报_底稿'!$P$2:$DS$31,MATCH($A7,'jiliarena_日报_底稿'!$P$2:$P$31,0),MATCH(AH$3,'jiliarena_日报_底稿'!$P$3:$DS$3,0))</f>
        <v/>
      </c>
      <c r="AI7" s="200" t="str">
        <f t="array" ref="AI7">INDEX('jiliarena_日报_底稿'!$P$2:$DS$31,MATCH($A7,'jiliarena_日报_底稿'!$P$2:$P$31,0),MATCH(AI$3,'jiliarena_日报_底稿'!$P$3:$DS$3,0))</f>
        <v/>
      </c>
      <c r="AJ7" s="194" t="str">
        <f t="shared" si="18"/>
        <v/>
      </c>
      <c r="AK7" s="200" t="str">
        <f t="array" ref="AK7">INDEX('jiliarena_日报_底稿'!$P$2:$DS$31,MATCH($A7,'jiliarena_日报_底稿'!$P$2:$P$31,0),MATCH(AK$3,'jiliarena_日报_底稿'!$P$3:$DS$3,0))</f>
        <v/>
      </c>
      <c r="AL7" s="200" t="str">
        <f t="array" ref="AL7">INDEX('jiliarena_日报_底稿'!$P$2:$DS$31,MATCH($A7,'jiliarena_日报_底稿'!$P$2:$P$31,0),MATCH(AL$3,'jiliarena_日报_底稿'!$P$3:$DS$3,0))</f>
        <v/>
      </c>
      <c r="AM7" s="194" t="str">
        <f t="shared" si="20"/>
        <v/>
      </c>
      <c r="AN7" s="200" t="str">
        <f t="array" ref="AN7">INDEX('jiliarena_日报_底稿'!$P$2:$DS$31,MATCH($A7,'jiliarena_日报_底稿'!$P$2:$P$31,0),MATCH(AN$3,'jiliarena_日报_底稿'!$P$3:$DS$3,0))</f>
        <v/>
      </c>
      <c r="AO7" s="200" t="str">
        <f t="array" ref="AO7">INDEX('jiliarena_日报_底稿'!$P$2:$DS$31,MATCH($A7,'jiliarena_日报_底稿'!$P$2:$P$31,0),MATCH(AO$3,'jiliarena_日报_底稿'!$P$3:$DS$3,0))</f>
        <v/>
      </c>
      <c r="AP7" s="194" t="str">
        <f t="shared" si="22"/>
        <v/>
      </c>
      <c r="AQ7" s="200" t="str">
        <f t="array" ref="AQ7">INDEX('jiliarena_日报_底稿'!$P$2:$DS$31,MATCH($A7,'jiliarena_日报_底稿'!$P$2:$P$31,0),MATCH(AQ$3,'jiliarena_日报_底稿'!$P$3:$DS$3,0))</f>
        <v/>
      </c>
      <c r="AR7" s="200" t="str">
        <f t="array" ref="AR7">INDEX('jiliarena_日报_底稿'!$P$2:$DS$31,MATCH($A7,'jiliarena_日报_底稿'!$P$2:$P$31,0),MATCH(AR$3,'jiliarena_日报_底稿'!$P$3:$DS$3,0))</f>
        <v/>
      </c>
      <c r="AS7" s="194" t="str">
        <f t="shared" si="24"/>
        <v/>
      </c>
      <c r="AT7" s="201">
        <f>SUMIFS('jiliarena_活动分析数据_底稿'!$K:$K,'jiliarena_活动分析数据_底稿'!$B:$B,$A7,'jiliarena_活动分析数据_底稿'!$L:$L,AT$3)</f>
        <v>0</v>
      </c>
      <c r="AU7" s="201">
        <f>SUMIFS('jiliarena_活动分析数据_底稿'!$K:$K,'jiliarena_活动分析数据_底稿'!$B:$B,$A7,'jiliarena_活动分析数据_底稿'!$L:$L,AU$3)</f>
        <v>0</v>
      </c>
      <c r="AV7" s="201">
        <f>SUMIFS('jiliarena_活动分析数据_底稿'!$K:$K,'jiliarena_活动分析数据_底稿'!$B:$B,$A7,'jiliarena_活动分析数据_底稿'!$L:$L,AV$3)</f>
        <v>0</v>
      </c>
      <c r="AW7" s="201">
        <f>SUMIFS('jiliarena_活动分析数据_底稿'!$K:$K,'jiliarena_活动分析数据_底稿'!$B:$B,$A7,'jiliarena_活动分析数据_底稿'!$L:$L,AW$3)</f>
        <v>0</v>
      </c>
      <c r="AX7" s="201">
        <f>SUMIFS('jiliarena_活动分析数据_底稿'!$K:$K,'jiliarena_活动分析数据_底稿'!$B:$B,$A7,'jiliarena_活动分析数据_底稿'!$L:$L,AX$3)</f>
        <v>0</v>
      </c>
      <c r="AY7" s="201">
        <f>SUMIFS('jiliarena_活动分析数据_底稿'!$K:$K,'jiliarena_活动分析数据_底稿'!$B:$B,$A7,'jiliarena_活动分析数据_底稿'!$L:$L,AY$3)</f>
        <v>0</v>
      </c>
      <c r="AZ7" s="201">
        <f>SUMIFS('jiliarena_活动分析数据_底稿'!$K:$K,'jiliarena_活动分析数据_底稿'!$B:$B,$A7,'jiliarena_活动分析数据_底稿'!$L:$L,AZ$3)</f>
        <v>0</v>
      </c>
      <c r="BA7" s="201">
        <f>SUMIFS('jiliarena_活动分析数据_底稿'!$K:$K,'jiliarena_活动分析数据_底稿'!$B:$B,$A7,'jiliarena_活动分析数据_底稿'!$L:$L,BA$3)</f>
        <v>0</v>
      </c>
      <c r="BB7" s="201">
        <f>SUMIFS('jiliarena_活动分析数据_底稿'!$K:$K,'jiliarena_活动分析数据_底稿'!$B:$B,$A7,'jiliarena_活动分析数据_底稿'!$L:$L,BB$3)</f>
        <v>0</v>
      </c>
      <c r="BC7" s="201">
        <f>SUMIFS('jiliarena_活动分析数据_底稿'!$K:$K,'jiliarena_活动分析数据_底稿'!$B:$B,$A7,'jiliarena_活动分析数据_底稿'!$L:$L,BC$3)</f>
        <v>0</v>
      </c>
      <c r="BD7" s="201">
        <f>SUMIFS('jiliarena_活动分析数据_底稿'!$K:$K,'jiliarena_活动分析数据_底稿'!$B:$B,$A7,'jiliarena_活动分析数据_底稿'!$L:$L,BD$3)</f>
        <v>0</v>
      </c>
      <c r="BE7" s="201">
        <f>SUMIFS('jiliarena_活动分析数据_底稿'!$K:$K,'jiliarena_活动分析数据_底稿'!$B:$B,$A7,'jiliarena_活动分析数据_底稿'!$L:$L,BE$3)</f>
        <v>0</v>
      </c>
      <c r="BF7" s="201">
        <f>SUMIFS('jiliarena_活动分析数据_底稿'!$K:$K,'jiliarena_活动分析数据_底稿'!$B:$B,$A7,'jiliarena_活动分析数据_底稿'!$L:$L,BF$3)</f>
        <v>0</v>
      </c>
      <c r="BG7" s="201">
        <f>SUMIFS('jiliarena_活动分析数据_底稿'!$K:$K,'jiliarena_活动分析数据_底稿'!$B:$B,$A7,'jiliarena_活动分析数据_底稿'!$L:$L,BG$3)</f>
        <v>0</v>
      </c>
      <c r="BH7" s="201">
        <f>SUMIFS('jiliarena_活动分析数据_底稿'!$K:$K,'jiliarena_活动分析数据_底稿'!$B:$B,$A7,'jiliarena_活动分析数据_底稿'!$L:$L,BH$3)</f>
        <v>0</v>
      </c>
      <c r="BI7" s="201">
        <f>SUMIFS('jiliarena_活动分析数据_底稿'!$K:$K,'jiliarena_活动分析数据_底稿'!$B:$B,$A7,'jiliarena_活动分析数据_底稿'!$L:$L,BI$3)</f>
        <v>0</v>
      </c>
      <c r="BJ7" s="201">
        <f>SUMIFS('jiliarena_活动分析数据_底稿'!$K:$K,'jiliarena_活动分析数据_底稿'!$B:$B,$A7,'jiliarena_活动分析数据_底稿'!$L:$L,BJ$3)</f>
        <v>0</v>
      </c>
      <c r="BK7" s="201">
        <f>SUMIFS('jiliarena_活动分析数据_底稿'!$K:$K,'jiliarena_活动分析数据_底稿'!$B:$B,$A7,'jiliarena_活动分析数据_底稿'!$L:$L,BK$3)</f>
        <v>0</v>
      </c>
      <c r="BL7" s="201">
        <f>SUMIFS('jiliarena_活动分析数据_底稿'!$K:$K,'jiliarena_活动分析数据_底稿'!$B:$B,$A7,'jiliarena_活动分析数据_底稿'!$L:$L,BL$3)</f>
        <v>0</v>
      </c>
      <c r="BM7" s="201">
        <f>SUMIFS('jiliarena_活动分析数据_底稿'!$K:$K,'jiliarena_活动分析数据_底稿'!$B:$B,$A7,'jiliarena_活动分析数据_底稿'!$L:$L,BM$3)</f>
        <v>0</v>
      </c>
      <c r="BN7" s="201">
        <f>SUMIFS('jiliarena_活动分析数据_底稿'!$K:$K,'jiliarena_活动分析数据_底稿'!$B:$B,$A7,'jiliarena_活动分析数据_底稿'!$L:$L,BN$3)</f>
        <v>0</v>
      </c>
      <c r="BO7" s="201">
        <f>SUMIFS('jiliarena_活动分析数据_底稿'!$K:$K,'jiliarena_活动分析数据_底稿'!$B:$B,$A7,'jiliarena_活动分析数据_底稿'!$L:$L,BO$3)</f>
        <v>0</v>
      </c>
      <c r="BP7" s="201">
        <f>SUMIFS('jiliarena_活动分析数据_底稿'!$K:$K,'jiliarena_活动分析数据_底稿'!$B:$B,$A7,'jiliarena_活动分析数据_底稿'!$L:$L,BP$3)</f>
        <v>0</v>
      </c>
      <c r="BQ7" s="198">
        <f t="shared" ref="BQ7:BQ13" si="43">SUM(AT7:BP7)</f>
        <v>0</v>
      </c>
      <c r="BR7" s="198">
        <f t="shared" ref="BR7:BR13" si="44">AT7</f>
        <v>0</v>
      </c>
      <c r="BS7" s="198">
        <f t="shared" ref="BS7:BS13" si="45">BB7</f>
        <v>0</v>
      </c>
      <c r="BT7" s="194" t="str">
        <f t="shared" si="26"/>
        <v/>
      </c>
      <c r="BU7" s="194" t="str">
        <f t="shared" si="27"/>
        <v/>
      </c>
      <c r="BV7" s="194" t="str">
        <f t="shared" si="28"/>
        <v/>
      </c>
      <c r="BW7" s="202">
        <f t="shared" si="29"/>
        <v>0</v>
      </c>
      <c r="BX7" s="203" t="str">
        <f t="shared" si="30"/>
        <v/>
      </c>
      <c r="BY7" s="204">
        <f t="shared" si="31"/>
        <v>0</v>
      </c>
      <c r="BZ7" s="205">
        <f t="shared" si="32"/>
        <v>0</v>
      </c>
      <c r="CA7" s="206">
        <f t="shared" si="33"/>
        <v>0</v>
      </c>
      <c r="CB7" s="207">
        <f t="shared" si="34"/>
        <v>0</v>
      </c>
      <c r="CC7" s="203" t="str">
        <f t="shared" si="35"/>
        <v/>
      </c>
      <c r="CD7" s="198" t="str">
        <f t="array" ref="CD7">index('jiliarena_日报_底稿'!$P$3:$DS$31,match(A7,'jiliarena_日报_底稿'!$P$3:$P$31,0),match("综合性分红",'jiliarena_日报_底稿'!$P$3:$DS$3,0))</f>
        <v/>
      </c>
      <c r="CE7" s="208"/>
      <c r="CF7" s="198" t="str">
        <f t="array" ref="CF7">INDEX('jiliarena_日报_底稿'!$P$2:$DS$31,MATCH($A7,'jiliarena_日报_底稿'!$P$2:$P$31,0),MATCH(CF$3,'jiliarena_日报_底稿'!$P$3:$DS$3,0))</f>
        <v/>
      </c>
      <c r="CG7" s="198">
        <f t="array" ref="CG7">-INDEX('jiliarena_日报_底稿'!$P$2:$DS$31,MATCH($A7,'jiliarena_日报_底稿'!$P$2:$P$31,0),MATCH(CG$3,'jiliarena_日报_底稿'!$P$3:$DS$3,0))</f>
        <v>0</v>
      </c>
      <c r="CH7" s="198" t="str">
        <f t="array" ref="CH7">INDEX('jiliarena_日报_底稿'!$P$2:$DS$31,MATCH($A7,'jiliarena_日报_底稿'!$P$2:$P$31,0),MATCH(CH$3,'jiliarena_日报_底稿'!$P$3:$DS$3,0))</f>
        <v/>
      </c>
      <c r="CI7" s="202">
        <f t="shared" si="37"/>
        <v>0</v>
      </c>
      <c r="CJ7" s="209">
        <f t="shared" si="38"/>
        <v>2</v>
      </c>
      <c r="CK7" s="209">
        <f t="shared" si="39"/>
        <v>2</v>
      </c>
    </row>
    <row r="8" hidden="1">
      <c r="A8" s="222">
        <f t="shared" ref="A8:A13" si="46">A7+1</f>
        <v>46056</v>
      </c>
      <c r="B8" s="191" t="str">
        <f t="array" ref="B8">INDEX('jiliarena_日报_底稿'!$A$3:$N$31,MATCH($A8,'jiliarena_日报_底稿'!$A$3:$A$31,0),MATCH(B$3,'jiliarena_日报_底稿'!$A$3:$N$3,0))</f>
        <v/>
      </c>
      <c r="C8" s="191" t="str">
        <f t="array" ref="C8">INDEX('jiliarena_日报_底稿'!$A$3:$N$31,MATCH($A8,'jiliarena_日报_底稿'!$A$3:$A$31,0),MATCH(C$3,'jiliarena_日报_底稿'!$A$3:$N$3,0))</f>
        <v/>
      </c>
      <c r="D8" s="191" t="str">
        <f t="array" ref="D8">INDEX('jiliarena_日报_底稿'!$A$3:$N$31,MATCH($A8,'jiliarena_日报_底稿'!$A$3:$A$31,0),MATCH(D$3,'jiliarena_日报_底稿'!$A$3:$N$3,0))</f>
        <v/>
      </c>
      <c r="E8" s="192">
        <v>14.0</v>
      </c>
      <c r="F8" s="191" t="str">
        <f t="array" ref="F8">INDEX('jiliarena_日报_底稿'!$A$3:$N$31,MATCH($A8,'jiliarena_日报_底稿'!$A$3:$A$31,0),MATCH(F$3,'jiliarena_日报_底稿'!$A$3:$N$3,0))</f>
        <v/>
      </c>
      <c r="G8" s="191">
        <f>SUMIFS('渠道充值成功率_底稿'!$F:$F,'渠道充值成功率_底稿'!$A:$A,A8)</f>
        <v>0</v>
      </c>
      <c r="H8" s="191" t="str">
        <f t="array" ref="H8">INDEX('jiliarena_日报_底稿'!$A$3:$N$31,MATCH($A8,'jiliarena_日报_底稿'!$A$3:$A$31,0),MATCH(H$3,'jiliarena_日报_底稿'!$A$3:$N$3,0))</f>
        <v/>
      </c>
      <c r="I8" s="192">
        <v>850.0</v>
      </c>
      <c r="J8" s="191" t="str">
        <f t="array" ref="J8">INDEX('jiliarena_日报_底稿'!$A$3:$N$31,MATCH($A8,'jiliarena_日报_底稿'!$A$3:$A$31,0),MATCH(J$3,'jiliarena_日报_底稿'!$A$3:$N$3,0))</f>
        <v/>
      </c>
      <c r="K8" s="193">
        <f>SUMIFS('渠道充值成功率_底稿'!$J:$J,'渠道充值成功率_底稿'!$A:$A,$A8)</f>
        <v>0</v>
      </c>
      <c r="L8" s="193" t="str">
        <f t="array" ref="L8">INDEX('jiliarena_日报_底稿'!$A$3:$N$31,MATCH($A8,'jiliarena_日报_底稿'!$A$3:$A$31,0),MATCH(L$3,'jiliarena_日报_底稿'!$A$3:$N$3,0))</f>
        <v/>
      </c>
      <c r="M8" s="193" t="str">
        <f t="array" ref="M8">INDEX('jiliarena_日报_底稿'!$P$2:$DS$31,MATCH($A8,'jiliarena_日报_底稿'!$P$2:$P$31,0),MATCH($M$3,'jiliarena_日报_底稿'!$P$3:$DS$3,0))</f>
        <v/>
      </c>
      <c r="N8" s="194" t="str">
        <f t="shared" si="2"/>
        <v/>
      </c>
      <c r="O8" s="195" t="str">
        <f t="shared" si="3"/>
        <v>#DIV/0!</v>
      </c>
      <c r="P8" s="194" t="str">
        <f t="shared" si="4"/>
        <v/>
      </c>
      <c r="Q8" s="195" t="str">
        <f t="shared" si="5"/>
        <v>#DIV/0!</v>
      </c>
      <c r="R8" s="196" t="str">
        <f t="shared" si="6"/>
        <v/>
      </c>
      <c r="S8" s="195" t="str">
        <f t="shared" si="7"/>
        <v/>
      </c>
      <c r="T8" s="195" t="str">
        <f t="shared" si="8"/>
        <v/>
      </c>
      <c r="U8" s="196" t="str">
        <f t="shared" si="9"/>
        <v/>
      </c>
      <c r="V8" s="197" t="str">
        <f t="shared" si="10"/>
        <v/>
      </c>
      <c r="W8" s="198">
        <f t="shared" si="40"/>
        <v>0</v>
      </c>
      <c r="X8" s="198">
        <f t="array" ref="X8">index('jiliarena_日报_底稿'!$P$2:$DS$31,match($A8,'jiliarena_日报_底稿'!$P$2:$P$31,0),match("电子有效投注",'jiliarena_日报_底稿'!$P$3:$DS$3,0))+index('jiliarena_日报_底稿'!$P$2:$DS$31,match($A8,'jiliarena_日报_底稿'!$P$2:$P$31,0),match("真人有效投注",'jiliarena_日报_底稿'!$P$3:$DS$3,0))+index('jiliarena_日报_底稿'!$P$2:$DS$31,match($A8,'jiliarena_日报_底稿'!$P$2:$P$31,0),match("彩票有效投注",'jiliarena_日报_底稿'!$P$3:$DS$3,0))+index('jiliarena_日报_底稿'!$P$2:$DS$31,match($A8,'jiliarena_日报_底稿'!$P$2:$P$31,0),match("棋牌有效投注",'jiliarena_日报_底稿'!$P$3:$DS$3,0))+index('jiliarena_日报_底稿'!$P$2:$DS$31,match($A8,'jiliarena_日报_底稿'!$P$2:$P$31,0),match("捕鱼有效投注",'jiliarena_日报_底稿'!$P$3:$DS$3,0))+index('jiliarena_日报_底稿'!$P$2:$DS$31,match($A8,'jiliarena_日报_底稿'!$P$2:$P$31,0),match("体育有效投注",'jiliarena_日报_底稿'!$P$3:$DS$3,0))+index('jiliarena_日报_底稿'!$P$2:$DS$31,match($A8,'jiliarena_日报_底稿'!$P$2:$P$31,0),match("盘口彩票有效投注",'jiliarena_日报_底稿'!$P$3:$DS$3,0))</f>
        <v>0</v>
      </c>
      <c r="Y8" s="199">
        <f t="shared" si="41"/>
        <v>0</v>
      </c>
      <c r="Z8" s="198">
        <f t="shared" si="42"/>
        <v>0</v>
      </c>
      <c r="AA8" s="194" t="str">
        <f t="shared" si="12"/>
        <v/>
      </c>
      <c r="AB8" s="200" t="str">
        <f t="array" ref="AB8">INDEX('jiliarena_日报_底稿'!$P$2:$DS$31,MATCH($A8,'jiliarena_日报_底稿'!$P$2:$P$31,0),MATCH(AB$3,'jiliarena_日报_底稿'!$P$3:$DS$3,0))</f>
        <v/>
      </c>
      <c r="AC8" s="200" t="str">
        <f t="array" ref="AC8">INDEX('jiliarena_日报_底稿'!$P$2:$DS$31,MATCH($A8,'jiliarena_日报_底稿'!$P$2:$P$31,0),MATCH(AC$3,'jiliarena_日报_底稿'!$P$3:$DS$3,0))</f>
        <v/>
      </c>
      <c r="AD8" s="194" t="str">
        <f t="shared" si="14"/>
        <v/>
      </c>
      <c r="AE8" s="200" t="str">
        <f t="array" ref="AE8">INDEX('jiliarena_日报_底稿'!$P$2:$DS$31,MATCH($A8,'jiliarena_日报_底稿'!$P$2:$P$31,0),MATCH(AE$3,'jiliarena_日报_底稿'!$P$3:$DS$3,0))</f>
        <v/>
      </c>
      <c r="AF8" s="200" t="str">
        <f t="array" ref="AF8">INDEX('jiliarena_日报_底稿'!$P$2:$DS$31,MATCH($A8,'jiliarena_日报_底稿'!$P$2:$P$31,0),MATCH(AF$3,'jiliarena_日报_底稿'!$P$3:$DS$3,0))</f>
        <v/>
      </c>
      <c r="AG8" s="194" t="str">
        <f t="shared" si="16"/>
        <v/>
      </c>
      <c r="AH8" s="200" t="str">
        <f t="array" ref="AH8">INDEX('jiliarena_日报_底稿'!$P$2:$DS$31,MATCH($A8,'jiliarena_日报_底稿'!$P$2:$P$31,0),MATCH(AH$3,'jiliarena_日报_底稿'!$P$3:$DS$3,0))</f>
        <v/>
      </c>
      <c r="AI8" s="200" t="str">
        <f t="array" ref="AI8">INDEX('jiliarena_日报_底稿'!$P$2:$DS$31,MATCH($A8,'jiliarena_日报_底稿'!$P$2:$P$31,0),MATCH(AI$3,'jiliarena_日报_底稿'!$P$3:$DS$3,0))</f>
        <v/>
      </c>
      <c r="AJ8" s="194" t="str">
        <f t="shared" si="18"/>
        <v/>
      </c>
      <c r="AK8" s="200" t="str">
        <f t="array" ref="AK8">INDEX('jiliarena_日报_底稿'!$P$2:$DS$31,MATCH($A8,'jiliarena_日报_底稿'!$P$2:$P$31,0),MATCH(AK$3,'jiliarena_日报_底稿'!$P$3:$DS$3,0))</f>
        <v/>
      </c>
      <c r="AL8" s="200" t="str">
        <f t="array" ref="AL8">INDEX('jiliarena_日报_底稿'!$P$2:$DS$31,MATCH($A8,'jiliarena_日报_底稿'!$P$2:$P$31,0),MATCH(AL$3,'jiliarena_日报_底稿'!$P$3:$DS$3,0))</f>
        <v/>
      </c>
      <c r="AM8" s="194" t="str">
        <f t="shared" si="20"/>
        <v/>
      </c>
      <c r="AN8" s="200" t="str">
        <f t="array" ref="AN8">INDEX('jiliarena_日报_底稿'!$P$2:$DS$31,MATCH($A8,'jiliarena_日报_底稿'!$P$2:$P$31,0),MATCH(AN$3,'jiliarena_日报_底稿'!$P$3:$DS$3,0))</f>
        <v/>
      </c>
      <c r="AO8" s="200" t="str">
        <f t="array" ref="AO8">INDEX('jiliarena_日报_底稿'!$P$2:$DS$31,MATCH($A8,'jiliarena_日报_底稿'!$P$2:$P$31,0),MATCH(AO$3,'jiliarena_日报_底稿'!$P$3:$DS$3,0))</f>
        <v/>
      </c>
      <c r="AP8" s="194" t="str">
        <f t="shared" si="22"/>
        <v/>
      </c>
      <c r="AQ8" s="200" t="str">
        <f t="array" ref="AQ8">INDEX('jiliarena_日报_底稿'!$P$2:$DS$31,MATCH($A8,'jiliarena_日报_底稿'!$P$2:$P$31,0),MATCH(AQ$3,'jiliarena_日报_底稿'!$P$3:$DS$3,0))</f>
        <v/>
      </c>
      <c r="AR8" s="200" t="str">
        <f t="array" ref="AR8">INDEX('jiliarena_日报_底稿'!$P$2:$DS$31,MATCH($A8,'jiliarena_日报_底稿'!$P$2:$P$31,0),MATCH(AR$3,'jiliarena_日报_底稿'!$P$3:$DS$3,0))</f>
        <v/>
      </c>
      <c r="AS8" s="194" t="str">
        <f t="shared" si="24"/>
        <v/>
      </c>
      <c r="AT8" s="201">
        <f>SUMIFS('jiliarena_活动分析数据_底稿'!$K:$K,'jiliarena_活动分析数据_底稿'!$B:$B,$A8,'jiliarena_活动分析数据_底稿'!$L:$L,AT$3)</f>
        <v>0</v>
      </c>
      <c r="AU8" s="201">
        <f>SUMIFS('jiliarena_活动分析数据_底稿'!$K:$K,'jiliarena_活动分析数据_底稿'!$B:$B,$A8,'jiliarena_活动分析数据_底稿'!$L:$L,AU$3)</f>
        <v>0</v>
      </c>
      <c r="AV8" s="201">
        <f>SUMIFS('jiliarena_活动分析数据_底稿'!$K:$K,'jiliarena_活动分析数据_底稿'!$B:$B,$A8,'jiliarena_活动分析数据_底稿'!$L:$L,AV$3)</f>
        <v>0</v>
      </c>
      <c r="AW8" s="201">
        <f>SUMIFS('jiliarena_活动分析数据_底稿'!$K:$K,'jiliarena_活动分析数据_底稿'!$B:$B,$A8,'jiliarena_活动分析数据_底稿'!$L:$L,AW$3)</f>
        <v>0</v>
      </c>
      <c r="AX8" s="201">
        <f>SUMIFS('jiliarena_活动分析数据_底稿'!$K:$K,'jiliarena_活动分析数据_底稿'!$B:$B,$A8,'jiliarena_活动分析数据_底稿'!$L:$L,AX$3)</f>
        <v>0</v>
      </c>
      <c r="AY8" s="201">
        <f>SUMIFS('jiliarena_活动分析数据_底稿'!$K:$K,'jiliarena_活动分析数据_底稿'!$B:$B,$A8,'jiliarena_活动分析数据_底稿'!$L:$L,AY$3)</f>
        <v>0</v>
      </c>
      <c r="AZ8" s="201">
        <f>SUMIFS('jiliarena_活动分析数据_底稿'!$K:$K,'jiliarena_活动分析数据_底稿'!$B:$B,$A8,'jiliarena_活动分析数据_底稿'!$L:$L,AZ$3)</f>
        <v>0</v>
      </c>
      <c r="BA8" s="201">
        <f>SUMIFS('jiliarena_活动分析数据_底稿'!$K:$K,'jiliarena_活动分析数据_底稿'!$B:$B,$A8,'jiliarena_活动分析数据_底稿'!$L:$L,BA$3)</f>
        <v>0</v>
      </c>
      <c r="BB8" s="201">
        <f>SUMIFS('jiliarena_活动分析数据_底稿'!$K:$K,'jiliarena_活动分析数据_底稿'!$B:$B,$A8,'jiliarena_活动分析数据_底稿'!$L:$L,BB$3)</f>
        <v>0</v>
      </c>
      <c r="BC8" s="201">
        <f>SUMIFS('jiliarena_活动分析数据_底稿'!$K:$K,'jiliarena_活动分析数据_底稿'!$B:$B,$A8,'jiliarena_活动分析数据_底稿'!$L:$L,BC$3)</f>
        <v>0</v>
      </c>
      <c r="BD8" s="201">
        <f>SUMIFS('jiliarena_活动分析数据_底稿'!$K:$K,'jiliarena_活动分析数据_底稿'!$B:$B,$A8,'jiliarena_活动分析数据_底稿'!$L:$L,BD$3)</f>
        <v>0</v>
      </c>
      <c r="BE8" s="201">
        <f>SUMIFS('jiliarena_活动分析数据_底稿'!$K:$K,'jiliarena_活动分析数据_底稿'!$B:$B,$A8,'jiliarena_活动分析数据_底稿'!$L:$L,BE$3)</f>
        <v>0</v>
      </c>
      <c r="BF8" s="201">
        <f>SUMIFS('jiliarena_活动分析数据_底稿'!$K:$K,'jiliarena_活动分析数据_底稿'!$B:$B,$A8,'jiliarena_活动分析数据_底稿'!$L:$L,BF$3)</f>
        <v>0</v>
      </c>
      <c r="BG8" s="201">
        <f>SUMIFS('jiliarena_活动分析数据_底稿'!$K:$K,'jiliarena_活动分析数据_底稿'!$B:$B,$A8,'jiliarena_活动分析数据_底稿'!$L:$L,BG$3)</f>
        <v>0</v>
      </c>
      <c r="BH8" s="201">
        <f>SUMIFS('jiliarena_活动分析数据_底稿'!$K:$K,'jiliarena_活动分析数据_底稿'!$B:$B,$A8,'jiliarena_活动分析数据_底稿'!$L:$L,BH$3)</f>
        <v>0</v>
      </c>
      <c r="BI8" s="201">
        <f>SUMIFS('jiliarena_活动分析数据_底稿'!$K:$K,'jiliarena_活动分析数据_底稿'!$B:$B,$A8,'jiliarena_活动分析数据_底稿'!$L:$L,BI$3)</f>
        <v>0</v>
      </c>
      <c r="BJ8" s="201">
        <f>SUMIFS('jiliarena_活动分析数据_底稿'!$K:$K,'jiliarena_活动分析数据_底稿'!$B:$B,$A8,'jiliarena_活动分析数据_底稿'!$L:$L,BJ$3)</f>
        <v>0</v>
      </c>
      <c r="BK8" s="201">
        <f>SUMIFS('jiliarena_活动分析数据_底稿'!$K:$K,'jiliarena_活动分析数据_底稿'!$B:$B,$A8,'jiliarena_活动分析数据_底稿'!$L:$L,BK$3)</f>
        <v>0</v>
      </c>
      <c r="BL8" s="201">
        <f>SUMIFS('jiliarena_活动分析数据_底稿'!$K:$K,'jiliarena_活动分析数据_底稿'!$B:$B,$A8,'jiliarena_活动分析数据_底稿'!$L:$L,BL$3)</f>
        <v>0</v>
      </c>
      <c r="BM8" s="201">
        <f>SUMIFS('jiliarena_活动分析数据_底稿'!$K:$K,'jiliarena_活动分析数据_底稿'!$B:$B,$A8,'jiliarena_活动分析数据_底稿'!$L:$L,BM$3)</f>
        <v>0</v>
      </c>
      <c r="BN8" s="201">
        <f>SUMIFS('jiliarena_活动分析数据_底稿'!$K:$K,'jiliarena_活动分析数据_底稿'!$B:$B,$A8,'jiliarena_活动分析数据_底稿'!$L:$L,BN$3)</f>
        <v>0</v>
      </c>
      <c r="BO8" s="201">
        <f>SUMIFS('jiliarena_活动分析数据_底稿'!$K:$K,'jiliarena_活动分析数据_底稿'!$B:$B,$A8,'jiliarena_活动分析数据_底稿'!$L:$L,BO$3)</f>
        <v>0</v>
      </c>
      <c r="BP8" s="201">
        <f>SUMIFS('jiliarena_活动分析数据_底稿'!$K:$K,'jiliarena_活动分析数据_底稿'!$B:$B,$A8,'jiliarena_活动分析数据_底稿'!$L:$L,BP$3)</f>
        <v>0</v>
      </c>
      <c r="BQ8" s="198">
        <f t="shared" si="43"/>
        <v>0</v>
      </c>
      <c r="BR8" s="198">
        <f t="shared" si="44"/>
        <v>0</v>
      </c>
      <c r="BS8" s="198">
        <f t="shared" si="45"/>
        <v>0</v>
      </c>
      <c r="BT8" s="194" t="str">
        <f t="shared" si="26"/>
        <v/>
      </c>
      <c r="BU8" s="194" t="str">
        <f t="shared" si="27"/>
        <v/>
      </c>
      <c r="BV8" s="194" t="str">
        <f t="shared" si="28"/>
        <v/>
      </c>
      <c r="BW8" s="202">
        <f t="shared" si="29"/>
        <v>0</v>
      </c>
      <c r="BX8" s="203" t="str">
        <f t="shared" si="30"/>
        <v/>
      </c>
      <c r="BY8" s="204">
        <f t="shared" si="31"/>
        <v>0</v>
      </c>
      <c r="BZ8" s="205">
        <f t="shared" si="32"/>
        <v>0</v>
      </c>
      <c r="CA8" s="206">
        <f t="shared" si="33"/>
        <v>0</v>
      </c>
      <c r="CB8" s="207">
        <f t="shared" si="34"/>
        <v>0</v>
      </c>
      <c r="CC8" s="203" t="str">
        <f t="shared" si="35"/>
        <v/>
      </c>
      <c r="CD8" s="198" t="str">
        <f t="array" ref="CD8">index('jiliarena_日报_底稿'!$P$3:$DS$31,match(A8,'jiliarena_日报_底稿'!$P$3:$P$31,0),match("综合性分红",'jiliarena_日报_底稿'!$P$3:$DS$3,0))</f>
        <v/>
      </c>
      <c r="CE8" s="208"/>
      <c r="CF8" s="198" t="str">
        <f t="array" ref="CF8">INDEX('jiliarena_日报_底稿'!$P$2:$DS$31,MATCH($A8,'jiliarena_日报_底稿'!$P$2:$P$31,0),MATCH(CF$3,'jiliarena_日报_底稿'!$P$3:$DS$3,0))</f>
        <v/>
      </c>
      <c r="CG8" s="198">
        <f t="array" ref="CG8">-INDEX('jiliarena_日报_底稿'!$P$2:$DS$31,MATCH($A8,'jiliarena_日报_底稿'!$P$2:$P$31,0),MATCH(CG$3,'jiliarena_日报_底稿'!$P$3:$DS$3,0))</f>
        <v>0</v>
      </c>
      <c r="CH8" s="198" t="str">
        <f t="array" ref="CH8">INDEX('jiliarena_日报_底稿'!$P$2:$DS$31,MATCH($A8,'jiliarena_日报_底稿'!$P$2:$P$31,0),MATCH(CH$3,'jiliarena_日报_底稿'!$P$3:$DS$3,0))</f>
        <v/>
      </c>
      <c r="CI8" s="202">
        <f t="shared" si="37"/>
        <v>0</v>
      </c>
      <c r="CJ8" s="209">
        <f t="shared" si="38"/>
        <v>2</v>
      </c>
      <c r="CK8" s="209">
        <f t="shared" si="39"/>
        <v>3</v>
      </c>
    </row>
    <row r="9" hidden="1">
      <c r="A9" s="222">
        <f t="shared" si="46"/>
        <v>46057</v>
      </c>
      <c r="B9" s="191" t="str">
        <f t="array" ref="B9">INDEX('jiliarena_日报_底稿'!$A$3:$N$31,MATCH($A9,'jiliarena_日报_底稿'!$A$3:$A$31,0),MATCH(B$3,'jiliarena_日报_底稿'!$A$3:$N$3,0))</f>
        <v/>
      </c>
      <c r="C9" s="191" t="str">
        <f t="array" ref="C9">INDEX('jiliarena_日报_底稿'!$A$3:$N$31,MATCH($A9,'jiliarena_日报_底稿'!$A$3:$A$31,0),MATCH(C$3,'jiliarena_日报_底稿'!$A$3:$N$3,0))</f>
        <v/>
      </c>
      <c r="D9" s="191" t="str">
        <f t="array" ref="D9">INDEX('jiliarena_日报_底稿'!$A$3:$N$31,MATCH($A9,'jiliarena_日报_底稿'!$A$3:$A$31,0),MATCH(D$3,'jiliarena_日报_底稿'!$A$3:$N$3,0))</f>
        <v/>
      </c>
      <c r="E9" s="192">
        <v>17.0</v>
      </c>
      <c r="F9" s="191" t="str">
        <f t="array" ref="F9">INDEX('jiliarena_日报_底稿'!$A$3:$N$31,MATCH($A9,'jiliarena_日报_底稿'!$A$3:$A$31,0),MATCH(F$3,'jiliarena_日报_底稿'!$A$3:$N$3,0))</f>
        <v/>
      </c>
      <c r="G9" s="191">
        <f>SUMIFS('渠道充值成功率_底稿'!$F:$F,'渠道充值成功率_底稿'!$A:$A,A9)</f>
        <v>0</v>
      </c>
      <c r="H9" s="191" t="str">
        <f t="array" ref="H9">INDEX('jiliarena_日报_底稿'!$A$3:$N$31,MATCH($A9,'jiliarena_日报_底稿'!$A$3:$A$31,0),MATCH(H$3,'jiliarena_日报_底稿'!$A$3:$N$3,0))</f>
        <v/>
      </c>
      <c r="I9" s="192">
        <v>781.0</v>
      </c>
      <c r="J9" s="191" t="str">
        <f t="array" ref="J9">INDEX('jiliarena_日报_底稿'!$A$3:$N$31,MATCH($A9,'jiliarena_日报_底稿'!$A$3:$A$31,0),MATCH(J$3,'jiliarena_日报_底稿'!$A$3:$N$3,0))</f>
        <v/>
      </c>
      <c r="K9" s="193">
        <f>SUMIFS('渠道充值成功率_底稿'!$J:$J,'渠道充值成功率_底稿'!$A:$A,$A9)</f>
        <v>0</v>
      </c>
      <c r="L9" s="193" t="str">
        <f t="array" ref="L9">INDEX('jiliarena_日报_底稿'!$A$3:$N$31,MATCH($A9,'jiliarena_日报_底稿'!$A$3:$A$31,0),MATCH(L$3,'jiliarena_日报_底稿'!$A$3:$N$3,0))</f>
        <v/>
      </c>
      <c r="M9" s="193" t="str">
        <f t="array" ref="M9">INDEX('jiliarena_日报_底稿'!$P$2:$DS$31,MATCH($A9,'jiliarena_日报_底稿'!$P$2:$P$31,0),MATCH($M$3,'jiliarena_日报_底稿'!$P$3:$DS$3,0))</f>
        <v/>
      </c>
      <c r="N9" s="194" t="str">
        <f t="shared" si="2"/>
        <v/>
      </c>
      <c r="O9" s="195" t="str">
        <f t="shared" si="3"/>
        <v>#DIV/0!</v>
      </c>
      <c r="P9" s="194" t="str">
        <f t="shared" si="4"/>
        <v/>
      </c>
      <c r="Q9" s="195" t="str">
        <f t="shared" si="5"/>
        <v>#DIV/0!</v>
      </c>
      <c r="R9" s="196" t="str">
        <f t="shared" si="6"/>
        <v/>
      </c>
      <c r="S9" s="195" t="str">
        <f t="shared" si="7"/>
        <v/>
      </c>
      <c r="T9" s="195" t="str">
        <f t="shared" si="8"/>
        <v/>
      </c>
      <c r="U9" s="196" t="str">
        <f t="shared" si="9"/>
        <v/>
      </c>
      <c r="V9" s="197" t="str">
        <f t="shared" si="10"/>
        <v/>
      </c>
      <c r="W9" s="198">
        <f t="shared" si="40"/>
        <v>0</v>
      </c>
      <c r="X9" s="198">
        <f t="array" ref="X9">index('jiliarena_日报_底稿'!$P$2:$DS$31,match($A9,'jiliarena_日报_底稿'!$P$2:$P$31,0),match("电子有效投注",'jiliarena_日报_底稿'!$P$3:$DS$3,0))+index('jiliarena_日报_底稿'!$P$2:$DS$31,match($A9,'jiliarena_日报_底稿'!$P$2:$P$31,0),match("真人有效投注",'jiliarena_日报_底稿'!$P$3:$DS$3,0))+index('jiliarena_日报_底稿'!$P$2:$DS$31,match($A9,'jiliarena_日报_底稿'!$P$2:$P$31,0),match("彩票有效投注",'jiliarena_日报_底稿'!$P$3:$DS$3,0))+index('jiliarena_日报_底稿'!$P$2:$DS$31,match($A9,'jiliarena_日报_底稿'!$P$2:$P$31,0),match("棋牌有效投注",'jiliarena_日报_底稿'!$P$3:$DS$3,0))+index('jiliarena_日报_底稿'!$P$2:$DS$31,match($A9,'jiliarena_日报_底稿'!$P$2:$P$31,0),match("捕鱼有效投注",'jiliarena_日报_底稿'!$P$3:$DS$3,0))+index('jiliarena_日报_底稿'!$P$2:$DS$31,match($A9,'jiliarena_日报_底稿'!$P$2:$P$31,0),match("体育有效投注",'jiliarena_日报_底稿'!$P$3:$DS$3,0))+index('jiliarena_日报_底稿'!$P$2:$DS$31,match($A9,'jiliarena_日报_底稿'!$P$2:$P$31,0),match("盘口彩票有效投注",'jiliarena_日报_底稿'!$P$3:$DS$3,0))</f>
        <v>0</v>
      </c>
      <c r="Y9" s="199">
        <f t="shared" si="41"/>
        <v>0</v>
      </c>
      <c r="Z9" s="198">
        <f t="shared" si="42"/>
        <v>0</v>
      </c>
      <c r="AA9" s="194" t="str">
        <f t="shared" si="12"/>
        <v/>
      </c>
      <c r="AB9" s="200" t="str">
        <f t="array" ref="AB9">INDEX('jiliarena_日报_底稿'!$P$2:$DS$31,MATCH($A9,'jiliarena_日报_底稿'!$P$2:$P$31,0),MATCH(AB$3,'jiliarena_日报_底稿'!$P$3:$DS$3,0))</f>
        <v/>
      </c>
      <c r="AC9" s="200" t="str">
        <f t="array" ref="AC9">INDEX('jiliarena_日报_底稿'!$P$2:$DS$31,MATCH($A9,'jiliarena_日报_底稿'!$P$2:$P$31,0),MATCH(AC$3,'jiliarena_日报_底稿'!$P$3:$DS$3,0))</f>
        <v/>
      </c>
      <c r="AD9" s="194" t="str">
        <f t="shared" si="14"/>
        <v/>
      </c>
      <c r="AE9" s="200" t="str">
        <f t="array" ref="AE9">INDEX('jiliarena_日报_底稿'!$P$2:$DS$31,MATCH($A9,'jiliarena_日报_底稿'!$P$2:$P$31,0),MATCH(AE$3,'jiliarena_日报_底稿'!$P$3:$DS$3,0))</f>
        <v/>
      </c>
      <c r="AF9" s="200" t="str">
        <f t="array" ref="AF9">INDEX('jiliarena_日报_底稿'!$P$2:$DS$31,MATCH($A9,'jiliarena_日报_底稿'!$P$2:$P$31,0),MATCH(AF$3,'jiliarena_日报_底稿'!$P$3:$DS$3,0))</f>
        <v/>
      </c>
      <c r="AG9" s="194" t="str">
        <f t="shared" si="16"/>
        <v/>
      </c>
      <c r="AH9" s="200" t="str">
        <f t="array" ref="AH9">INDEX('jiliarena_日报_底稿'!$P$2:$DS$31,MATCH($A9,'jiliarena_日报_底稿'!$P$2:$P$31,0),MATCH(AH$3,'jiliarena_日报_底稿'!$P$3:$DS$3,0))</f>
        <v/>
      </c>
      <c r="AI9" s="200" t="str">
        <f t="array" ref="AI9">INDEX('jiliarena_日报_底稿'!$P$2:$DS$31,MATCH($A9,'jiliarena_日报_底稿'!$P$2:$P$31,0),MATCH(AI$3,'jiliarena_日报_底稿'!$P$3:$DS$3,0))</f>
        <v/>
      </c>
      <c r="AJ9" s="194" t="str">
        <f t="shared" si="18"/>
        <v/>
      </c>
      <c r="AK9" s="200" t="str">
        <f t="array" ref="AK9">INDEX('jiliarena_日报_底稿'!$P$2:$DS$31,MATCH($A9,'jiliarena_日报_底稿'!$P$2:$P$31,0),MATCH(AK$3,'jiliarena_日报_底稿'!$P$3:$DS$3,0))</f>
        <v/>
      </c>
      <c r="AL9" s="200" t="str">
        <f t="array" ref="AL9">INDEX('jiliarena_日报_底稿'!$P$2:$DS$31,MATCH($A9,'jiliarena_日报_底稿'!$P$2:$P$31,0),MATCH(AL$3,'jiliarena_日报_底稿'!$P$3:$DS$3,0))</f>
        <v/>
      </c>
      <c r="AM9" s="194" t="str">
        <f t="shared" si="20"/>
        <v/>
      </c>
      <c r="AN9" s="200" t="str">
        <f t="array" ref="AN9">INDEX('jiliarena_日报_底稿'!$P$2:$DS$31,MATCH($A9,'jiliarena_日报_底稿'!$P$2:$P$31,0),MATCH(AN$3,'jiliarena_日报_底稿'!$P$3:$DS$3,0))</f>
        <v/>
      </c>
      <c r="AO9" s="200" t="str">
        <f t="array" ref="AO9">INDEX('jiliarena_日报_底稿'!$P$2:$DS$31,MATCH($A9,'jiliarena_日报_底稿'!$P$2:$P$31,0),MATCH(AO$3,'jiliarena_日报_底稿'!$P$3:$DS$3,0))</f>
        <v/>
      </c>
      <c r="AP9" s="194" t="str">
        <f t="shared" si="22"/>
        <v/>
      </c>
      <c r="AQ9" s="200" t="str">
        <f t="array" ref="AQ9">INDEX('jiliarena_日报_底稿'!$P$2:$DS$31,MATCH($A9,'jiliarena_日报_底稿'!$P$2:$P$31,0),MATCH(AQ$3,'jiliarena_日报_底稿'!$P$3:$DS$3,0))</f>
        <v/>
      </c>
      <c r="AR9" s="200" t="str">
        <f t="array" ref="AR9">INDEX('jiliarena_日报_底稿'!$P$2:$DS$31,MATCH($A9,'jiliarena_日报_底稿'!$P$2:$P$31,0),MATCH(AR$3,'jiliarena_日报_底稿'!$P$3:$DS$3,0))</f>
        <v/>
      </c>
      <c r="AS9" s="194" t="str">
        <f t="shared" si="24"/>
        <v/>
      </c>
      <c r="AT9" s="201">
        <f>SUMIFS('jiliarena_活动分析数据_底稿'!$K:$K,'jiliarena_活动分析数据_底稿'!$B:$B,$A9,'jiliarena_活动分析数据_底稿'!$L:$L,AT$3)</f>
        <v>0</v>
      </c>
      <c r="AU9" s="201">
        <f>SUMIFS('jiliarena_活动分析数据_底稿'!$K:$K,'jiliarena_活动分析数据_底稿'!$B:$B,$A9,'jiliarena_活动分析数据_底稿'!$L:$L,AU$3)</f>
        <v>0</v>
      </c>
      <c r="AV9" s="201">
        <f>SUMIFS('jiliarena_活动分析数据_底稿'!$K:$K,'jiliarena_活动分析数据_底稿'!$B:$B,$A9,'jiliarena_活动分析数据_底稿'!$L:$L,AV$3)</f>
        <v>0</v>
      </c>
      <c r="AW9" s="201">
        <f>SUMIFS('jiliarena_活动分析数据_底稿'!$K:$K,'jiliarena_活动分析数据_底稿'!$B:$B,$A9,'jiliarena_活动分析数据_底稿'!$L:$L,AW$3)</f>
        <v>0</v>
      </c>
      <c r="AX9" s="201">
        <f>SUMIFS('jiliarena_活动分析数据_底稿'!$K:$K,'jiliarena_活动分析数据_底稿'!$B:$B,$A9,'jiliarena_活动分析数据_底稿'!$L:$L,AX$3)</f>
        <v>0</v>
      </c>
      <c r="AY9" s="201">
        <f>SUMIFS('jiliarena_活动分析数据_底稿'!$K:$K,'jiliarena_活动分析数据_底稿'!$B:$B,$A9,'jiliarena_活动分析数据_底稿'!$L:$L,AY$3)</f>
        <v>0</v>
      </c>
      <c r="AZ9" s="201">
        <f>SUMIFS('jiliarena_活动分析数据_底稿'!$K:$K,'jiliarena_活动分析数据_底稿'!$B:$B,$A9,'jiliarena_活动分析数据_底稿'!$L:$L,AZ$3)</f>
        <v>0</v>
      </c>
      <c r="BA9" s="201">
        <f>SUMIFS('jiliarena_活动分析数据_底稿'!$K:$K,'jiliarena_活动分析数据_底稿'!$B:$B,$A9,'jiliarena_活动分析数据_底稿'!$L:$L,BA$3)</f>
        <v>0</v>
      </c>
      <c r="BB9" s="201">
        <f>SUMIFS('jiliarena_活动分析数据_底稿'!$K:$K,'jiliarena_活动分析数据_底稿'!$B:$B,$A9,'jiliarena_活动分析数据_底稿'!$L:$L,BB$3)</f>
        <v>0</v>
      </c>
      <c r="BC9" s="201">
        <f>SUMIFS('jiliarena_活动分析数据_底稿'!$K:$K,'jiliarena_活动分析数据_底稿'!$B:$B,$A9,'jiliarena_活动分析数据_底稿'!$L:$L,BC$3)</f>
        <v>0</v>
      </c>
      <c r="BD9" s="201">
        <f>SUMIFS('jiliarena_活动分析数据_底稿'!$K:$K,'jiliarena_活动分析数据_底稿'!$B:$B,$A9,'jiliarena_活动分析数据_底稿'!$L:$L,BD$3)</f>
        <v>0</v>
      </c>
      <c r="BE9" s="201">
        <f>SUMIFS('jiliarena_活动分析数据_底稿'!$K:$K,'jiliarena_活动分析数据_底稿'!$B:$B,$A9,'jiliarena_活动分析数据_底稿'!$L:$L,BE$3)</f>
        <v>0</v>
      </c>
      <c r="BF9" s="201">
        <f>SUMIFS('jiliarena_活动分析数据_底稿'!$K:$K,'jiliarena_活动分析数据_底稿'!$B:$B,$A9,'jiliarena_活动分析数据_底稿'!$L:$L,BF$3)</f>
        <v>0</v>
      </c>
      <c r="BG9" s="201">
        <f>SUMIFS('jiliarena_活动分析数据_底稿'!$K:$K,'jiliarena_活动分析数据_底稿'!$B:$B,$A9,'jiliarena_活动分析数据_底稿'!$L:$L,BG$3)</f>
        <v>0</v>
      </c>
      <c r="BH9" s="201">
        <f>SUMIFS('jiliarena_活动分析数据_底稿'!$K:$K,'jiliarena_活动分析数据_底稿'!$B:$B,$A9,'jiliarena_活动分析数据_底稿'!$L:$L,BH$3)</f>
        <v>0</v>
      </c>
      <c r="BI9" s="201">
        <f>SUMIFS('jiliarena_活动分析数据_底稿'!$K:$K,'jiliarena_活动分析数据_底稿'!$B:$B,$A9,'jiliarena_活动分析数据_底稿'!$L:$L,BI$3)</f>
        <v>0</v>
      </c>
      <c r="BJ9" s="201">
        <f>SUMIFS('jiliarena_活动分析数据_底稿'!$K:$K,'jiliarena_活动分析数据_底稿'!$B:$B,$A9,'jiliarena_活动分析数据_底稿'!$L:$L,BJ$3)</f>
        <v>0</v>
      </c>
      <c r="BK9" s="201">
        <f>SUMIFS('jiliarena_活动分析数据_底稿'!$K:$K,'jiliarena_活动分析数据_底稿'!$B:$B,$A9,'jiliarena_活动分析数据_底稿'!$L:$L,BK$3)</f>
        <v>0</v>
      </c>
      <c r="BL9" s="201">
        <f>SUMIFS('jiliarena_活动分析数据_底稿'!$K:$K,'jiliarena_活动分析数据_底稿'!$B:$B,$A9,'jiliarena_活动分析数据_底稿'!$L:$L,BL$3)</f>
        <v>0</v>
      </c>
      <c r="BM9" s="201">
        <f>SUMIFS('jiliarena_活动分析数据_底稿'!$K:$K,'jiliarena_活动分析数据_底稿'!$B:$B,$A9,'jiliarena_活动分析数据_底稿'!$L:$L,BM$3)</f>
        <v>0</v>
      </c>
      <c r="BN9" s="201">
        <f>SUMIFS('jiliarena_活动分析数据_底稿'!$K:$K,'jiliarena_活动分析数据_底稿'!$B:$B,$A9,'jiliarena_活动分析数据_底稿'!$L:$L,BN$3)</f>
        <v>0</v>
      </c>
      <c r="BO9" s="201">
        <f>SUMIFS('jiliarena_活动分析数据_底稿'!$K:$K,'jiliarena_活动分析数据_底稿'!$B:$B,$A9,'jiliarena_活动分析数据_底稿'!$L:$L,BO$3)</f>
        <v>0</v>
      </c>
      <c r="BP9" s="201">
        <f>SUMIFS('jiliarena_活动分析数据_底稿'!$K:$K,'jiliarena_活动分析数据_底稿'!$B:$B,$A9,'jiliarena_活动分析数据_底稿'!$L:$L,BP$3)</f>
        <v>0</v>
      </c>
      <c r="BQ9" s="198">
        <f t="shared" si="43"/>
        <v>0</v>
      </c>
      <c r="BR9" s="198">
        <f t="shared" si="44"/>
        <v>0</v>
      </c>
      <c r="BS9" s="198">
        <f t="shared" si="45"/>
        <v>0</v>
      </c>
      <c r="BT9" s="194" t="str">
        <f t="shared" si="26"/>
        <v/>
      </c>
      <c r="BU9" s="194" t="str">
        <f t="shared" si="27"/>
        <v/>
      </c>
      <c r="BV9" s="194" t="str">
        <f t="shared" si="28"/>
        <v/>
      </c>
      <c r="BW9" s="202">
        <f t="shared" si="29"/>
        <v>0</v>
      </c>
      <c r="BX9" s="203" t="str">
        <f t="shared" si="30"/>
        <v/>
      </c>
      <c r="BY9" s="204">
        <f t="shared" si="31"/>
        <v>0</v>
      </c>
      <c r="BZ9" s="205">
        <f t="shared" si="32"/>
        <v>0</v>
      </c>
      <c r="CA9" s="206">
        <f t="shared" si="33"/>
        <v>0</v>
      </c>
      <c r="CB9" s="207">
        <f t="shared" si="34"/>
        <v>0</v>
      </c>
      <c r="CC9" s="203" t="str">
        <f t="shared" si="35"/>
        <v/>
      </c>
      <c r="CD9" s="198" t="str">
        <f t="array" ref="CD9">index('jiliarena_日报_底稿'!$P$3:$DS$31,match(A9,'jiliarena_日报_底稿'!$P$3:$P$31,0),match("综合性分红",'jiliarena_日报_底稿'!$P$3:$DS$3,0))</f>
        <v/>
      </c>
      <c r="CE9" s="208"/>
      <c r="CF9" s="198" t="str">
        <f t="array" ref="CF9">INDEX('jiliarena_日报_底稿'!$P$2:$DS$31,MATCH($A9,'jiliarena_日报_底稿'!$P$2:$P$31,0),MATCH(CF$3,'jiliarena_日报_底稿'!$P$3:$DS$3,0))</f>
        <v/>
      </c>
      <c r="CG9" s="198">
        <f t="array" ref="CG9">-INDEX('jiliarena_日报_底稿'!$P$2:$DS$31,MATCH($A9,'jiliarena_日报_底稿'!$P$2:$P$31,0),MATCH(CG$3,'jiliarena_日报_底稿'!$P$3:$DS$3,0))</f>
        <v>0</v>
      </c>
      <c r="CH9" s="198" t="str">
        <f t="array" ref="CH9">INDEX('jiliarena_日报_底稿'!$P$2:$DS$31,MATCH($A9,'jiliarena_日报_底稿'!$P$2:$P$31,0),MATCH(CH$3,'jiliarena_日报_底稿'!$P$3:$DS$3,0))</f>
        <v/>
      </c>
      <c r="CI9" s="202">
        <f t="shared" si="37"/>
        <v>0</v>
      </c>
      <c r="CJ9" s="209">
        <f t="shared" si="38"/>
        <v>2</v>
      </c>
      <c r="CK9" s="209">
        <f t="shared" si="39"/>
        <v>4</v>
      </c>
    </row>
    <row r="10" hidden="1">
      <c r="A10" s="222">
        <f t="shared" si="46"/>
        <v>46058</v>
      </c>
      <c r="B10" s="191" t="str">
        <f t="array" ref="B10">INDEX('jiliarena_日报_底稿'!$A$3:$N$31,MATCH($A10,'jiliarena_日报_底稿'!$A$3:$A$31,0),MATCH(B$3,'jiliarena_日报_底稿'!$A$3:$N$3,0))</f>
        <v/>
      </c>
      <c r="C10" s="191" t="str">
        <f t="array" ref="C10">INDEX('jiliarena_日报_底稿'!$A$3:$N$31,MATCH($A10,'jiliarena_日报_底稿'!$A$3:$A$31,0),MATCH(C$3,'jiliarena_日报_底稿'!$A$3:$N$3,0))</f>
        <v/>
      </c>
      <c r="D10" s="191" t="str">
        <f t="array" ref="D10">INDEX('jiliarena_日报_底稿'!$A$3:$N$31,MATCH($A10,'jiliarena_日报_底稿'!$A$3:$A$31,0),MATCH(D$3,'jiliarena_日报_底稿'!$A$3:$N$3,0))</f>
        <v/>
      </c>
      <c r="E10" s="192">
        <v>29.0</v>
      </c>
      <c r="F10" s="191" t="str">
        <f t="array" ref="F10">INDEX('jiliarena_日报_底稿'!$A$3:$N$31,MATCH($A10,'jiliarena_日报_底稿'!$A$3:$A$31,0),MATCH(F$3,'jiliarena_日报_底稿'!$A$3:$N$3,0))</f>
        <v/>
      </c>
      <c r="G10" s="191">
        <f>SUMIFS('渠道充值成功率_底稿'!$F:$F,'渠道充值成功率_底稿'!$A:$A,A10)</f>
        <v>0</v>
      </c>
      <c r="H10" s="191" t="str">
        <f t="array" ref="H10">INDEX('jiliarena_日报_底稿'!$A$3:$N$31,MATCH($A10,'jiliarena_日报_底稿'!$A$3:$A$31,0),MATCH(H$3,'jiliarena_日报_底稿'!$A$3:$N$3,0))</f>
        <v/>
      </c>
      <c r="I10" s="192">
        <v>678.0</v>
      </c>
      <c r="J10" s="191" t="str">
        <f t="array" ref="J10">INDEX('jiliarena_日报_底稿'!$A$3:$N$31,MATCH($A10,'jiliarena_日报_底稿'!$A$3:$A$31,0),MATCH(J$3,'jiliarena_日报_底稿'!$A$3:$N$3,0))</f>
        <v/>
      </c>
      <c r="K10" s="193">
        <f>SUMIFS('渠道充值成功率_底稿'!$J:$J,'渠道充值成功率_底稿'!$A:$A,$A10)</f>
        <v>0</v>
      </c>
      <c r="L10" s="193" t="str">
        <f t="array" ref="L10">INDEX('jiliarena_日报_底稿'!$A$3:$N$31,MATCH($A10,'jiliarena_日报_底稿'!$A$3:$A$31,0),MATCH(L$3,'jiliarena_日报_底稿'!$A$3:$N$3,0))</f>
        <v/>
      </c>
      <c r="M10" s="193" t="str">
        <f t="array" ref="M10">INDEX('jiliarena_日报_底稿'!$P$2:$DS$31,MATCH($A10,'jiliarena_日报_底稿'!$P$2:$P$31,0),MATCH($M$3,'jiliarena_日报_底稿'!$P$3:$DS$3,0))</f>
        <v/>
      </c>
      <c r="N10" s="194" t="str">
        <f t="shared" si="2"/>
        <v/>
      </c>
      <c r="O10" s="195" t="str">
        <f t="shared" si="3"/>
        <v>#DIV/0!</v>
      </c>
      <c r="P10" s="194" t="str">
        <f t="shared" si="4"/>
        <v/>
      </c>
      <c r="Q10" s="195" t="str">
        <f t="shared" si="5"/>
        <v>#DIV/0!</v>
      </c>
      <c r="R10" s="196" t="str">
        <f t="shared" si="6"/>
        <v/>
      </c>
      <c r="S10" s="195" t="str">
        <f t="shared" si="7"/>
        <v/>
      </c>
      <c r="T10" s="195" t="str">
        <f t="shared" si="8"/>
        <v/>
      </c>
      <c r="U10" s="196" t="str">
        <f t="shared" si="9"/>
        <v/>
      </c>
      <c r="V10" s="197" t="str">
        <f t="shared" si="10"/>
        <v/>
      </c>
      <c r="W10" s="198">
        <f t="shared" si="40"/>
        <v>0</v>
      </c>
      <c r="X10" s="198">
        <f t="array" ref="X10">index('jiliarena_日报_底稿'!$P$2:$DS$31,match($A10,'jiliarena_日报_底稿'!$P$2:$P$31,0),match("电子有效投注",'jiliarena_日报_底稿'!$P$3:$DS$3,0))+index('jiliarena_日报_底稿'!$P$2:$DS$31,match($A10,'jiliarena_日报_底稿'!$P$2:$P$31,0),match("真人有效投注",'jiliarena_日报_底稿'!$P$3:$DS$3,0))+index('jiliarena_日报_底稿'!$P$2:$DS$31,match($A10,'jiliarena_日报_底稿'!$P$2:$P$31,0),match("彩票有效投注",'jiliarena_日报_底稿'!$P$3:$DS$3,0))+index('jiliarena_日报_底稿'!$P$2:$DS$31,match($A10,'jiliarena_日报_底稿'!$P$2:$P$31,0),match("棋牌有效投注",'jiliarena_日报_底稿'!$P$3:$DS$3,0))+index('jiliarena_日报_底稿'!$P$2:$DS$31,match($A10,'jiliarena_日报_底稿'!$P$2:$P$31,0),match("捕鱼有效投注",'jiliarena_日报_底稿'!$P$3:$DS$3,0))+index('jiliarena_日报_底稿'!$P$2:$DS$31,match($A10,'jiliarena_日报_底稿'!$P$2:$P$31,0),match("体育有效投注",'jiliarena_日报_底稿'!$P$3:$DS$3,0))+index('jiliarena_日报_底稿'!$P$2:$DS$31,match($A10,'jiliarena_日报_底稿'!$P$2:$P$31,0),match("盘口彩票有效投注",'jiliarena_日报_底稿'!$P$3:$DS$3,0))</f>
        <v>0</v>
      </c>
      <c r="Y10" s="199">
        <f t="shared" si="41"/>
        <v>0</v>
      </c>
      <c r="Z10" s="198">
        <f t="shared" si="42"/>
        <v>0</v>
      </c>
      <c r="AA10" s="194" t="str">
        <f t="shared" si="12"/>
        <v/>
      </c>
      <c r="AB10" s="200" t="str">
        <f t="array" ref="AB10">INDEX('jiliarena_日报_底稿'!$P$2:$DS$31,MATCH($A10,'jiliarena_日报_底稿'!$P$2:$P$31,0),MATCH(AB$3,'jiliarena_日报_底稿'!$P$3:$DS$3,0))</f>
        <v/>
      </c>
      <c r="AC10" s="200" t="str">
        <f t="array" ref="AC10">INDEX('jiliarena_日报_底稿'!$P$2:$DS$31,MATCH($A10,'jiliarena_日报_底稿'!$P$2:$P$31,0),MATCH(AC$3,'jiliarena_日报_底稿'!$P$3:$DS$3,0))</f>
        <v/>
      </c>
      <c r="AD10" s="194" t="str">
        <f t="shared" si="14"/>
        <v/>
      </c>
      <c r="AE10" s="200" t="str">
        <f t="array" ref="AE10">INDEX('jiliarena_日报_底稿'!$P$2:$DS$31,MATCH($A10,'jiliarena_日报_底稿'!$P$2:$P$31,0),MATCH(AE$3,'jiliarena_日报_底稿'!$P$3:$DS$3,0))</f>
        <v/>
      </c>
      <c r="AF10" s="200" t="str">
        <f t="array" ref="AF10">INDEX('jiliarena_日报_底稿'!$P$2:$DS$31,MATCH($A10,'jiliarena_日报_底稿'!$P$2:$P$31,0),MATCH(AF$3,'jiliarena_日报_底稿'!$P$3:$DS$3,0))</f>
        <v/>
      </c>
      <c r="AG10" s="194" t="str">
        <f t="shared" si="16"/>
        <v/>
      </c>
      <c r="AH10" s="200" t="str">
        <f t="array" ref="AH10">INDEX('jiliarena_日报_底稿'!$P$2:$DS$31,MATCH($A10,'jiliarena_日报_底稿'!$P$2:$P$31,0),MATCH(AH$3,'jiliarena_日报_底稿'!$P$3:$DS$3,0))</f>
        <v/>
      </c>
      <c r="AI10" s="200" t="str">
        <f t="array" ref="AI10">INDEX('jiliarena_日报_底稿'!$P$2:$DS$31,MATCH($A10,'jiliarena_日报_底稿'!$P$2:$P$31,0),MATCH(AI$3,'jiliarena_日报_底稿'!$P$3:$DS$3,0))</f>
        <v/>
      </c>
      <c r="AJ10" s="194" t="str">
        <f t="shared" si="18"/>
        <v/>
      </c>
      <c r="AK10" s="200" t="str">
        <f t="array" ref="AK10">INDEX('jiliarena_日报_底稿'!$P$2:$DS$31,MATCH($A10,'jiliarena_日报_底稿'!$P$2:$P$31,0),MATCH(AK$3,'jiliarena_日报_底稿'!$P$3:$DS$3,0))</f>
        <v/>
      </c>
      <c r="AL10" s="200" t="str">
        <f t="array" ref="AL10">INDEX('jiliarena_日报_底稿'!$P$2:$DS$31,MATCH($A10,'jiliarena_日报_底稿'!$P$2:$P$31,0),MATCH(AL$3,'jiliarena_日报_底稿'!$P$3:$DS$3,0))</f>
        <v/>
      </c>
      <c r="AM10" s="194" t="str">
        <f t="shared" si="20"/>
        <v/>
      </c>
      <c r="AN10" s="200" t="str">
        <f t="array" ref="AN10">INDEX('jiliarena_日报_底稿'!$P$2:$DS$31,MATCH($A10,'jiliarena_日报_底稿'!$P$2:$P$31,0),MATCH(AN$3,'jiliarena_日报_底稿'!$P$3:$DS$3,0))</f>
        <v/>
      </c>
      <c r="AO10" s="200" t="str">
        <f t="array" ref="AO10">INDEX('jiliarena_日报_底稿'!$P$2:$DS$31,MATCH($A10,'jiliarena_日报_底稿'!$P$2:$P$31,0),MATCH(AO$3,'jiliarena_日报_底稿'!$P$3:$DS$3,0))</f>
        <v/>
      </c>
      <c r="AP10" s="194" t="str">
        <f t="shared" si="22"/>
        <v/>
      </c>
      <c r="AQ10" s="200" t="str">
        <f t="array" ref="AQ10">INDEX('jiliarena_日报_底稿'!$P$2:$DS$31,MATCH($A10,'jiliarena_日报_底稿'!$P$2:$P$31,0),MATCH(AQ$3,'jiliarena_日报_底稿'!$P$3:$DS$3,0))</f>
        <v/>
      </c>
      <c r="AR10" s="200" t="str">
        <f t="array" ref="AR10">INDEX('jiliarena_日报_底稿'!$P$2:$DS$31,MATCH($A10,'jiliarena_日报_底稿'!$P$2:$P$31,0),MATCH(AR$3,'jiliarena_日报_底稿'!$P$3:$DS$3,0))</f>
        <v/>
      </c>
      <c r="AS10" s="194" t="str">
        <f t="shared" si="24"/>
        <v/>
      </c>
      <c r="AT10" s="201">
        <f>SUMIFS('jiliarena_活动分析数据_底稿'!$K:$K,'jiliarena_活动分析数据_底稿'!$B:$B,$A10,'jiliarena_活动分析数据_底稿'!$L:$L,AT$3)</f>
        <v>0</v>
      </c>
      <c r="AU10" s="201">
        <f>SUMIFS('jiliarena_活动分析数据_底稿'!$K:$K,'jiliarena_活动分析数据_底稿'!$B:$B,$A10,'jiliarena_活动分析数据_底稿'!$L:$L,AU$3)</f>
        <v>0</v>
      </c>
      <c r="AV10" s="201">
        <f>SUMIFS('jiliarena_活动分析数据_底稿'!$K:$K,'jiliarena_活动分析数据_底稿'!$B:$B,$A10,'jiliarena_活动分析数据_底稿'!$L:$L,AV$3)</f>
        <v>0</v>
      </c>
      <c r="AW10" s="201">
        <f>SUMIFS('jiliarena_活动分析数据_底稿'!$K:$K,'jiliarena_活动分析数据_底稿'!$B:$B,$A10,'jiliarena_活动分析数据_底稿'!$L:$L,AW$3)</f>
        <v>0</v>
      </c>
      <c r="AX10" s="201">
        <f>SUMIFS('jiliarena_活动分析数据_底稿'!$K:$K,'jiliarena_活动分析数据_底稿'!$B:$B,$A10,'jiliarena_活动分析数据_底稿'!$L:$L,AX$3)</f>
        <v>0</v>
      </c>
      <c r="AY10" s="201">
        <f>SUMIFS('jiliarena_活动分析数据_底稿'!$K:$K,'jiliarena_活动分析数据_底稿'!$B:$B,$A10,'jiliarena_活动分析数据_底稿'!$L:$L,AY$3)</f>
        <v>0</v>
      </c>
      <c r="AZ10" s="201">
        <f>SUMIFS('jiliarena_活动分析数据_底稿'!$K:$K,'jiliarena_活动分析数据_底稿'!$B:$B,$A10,'jiliarena_活动分析数据_底稿'!$L:$L,AZ$3)</f>
        <v>0</v>
      </c>
      <c r="BA10" s="201">
        <f>SUMIFS('jiliarena_活动分析数据_底稿'!$K:$K,'jiliarena_活动分析数据_底稿'!$B:$B,$A10,'jiliarena_活动分析数据_底稿'!$L:$L,BA$3)</f>
        <v>0</v>
      </c>
      <c r="BB10" s="201">
        <f>SUMIFS('jiliarena_活动分析数据_底稿'!$K:$K,'jiliarena_活动分析数据_底稿'!$B:$B,$A10,'jiliarena_活动分析数据_底稿'!$L:$L,BB$3)</f>
        <v>0</v>
      </c>
      <c r="BC10" s="201">
        <f>SUMIFS('jiliarena_活动分析数据_底稿'!$K:$K,'jiliarena_活动分析数据_底稿'!$B:$B,$A10,'jiliarena_活动分析数据_底稿'!$L:$L,BC$3)</f>
        <v>0</v>
      </c>
      <c r="BD10" s="201">
        <f>SUMIFS('jiliarena_活动分析数据_底稿'!$K:$K,'jiliarena_活动分析数据_底稿'!$B:$B,$A10,'jiliarena_活动分析数据_底稿'!$L:$L,BD$3)</f>
        <v>0</v>
      </c>
      <c r="BE10" s="201">
        <f>SUMIFS('jiliarena_活动分析数据_底稿'!$K:$K,'jiliarena_活动分析数据_底稿'!$B:$B,$A10,'jiliarena_活动分析数据_底稿'!$L:$L,BE$3)</f>
        <v>0</v>
      </c>
      <c r="BF10" s="201">
        <f>SUMIFS('jiliarena_活动分析数据_底稿'!$K:$K,'jiliarena_活动分析数据_底稿'!$B:$B,$A10,'jiliarena_活动分析数据_底稿'!$L:$L,BF$3)</f>
        <v>0</v>
      </c>
      <c r="BG10" s="201">
        <f>SUMIFS('jiliarena_活动分析数据_底稿'!$K:$K,'jiliarena_活动分析数据_底稿'!$B:$B,$A10,'jiliarena_活动分析数据_底稿'!$L:$L,BG$3)</f>
        <v>0</v>
      </c>
      <c r="BH10" s="201">
        <f>SUMIFS('jiliarena_活动分析数据_底稿'!$K:$K,'jiliarena_活动分析数据_底稿'!$B:$B,$A10,'jiliarena_活动分析数据_底稿'!$L:$L,BH$3)</f>
        <v>0</v>
      </c>
      <c r="BI10" s="201">
        <f>SUMIFS('jiliarena_活动分析数据_底稿'!$K:$K,'jiliarena_活动分析数据_底稿'!$B:$B,$A10,'jiliarena_活动分析数据_底稿'!$L:$L,BI$3)</f>
        <v>0</v>
      </c>
      <c r="BJ10" s="201">
        <f>SUMIFS('jiliarena_活动分析数据_底稿'!$K:$K,'jiliarena_活动分析数据_底稿'!$B:$B,$A10,'jiliarena_活动分析数据_底稿'!$L:$L,BJ$3)</f>
        <v>0</v>
      </c>
      <c r="BK10" s="201">
        <f>SUMIFS('jiliarena_活动分析数据_底稿'!$K:$K,'jiliarena_活动分析数据_底稿'!$B:$B,$A10,'jiliarena_活动分析数据_底稿'!$L:$L,BK$3)</f>
        <v>0</v>
      </c>
      <c r="BL10" s="201">
        <f>SUMIFS('jiliarena_活动分析数据_底稿'!$K:$K,'jiliarena_活动分析数据_底稿'!$B:$B,$A10,'jiliarena_活动分析数据_底稿'!$L:$L,BL$3)</f>
        <v>0</v>
      </c>
      <c r="BM10" s="201">
        <f>SUMIFS('jiliarena_活动分析数据_底稿'!$K:$K,'jiliarena_活动分析数据_底稿'!$B:$B,$A10,'jiliarena_活动分析数据_底稿'!$L:$L,BM$3)</f>
        <v>0</v>
      </c>
      <c r="BN10" s="201">
        <f>SUMIFS('jiliarena_活动分析数据_底稿'!$K:$K,'jiliarena_活动分析数据_底稿'!$B:$B,$A10,'jiliarena_活动分析数据_底稿'!$L:$L,BN$3)</f>
        <v>0</v>
      </c>
      <c r="BO10" s="201">
        <f>SUMIFS('jiliarena_活动分析数据_底稿'!$K:$K,'jiliarena_活动分析数据_底稿'!$B:$B,$A10,'jiliarena_活动分析数据_底稿'!$L:$L,BO$3)</f>
        <v>0</v>
      </c>
      <c r="BP10" s="201">
        <f>SUMIFS('jiliarena_活动分析数据_底稿'!$K:$K,'jiliarena_活动分析数据_底稿'!$B:$B,$A10,'jiliarena_活动分析数据_底稿'!$L:$L,BP$3)</f>
        <v>0</v>
      </c>
      <c r="BQ10" s="198">
        <f t="shared" si="43"/>
        <v>0</v>
      </c>
      <c r="BR10" s="198">
        <f t="shared" si="44"/>
        <v>0</v>
      </c>
      <c r="BS10" s="198">
        <f t="shared" si="45"/>
        <v>0</v>
      </c>
      <c r="BT10" s="194" t="str">
        <f t="shared" si="26"/>
        <v/>
      </c>
      <c r="BU10" s="194" t="str">
        <f t="shared" si="27"/>
        <v/>
      </c>
      <c r="BV10" s="194" t="str">
        <f t="shared" si="28"/>
        <v/>
      </c>
      <c r="BW10" s="202">
        <f t="shared" si="29"/>
        <v>0</v>
      </c>
      <c r="BX10" s="203" t="str">
        <f t="shared" si="30"/>
        <v/>
      </c>
      <c r="BY10" s="204">
        <f t="shared" si="31"/>
        <v>0</v>
      </c>
      <c r="BZ10" s="205">
        <f t="shared" si="32"/>
        <v>0</v>
      </c>
      <c r="CA10" s="206">
        <f t="shared" si="33"/>
        <v>0</v>
      </c>
      <c r="CB10" s="207">
        <f t="shared" si="34"/>
        <v>0</v>
      </c>
      <c r="CC10" s="203" t="str">
        <f t="shared" si="35"/>
        <v/>
      </c>
      <c r="CD10" s="198" t="str">
        <f t="array" ref="CD10">index('jiliarena_日报_底稿'!$P$3:$DS$31,match(A10,'jiliarena_日报_底稿'!$P$3:$P$31,0),match("综合性分红",'jiliarena_日报_底稿'!$P$3:$DS$3,0))</f>
        <v/>
      </c>
      <c r="CE10" s="208"/>
      <c r="CF10" s="198" t="str">
        <f t="array" ref="CF10">INDEX('jiliarena_日报_底稿'!$P$2:$DS$31,MATCH($A10,'jiliarena_日报_底稿'!$P$2:$P$31,0),MATCH(CF$3,'jiliarena_日报_底稿'!$P$3:$DS$3,0))</f>
        <v/>
      </c>
      <c r="CG10" s="198">
        <f t="array" ref="CG10">-INDEX('jiliarena_日报_底稿'!$P$2:$DS$31,MATCH($A10,'jiliarena_日报_底稿'!$P$2:$P$31,0),MATCH(CG$3,'jiliarena_日报_底稿'!$P$3:$DS$3,0))</f>
        <v>0</v>
      </c>
      <c r="CH10" s="198" t="str">
        <f t="array" ref="CH10">INDEX('jiliarena_日报_底稿'!$P$2:$DS$31,MATCH($A10,'jiliarena_日报_底稿'!$P$2:$P$31,0),MATCH(CH$3,'jiliarena_日报_底稿'!$P$3:$DS$3,0))</f>
        <v/>
      </c>
      <c r="CI10" s="202">
        <f t="shared" si="37"/>
        <v>0</v>
      </c>
      <c r="CJ10" s="209">
        <f t="shared" si="38"/>
        <v>2</v>
      </c>
      <c r="CK10" s="209">
        <f t="shared" si="39"/>
        <v>5</v>
      </c>
    </row>
    <row r="11" hidden="1">
      <c r="A11" s="222">
        <f t="shared" si="46"/>
        <v>46059</v>
      </c>
      <c r="B11" s="191" t="str">
        <f t="array" ref="B11">INDEX('jiliarena_日报_底稿'!$A$3:$N$31,MATCH($A11,'jiliarena_日报_底稿'!$A$3:$A$31,0),MATCH(B$3,'jiliarena_日报_底稿'!$A$3:$N$3,0))</f>
        <v/>
      </c>
      <c r="C11" s="191" t="str">
        <f t="array" ref="C11">INDEX('jiliarena_日报_底稿'!$A$3:$N$31,MATCH($A11,'jiliarena_日报_底稿'!$A$3:$A$31,0),MATCH(C$3,'jiliarena_日报_底稿'!$A$3:$N$3,0))</f>
        <v/>
      </c>
      <c r="D11" s="191" t="str">
        <f t="array" ref="D11">INDEX('jiliarena_日报_底稿'!$A$3:$N$31,MATCH($A11,'jiliarena_日报_底稿'!$A$3:$A$31,0),MATCH(D$3,'jiliarena_日报_底稿'!$A$3:$N$3,0))</f>
        <v/>
      </c>
      <c r="E11" s="192">
        <v>21.0</v>
      </c>
      <c r="F11" s="191" t="str">
        <f t="array" ref="F11">INDEX('jiliarena_日报_底稿'!$A$3:$N$31,MATCH($A11,'jiliarena_日报_底稿'!$A$3:$A$31,0),MATCH(F$3,'jiliarena_日报_底稿'!$A$3:$N$3,0))</f>
        <v/>
      </c>
      <c r="G11" s="191">
        <f>SUMIFS('渠道充值成功率_底稿'!$F:$F,'渠道充值成功率_底稿'!$A:$A,A11)</f>
        <v>0</v>
      </c>
      <c r="H11" s="191" t="str">
        <f t="array" ref="H11">INDEX('jiliarena_日报_底稿'!$A$3:$N$31,MATCH($A11,'jiliarena_日报_底稿'!$A$3:$A$31,0),MATCH(H$3,'jiliarena_日报_底稿'!$A$3:$N$3,0))</f>
        <v/>
      </c>
      <c r="I11" s="192">
        <v>664.0</v>
      </c>
      <c r="J11" s="191" t="str">
        <f t="array" ref="J11">INDEX('jiliarena_日报_底稿'!$A$3:$N$31,MATCH($A11,'jiliarena_日报_底稿'!$A$3:$A$31,0),MATCH(J$3,'jiliarena_日报_底稿'!$A$3:$N$3,0))</f>
        <v/>
      </c>
      <c r="K11" s="193">
        <f>SUMIFS('渠道充值成功率_底稿'!$J:$J,'渠道充值成功率_底稿'!$A:$A,$A11)</f>
        <v>0</v>
      </c>
      <c r="L11" s="193" t="str">
        <f t="array" ref="L11">INDEX('jiliarena_日报_底稿'!$A$3:$N$31,MATCH($A11,'jiliarena_日报_底稿'!$A$3:$A$31,0),MATCH(L$3,'jiliarena_日报_底稿'!$A$3:$N$3,0))</f>
        <v/>
      </c>
      <c r="M11" s="193" t="str">
        <f t="array" ref="M11">INDEX('jiliarena_日报_底稿'!$P$2:$DS$31,MATCH($A11,'jiliarena_日报_底稿'!$P$2:$P$31,0),MATCH($M$3,'jiliarena_日报_底稿'!$P$3:$DS$3,0))</f>
        <v/>
      </c>
      <c r="N11" s="194" t="str">
        <f t="shared" si="2"/>
        <v/>
      </c>
      <c r="O11" s="195" t="str">
        <f t="shared" si="3"/>
        <v>#DIV/0!</v>
      </c>
      <c r="P11" s="194" t="str">
        <f t="shared" si="4"/>
        <v/>
      </c>
      <c r="Q11" s="195" t="str">
        <f t="shared" si="5"/>
        <v>#DIV/0!</v>
      </c>
      <c r="R11" s="196" t="str">
        <f t="shared" si="6"/>
        <v/>
      </c>
      <c r="S11" s="195" t="str">
        <f t="shared" si="7"/>
        <v/>
      </c>
      <c r="T11" s="195" t="str">
        <f t="shared" si="8"/>
        <v/>
      </c>
      <c r="U11" s="196" t="str">
        <f t="shared" si="9"/>
        <v/>
      </c>
      <c r="V11" s="197" t="str">
        <f t="shared" si="10"/>
        <v/>
      </c>
      <c r="W11" s="198">
        <f t="shared" si="40"/>
        <v>0</v>
      </c>
      <c r="X11" s="198">
        <f t="array" ref="X11">index('jiliarena_日报_底稿'!$P$2:$DS$31,match($A11,'jiliarena_日报_底稿'!$P$2:$P$31,0),match("电子有效投注",'jiliarena_日报_底稿'!$P$3:$DS$3,0))+index('jiliarena_日报_底稿'!$P$2:$DS$31,match($A11,'jiliarena_日报_底稿'!$P$2:$P$31,0),match("真人有效投注",'jiliarena_日报_底稿'!$P$3:$DS$3,0))+index('jiliarena_日报_底稿'!$P$2:$DS$31,match($A11,'jiliarena_日报_底稿'!$P$2:$P$31,0),match("彩票有效投注",'jiliarena_日报_底稿'!$P$3:$DS$3,0))+index('jiliarena_日报_底稿'!$P$2:$DS$31,match($A11,'jiliarena_日报_底稿'!$P$2:$P$31,0),match("棋牌有效投注",'jiliarena_日报_底稿'!$P$3:$DS$3,0))+index('jiliarena_日报_底稿'!$P$2:$DS$31,match($A11,'jiliarena_日报_底稿'!$P$2:$P$31,0),match("捕鱼有效投注",'jiliarena_日报_底稿'!$P$3:$DS$3,0))+index('jiliarena_日报_底稿'!$P$2:$DS$31,match($A11,'jiliarena_日报_底稿'!$P$2:$P$31,0),match("体育有效投注",'jiliarena_日报_底稿'!$P$3:$DS$3,0))+index('jiliarena_日报_底稿'!$P$2:$DS$31,match($A11,'jiliarena_日报_底稿'!$P$2:$P$31,0),match("盘口彩票有效投注",'jiliarena_日报_底稿'!$P$3:$DS$3,0))</f>
        <v>0</v>
      </c>
      <c r="Y11" s="199">
        <f t="shared" si="41"/>
        <v>0</v>
      </c>
      <c r="Z11" s="198">
        <f t="shared" si="42"/>
        <v>0</v>
      </c>
      <c r="AA11" s="194" t="str">
        <f t="shared" si="12"/>
        <v/>
      </c>
      <c r="AB11" s="200" t="str">
        <f t="array" ref="AB11">INDEX('jiliarena_日报_底稿'!$P$2:$DS$31,MATCH($A11,'jiliarena_日报_底稿'!$P$2:$P$31,0),MATCH(AB$3,'jiliarena_日报_底稿'!$P$3:$DS$3,0))</f>
        <v/>
      </c>
      <c r="AC11" s="200" t="str">
        <f t="array" ref="AC11">INDEX('jiliarena_日报_底稿'!$P$2:$DS$31,MATCH($A11,'jiliarena_日报_底稿'!$P$2:$P$31,0),MATCH(AC$3,'jiliarena_日报_底稿'!$P$3:$DS$3,0))</f>
        <v/>
      </c>
      <c r="AD11" s="194" t="str">
        <f t="shared" si="14"/>
        <v/>
      </c>
      <c r="AE11" s="200" t="str">
        <f t="array" ref="AE11">INDEX('jiliarena_日报_底稿'!$P$2:$DS$31,MATCH($A11,'jiliarena_日报_底稿'!$P$2:$P$31,0),MATCH(AE$3,'jiliarena_日报_底稿'!$P$3:$DS$3,0))</f>
        <v/>
      </c>
      <c r="AF11" s="200" t="str">
        <f t="array" ref="AF11">INDEX('jiliarena_日报_底稿'!$P$2:$DS$31,MATCH($A11,'jiliarena_日报_底稿'!$P$2:$P$31,0),MATCH(AF$3,'jiliarena_日报_底稿'!$P$3:$DS$3,0))</f>
        <v/>
      </c>
      <c r="AG11" s="194" t="str">
        <f t="shared" si="16"/>
        <v/>
      </c>
      <c r="AH11" s="200" t="str">
        <f t="array" ref="AH11">INDEX('jiliarena_日报_底稿'!$P$2:$DS$31,MATCH($A11,'jiliarena_日报_底稿'!$P$2:$P$31,0),MATCH(AH$3,'jiliarena_日报_底稿'!$P$3:$DS$3,0))</f>
        <v/>
      </c>
      <c r="AI11" s="200" t="str">
        <f t="array" ref="AI11">INDEX('jiliarena_日报_底稿'!$P$2:$DS$31,MATCH($A11,'jiliarena_日报_底稿'!$P$2:$P$31,0),MATCH(AI$3,'jiliarena_日报_底稿'!$P$3:$DS$3,0))</f>
        <v/>
      </c>
      <c r="AJ11" s="194" t="str">
        <f t="shared" si="18"/>
        <v/>
      </c>
      <c r="AK11" s="200" t="str">
        <f t="array" ref="AK11">INDEX('jiliarena_日报_底稿'!$P$2:$DS$31,MATCH($A11,'jiliarena_日报_底稿'!$P$2:$P$31,0),MATCH(AK$3,'jiliarena_日报_底稿'!$P$3:$DS$3,0))</f>
        <v/>
      </c>
      <c r="AL11" s="200" t="str">
        <f t="array" ref="AL11">INDEX('jiliarena_日报_底稿'!$P$2:$DS$31,MATCH($A11,'jiliarena_日报_底稿'!$P$2:$P$31,0),MATCH(AL$3,'jiliarena_日报_底稿'!$P$3:$DS$3,0))</f>
        <v/>
      </c>
      <c r="AM11" s="194" t="str">
        <f t="shared" si="20"/>
        <v/>
      </c>
      <c r="AN11" s="200" t="str">
        <f t="array" ref="AN11">INDEX('jiliarena_日报_底稿'!$P$2:$DS$31,MATCH($A11,'jiliarena_日报_底稿'!$P$2:$P$31,0),MATCH(AN$3,'jiliarena_日报_底稿'!$P$3:$DS$3,0))</f>
        <v/>
      </c>
      <c r="AO11" s="200" t="str">
        <f t="array" ref="AO11">INDEX('jiliarena_日报_底稿'!$P$2:$DS$31,MATCH($A11,'jiliarena_日报_底稿'!$P$2:$P$31,0),MATCH(AO$3,'jiliarena_日报_底稿'!$P$3:$DS$3,0))</f>
        <v/>
      </c>
      <c r="AP11" s="194" t="str">
        <f t="shared" si="22"/>
        <v/>
      </c>
      <c r="AQ11" s="200" t="str">
        <f t="array" ref="AQ11">INDEX('jiliarena_日报_底稿'!$P$2:$DS$31,MATCH($A11,'jiliarena_日报_底稿'!$P$2:$P$31,0),MATCH(AQ$3,'jiliarena_日报_底稿'!$P$3:$DS$3,0))</f>
        <v/>
      </c>
      <c r="AR11" s="200" t="str">
        <f t="array" ref="AR11">INDEX('jiliarena_日报_底稿'!$P$2:$DS$31,MATCH($A11,'jiliarena_日报_底稿'!$P$2:$P$31,0),MATCH(AR$3,'jiliarena_日报_底稿'!$P$3:$DS$3,0))</f>
        <v/>
      </c>
      <c r="AS11" s="194" t="str">
        <f t="shared" si="24"/>
        <v/>
      </c>
      <c r="AT11" s="201">
        <f>SUMIFS('jiliarena_活动分析数据_底稿'!$K:$K,'jiliarena_活动分析数据_底稿'!$B:$B,$A11,'jiliarena_活动分析数据_底稿'!$L:$L,AT$3)</f>
        <v>0</v>
      </c>
      <c r="AU11" s="201">
        <f>SUMIFS('jiliarena_活动分析数据_底稿'!$K:$K,'jiliarena_活动分析数据_底稿'!$B:$B,$A11,'jiliarena_活动分析数据_底稿'!$L:$L,AU$3)</f>
        <v>0</v>
      </c>
      <c r="AV11" s="201">
        <f>SUMIFS('jiliarena_活动分析数据_底稿'!$K:$K,'jiliarena_活动分析数据_底稿'!$B:$B,$A11,'jiliarena_活动分析数据_底稿'!$L:$L,AV$3)</f>
        <v>0</v>
      </c>
      <c r="AW11" s="201">
        <f>SUMIFS('jiliarena_活动分析数据_底稿'!$K:$K,'jiliarena_活动分析数据_底稿'!$B:$B,$A11,'jiliarena_活动分析数据_底稿'!$L:$L,AW$3)</f>
        <v>0</v>
      </c>
      <c r="AX11" s="201">
        <f>SUMIFS('jiliarena_活动分析数据_底稿'!$K:$K,'jiliarena_活动分析数据_底稿'!$B:$B,$A11,'jiliarena_活动分析数据_底稿'!$L:$L,AX$3)</f>
        <v>0</v>
      </c>
      <c r="AY11" s="201">
        <f>SUMIFS('jiliarena_活动分析数据_底稿'!$K:$K,'jiliarena_活动分析数据_底稿'!$B:$B,$A11,'jiliarena_活动分析数据_底稿'!$L:$L,AY$3)</f>
        <v>0</v>
      </c>
      <c r="AZ11" s="201">
        <f>SUMIFS('jiliarena_活动分析数据_底稿'!$K:$K,'jiliarena_活动分析数据_底稿'!$B:$B,$A11,'jiliarena_活动分析数据_底稿'!$L:$L,AZ$3)</f>
        <v>0</v>
      </c>
      <c r="BA11" s="201">
        <f>SUMIFS('jiliarena_活动分析数据_底稿'!$K:$K,'jiliarena_活动分析数据_底稿'!$B:$B,$A11,'jiliarena_活动分析数据_底稿'!$L:$L,BA$3)</f>
        <v>0</v>
      </c>
      <c r="BB11" s="201">
        <f>SUMIFS('jiliarena_活动分析数据_底稿'!$K:$K,'jiliarena_活动分析数据_底稿'!$B:$B,$A11,'jiliarena_活动分析数据_底稿'!$L:$L,BB$3)</f>
        <v>0</v>
      </c>
      <c r="BC11" s="201">
        <f>SUMIFS('jiliarena_活动分析数据_底稿'!$K:$K,'jiliarena_活动分析数据_底稿'!$B:$B,$A11,'jiliarena_活动分析数据_底稿'!$L:$L,BC$3)</f>
        <v>0</v>
      </c>
      <c r="BD11" s="201">
        <f>SUMIFS('jiliarena_活动分析数据_底稿'!$K:$K,'jiliarena_活动分析数据_底稿'!$B:$B,$A11,'jiliarena_活动分析数据_底稿'!$L:$L,BD$3)</f>
        <v>0</v>
      </c>
      <c r="BE11" s="201">
        <f>SUMIFS('jiliarena_活动分析数据_底稿'!$K:$K,'jiliarena_活动分析数据_底稿'!$B:$B,$A11,'jiliarena_活动分析数据_底稿'!$L:$L,BE$3)</f>
        <v>0</v>
      </c>
      <c r="BF11" s="201">
        <f>SUMIFS('jiliarena_活动分析数据_底稿'!$K:$K,'jiliarena_活动分析数据_底稿'!$B:$B,$A11,'jiliarena_活动分析数据_底稿'!$L:$L,BF$3)</f>
        <v>0</v>
      </c>
      <c r="BG11" s="201">
        <f>SUMIFS('jiliarena_活动分析数据_底稿'!$K:$K,'jiliarena_活动分析数据_底稿'!$B:$B,$A11,'jiliarena_活动分析数据_底稿'!$L:$L,BG$3)</f>
        <v>0</v>
      </c>
      <c r="BH11" s="201">
        <f>SUMIFS('jiliarena_活动分析数据_底稿'!$K:$K,'jiliarena_活动分析数据_底稿'!$B:$B,$A11,'jiliarena_活动分析数据_底稿'!$L:$L,BH$3)</f>
        <v>0</v>
      </c>
      <c r="BI11" s="201">
        <f>SUMIFS('jiliarena_活动分析数据_底稿'!$K:$K,'jiliarena_活动分析数据_底稿'!$B:$B,$A11,'jiliarena_活动分析数据_底稿'!$L:$L,BI$3)</f>
        <v>0</v>
      </c>
      <c r="BJ11" s="201">
        <f>SUMIFS('jiliarena_活动分析数据_底稿'!$K:$K,'jiliarena_活动分析数据_底稿'!$B:$B,$A11,'jiliarena_活动分析数据_底稿'!$L:$L,BJ$3)</f>
        <v>0</v>
      </c>
      <c r="BK11" s="201">
        <f>SUMIFS('jiliarena_活动分析数据_底稿'!$K:$K,'jiliarena_活动分析数据_底稿'!$B:$B,$A11,'jiliarena_活动分析数据_底稿'!$L:$L,BK$3)</f>
        <v>0</v>
      </c>
      <c r="BL11" s="201">
        <f>SUMIFS('jiliarena_活动分析数据_底稿'!$K:$K,'jiliarena_活动分析数据_底稿'!$B:$B,$A11,'jiliarena_活动分析数据_底稿'!$L:$L,BL$3)</f>
        <v>0</v>
      </c>
      <c r="BM11" s="201">
        <f>SUMIFS('jiliarena_活动分析数据_底稿'!$K:$K,'jiliarena_活动分析数据_底稿'!$B:$B,$A11,'jiliarena_活动分析数据_底稿'!$L:$L,BM$3)</f>
        <v>0</v>
      </c>
      <c r="BN11" s="201">
        <f>SUMIFS('jiliarena_活动分析数据_底稿'!$K:$K,'jiliarena_活动分析数据_底稿'!$B:$B,$A11,'jiliarena_活动分析数据_底稿'!$L:$L,BN$3)</f>
        <v>0</v>
      </c>
      <c r="BO11" s="201">
        <f>SUMIFS('jiliarena_活动分析数据_底稿'!$K:$K,'jiliarena_活动分析数据_底稿'!$B:$B,$A11,'jiliarena_活动分析数据_底稿'!$L:$L,BO$3)</f>
        <v>0</v>
      </c>
      <c r="BP11" s="201">
        <f>SUMIFS('jiliarena_活动分析数据_底稿'!$K:$K,'jiliarena_活动分析数据_底稿'!$B:$B,$A11,'jiliarena_活动分析数据_底稿'!$L:$L,BP$3)</f>
        <v>0</v>
      </c>
      <c r="BQ11" s="198">
        <f t="shared" si="43"/>
        <v>0</v>
      </c>
      <c r="BR11" s="198">
        <f t="shared" si="44"/>
        <v>0</v>
      </c>
      <c r="BS11" s="198">
        <f t="shared" si="45"/>
        <v>0</v>
      </c>
      <c r="BT11" s="194" t="str">
        <f t="shared" si="26"/>
        <v/>
      </c>
      <c r="BU11" s="194" t="str">
        <f t="shared" si="27"/>
        <v/>
      </c>
      <c r="BV11" s="194" t="str">
        <f t="shared" si="28"/>
        <v/>
      </c>
      <c r="BW11" s="202">
        <f t="shared" si="29"/>
        <v>0</v>
      </c>
      <c r="BX11" s="203" t="str">
        <f t="shared" si="30"/>
        <v/>
      </c>
      <c r="BY11" s="204">
        <f t="shared" si="31"/>
        <v>0</v>
      </c>
      <c r="BZ11" s="205">
        <f t="shared" si="32"/>
        <v>0</v>
      </c>
      <c r="CA11" s="206">
        <f t="shared" si="33"/>
        <v>0</v>
      </c>
      <c r="CB11" s="207">
        <f t="shared" si="34"/>
        <v>0</v>
      </c>
      <c r="CC11" s="203" t="str">
        <f t="shared" si="35"/>
        <v/>
      </c>
      <c r="CD11" s="198" t="str">
        <f t="array" ref="CD11">index('jiliarena_日报_底稿'!$P$3:$DS$31,match(A11,'jiliarena_日报_底稿'!$P$3:$P$31,0),match("综合性分红",'jiliarena_日报_底稿'!$P$3:$DS$3,0))</f>
        <v/>
      </c>
      <c r="CE11" s="208"/>
      <c r="CF11" s="198" t="str">
        <f t="array" ref="CF11">INDEX('jiliarena_日报_底稿'!$P$2:$DS$31,MATCH($A11,'jiliarena_日报_底稿'!$P$2:$P$31,0),MATCH(CF$3,'jiliarena_日报_底稿'!$P$3:$DS$3,0))</f>
        <v/>
      </c>
      <c r="CG11" s="198">
        <f t="array" ref="CG11">-INDEX('jiliarena_日报_底稿'!$P$2:$DS$31,MATCH($A11,'jiliarena_日报_底稿'!$P$2:$P$31,0),MATCH(CG$3,'jiliarena_日报_底稿'!$P$3:$DS$3,0))</f>
        <v>0</v>
      </c>
      <c r="CH11" s="198" t="str">
        <f t="array" ref="CH11">INDEX('jiliarena_日报_底稿'!$P$2:$DS$31,MATCH($A11,'jiliarena_日报_底稿'!$P$2:$P$31,0),MATCH(CH$3,'jiliarena_日报_底稿'!$P$3:$DS$3,0))</f>
        <v/>
      </c>
      <c r="CI11" s="202">
        <f t="shared" si="37"/>
        <v>0</v>
      </c>
      <c r="CJ11" s="209">
        <f t="shared" si="38"/>
        <v>2</v>
      </c>
      <c r="CK11" s="209">
        <f t="shared" si="39"/>
        <v>6</v>
      </c>
    </row>
    <row r="12" hidden="1">
      <c r="A12" s="222">
        <f t="shared" si="46"/>
        <v>46060</v>
      </c>
      <c r="B12" s="191" t="str">
        <f t="array" ref="B12">INDEX('jiliarena_日报_底稿'!$A$3:$N$31,MATCH($A12,'jiliarena_日报_底稿'!$A$3:$A$31,0),MATCH(B$3,'jiliarena_日报_底稿'!$A$3:$N$3,0))</f>
        <v/>
      </c>
      <c r="C12" s="191" t="str">
        <f t="array" ref="C12">INDEX('jiliarena_日报_底稿'!$A$3:$N$31,MATCH($A12,'jiliarena_日报_底稿'!$A$3:$A$31,0),MATCH(C$3,'jiliarena_日报_底稿'!$A$3:$N$3,0))</f>
        <v/>
      </c>
      <c r="D12" s="191" t="str">
        <f t="array" ref="D12">INDEX('jiliarena_日报_底稿'!$A$3:$N$31,MATCH($A12,'jiliarena_日报_底稿'!$A$3:$A$31,0),MATCH(D$3,'jiliarena_日报_底稿'!$A$3:$N$3,0))</f>
        <v/>
      </c>
      <c r="E12" s="192">
        <v>22.0</v>
      </c>
      <c r="F12" s="191" t="str">
        <f t="array" ref="F12">INDEX('jiliarena_日报_底稿'!$A$3:$N$31,MATCH($A12,'jiliarena_日报_底稿'!$A$3:$A$31,0),MATCH(F$3,'jiliarena_日报_底稿'!$A$3:$N$3,0))</f>
        <v/>
      </c>
      <c r="G12" s="191">
        <f>SUMIFS('渠道充值成功率_底稿'!$F:$F,'渠道充值成功率_底稿'!$A:$A,A12)</f>
        <v>0</v>
      </c>
      <c r="H12" s="191" t="str">
        <f t="array" ref="H12">INDEX('jiliarena_日报_底稿'!$A$3:$N$31,MATCH($A12,'jiliarena_日报_底稿'!$A$3:$A$31,0),MATCH(H$3,'jiliarena_日报_底稿'!$A$3:$N$3,0))</f>
        <v/>
      </c>
      <c r="I12" s="192">
        <v>704.0</v>
      </c>
      <c r="J12" s="191" t="str">
        <f t="array" ref="J12">INDEX('jiliarena_日报_底稿'!$A$3:$N$31,MATCH($A12,'jiliarena_日报_底稿'!$A$3:$A$31,0),MATCH(J$3,'jiliarena_日报_底稿'!$A$3:$N$3,0))</f>
        <v/>
      </c>
      <c r="K12" s="193">
        <f>SUMIFS('渠道充值成功率_底稿'!$J:$J,'渠道充值成功率_底稿'!$A:$A,$A12)</f>
        <v>0</v>
      </c>
      <c r="L12" s="193" t="str">
        <f t="array" ref="L12">INDEX('jiliarena_日报_底稿'!$A$3:$N$31,MATCH($A12,'jiliarena_日报_底稿'!$A$3:$A$31,0),MATCH(L$3,'jiliarena_日报_底稿'!$A$3:$N$3,0))</f>
        <v/>
      </c>
      <c r="M12" s="193" t="str">
        <f t="array" ref="M12">INDEX('jiliarena_日报_底稿'!$P$2:$DS$31,MATCH($A12,'jiliarena_日报_底稿'!$P$2:$P$31,0),MATCH($M$3,'jiliarena_日报_底稿'!$P$3:$DS$3,0))</f>
        <v/>
      </c>
      <c r="N12" s="194" t="str">
        <f t="shared" si="2"/>
        <v/>
      </c>
      <c r="O12" s="195" t="str">
        <f t="shared" si="3"/>
        <v>#DIV/0!</v>
      </c>
      <c r="P12" s="194" t="str">
        <f t="shared" si="4"/>
        <v/>
      </c>
      <c r="Q12" s="195" t="str">
        <f t="shared" si="5"/>
        <v>#DIV/0!</v>
      </c>
      <c r="R12" s="196" t="str">
        <f t="shared" si="6"/>
        <v/>
      </c>
      <c r="S12" s="195" t="str">
        <f t="shared" si="7"/>
        <v/>
      </c>
      <c r="T12" s="195" t="str">
        <f t="shared" si="8"/>
        <v/>
      </c>
      <c r="U12" s="196" t="str">
        <f t="shared" si="9"/>
        <v/>
      </c>
      <c r="V12" s="197" t="str">
        <f t="shared" si="10"/>
        <v/>
      </c>
      <c r="W12" s="198">
        <f t="shared" si="40"/>
        <v>0</v>
      </c>
      <c r="X12" s="198">
        <f t="array" ref="X12">index('jiliarena_日报_底稿'!$P$2:$DS$31,match($A12,'jiliarena_日报_底稿'!$P$2:$P$31,0),match("电子有效投注",'jiliarena_日报_底稿'!$P$3:$DS$3,0))+index('jiliarena_日报_底稿'!$P$2:$DS$31,match($A12,'jiliarena_日报_底稿'!$P$2:$P$31,0),match("真人有效投注",'jiliarena_日报_底稿'!$P$3:$DS$3,0))+index('jiliarena_日报_底稿'!$P$2:$DS$31,match($A12,'jiliarena_日报_底稿'!$P$2:$P$31,0),match("彩票有效投注",'jiliarena_日报_底稿'!$P$3:$DS$3,0))+index('jiliarena_日报_底稿'!$P$2:$DS$31,match($A12,'jiliarena_日报_底稿'!$P$2:$P$31,0),match("棋牌有效投注",'jiliarena_日报_底稿'!$P$3:$DS$3,0))+index('jiliarena_日报_底稿'!$P$2:$DS$31,match($A12,'jiliarena_日报_底稿'!$P$2:$P$31,0),match("捕鱼有效投注",'jiliarena_日报_底稿'!$P$3:$DS$3,0))+index('jiliarena_日报_底稿'!$P$2:$DS$31,match($A12,'jiliarena_日报_底稿'!$P$2:$P$31,0),match("体育有效投注",'jiliarena_日报_底稿'!$P$3:$DS$3,0))+index('jiliarena_日报_底稿'!$P$2:$DS$31,match($A12,'jiliarena_日报_底稿'!$P$2:$P$31,0),match("盘口彩票有效投注",'jiliarena_日报_底稿'!$P$3:$DS$3,0))</f>
        <v>0</v>
      </c>
      <c r="Y12" s="199">
        <f t="shared" si="41"/>
        <v>0</v>
      </c>
      <c r="Z12" s="198">
        <f t="shared" si="42"/>
        <v>0</v>
      </c>
      <c r="AA12" s="194" t="str">
        <f t="shared" si="12"/>
        <v/>
      </c>
      <c r="AB12" s="200" t="str">
        <f t="array" ref="AB12">INDEX('jiliarena_日报_底稿'!$P$2:$DS$31,MATCH($A12,'jiliarena_日报_底稿'!$P$2:$P$31,0),MATCH(AB$3,'jiliarena_日报_底稿'!$P$3:$DS$3,0))</f>
        <v/>
      </c>
      <c r="AC12" s="200" t="str">
        <f t="array" ref="AC12">INDEX('jiliarena_日报_底稿'!$P$2:$DS$31,MATCH($A12,'jiliarena_日报_底稿'!$P$2:$P$31,0),MATCH(AC$3,'jiliarena_日报_底稿'!$P$3:$DS$3,0))</f>
        <v/>
      </c>
      <c r="AD12" s="194" t="str">
        <f t="shared" si="14"/>
        <v/>
      </c>
      <c r="AE12" s="200" t="str">
        <f t="array" ref="AE12">INDEX('jiliarena_日报_底稿'!$P$2:$DS$31,MATCH($A12,'jiliarena_日报_底稿'!$P$2:$P$31,0),MATCH(AE$3,'jiliarena_日报_底稿'!$P$3:$DS$3,0))</f>
        <v/>
      </c>
      <c r="AF12" s="200" t="str">
        <f t="array" ref="AF12">INDEX('jiliarena_日报_底稿'!$P$2:$DS$31,MATCH($A12,'jiliarena_日报_底稿'!$P$2:$P$31,0),MATCH(AF$3,'jiliarena_日报_底稿'!$P$3:$DS$3,0))</f>
        <v/>
      </c>
      <c r="AG12" s="194" t="str">
        <f t="shared" si="16"/>
        <v/>
      </c>
      <c r="AH12" s="200" t="str">
        <f t="array" ref="AH12">INDEX('jiliarena_日报_底稿'!$P$2:$DS$31,MATCH($A12,'jiliarena_日报_底稿'!$P$2:$P$31,0),MATCH(AH$3,'jiliarena_日报_底稿'!$P$3:$DS$3,0))</f>
        <v/>
      </c>
      <c r="AI12" s="200" t="str">
        <f t="array" ref="AI12">INDEX('jiliarena_日报_底稿'!$P$2:$DS$31,MATCH($A12,'jiliarena_日报_底稿'!$P$2:$P$31,0),MATCH(AI$3,'jiliarena_日报_底稿'!$P$3:$DS$3,0))</f>
        <v/>
      </c>
      <c r="AJ12" s="194" t="str">
        <f t="shared" si="18"/>
        <v/>
      </c>
      <c r="AK12" s="200" t="str">
        <f t="array" ref="AK12">INDEX('jiliarena_日报_底稿'!$P$2:$DS$31,MATCH($A12,'jiliarena_日报_底稿'!$P$2:$P$31,0),MATCH(AK$3,'jiliarena_日报_底稿'!$P$3:$DS$3,0))</f>
        <v/>
      </c>
      <c r="AL12" s="200" t="str">
        <f t="array" ref="AL12">INDEX('jiliarena_日报_底稿'!$P$2:$DS$31,MATCH($A12,'jiliarena_日报_底稿'!$P$2:$P$31,0),MATCH(AL$3,'jiliarena_日报_底稿'!$P$3:$DS$3,0))</f>
        <v/>
      </c>
      <c r="AM12" s="194" t="str">
        <f t="shared" si="20"/>
        <v/>
      </c>
      <c r="AN12" s="200" t="str">
        <f t="array" ref="AN12">INDEX('jiliarena_日报_底稿'!$P$2:$DS$31,MATCH($A12,'jiliarena_日报_底稿'!$P$2:$P$31,0),MATCH(AN$3,'jiliarena_日报_底稿'!$P$3:$DS$3,0))</f>
        <v/>
      </c>
      <c r="AO12" s="200" t="str">
        <f t="array" ref="AO12">INDEX('jiliarena_日报_底稿'!$P$2:$DS$31,MATCH($A12,'jiliarena_日报_底稿'!$P$2:$P$31,0),MATCH(AO$3,'jiliarena_日报_底稿'!$P$3:$DS$3,0))</f>
        <v/>
      </c>
      <c r="AP12" s="194" t="str">
        <f t="shared" si="22"/>
        <v/>
      </c>
      <c r="AQ12" s="200" t="str">
        <f t="array" ref="AQ12">INDEX('jiliarena_日报_底稿'!$P$2:$DS$31,MATCH($A12,'jiliarena_日报_底稿'!$P$2:$P$31,0),MATCH(AQ$3,'jiliarena_日报_底稿'!$P$3:$DS$3,0))</f>
        <v/>
      </c>
      <c r="AR12" s="200" t="str">
        <f t="array" ref="AR12">INDEX('jiliarena_日报_底稿'!$P$2:$DS$31,MATCH($A12,'jiliarena_日报_底稿'!$P$2:$P$31,0),MATCH(AR$3,'jiliarena_日报_底稿'!$P$3:$DS$3,0))</f>
        <v/>
      </c>
      <c r="AS12" s="194" t="str">
        <f t="shared" si="24"/>
        <v/>
      </c>
      <c r="AT12" s="201">
        <f>SUMIFS('jiliarena_活动分析数据_底稿'!$K:$K,'jiliarena_活动分析数据_底稿'!$B:$B,$A12,'jiliarena_活动分析数据_底稿'!$L:$L,AT$3)</f>
        <v>0</v>
      </c>
      <c r="AU12" s="201">
        <f>SUMIFS('jiliarena_活动分析数据_底稿'!$K:$K,'jiliarena_活动分析数据_底稿'!$B:$B,$A12,'jiliarena_活动分析数据_底稿'!$L:$L,AU$3)</f>
        <v>0</v>
      </c>
      <c r="AV12" s="201">
        <f>SUMIFS('jiliarena_活动分析数据_底稿'!$K:$K,'jiliarena_活动分析数据_底稿'!$B:$B,$A12,'jiliarena_活动分析数据_底稿'!$L:$L,AV$3)</f>
        <v>0</v>
      </c>
      <c r="AW12" s="201">
        <f>SUMIFS('jiliarena_活动分析数据_底稿'!$K:$K,'jiliarena_活动分析数据_底稿'!$B:$B,$A12,'jiliarena_活动分析数据_底稿'!$L:$L,AW$3)</f>
        <v>0</v>
      </c>
      <c r="AX12" s="201">
        <f>SUMIFS('jiliarena_活动分析数据_底稿'!$K:$K,'jiliarena_活动分析数据_底稿'!$B:$B,$A12,'jiliarena_活动分析数据_底稿'!$L:$L,AX$3)</f>
        <v>0</v>
      </c>
      <c r="AY12" s="201">
        <f>SUMIFS('jiliarena_活动分析数据_底稿'!$K:$K,'jiliarena_活动分析数据_底稿'!$B:$B,$A12,'jiliarena_活动分析数据_底稿'!$L:$L,AY$3)</f>
        <v>0</v>
      </c>
      <c r="AZ12" s="201">
        <f>SUMIFS('jiliarena_活动分析数据_底稿'!$K:$K,'jiliarena_活动分析数据_底稿'!$B:$B,$A12,'jiliarena_活动分析数据_底稿'!$L:$L,AZ$3)</f>
        <v>0</v>
      </c>
      <c r="BA12" s="201">
        <f>SUMIFS('jiliarena_活动分析数据_底稿'!$K:$K,'jiliarena_活动分析数据_底稿'!$B:$B,$A12,'jiliarena_活动分析数据_底稿'!$L:$L,BA$3)</f>
        <v>0</v>
      </c>
      <c r="BB12" s="201">
        <f>SUMIFS('jiliarena_活动分析数据_底稿'!$K:$K,'jiliarena_活动分析数据_底稿'!$B:$B,$A12,'jiliarena_活动分析数据_底稿'!$L:$L,BB$3)</f>
        <v>0</v>
      </c>
      <c r="BC12" s="201">
        <f>SUMIFS('jiliarena_活动分析数据_底稿'!$K:$K,'jiliarena_活动分析数据_底稿'!$B:$B,$A12,'jiliarena_活动分析数据_底稿'!$L:$L,BC$3)</f>
        <v>0</v>
      </c>
      <c r="BD12" s="201">
        <f>SUMIFS('jiliarena_活动分析数据_底稿'!$K:$K,'jiliarena_活动分析数据_底稿'!$B:$B,$A12,'jiliarena_活动分析数据_底稿'!$L:$L,BD$3)</f>
        <v>0</v>
      </c>
      <c r="BE12" s="201">
        <f>SUMIFS('jiliarena_活动分析数据_底稿'!$K:$K,'jiliarena_活动分析数据_底稿'!$B:$B,$A12,'jiliarena_活动分析数据_底稿'!$L:$L,BE$3)</f>
        <v>0</v>
      </c>
      <c r="BF12" s="201">
        <f>SUMIFS('jiliarena_活动分析数据_底稿'!$K:$K,'jiliarena_活动分析数据_底稿'!$B:$B,$A12,'jiliarena_活动分析数据_底稿'!$L:$L,BF$3)</f>
        <v>0</v>
      </c>
      <c r="BG12" s="201">
        <f>SUMIFS('jiliarena_活动分析数据_底稿'!$K:$K,'jiliarena_活动分析数据_底稿'!$B:$B,$A12,'jiliarena_活动分析数据_底稿'!$L:$L,BG$3)</f>
        <v>0</v>
      </c>
      <c r="BH12" s="201">
        <f>SUMIFS('jiliarena_活动分析数据_底稿'!$K:$K,'jiliarena_活动分析数据_底稿'!$B:$B,$A12,'jiliarena_活动分析数据_底稿'!$L:$L,BH$3)</f>
        <v>0</v>
      </c>
      <c r="BI12" s="201">
        <f>SUMIFS('jiliarena_活动分析数据_底稿'!$K:$K,'jiliarena_活动分析数据_底稿'!$B:$B,$A12,'jiliarena_活动分析数据_底稿'!$L:$L,BI$3)</f>
        <v>0</v>
      </c>
      <c r="BJ12" s="201">
        <f>SUMIFS('jiliarena_活动分析数据_底稿'!$K:$K,'jiliarena_活动分析数据_底稿'!$B:$B,$A12,'jiliarena_活动分析数据_底稿'!$L:$L,BJ$3)</f>
        <v>0</v>
      </c>
      <c r="BK12" s="201">
        <f>SUMIFS('jiliarena_活动分析数据_底稿'!$K:$K,'jiliarena_活动分析数据_底稿'!$B:$B,$A12,'jiliarena_活动分析数据_底稿'!$L:$L,BK$3)</f>
        <v>0</v>
      </c>
      <c r="BL12" s="201">
        <f>SUMIFS('jiliarena_活动分析数据_底稿'!$K:$K,'jiliarena_活动分析数据_底稿'!$B:$B,$A12,'jiliarena_活动分析数据_底稿'!$L:$L,BL$3)</f>
        <v>0</v>
      </c>
      <c r="BM12" s="201">
        <f>SUMIFS('jiliarena_活动分析数据_底稿'!$K:$K,'jiliarena_活动分析数据_底稿'!$B:$B,$A12,'jiliarena_活动分析数据_底稿'!$L:$L,BM$3)</f>
        <v>0</v>
      </c>
      <c r="BN12" s="201">
        <f>SUMIFS('jiliarena_活动分析数据_底稿'!$K:$K,'jiliarena_活动分析数据_底稿'!$B:$B,$A12,'jiliarena_活动分析数据_底稿'!$L:$L,BN$3)</f>
        <v>0</v>
      </c>
      <c r="BO12" s="201">
        <f>SUMIFS('jiliarena_活动分析数据_底稿'!$K:$K,'jiliarena_活动分析数据_底稿'!$B:$B,$A12,'jiliarena_活动分析数据_底稿'!$L:$L,BO$3)</f>
        <v>0</v>
      </c>
      <c r="BP12" s="201">
        <f>SUMIFS('jiliarena_活动分析数据_底稿'!$K:$K,'jiliarena_活动分析数据_底稿'!$B:$B,$A12,'jiliarena_活动分析数据_底稿'!$L:$L,BP$3)</f>
        <v>0</v>
      </c>
      <c r="BQ12" s="198">
        <f t="shared" si="43"/>
        <v>0</v>
      </c>
      <c r="BR12" s="198">
        <f t="shared" si="44"/>
        <v>0</v>
      </c>
      <c r="BS12" s="198">
        <f t="shared" si="45"/>
        <v>0</v>
      </c>
      <c r="BT12" s="194" t="str">
        <f t="shared" si="26"/>
        <v/>
      </c>
      <c r="BU12" s="194" t="str">
        <f t="shared" si="27"/>
        <v/>
      </c>
      <c r="BV12" s="194" t="str">
        <f t="shared" si="28"/>
        <v/>
      </c>
      <c r="BW12" s="202">
        <f t="shared" si="29"/>
        <v>0</v>
      </c>
      <c r="BX12" s="203" t="str">
        <f t="shared" si="30"/>
        <v/>
      </c>
      <c r="BY12" s="204">
        <f t="shared" si="31"/>
        <v>0</v>
      </c>
      <c r="BZ12" s="205">
        <f t="shared" si="32"/>
        <v>0</v>
      </c>
      <c r="CA12" s="206">
        <f t="shared" si="33"/>
        <v>0</v>
      </c>
      <c r="CB12" s="207">
        <f t="shared" si="34"/>
        <v>0</v>
      </c>
      <c r="CC12" s="203" t="str">
        <f t="shared" si="35"/>
        <v/>
      </c>
      <c r="CD12" s="198" t="str">
        <f t="array" ref="CD12">index('jiliarena_日报_底稿'!$P$3:$DS$31,match(A12,'jiliarena_日报_底稿'!$P$3:$P$31,0),match("综合性分红",'jiliarena_日报_底稿'!$P$3:$DS$3,0))</f>
        <v/>
      </c>
      <c r="CE12" s="208"/>
      <c r="CF12" s="198" t="str">
        <f t="array" ref="CF12">INDEX('jiliarena_日报_底稿'!$P$2:$DS$31,MATCH($A12,'jiliarena_日报_底稿'!$P$2:$P$31,0),MATCH(CF$3,'jiliarena_日报_底稿'!$P$3:$DS$3,0))</f>
        <v/>
      </c>
      <c r="CG12" s="198">
        <f t="array" ref="CG12">-INDEX('jiliarena_日报_底稿'!$P$2:$DS$31,MATCH($A12,'jiliarena_日报_底稿'!$P$2:$P$31,0),MATCH(CG$3,'jiliarena_日报_底稿'!$P$3:$DS$3,0))</f>
        <v>0</v>
      </c>
      <c r="CH12" s="198" t="str">
        <f t="array" ref="CH12">INDEX('jiliarena_日报_底稿'!$P$2:$DS$31,MATCH($A12,'jiliarena_日报_底稿'!$P$2:$P$31,0),MATCH(CH$3,'jiliarena_日报_底稿'!$P$3:$DS$3,0))</f>
        <v/>
      </c>
      <c r="CI12" s="202">
        <f t="shared" si="37"/>
        <v>0</v>
      </c>
      <c r="CJ12" s="209">
        <f t="shared" si="38"/>
        <v>2</v>
      </c>
      <c r="CK12" s="209">
        <f t="shared" si="39"/>
        <v>7</v>
      </c>
    </row>
    <row r="13" hidden="1">
      <c r="A13" s="222">
        <f t="shared" si="46"/>
        <v>46061</v>
      </c>
      <c r="B13" s="191" t="str">
        <f t="array" ref="B13">INDEX('jiliarena_日报_底稿'!$A$3:$N$31,MATCH($A13,'jiliarena_日报_底稿'!$A$3:$A$31,0),MATCH(B$3,'jiliarena_日报_底稿'!$A$3:$N$3,0))</f>
        <v/>
      </c>
      <c r="C13" s="191" t="str">
        <f t="array" ref="C13">INDEX('jiliarena_日报_底稿'!$A$3:$N$31,MATCH($A13,'jiliarena_日报_底稿'!$A$3:$A$31,0),MATCH(C$3,'jiliarena_日报_底稿'!$A$3:$N$3,0))</f>
        <v/>
      </c>
      <c r="D13" s="191" t="str">
        <f t="array" ref="D13">INDEX('jiliarena_日报_底稿'!$A$3:$N$31,MATCH($A13,'jiliarena_日报_底稿'!$A$3:$A$31,0),MATCH(D$3,'jiliarena_日报_底稿'!$A$3:$N$3,0))</f>
        <v/>
      </c>
      <c r="E13" s="192">
        <v>22.0</v>
      </c>
      <c r="F13" s="191" t="str">
        <f t="array" ref="F13">INDEX('jiliarena_日报_底稿'!$A$3:$N$31,MATCH($A13,'jiliarena_日报_底稿'!$A$3:$A$31,0),MATCH(F$3,'jiliarena_日报_底稿'!$A$3:$N$3,0))</f>
        <v/>
      </c>
      <c r="G13" s="191">
        <f>SUMIFS('渠道充值成功率_底稿'!$F:$F,'渠道充值成功率_底稿'!$A:$A,A13)</f>
        <v>0</v>
      </c>
      <c r="H13" s="191" t="str">
        <f t="array" ref="H13">INDEX('jiliarena_日报_底稿'!$A$3:$N$31,MATCH($A13,'jiliarena_日报_底稿'!$A$3:$A$31,0),MATCH(H$3,'jiliarena_日报_底稿'!$A$3:$N$3,0))</f>
        <v/>
      </c>
      <c r="I13" s="192">
        <v>693.0</v>
      </c>
      <c r="J13" s="191" t="str">
        <f t="array" ref="J13">INDEX('jiliarena_日报_底稿'!$A$3:$N$31,MATCH($A13,'jiliarena_日报_底稿'!$A$3:$A$31,0),MATCH(J$3,'jiliarena_日报_底稿'!$A$3:$N$3,0))</f>
        <v/>
      </c>
      <c r="K13" s="193">
        <f>SUMIFS('渠道充值成功率_底稿'!$J:$J,'渠道充值成功率_底稿'!$A:$A,$A13)</f>
        <v>0</v>
      </c>
      <c r="L13" s="193" t="str">
        <f t="array" ref="L13">INDEX('jiliarena_日报_底稿'!$A$3:$N$31,MATCH($A13,'jiliarena_日报_底稿'!$A$3:$A$31,0),MATCH(L$3,'jiliarena_日报_底稿'!$A$3:$N$3,0))</f>
        <v/>
      </c>
      <c r="M13" s="193" t="str">
        <f t="array" ref="M13">INDEX('jiliarena_日报_底稿'!$P$2:$DS$31,MATCH($A13,'jiliarena_日报_底稿'!$P$2:$P$31,0),MATCH($M$3,'jiliarena_日报_底稿'!$P$3:$DS$3,0))</f>
        <v/>
      </c>
      <c r="N13" s="194" t="str">
        <f t="shared" si="2"/>
        <v/>
      </c>
      <c r="O13" s="195" t="str">
        <f t="shared" si="3"/>
        <v>#DIV/0!</v>
      </c>
      <c r="P13" s="194" t="str">
        <f t="shared" si="4"/>
        <v/>
      </c>
      <c r="Q13" s="195" t="str">
        <f t="shared" si="5"/>
        <v>#DIV/0!</v>
      </c>
      <c r="R13" s="196" t="str">
        <f t="shared" si="6"/>
        <v/>
      </c>
      <c r="S13" s="195" t="str">
        <f t="shared" si="7"/>
        <v/>
      </c>
      <c r="T13" s="195" t="str">
        <f t="shared" si="8"/>
        <v/>
      </c>
      <c r="U13" s="196" t="str">
        <f t="shared" si="9"/>
        <v/>
      </c>
      <c r="V13" s="197" t="str">
        <f t="shared" si="10"/>
        <v/>
      </c>
      <c r="W13" s="198">
        <f t="shared" si="40"/>
        <v>0</v>
      </c>
      <c r="X13" s="198">
        <f t="array" ref="X13">index('jiliarena_日报_底稿'!$P$2:$DS$31,match($A13,'jiliarena_日报_底稿'!$P$2:$P$31,0),match("电子有效投注",'jiliarena_日报_底稿'!$P$3:$DS$3,0))+index('jiliarena_日报_底稿'!$P$2:$DS$31,match($A13,'jiliarena_日报_底稿'!$P$2:$P$31,0),match("真人有效投注",'jiliarena_日报_底稿'!$P$3:$DS$3,0))+index('jiliarena_日报_底稿'!$P$2:$DS$31,match($A13,'jiliarena_日报_底稿'!$P$2:$P$31,0),match("彩票有效投注",'jiliarena_日报_底稿'!$P$3:$DS$3,0))+index('jiliarena_日报_底稿'!$P$2:$DS$31,match($A13,'jiliarena_日报_底稿'!$P$2:$P$31,0),match("棋牌有效投注",'jiliarena_日报_底稿'!$P$3:$DS$3,0))+index('jiliarena_日报_底稿'!$P$2:$DS$31,match($A13,'jiliarena_日报_底稿'!$P$2:$P$31,0),match("捕鱼有效投注",'jiliarena_日报_底稿'!$P$3:$DS$3,0))+index('jiliarena_日报_底稿'!$P$2:$DS$31,match($A13,'jiliarena_日报_底稿'!$P$2:$P$31,0),match("体育有效投注",'jiliarena_日报_底稿'!$P$3:$DS$3,0))+index('jiliarena_日报_底稿'!$P$2:$DS$31,match($A13,'jiliarena_日报_底稿'!$P$2:$P$31,0),match("盘口彩票有效投注",'jiliarena_日报_底稿'!$P$3:$DS$3,0))</f>
        <v>0</v>
      </c>
      <c r="Y13" s="199">
        <f t="shared" si="41"/>
        <v>0</v>
      </c>
      <c r="Z13" s="198">
        <f t="shared" si="42"/>
        <v>0</v>
      </c>
      <c r="AA13" s="194" t="str">
        <f t="shared" si="12"/>
        <v/>
      </c>
      <c r="AB13" s="200" t="str">
        <f t="array" ref="AB13">INDEX('jiliarena_日报_底稿'!$P$2:$DS$31,MATCH($A13,'jiliarena_日报_底稿'!$P$2:$P$31,0),MATCH(AB$3,'jiliarena_日报_底稿'!$P$3:$DS$3,0))</f>
        <v/>
      </c>
      <c r="AC13" s="200" t="str">
        <f t="array" ref="AC13">INDEX('jiliarena_日报_底稿'!$P$2:$DS$31,MATCH($A13,'jiliarena_日报_底稿'!$P$2:$P$31,0),MATCH(AC$3,'jiliarena_日报_底稿'!$P$3:$DS$3,0))</f>
        <v/>
      </c>
      <c r="AD13" s="194" t="str">
        <f t="shared" si="14"/>
        <v/>
      </c>
      <c r="AE13" s="200" t="str">
        <f t="array" ref="AE13">INDEX('jiliarena_日报_底稿'!$P$2:$DS$31,MATCH($A13,'jiliarena_日报_底稿'!$P$2:$P$31,0),MATCH(AE$3,'jiliarena_日报_底稿'!$P$3:$DS$3,0))</f>
        <v/>
      </c>
      <c r="AF13" s="200" t="str">
        <f t="array" ref="AF13">INDEX('jiliarena_日报_底稿'!$P$2:$DS$31,MATCH($A13,'jiliarena_日报_底稿'!$P$2:$P$31,0),MATCH(AF$3,'jiliarena_日报_底稿'!$P$3:$DS$3,0))</f>
        <v/>
      </c>
      <c r="AG13" s="194" t="str">
        <f t="shared" si="16"/>
        <v/>
      </c>
      <c r="AH13" s="200" t="str">
        <f t="array" ref="AH13">INDEX('jiliarena_日报_底稿'!$P$2:$DS$31,MATCH($A13,'jiliarena_日报_底稿'!$P$2:$P$31,0),MATCH(AH$3,'jiliarena_日报_底稿'!$P$3:$DS$3,0))</f>
        <v/>
      </c>
      <c r="AI13" s="200" t="str">
        <f t="array" ref="AI13">INDEX('jiliarena_日报_底稿'!$P$2:$DS$31,MATCH($A13,'jiliarena_日报_底稿'!$P$2:$P$31,0),MATCH(AI$3,'jiliarena_日报_底稿'!$P$3:$DS$3,0))</f>
        <v/>
      </c>
      <c r="AJ13" s="194" t="str">
        <f t="shared" si="18"/>
        <v/>
      </c>
      <c r="AK13" s="200" t="str">
        <f t="array" ref="AK13">INDEX('jiliarena_日报_底稿'!$P$2:$DS$31,MATCH($A13,'jiliarena_日报_底稿'!$P$2:$P$31,0),MATCH(AK$3,'jiliarena_日报_底稿'!$P$3:$DS$3,0))</f>
        <v/>
      </c>
      <c r="AL13" s="200" t="str">
        <f t="array" ref="AL13">INDEX('jiliarena_日报_底稿'!$P$2:$DS$31,MATCH($A13,'jiliarena_日报_底稿'!$P$2:$P$31,0),MATCH(AL$3,'jiliarena_日报_底稿'!$P$3:$DS$3,0))</f>
        <v/>
      </c>
      <c r="AM13" s="194" t="str">
        <f t="shared" si="20"/>
        <v/>
      </c>
      <c r="AN13" s="200" t="str">
        <f t="array" ref="AN13">INDEX('jiliarena_日报_底稿'!$P$2:$DS$31,MATCH($A13,'jiliarena_日报_底稿'!$P$2:$P$31,0),MATCH(AN$3,'jiliarena_日报_底稿'!$P$3:$DS$3,0))</f>
        <v/>
      </c>
      <c r="AO13" s="200" t="str">
        <f t="array" ref="AO13">INDEX('jiliarena_日报_底稿'!$P$2:$DS$31,MATCH($A13,'jiliarena_日报_底稿'!$P$2:$P$31,0),MATCH(AO$3,'jiliarena_日报_底稿'!$P$3:$DS$3,0))</f>
        <v/>
      </c>
      <c r="AP13" s="194" t="str">
        <f t="shared" si="22"/>
        <v/>
      </c>
      <c r="AQ13" s="200" t="str">
        <f t="array" ref="AQ13">INDEX('jiliarena_日报_底稿'!$P$2:$DS$31,MATCH($A13,'jiliarena_日报_底稿'!$P$2:$P$31,0),MATCH(AQ$3,'jiliarena_日报_底稿'!$P$3:$DS$3,0))</f>
        <v/>
      </c>
      <c r="AR13" s="200" t="str">
        <f t="array" ref="AR13">INDEX('jiliarena_日报_底稿'!$P$2:$DS$31,MATCH($A13,'jiliarena_日报_底稿'!$P$2:$P$31,0),MATCH(AR$3,'jiliarena_日报_底稿'!$P$3:$DS$3,0))</f>
        <v/>
      </c>
      <c r="AS13" s="194" t="str">
        <f t="shared" si="24"/>
        <v/>
      </c>
      <c r="AT13" s="201">
        <f>SUMIFS('jiliarena_活动分析数据_底稿'!$K:$K,'jiliarena_活动分析数据_底稿'!$B:$B,$A13,'jiliarena_活动分析数据_底稿'!$L:$L,AT$3)</f>
        <v>0</v>
      </c>
      <c r="AU13" s="201">
        <f>SUMIFS('jiliarena_活动分析数据_底稿'!$K:$K,'jiliarena_活动分析数据_底稿'!$B:$B,$A13,'jiliarena_活动分析数据_底稿'!$L:$L,AU$3)</f>
        <v>0</v>
      </c>
      <c r="AV13" s="201">
        <f>SUMIFS('jiliarena_活动分析数据_底稿'!$K:$K,'jiliarena_活动分析数据_底稿'!$B:$B,$A13,'jiliarena_活动分析数据_底稿'!$L:$L,AV$3)</f>
        <v>0</v>
      </c>
      <c r="AW13" s="201">
        <f>SUMIFS('jiliarena_活动分析数据_底稿'!$K:$K,'jiliarena_活动分析数据_底稿'!$B:$B,$A13,'jiliarena_活动分析数据_底稿'!$L:$L,AW$3)</f>
        <v>0</v>
      </c>
      <c r="AX13" s="201">
        <f>SUMIFS('jiliarena_活动分析数据_底稿'!$K:$K,'jiliarena_活动分析数据_底稿'!$B:$B,$A13,'jiliarena_活动分析数据_底稿'!$L:$L,AX$3)</f>
        <v>0</v>
      </c>
      <c r="AY13" s="201">
        <f>SUMIFS('jiliarena_活动分析数据_底稿'!$K:$K,'jiliarena_活动分析数据_底稿'!$B:$B,$A13,'jiliarena_活动分析数据_底稿'!$L:$L,AY$3)</f>
        <v>0</v>
      </c>
      <c r="AZ13" s="201">
        <f>SUMIFS('jiliarena_活动分析数据_底稿'!$K:$K,'jiliarena_活动分析数据_底稿'!$B:$B,$A13,'jiliarena_活动分析数据_底稿'!$L:$L,AZ$3)</f>
        <v>0</v>
      </c>
      <c r="BA13" s="201">
        <f>SUMIFS('jiliarena_活动分析数据_底稿'!$K:$K,'jiliarena_活动分析数据_底稿'!$B:$B,$A13,'jiliarena_活动分析数据_底稿'!$L:$L,BA$3)</f>
        <v>0</v>
      </c>
      <c r="BB13" s="201">
        <f>SUMIFS('jiliarena_活动分析数据_底稿'!$K:$K,'jiliarena_活动分析数据_底稿'!$B:$B,$A13,'jiliarena_活动分析数据_底稿'!$L:$L,BB$3)</f>
        <v>0</v>
      </c>
      <c r="BC13" s="201">
        <f>SUMIFS('jiliarena_活动分析数据_底稿'!$K:$K,'jiliarena_活动分析数据_底稿'!$B:$B,$A13,'jiliarena_活动分析数据_底稿'!$L:$L,BC$3)</f>
        <v>0</v>
      </c>
      <c r="BD13" s="201">
        <f>SUMIFS('jiliarena_活动分析数据_底稿'!$K:$K,'jiliarena_活动分析数据_底稿'!$B:$B,$A13,'jiliarena_活动分析数据_底稿'!$L:$L,BD$3)</f>
        <v>0</v>
      </c>
      <c r="BE13" s="201">
        <f>SUMIFS('jiliarena_活动分析数据_底稿'!$K:$K,'jiliarena_活动分析数据_底稿'!$B:$B,$A13,'jiliarena_活动分析数据_底稿'!$L:$L,BE$3)</f>
        <v>0</v>
      </c>
      <c r="BF13" s="201">
        <f>SUMIFS('jiliarena_活动分析数据_底稿'!$K:$K,'jiliarena_活动分析数据_底稿'!$B:$B,$A13,'jiliarena_活动分析数据_底稿'!$L:$L,BF$3)</f>
        <v>0</v>
      </c>
      <c r="BG13" s="201">
        <f>SUMIFS('jiliarena_活动分析数据_底稿'!$K:$K,'jiliarena_活动分析数据_底稿'!$B:$B,$A13,'jiliarena_活动分析数据_底稿'!$L:$L,BG$3)</f>
        <v>0</v>
      </c>
      <c r="BH13" s="201">
        <f>SUMIFS('jiliarena_活动分析数据_底稿'!$K:$K,'jiliarena_活动分析数据_底稿'!$B:$B,$A13,'jiliarena_活动分析数据_底稿'!$L:$L,BH$3)</f>
        <v>0</v>
      </c>
      <c r="BI13" s="201">
        <f>SUMIFS('jiliarena_活动分析数据_底稿'!$K:$K,'jiliarena_活动分析数据_底稿'!$B:$B,$A13,'jiliarena_活动分析数据_底稿'!$L:$L,BI$3)</f>
        <v>0</v>
      </c>
      <c r="BJ13" s="201">
        <f>SUMIFS('jiliarena_活动分析数据_底稿'!$K:$K,'jiliarena_活动分析数据_底稿'!$B:$B,$A13,'jiliarena_活动分析数据_底稿'!$L:$L,BJ$3)</f>
        <v>0</v>
      </c>
      <c r="BK13" s="201">
        <f>SUMIFS('jiliarena_活动分析数据_底稿'!$K:$K,'jiliarena_活动分析数据_底稿'!$B:$B,$A13,'jiliarena_活动分析数据_底稿'!$L:$L,BK$3)</f>
        <v>0</v>
      </c>
      <c r="BL13" s="201">
        <f>SUMIFS('jiliarena_活动分析数据_底稿'!$K:$K,'jiliarena_活动分析数据_底稿'!$B:$B,$A13,'jiliarena_活动分析数据_底稿'!$L:$L,BL$3)</f>
        <v>0</v>
      </c>
      <c r="BM13" s="201">
        <f>SUMIFS('jiliarena_活动分析数据_底稿'!$K:$K,'jiliarena_活动分析数据_底稿'!$B:$B,$A13,'jiliarena_活动分析数据_底稿'!$L:$L,BM$3)</f>
        <v>0</v>
      </c>
      <c r="BN13" s="201">
        <f>SUMIFS('jiliarena_活动分析数据_底稿'!$K:$K,'jiliarena_活动分析数据_底稿'!$B:$B,$A13,'jiliarena_活动分析数据_底稿'!$L:$L,BN$3)</f>
        <v>0</v>
      </c>
      <c r="BO13" s="201">
        <f>SUMIFS('jiliarena_活动分析数据_底稿'!$K:$K,'jiliarena_活动分析数据_底稿'!$B:$B,$A13,'jiliarena_活动分析数据_底稿'!$L:$L,BO$3)</f>
        <v>0</v>
      </c>
      <c r="BP13" s="201">
        <f>SUMIFS('jiliarena_活动分析数据_底稿'!$K:$K,'jiliarena_活动分析数据_底稿'!$B:$B,$A13,'jiliarena_活动分析数据_底稿'!$L:$L,BP$3)</f>
        <v>0</v>
      </c>
      <c r="BQ13" s="198">
        <f t="shared" si="43"/>
        <v>0</v>
      </c>
      <c r="BR13" s="198">
        <f t="shared" si="44"/>
        <v>0</v>
      </c>
      <c r="BS13" s="198">
        <f t="shared" si="45"/>
        <v>0</v>
      </c>
      <c r="BT13" s="194" t="str">
        <f t="shared" si="26"/>
        <v/>
      </c>
      <c r="BU13" s="194" t="str">
        <f t="shared" si="27"/>
        <v/>
      </c>
      <c r="BV13" s="194" t="str">
        <f t="shared" si="28"/>
        <v/>
      </c>
      <c r="BW13" s="202">
        <f t="shared" si="29"/>
        <v>0</v>
      </c>
      <c r="BX13" s="203" t="str">
        <f t="shared" si="30"/>
        <v/>
      </c>
      <c r="BY13" s="204">
        <f t="shared" si="31"/>
        <v>0</v>
      </c>
      <c r="BZ13" s="205">
        <f t="shared" si="32"/>
        <v>0</v>
      </c>
      <c r="CA13" s="206">
        <f t="shared" si="33"/>
        <v>0</v>
      </c>
      <c r="CB13" s="207">
        <f t="shared" si="34"/>
        <v>0</v>
      </c>
      <c r="CC13" s="203" t="str">
        <f t="shared" si="35"/>
        <v/>
      </c>
      <c r="CD13" s="198" t="str">
        <f t="array" ref="CD13">index('jiliarena_日报_底稿'!$P$3:$DS$31,match(A13,'jiliarena_日报_底稿'!$P$3:$P$31,0),match("综合性分红",'jiliarena_日报_底稿'!$P$3:$DS$3,0))</f>
        <v/>
      </c>
      <c r="CE13" s="208"/>
      <c r="CF13" s="198" t="str">
        <f t="array" ref="CF13">INDEX('jiliarena_日报_底稿'!$P$2:$DS$31,MATCH($A13,'jiliarena_日报_底稿'!$P$2:$P$31,0),MATCH(CF$3,'jiliarena_日报_底稿'!$P$3:$DS$3,0))</f>
        <v/>
      </c>
      <c r="CG13" s="198">
        <f t="array" ref="CG13">-INDEX('jiliarena_日报_底稿'!$P$2:$DS$31,MATCH($A13,'jiliarena_日报_底稿'!$P$2:$P$31,0),MATCH(CG$3,'jiliarena_日报_底稿'!$P$3:$DS$3,0))</f>
        <v>0</v>
      </c>
      <c r="CH13" s="198" t="str">
        <f t="array" ref="CH13">INDEX('jiliarena_日报_底稿'!$P$2:$DS$31,MATCH($A13,'jiliarena_日报_底稿'!$P$2:$P$31,0),MATCH(CH$3,'jiliarena_日报_底稿'!$P$3:$DS$3,0))</f>
        <v/>
      </c>
      <c r="CI13" s="202">
        <f t="shared" si="37"/>
        <v>0</v>
      </c>
      <c r="CJ13" s="209">
        <f t="shared" si="38"/>
        <v>2</v>
      </c>
      <c r="CK13" s="209">
        <f t="shared" si="39"/>
        <v>8</v>
      </c>
    </row>
    <row r="14" hidden="1">
      <c r="A14" s="210" t="s">
        <v>507</v>
      </c>
      <c r="B14" s="211">
        <f t="shared" ref="B14:M14" si="47">SUM(B7:B13)</f>
        <v>0</v>
      </c>
      <c r="C14" s="211">
        <f t="shared" si="47"/>
        <v>0</v>
      </c>
      <c r="D14" s="211">
        <f t="shared" si="47"/>
        <v>0</v>
      </c>
      <c r="E14" s="211">
        <f t="shared" si="47"/>
        <v>146</v>
      </c>
      <c r="F14" s="211">
        <f t="shared" si="47"/>
        <v>0</v>
      </c>
      <c r="G14" s="211">
        <f t="shared" si="47"/>
        <v>0</v>
      </c>
      <c r="H14" s="211">
        <f t="shared" si="47"/>
        <v>0</v>
      </c>
      <c r="I14" s="211">
        <f t="shared" si="47"/>
        <v>5263</v>
      </c>
      <c r="J14" s="211">
        <f t="shared" si="47"/>
        <v>0</v>
      </c>
      <c r="K14" s="212">
        <f t="shared" si="47"/>
        <v>0</v>
      </c>
      <c r="L14" s="212">
        <f t="shared" si="47"/>
        <v>0</v>
      </c>
      <c r="M14" s="212">
        <f t="shared" si="47"/>
        <v>0</v>
      </c>
      <c r="N14" s="213" t="str">
        <f t="shared" si="2"/>
        <v>#DIV/0!</v>
      </c>
      <c r="O14" s="214" t="str">
        <f t="shared" si="3"/>
        <v>#DIV/0!</v>
      </c>
      <c r="P14" s="213" t="str">
        <f t="shared" si="4"/>
        <v>#DIV/0!</v>
      </c>
      <c r="Q14" s="214" t="str">
        <f t="shared" si="5"/>
        <v>#DIV/0!</v>
      </c>
      <c r="R14" s="214" t="str">
        <f t="shared" si="6"/>
        <v>#DIV/0!</v>
      </c>
      <c r="S14" s="214" t="str">
        <f t="shared" si="7"/>
        <v>#DIV/0!</v>
      </c>
      <c r="T14" s="214" t="str">
        <f t="shared" si="8"/>
        <v>#DIV/0!</v>
      </c>
      <c r="U14" s="215" t="str">
        <f t="shared" si="9"/>
        <v>#DIV/0!</v>
      </c>
      <c r="V14" s="216">
        <f t="shared" si="10"/>
        <v>0</v>
      </c>
      <c r="W14" s="217">
        <f t="shared" ref="W14:Z14" si="48">SUM(W7:W13)</f>
        <v>0</v>
      </c>
      <c r="X14" s="217">
        <f t="shared" si="48"/>
        <v>0</v>
      </c>
      <c r="Y14" s="217">
        <f t="shared" si="48"/>
        <v>0</v>
      </c>
      <c r="Z14" s="217">
        <f t="shared" si="48"/>
        <v>0</v>
      </c>
      <c r="AA14" s="218" t="str">
        <f t="shared" si="12"/>
        <v/>
      </c>
      <c r="AB14" s="217">
        <f t="shared" ref="AB14:AC14" si="49">SUM(AB7:AB13)</f>
        <v>0</v>
      </c>
      <c r="AC14" s="217">
        <f t="shared" si="49"/>
        <v>0</v>
      </c>
      <c r="AD14" s="218" t="str">
        <f t="shared" si="14"/>
        <v>#DIV/0!</v>
      </c>
      <c r="AE14" s="217">
        <f t="shared" ref="AE14:AF14" si="50">SUM(AE7:AE13)</f>
        <v>0</v>
      </c>
      <c r="AF14" s="217">
        <f t="shared" si="50"/>
        <v>0</v>
      </c>
      <c r="AG14" s="218" t="str">
        <f t="shared" si="16"/>
        <v>#DIV/0!</v>
      </c>
      <c r="AH14" s="217">
        <f t="shared" ref="AH14:AI14" si="51">SUM(AH7:AH13)</f>
        <v>0</v>
      </c>
      <c r="AI14" s="217">
        <f t="shared" si="51"/>
        <v>0</v>
      </c>
      <c r="AJ14" s="219" t="str">
        <f t="shared" si="18"/>
        <v>#DIV/0!</v>
      </c>
      <c r="AK14" s="217">
        <f t="shared" ref="AK14:AL14" si="52">SUM(AK7:AK13)</f>
        <v>0</v>
      </c>
      <c r="AL14" s="217">
        <f t="shared" si="52"/>
        <v>0</v>
      </c>
      <c r="AM14" s="218" t="str">
        <f t="shared" si="20"/>
        <v>#DIV/0!</v>
      </c>
      <c r="AN14" s="217">
        <f t="shared" ref="AN14:AO14" si="53">SUM(AN7:AN13)</f>
        <v>0</v>
      </c>
      <c r="AO14" s="217">
        <f t="shared" si="53"/>
        <v>0</v>
      </c>
      <c r="AP14" s="218" t="str">
        <f t="shared" si="22"/>
        <v>#DIV/0!</v>
      </c>
      <c r="AQ14" s="217">
        <f t="shared" ref="AQ14:AR14" si="54">SUM(AQ7:AQ13)</f>
        <v>0</v>
      </c>
      <c r="AR14" s="217">
        <f t="shared" si="54"/>
        <v>0</v>
      </c>
      <c r="AS14" s="218" t="str">
        <f t="shared" si="24"/>
        <v>#DIV/0!</v>
      </c>
      <c r="AT14" s="220">
        <f t="shared" ref="AT14:BS14" si="55">SUM(AT7:AT13)</f>
        <v>0</v>
      </c>
      <c r="AU14" s="220">
        <f t="shared" si="55"/>
        <v>0</v>
      </c>
      <c r="AV14" s="220">
        <f t="shared" si="55"/>
        <v>0</v>
      </c>
      <c r="AW14" s="220">
        <f t="shared" si="55"/>
        <v>0</v>
      </c>
      <c r="AX14" s="220">
        <f t="shared" si="55"/>
        <v>0</v>
      </c>
      <c r="AY14" s="220">
        <f t="shared" si="55"/>
        <v>0</v>
      </c>
      <c r="AZ14" s="220">
        <f t="shared" si="55"/>
        <v>0</v>
      </c>
      <c r="BA14" s="220">
        <f t="shared" si="55"/>
        <v>0</v>
      </c>
      <c r="BB14" s="220">
        <f t="shared" si="55"/>
        <v>0</v>
      </c>
      <c r="BC14" s="220">
        <f t="shared" si="55"/>
        <v>0</v>
      </c>
      <c r="BD14" s="220">
        <f t="shared" si="55"/>
        <v>0</v>
      </c>
      <c r="BE14" s="220">
        <f t="shared" si="55"/>
        <v>0</v>
      </c>
      <c r="BF14" s="220">
        <f t="shared" si="55"/>
        <v>0</v>
      </c>
      <c r="BG14" s="220">
        <f t="shared" si="55"/>
        <v>0</v>
      </c>
      <c r="BH14" s="220">
        <f t="shared" si="55"/>
        <v>0</v>
      </c>
      <c r="BI14" s="220">
        <f t="shared" si="55"/>
        <v>0</v>
      </c>
      <c r="BJ14" s="220">
        <f t="shared" si="55"/>
        <v>0</v>
      </c>
      <c r="BK14" s="220">
        <f t="shared" si="55"/>
        <v>0</v>
      </c>
      <c r="BL14" s="220">
        <f t="shared" si="55"/>
        <v>0</v>
      </c>
      <c r="BM14" s="220">
        <f t="shared" si="55"/>
        <v>0</v>
      </c>
      <c r="BN14" s="220">
        <f t="shared" si="55"/>
        <v>0</v>
      </c>
      <c r="BO14" s="220">
        <f t="shared" si="55"/>
        <v>0</v>
      </c>
      <c r="BP14" s="220">
        <f t="shared" si="55"/>
        <v>0</v>
      </c>
      <c r="BQ14" s="220">
        <f t="shared" si="55"/>
        <v>0</v>
      </c>
      <c r="BR14" s="220">
        <f t="shared" si="55"/>
        <v>0</v>
      </c>
      <c r="BS14" s="220">
        <f t="shared" si="55"/>
        <v>0</v>
      </c>
      <c r="BT14" s="213" t="str">
        <f t="shared" si="26"/>
        <v/>
      </c>
      <c r="BU14" s="213" t="str">
        <f t="shared" si="27"/>
        <v/>
      </c>
      <c r="BV14" s="213" t="str">
        <f t="shared" si="28"/>
        <v/>
      </c>
      <c r="BW14" s="215">
        <f t="shared" si="29"/>
        <v>0</v>
      </c>
      <c r="BX14" s="213" t="str">
        <f t="shared" si="30"/>
        <v/>
      </c>
      <c r="BY14" s="215">
        <f t="shared" si="31"/>
        <v>0</v>
      </c>
      <c r="BZ14" s="215">
        <f t="shared" si="32"/>
        <v>0</v>
      </c>
      <c r="CA14" s="215">
        <f t="shared" si="33"/>
        <v>0</v>
      </c>
      <c r="CB14" s="215">
        <f t="shared" si="34"/>
        <v>0</v>
      </c>
      <c r="CC14" s="221" t="str">
        <f t="shared" si="35"/>
        <v/>
      </c>
      <c r="CD14" s="220">
        <f t="shared" ref="CD14:CH14" si="56">SUM(CD7:CD13)</f>
        <v>0</v>
      </c>
      <c r="CE14" s="220">
        <f t="shared" si="56"/>
        <v>0</v>
      </c>
      <c r="CF14" s="220">
        <f t="shared" si="56"/>
        <v>0</v>
      </c>
      <c r="CG14" s="220">
        <f t="shared" si="56"/>
        <v>0</v>
      </c>
      <c r="CH14" s="220">
        <f t="shared" si="56"/>
        <v>0</v>
      </c>
      <c r="CI14" s="215">
        <f t="shared" si="37"/>
        <v>0</v>
      </c>
      <c r="CJ14" s="146" t="str">
        <f t="shared" si="38"/>
        <v/>
      </c>
      <c r="CK14" s="146" t="str">
        <f t="shared" si="39"/>
        <v/>
      </c>
    </row>
    <row r="15" hidden="1">
      <c r="A15" s="190">
        <f>A13+1</f>
        <v>46062</v>
      </c>
      <c r="B15" s="191" t="str">
        <f t="array" ref="B15">INDEX('jiliarena_日报_底稿'!$A$3:$N$31,MATCH($A15,'jiliarena_日报_底稿'!$A$3:$A$31,0),MATCH(B$3,'jiliarena_日报_底稿'!$A$3:$N$3,0))</f>
        <v/>
      </c>
      <c r="C15" s="191" t="str">
        <f t="array" ref="C15">INDEX('jiliarena_日报_底稿'!$A$3:$N$31,MATCH($A15,'jiliarena_日报_底稿'!$A$3:$A$31,0),MATCH(C$3,'jiliarena_日报_底稿'!$A$3:$N$3,0))</f>
        <v/>
      </c>
      <c r="D15" s="191" t="str">
        <f t="array" ref="D15">INDEX('jiliarena_日报_底稿'!$A$3:$N$31,MATCH($A15,'jiliarena_日报_底稿'!$A$3:$A$31,0),MATCH(D$3,'jiliarena_日报_底稿'!$A$3:$N$3,0))</f>
        <v/>
      </c>
      <c r="E15" s="192">
        <v>13.0</v>
      </c>
      <c r="F15" s="191" t="str">
        <f t="array" ref="F15">INDEX('jiliarena_日报_底稿'!$A$3:$N$31,MATCH($A15,'jiliarena_日报_底稿'!$A$3:$A$31,0),MATCH(F$3,'jiliarena_日报_底稿'!$A$3:$N$3,0))</f>
        <v/>
      </c>
      <c r="G15" s="191">
        <f>SUMIFS('渠道充值成功率_底稿'!$F:$F,'渠道充值成功率_底稿'!$A:$A,A15)</f>
        <v>0</v>
      </c>
      <c r="H15" s="191" t="str">
        <f t="array" ref="H15">INDEX('jiliarena_日报_底稿'!$A$3:$N$31,MATCH($A15,'jiliarena_日报_底稿'!$A$3:$A$31,0),MATCH(H$3,'jiliarena_日报_底稿'!$A$3:$N$3,0))</f>
        <v/>
      </c>
      <c r="I15" s="192">
        <v>827.0</v>
      </c>
      <c r="J15" s="191" t="str">
        <f t="array" ref="J15">INDEX('jiliarena_日报_底稿'!$A$3:$N$31,MATCH($A15,'jiliarena_日报_底稿'!$A$3:$A$31,0),MATCH(J$3,'jiliarena_日报_底稿'!$A$3:$N$3,0))</f>
        <v/>
      </c>
      <c r="K15" s="193">
        <f>SUMIFS('渠道充值成功率_底稿'!$J:$J,'渠道充值成功率_底稿'!$A:$A,$A15)</f>
        <v>0</v>
      </c>
      <c r="L15" s="193" t="str">
        <f t="array" ref="L15">INDEX('jiliarena_日报_底稿'!$A$3:$N$31,MATCH($A15,'jiliarena_日报_底稿'!$A$3:$A$31,0),MATCH(L$3,'jiliarena_日报_底稿'!$A$3:$N$3,0))</f>
        <v/>
      </c>
      <c r="M15" s="193" t="str">
        <f t="array" ref="M15">INDEX('jiliarena_日报_底稿'!$P$2:$DS$31,MATCH($A15,'jiliarena_日报_底稿'!$P$2:$P$31,0),MATCH($M$3,'jiliarena_日报_底稿'!$P$3:$DS$3,0))</f>
        <v/>
      </c>
      <c r="N15" s="194" t="str">
        <f t="shared" si="2"/>
        <v/>
      </c>
      <c r="O15" s="195" t="str">
        <f t="shared" si="3"/>
        <v>#DIV/0!</v>
      </c>
      <c r="P15" s="194" t="str">
        <f t="shared" si="4"/>
        <v/>
      </c>
      <c r="Q15" s="195" t="str">
        <f t="shared" si="5"/>
        <v>#DIV/0!</v>
      </c>
      <c r="R15" s="196" t="str">
        <f t="shared" si="6"/>
        <v/>
      </c>
      <c r="S15" s="195" t="str">
        <f t="shared" si="7"/>
        <v/>
      </c>
      <c r="T15" s="195" t="str">
        <f t="shared" si="8"/>
        <v/>
      </c>
      <c r="U15" s="196" t="str">
        <f t="shared" si="9"/>
        <v/>
      </c>
      <c r="V15" s="197" t="str">
        <f t="shared" si="10"/>
        <v/>
      </c>
      <c r="W15" s="198">
        <f t="shared" ref="W15:W21" si="57">AB15+AE15+AH15+AK15+AN15+AQ15</f>
        <v>0</v>
      </c>
      <c r="X15" s="198">
        <f t="array" ref="X15">index('jiliarena_日报_底稿'!$P$2:$DS$31,match($A15,'jiliarena_日报_底稿'!$P$2:$P$31,0),match("电子有效投注",'jiliarena_日报_底稿'!$P$3:$DS$3,0))+index('jiliarena_日报_底稿'!$P$2:$DS$31,match($A15,'jiliarena_日报_底稿'!$P$2:$P$31,0),match("真人有效投注",'jiliarena_日报_底稿'!$P$3:$DS$3,0))+index('jiliarena_日报_底稿'!$P$2:$DS$31,match($A15,'jiliarena_日报_底稿'!$P$2:$P$31,0),match("彩票有效投注",'jiliarena_日报_底稿'!$P$3:$DS$3,0))+index('jiliarena_日报_底稿'!$P$2:$DS$31,match($A15,'jiliarena_日报_底稿'!$P$2:$P$31,0),match("棋牌有效投注",'jiliarena_日报_底稿'!$P$3:$DS$3,0))+index('jiliarena_日报_底稿'!$P$2:$DS$31,match($A15,'jiliarena_日报_底稿'!$P$2:$P$31,0),match("捕鱼有效投注",'jiliarena_日报_底稿'!$P$3:$DS$3,0))+index('jiliarena_日报_底稿'!$P$2:$DS$31,match($A15,'jiliarena_日报_底稿'!$P$2:$P$31,0),match("体育有效投注",'jiliarena_日报_底稿'!$P$3:$DS$3,0))+index('jiliarena_日报_底稿'!$P$2:$DS$31,match($A15,'jiliarena_日报_底稿'!$P$2:$P$31,0),match("盘口彩票有效投注",'jiliarena_日报_底稿'!$P$3:$DS$3,0))</f>
        <v>0</v>
      </c>
      <c r="Y15" s="199">
        <f t="shared" ref="Y15:Y21" si="58">AB15+AE15+AH15+AK15+AN15+AQ15-AR15-AO15-AL15-AI15-AF15-AC15</f>
        <v>0</v>
      </c>
      <c r="Z15" s="198">
        <f t="shared" ref="Z15:Z21" si="59">AC15+AF15+AI15+AL15+AO15+AR15</f>
        <v>0</v>
      </c>
      <c r="AA15" s="194" t="str">
        <f t="shared" si="12"/>
        <v/>
      </c>
      <c r="AB15" s="200" t="str">
        <f t="array" ref="AB15">INDEX('jiliarena_日报_底稿'!$P$2:$DS$31,MATCH($A15,'jiliarena_日报_底稿'!$P$2:$P$31,0),MATCH(AB$3,'jiliarena_日报_底稿'!$P$3:$DS$3,0))</f>
        <v/>
      </c>
      <c r="AC15" s="200" t="str">
        <f t="array" ref="AC15">INDEX('jiliarena_日报_底稿'!$P$2:$DS$31,MATCH($A15,'jiliarena_日报_底稿'!$P$2:$P$31,0),MATCH(AC$3,'jiliarena_日报_底稿'!$P$3:$DS$3,0))</f>
        <v/>
      </c>
      <c r="AD15" s="194" t="str">
        <f t="shared" si="14"/>
        <v/>
      </c>
      <c r="AE15" s="200" t="str">
        <f t="array" ref="AE15">INDEX('jiliarena_日报_底稿'!$P$2:$DS$31,MATCH($A15,'jiliarena_日报_底稿'!$P$2:$P$31,0),MATCH(AE$3,'jiliarena_日报_底稿'!$P$3:$DS$3,0))</f>
        <v/>
      </c>
      <c r="AF15" s="200" t="str">
        <f t="array" ref="AF15">INDEX('jiliarena_日报_底稿'!$P$2:$DS$31,MATCH($A15,'jiliarena_日报_底稿'!$P$2:$P$31,0),MATCH(AF$3,'jiliarena_日报_底稿'!$P$3:$DS$3,0))</f>
        <v/>
      </c>
      <c r="AG15" s="194" t="str">
        <f t="shared" si="16"/>
        <v/>
      </c>
      <c r="AH15" s="200" t="str">
        <f t="array" ref="AH15">INDEX('jiliarena_日报_底稿'!$P$2:$DS$31,MATCH($A15,'jiliarena_日报_底稿'!$P$2:$P$31,0),MATCH(AH$3,'jiliarena_日报_底稿'!$P$3:$DS$3,0))</f>
        <v/>
      </c>
      <c r="AI15" s="200" t="str">
        <f t="array" ref="AI15">INDEX('jiliarena_日报_底稿'!$P$2:$DS$31,MATCH($A15,'jiliarena_日报_底稿'!$P$2:$P$31,0),MATCH(AI$3,'jiliarena_日报_底稿'!$P$3:$DS$3,0))</f>
        <v/>
      </c>
      <c r="AJ15" s="194" t="str">
        <f t="shared" si="18"/>
        <v/>
      </c>
      <c r="AK15" s="200" t="str">
        <f t="array" ref="AK15">INDEX('jiliarena_日报_底稿'!$P$2:$DS$31,MATCH($A15,'jiliarena_日报_底稿'!$P$2:$P$31,0),MATCH(AK$3,'jiliarena_日报_底稿'!$P$3:$DS$3,0))</f>
        <v/>
      </c>
      <c r="AL15" s="200" t="str">
        <f t="array" ref="AL15">INDEX('jiliarena_日报_底稿'!$P$2:$DS$31,MATCH($A15,'jiliarena_日报_底稿'!$P$2:$P$31,0),MATCH(AL$3,'jiliarena_日报_底稿'!$P$3:$DS$3,0))</f>
        <v/>
      </c>
      <c r="AM15" s="194" t="str">
        <f t="shared" si="20"/>
        <v/>
      </c>
      <c r="AN15" s="200" t="str">
        <f t="array" ref="AN15">INDEX('jiliarena_日报_底稿'!$P$2:$DS$31,MATCH($A15,'jiliarena_日报_底稿'!$P$2:$P$31,0),MATCH(AN$3,'jiliarena_日报_底稿'!$P$3:$DS$3,0))</f>
        <v/>
      </c>
      <c r="AO15" s="200" t="str">
        <f t="array" ref="AO15">INDEX('jiliarena_日报_底稿'!$P$2:$DS$31,MATCH($A15,'jiliarena_日报_底稿'!$P$2:$P$31,0),MATCH(AO$3,'jiliarena_日报_底稿'!$P$3:$DS$3,0))</f>
        <v/>
      </c>
      <c r="AP15" s="194" t="str">
        <f t="shared" si="22"/>
        <v/>
      </c>
      <c r="AQ15" s="200" t="str">
        <f t="array" ref="AQ15">INDEX('jiliarena_日报_底稿'!$P$2:$DS$31,MATCH($A15,'jiliarena_日报_底稿'!$P$2:$P$31,0),MATCH(AQ$3,'jiliarena_日报_底稿'!$P$3:$DS$3,0))</f>
        <v/>
      </c>
      <c r="AR15" s="200" t="str">
        <f t="array" ref="AR15">INDEX('jiliarena_日报_底稿'!$P$2:$DS$31,MATCH($A15,'jiliarena_日报_底稿'!$P$2:$P$31,0),MATCH(AR$3,'jiliarena_日报_底稿'!$P$3:$DS$3,0))</f>
        <v/>
      </c>
      <c r="AS15" s="194" t="str">
        <f t="shared" si="24"/>
        <v/>
      </c>
      <c r="AT15" s="201">
        <f>SUMIFS('jiliarena_活动分析数据_底稿'!$K:$K,'jiliarena_活动分析数据_底稿'!$B:$B,$A15,'jiliarena_活动分析数据_底稿'!$L:$L,AT$3)</f>
        <v>0</v>
      </c>
      <c r="AU15" s="201">
        <f>SUMIFS('jiliarena_活动分析数据_底稿'!$K:$K,'jiliarena_活动分析数据_底稿'!$B:$B,$A15,'jiliarena_活动分析数据_底稿'!$L:$L,AU$3)</f>
        <v>0</v>
      </c>
      <c r="AV15" s="201">
        <f>SUMIFS('jiliarena_活动分析数据_底稿'!$K:$K,'jiliarena_活动分析数据_底稿'!$B:$B,$A15,'jiliarena_活动分析数据_底稿'!$L:$L,AV$3)</f>
        <v>0</v>
      </c>
      <c r="AW15" s="201">
        <f>SUMIFS('jiliarena_活动分析数据_底稿'!$K:$K,'jiliarena_活动分析数据_底稿'!$B:$B,$A15,'jiliarena_活动分析数据_底稿'!$L:$L,AW$3)</f>
        <v>0</v>
      </c>
      <c r="AX15" s="201">
        <f>SUMIFS('jiliarena_活动分析数据_底稿'!$K:$K,'jiliarena_活动分析数据_底稿'!$B:$B,$A15,'jiliarena_活动分析数据_底稿'!$L:$L,AX$3)</f>
        <v>0</v>
      </c>
      <c r="AY15" s="201">
        <f>SUMIFS('jiliarena_活动分析数据_底稿'!$K:$K,'jiliarena_活动分析数据_底稿'!$B:$B,$A15,'jiliarena_活动分析数据_底稿'!$L:$L,AY$3)</f>
        <v>0</v>
      </c>
      <c r="AZ15" s="201">
        <f>SUMIFS('jiliarena_活动分析数据_底稿'!$K:$K,'jiliarena_活动分析数据_底稿'!$B:$B,$A15,'jiliarena_活动分析数据_底稿'!$L:$L,AZ$3)</f>
        <v>0</v>
      </c>
      <c r="BA15" s="201">
        <f>SUMIFS('jiliarena_活动分析数据_底稿'!$K:$K,'jiliarena_活动分析数据_底稿'!$B:$B,$A15,'jiliarena_活动分析数据_底稿'!$L:$L,BA$3)</f>
        <v>0</v>
      </c>
      <c r="BB15" s="201">
        <f>SUMIFS('jiliarena_活动分析数据_底稿'!$K:$K,'jiliarena_活动分析数据_底稿'!$B:$B,$A15,'jiliarena_活动分析数据_底稿'!$L:$L,BB$3)</f>
        <v>0</v>
      </c>
      <c r="BC15" s="201">
        <f>SUMIFS('jiliarena_活动分析数据_底稿'!$K:$K,'jiliarena_活动分析数据_底稿'!$B:$B,$A15,'jiliarena_活动分析数据_底稿'!$L:$L,BC$3)</f>
        <v>0</v>
      </c>
      <c r="BD15" s="201">
        <f>SUMIFS('jiliarena_活动分析数据_底稿'!$K:$K,'jiliarena_活动分析数据_底稿'!$B:$B,$A15,'jiliarena_活动分析数据_底稿'!$L:$L,BD$3)</f>
        <v>0</v>
      </c>
      <c r="BE15" s="201">
        <f>SUMIFS('jiliarena_活动分析数据_底稿'!$K:$K,'jiliarena_活动分析数据_底稿'!$B:$B,$A15,'jiliarena_活动分析数据_底稿'!$L:$L,BE$3)</f>
        <v>0</v>
      </c>
      <c r="BF15" s="201">
        <f>SUMIFS('jiliarena_活动分析数据_底稿'!$K:$K,'jiliarena_活动分析数据_底稿'!$B:$B,$A15,'jiliarena_活动分析数据_底稿'!$L:$L,BF$3)</f>
        <v>0</v>
      </c>
      <c r="BG15" s="201">
        <f>SUMIFS('jiliarena_活动分析数据_底稿'!$K:$K,'jiliarena_活动分析数据_底稿'!$B:$B,$A15,'jiliarena_活动分析数据_底稿'!$L:$L,BG$3)</f>
        <v>0</v>
      </c>
      <c r="BH15" s="201">
        <f>SUMIFS('jiliarena_活动分析数据_底稿'!$K:$K,'jiliarena_活动分析数据_底稿'!$B:$B,$A15,'jiliarena_活动分析数据_底稿'!$L:$L,BH$3)</f>
        <v>0</v>
      </c>
      <c r="BI15" s="201">
        <f>SUMIFS('jiliarena_活动分析数据_底稿'!$K:$K,'jiliarena_活动分析数据_底稿'!$B:$B,$A15,'jiliarena_活动分析数据_底稿'!$L:$L,BI$3)</f>
        <v>0</v>
      </c>
      <c r="BJ15" s="201">
        <f>SUMIFS('jiliarena_活动分析数据_底稿'!$K:$K,'jiliarena_活动分析数据_底稿'!$B:$B,$A15,'jiliarena_活动分析数据_底稿'!$L:$L,BJ$3)</f>
        <v>0</v>
      </c>
      <c r="BK15" s="201">
        <f>SUMIFS('jiliarena_活动分析数据_底稿'!$K:$K,'jiliarena_活动分析数据_底稿'!$B:$B,$A15,'jiliarena_活动分析数据_底稿'!$L:$L,BK$3)</f>
        <v>0</v>
      </c>
      <c r="BL15" s="201">
        <f>SUMIFS('jiliarena_活动分析数据_底稿'!$K:$K,'jiliarena_活动分析数据_底稿'!$B:$B,$A15,'jiliarena_活动分析数据_底稿'!$L:$L,BL$3)</f>
        <v>0</v>
      </c>
      <c r="BM15" s="201">
        <f>SUMIFS('jiliarena_活动分析数据_底稿'!$K:$K,'jiliarena_活动分析数据_底稿'!$B:$B,$A15,'jiliarena_活动分析数据_底稿'!$L:$L,BM$3)</f>
        <v>0</v>
      </c>
      <c r="BN15" s="201">
        <f>SUMIFS('jiliarena_活动分析数据_底稿'!$K:$K,'jiliarena_活动分析数据_底稿'!$B:$B,$A15,'jiliarena_活动分析数据_底稿'!$L:$L,BN$3)</f>
        <v>0</v>
      </c>
      <c r="BO15" s="201">
        <f>SUMIFS('jiliarena_活动分析数据_底稿'!$K:$K,'jiliarena_活动分析数据_底稿'!$B:$B,$A15,'jiliarena_活动分析数据_底稿'!$L:$L,BO$3)</f>
        <v>0</v>
      </c>
      <c r="BP15" s="201">
        <f>SUMIFS('jiliarena_活动分析数据_底稿'!$K:$K,'jiliarena_活动分析数据_底稿'!$B:$B,$A15,'jiliarena_活动分析数据_底稿'!$L:$L,BP$3)</f>
        <v>0</v>
      </c>
      <c r="BQ15" s="198">
        <f t="shared" ref="BQ15:BQ21" si="60">SUM(AT15:BP15)</f>
        <v>0</v>
      </c>
      <c r="BR15" s="198">
        <f t="shared" ref="BR15:BR21" si="61">AT15</f>
        <v>0</v>
      </c>
      <c r="BS15" s="198">
        <f t="shared" ref="BS15:BS21" si="62">BB15</f>
        <v>0</v>
      </c>
      <c r="BT15" s="194" t="str">
        <f t="shared" si="26"/>
        <v/>
      </c>
      <c r="BU15" s="194" t="str">
        <f t="shared" si="27"/>
        <v/>
      </c>
      <c r="BV15" s="194" t="str">
        <f t="shared" si="28"/>
        <v/>
      </c>
      <c r="BW15" s="202">
        <f t="shared" si="29"/>
        <v>0</v>
      </c>
      <c r="BX15" s="203" t="str">
        <f t="shared" si="30"/>
        <v/>
      </c>
      <c r="BY15" s="204">
        <f t="shared" si="31"/>
        <v>0</v>
      </c>
      <c r="BZ15" s="205">
        <f t="shared" si="32"/>
        <v>0</v>
      </c>
      <c r="CA15" s="206">
        <f t="shared" si="33"/>
        <v>0</v>
      </c>
      <c r="CB15" s="207">
        <f t="shared" si="34"/>
        <v>0</v>
      </c>
      <c r="CC15" s="203" t="str">
        <f t="shared" si="35"/>
        <v/>
      </c>
      <c r="CD15" s="198" t="str">
        <f t="array" ref="CD15">index('jiliarena_日报_底稿'!$P$3:$DS$31,match(A15,'jiliarena_日报_底稿'!$P$3:$P$31,0),match("综合性分红",'jiliarena_日报_底稿'!$P$3:$DS$3,0))</f>
        <v/>
      </c>
      <c r="CE15" s="208"/>
      <c r="CF15" s="198" t="str">
        <f t="array" ref="CF15">INDEX('jiliarena_日报_底稿'!$P$2:$DS$31,MATCH($A15,'jiliarena_日报_底稿'!$P$2:$P$31,0),MATCH(CF$3,'jiliarena_日报_底稿'!$P$3:$DS$3,0))</f>
        <v/>
      </c>
      <c r="CG15" s="198">
        <f t="array" ref="CG15">-INDEX('jiliarena_日报_底稿'!$P$2:$DS$31,MATCH($A15,'jiliarena_日报_底稿'!$P$2:$P$31,0),MATCH(CG$3,'jiliarena_日报_底稿'!$P$3:$DS$3,0))</f>
        <v>0</v>
      </c>
      <c r="CH15" s="198" t="str">
        <f t="array" ref="CH15">INDEX('jiliarena_日报_底稿'!$P$2:$DS$31,MATCH($A15,'jiliarena_日报_底稿'!$P$2:$P$31,0),MATCH(CH$3,'jiliarena_日报_底稿'!$P$3:$DS$3,0))</f>
        <v/>
      </c>
      <c r="CI15" s="202">
        <f t="shared" si="37"/>
        <v>0</v>
      </c>
      <c r="CJ15" s="209">
        <f t="shared" si="38"/>
        <v>2</v>
      </c>
      <c r="CK15" s="209">
        <f t="shared" si="39"/>
        <v>9</v>
      </c>
    </row>
    <row r="16">
      <c r="A16" s="222">
        <f t="shared" ref="A16:A21" si="63">A15+1</f>
        <v>46063</v>
      </c>
      <c r="B16" s="191">
        <f t="array" ref="B16">INDEX('jiliarena_日报_底稿'!$A$3:$N$31,MATCH($A16,'jiliarena_日报_底稿'!$A$3:$A$31,0),MATCH(B$3,'jiliarena_日报_底稿'!$A$3:$N$3,0))</f>
        <v>1</v>
      </c>
      <c r="C16" s="191">
        <f t="array" ref="C16">INDEX('jiliarena_日报_底稿'!$A$3:$N$31,MATCH($A16,'jiliarena_日报_底稿'!$A$3:$A$31,0),MATCH(C$3,'jiliarena_日报_底稿'!$A$3:$N$3,0))</f>
        <v>0</v>
      </c>
      <c r="D16" s="191">
        <f t="array" ref="D16">INDEX('jiliarena_日报_底稿'!$A$3:$N$31,MATCH($A16,'jiliarena_日报_底稿'!$A$3:$A$31,0),MATCH(D$3,'jiliarena_日报_底稿'!$A$3:$N$3,0))</f>
        <v>4</v>
      </c>
      <c r="E16" s="192">
        <v>0.0</v>
      </c>
      <c r="F16" s="191">
        <f t="array" ref="F16">INDEX('jiliarena_日报_底稿'!$A$3:$N$31,MATCH($A16,'jiliarena_日报_底稿'!$A$3:$A$31,0),MATCH(F$3,'jiliarena_日报_底稿'!$A$3:$N$3,0))</f>
        <v>0</v>
      </c>
      <c r="G16" s="191">
        <f>SUMIFS('渠道充值成功率_底稿'!$F:$F,'渠道充值成功率_底稿'!$A:$A,A16)</f>
        <v>0</v>
      </c>
      <c r="H16" s="191">
        <f t="array" ref="H16">INDEX('jiliarena_日报_底稿'!$A$3:$N$31,MATCH($A16,'jiliarena_日报_底稿'!$A$3:$A$31,0),MATCH(H$3,'jiliarena_日报_底稿'!$A$3:$N$3,0))</f>
        <v>0</v>
      </c>
      <c r="I16" s="192">
        <v>0.0</v>
      </c>
      <c r="J16" s="191">
        <f t="array" ref="J16">INDEX('jiliarena_日报_底稿'!$A$3:$N$31,MATCH($A16,'jiliarena_日报_底稿'!$A$3:$A$31,0),MATCH(J$3,'jiliarena_日报_底稿'!$A$3:$N$3,0))</f>
        <v>0</v>
      </c>
      <c r="K16" s="193">
        <f>SUMIFS('渠道充值成功率_底稿'!$J:$J,'渠道充值成功率_底稿'!$A:$A,$A16)</f>
        <v>0</v>
      </c>
      <c r="L16" s="193">
        <f t="array" ref="L16">INDEX('jiliarena_日报_底稿'!$A$3:$N$31,MATCH($A16,'jiliarena_日报_底稿'!$A$3:$A$31,0),MATCH(L$3,'jiliarena_日报_底稿'!$A$3:$N$3,0))</f>
        <v>0</v>
      </c>
      <c r="M16" s="193">
        <f t="array" ref="M16">INDEX('jiliarena_日报_底稿'!$P$2:$DS$31,MATCH($A16,'jiliarena_日报_底稿'!$P$2:$P$31,0),MATCH($M$3,'jiliarena_日报_底稿'!$P$3:$DS$3,0))</f>
        <v>0</v>
      </c>
      <c r="N16" s="194">
        <f t="shared" si="2"/>
        <v>0</v>
      </c>
      <c r="O16" s="195" t="str">
        <f t="shared" si="3"/>
        <v>#DIV/0!</v>
      </c>
      <c r="P16" s="194" t="str">
        <f t="shared" si="4"/>
        <v>#DIV/0!</v>
      </c>
      <c r="Q16" s="195" t="str">
        <f t="shared" si="5"/>
        <v>#DIV/0!</v>
      </c>
      <c r="R16" s="196" t="str">
        <f t="shared" si="6"/>
        <v>#DIV/0!</v>
      </c>
      <c r="S16" s="195" t="str">
        <f t="shared" si="7"/>
        <v>#DIV/0!</v>
      </c>
      <c r="T16" s="195" t="str">
        <f t="shared" si="8"/>
        <v>#DIV/0!</v>
      </c>
      <c r="U16" s="196" t="str">
        <f t="shared" si="9"/>
        <v>#DIV/0!</v>
      </c>
      <c r="V16" s="197">
        <f t="shared" si="10"/>
        <v>0</v>
      </c>
      <c r="W16" s="198">
        <f t="shared" si="57"/>
        <v>0</v>
      </c>
      <c r="X16" s="198">
        <f t="array" ref="X16">index('jiliarena_日报_底稿'!$P$2:$DS$31,match($A16,'jiliarena_日报_底稿'!$P$2:$P$31,0),match("电子有效投注",'jiliarena_日报_底稿'!$P$3:$DS$3,0))+index('jiliarena_日报_底稿'!$P$2:$DS$31,match($A16,'jiliarena_日报_底稿'!$P$2:$P$31,0),match("真人有效投注",'jiliarena_日报_底稿'!$P$3:$DS$3,0))+index('jiliarena_日报_底稿'!$P$2:$DS$31,match($A16,'jiliarena_日报_底稿'!$P$2:$P$31,0),match("彩票有效投注",'jiliarena_日报_底稿'!$P$3:$DS$3,0))+index('jiliarena_日报_底稿'!$P$2:$DS$31,match($A16,'jiliarena_日报_底稿'!$P$2:$P$31,0),match("棋牌有效投注",'jiliarena_日报_底稿'!$P$3:$DS$3,0))+index('jiliarena_日报_底稿'!$P$2:$DS$31,match($A16,'jiliarena_日报_底稿'!$P$2:$P$31,0),match("捕鱼有效投注",'jiliarena_日报_底稿'!$P$3:$DS$3,0))+index('jiliarena_日报_底稿'!$P$2:$DS$31,match($A16,'jiliarena_日报_底稿'!$P$2:$P$31,0),match("体育有效投注",'jiliarena_日报_底稿'!$P$3:$DS$3,0))+index('jiliarena_日报_底稿'!$P$2:$DS$31,match($A16,'jiliarena_日报_底稿'!$P$2:$P$31,0),match("盘口彩票有效投注",'jiliarena_日报_底稿'!$P$3:$DS$3,0))</f>
        <v>0</v>
      </c>
      <c r="Y16" s="199">
        <f t="shared" si="58"/>
        <v>0</v>
      </c>
      <c r="Z16" s="198">
        <f t="shared" si="59"/>
        <v>0</v>
      </c>
      <c r="AA16" s="194" t="str">
        <f t="shared" si="12"/>
        <v/>
      </c>
      <c r="AB16" s="200">
        <f t="array" ref="AB16">INDEX('jiliarena_日报_底稿'!$P$2:$DS$31,MATCH($A16,'jiliarena_日报_底稿'!$P$2:$P$31,0),MATCH(AB$3,'jiliarena_日报_底稿'!$P$3:$DS$3,0))</f>
        <v>0</v>
      </c>
      <c r="AC16" s="200">
        <f t="array" ref="AC16">INDEX('jiliarena_日报_底稿'!$P$2:$DS$31,MATCH($A16,'jiliarena_日报_底稿'!$P$2:$P$31,0),MATCH(AC$3,'jiliarena_日报_底稿'!$P$3:$DS$3,0))</f>
        <v>0</v>
      </c>
      <c r="AD16" s="194" t="str">
        <f t="shared" si="14"/>
        <v>#DIV/0!</v>
      </c>
      <c r="AE16" s="200">
        <f t="array" ref="AE16">INDEX('jiliarena_日报_底稿'!$P$2:$DS$31,MATCH($A16,'jiliarena_日报_底稿'!$P$2:$P$31,0),MATCH(AE$3,'jiliarena_日报_底稿'!$P$3:$DS$3,0))</f>
        <v>0</v>
      </c>
      <c r="AF16" s="200">
        <f t="array" ref="AF16">INDEX('jiliarena_日报_底稿'!$P$2:$DS$31,MATCH($A16,'jiliarena_日报_底稿'!$P$2:$P$31,0),MATCH(AF$3,'jiliarena_日报_底稿'!$P$3:$DS$3,0))</f>
        <v>0</v>
      </c>
      <c r="AG16" s="194" t="str">
        <f t="shared" si="16"/>
        <v>#DIV/0!</v>
      </c>
      <c r="AH16" s="200">
        <f t="array" ref="AH16">INDEX('jiliarena_日报_底稿'!$P$2:$DS$31,MATCH($A16,'jiliarena_日报_底稿'!$P$2:$P$31,0),MATCH(AH$3,'jiliarena_日报_底稿'!$P$3:$DS$3,0))</f>
        <v>0</v>
      </c>
      <c r="AI16" s="200">
        <f t="array" ref="AI16">INDEX('jiliarena_日报_底稿'!$P$2:$DS$31,MATCH($A16,'jiliarena_日报_底稿'!$P$2:$P$31,0),MATCH(AI$3,'jiliarena_日报_底稿'!$P$3:$DS$3,0))</f>
        <v>0</v>
      </c>
      <c r="AJ16" s="194" t="str">
        <f t="shared" si="18"/>
        <v>#DIV/0!</v>
      </c>
      <c r="AK16" s="200">
        <f t="array" ref="AK16">INDEX('jiliarena_日报_底稿'!$P$2:$DS$31,MATCH($A16,'jiliarena_日报_底稿'!$P$2:$P$31,0),MATCH(AK$3,'jiliarena_日报_底稿'!$P$3:$DS$3,0))</f>
        <v>0</v>
      </c>
      <c r="AL16" s="200">
        <f t="array" ref="AL16">INDEX('jiliarena_日报_底稿'!$P$2:$DS$31,MATCH($A16,'jiliarena_日报_底稿'!$P$2:$P$31,0),MATCH(AL$3,'jiliarena_日报_底稿'!$P$3:$DS$3,0))</f>
        <v>0</v>
      </c>
      <c r="AM16" s="194" t="str">
        <f t="shared" si="20"/>
        <v>#DIV/0!</v>
      </c>
      <c r="AN16" s="200">
        <f t="array" ref="AN16">INDEX('jiliarena_日报_底稿'!$P$2:$DS$31,MATCH($A16,'jiliarena_日报_底稿'!$P$2:$P$31,0),MATCH(AN$3,'jiliarena_日报_底稿'!$P$3:$DS$3,0))</f>
        <v>0</v>
      </c>
      <c r="AO16" s="200">
        <f t="array" ref="AO16">INDEX('jiliarena_日报_底稿'!$P$2:$DS$31,MATCH($A16,'jiliarena_日报_底稿'!$P$2:$P$31,0),MATCH(AO$3,'jiliarena_日报_底稿'!$P$3:$DS$3,0))</f>
        <v>0</v>
      </c>
      <c r="AP16" s="194" t="str">
        <f t="shared" si="22"/>
        <v>#DIV/0!</v>
      </c>
      <c r="AQ16" s="200">
        <f t="array" ref="AQ16">INDEX('jiliarena_日报_底稿'!$P$2:$DS$31,MATCH($A16,'jiliarena_日报_底稿'!$P$2:$P$31,0),MATCH(AQ$3,'jiliarena_日报_底稿'!$P$3:$DS$3,0))</f>
        <v>0</v>
      </c>
      <c r="AR16" s="200">
        <f t="array" ref="AR16">INDEX('jiliarena_日报_底稿'!$P$2:$DS$31,MATCH($A16,'jiliarena_日报_底稿'!$P$2:$P$31,0),MATCH(AR$3,'jiliarena_日报_底稿'!$P$3:$DS$3,0))</f>
        <v>0</v>
      </c>
      <c r="AS16" s="194" t="str">
        <f t="shared" si="24"/>
        <v>#DIV/0!</v>
      </c>
      <c r="AT16" s="201">
        <f>SUMIFS('jiliarena_活动分析数据_底稿'!$K:$K,'jiliarena_活动分析数据_底稿'!$B:$B,$A16,'jiliarena_活动分析数据_底稿'!$L:$L,AT$3)</f>
        <v>0</v>
      </c>
      <c r="AU16" s="201">
        <f>SUMIFS('jiliarena_活动分析数据_底稿'!$K:$K,'jiliarena_活动分析数据_底稿'!$B:$B,$A16,'jiliarena_活动分析数据_底稿'!$L:$L,AU$3)</f>
        <v>0</v>
      </c>
      <c r="AV16" s="201">
        <f>SUMIFS('jiliarena_活动分析数据_底稿'!$K:$K,'jiliarena_活动分析数据_底稿'!$B:$B,$A16,'jiliarena_活动分析数据_底稿'!$L:$L,AV$3)</f>
        <v>0</v>
      </c>
      <c r="AW16" s="201">
        <f>SUMIFS('jiliarena_活动分析数据_底稿'!$K:$K,'jiliarena_活动分析数据_底稿'!$B:$B,$A16,'jiliarena_活动分析数据_底稿'!$L:$L,AW$3)</f>
        <v>0</v>
      </c>
      <c r="AX16" s="201">
        <f>SUMIFS('jiliarena_活动分析数据_底稿'!$K:$K,'jiliarena_活动分析数据_底稿'!$B:$B,$A16,'jiliarena_活动分析数据_底稿'!$L:$L,AX$3)</f>
        <v>0</v>
      </c>
      <c r="AY16" s="201">
        <f>SUMIFS('jiliarena_活动分析数据_底稿'!$K:$K,'jiliarena_活动分析数据_底稿'!$B:$B,$A16,'jiliarena_活动分析数据_底稿'!$L:$L,AY$3)</f>
        <v>24</v>
      </c>
      <c r="AZ16" s="201">
        <f>SUMIFS('jiliarena_活动分析数据_底稿'!$K:$K,'jiliarena_活动分析数据_底稿'!$B:$B,$A16,'jiliarena_活动分析数据_底稿'!$L:$L,AZ$3)</f>
        <v>0</v>
      </c>
      <c r="BA16" s="201">
        <f>SUMIFS('jiliarena_活动分析数据_底稿'!$K:$K,'jiliarena_活动分析数据_底稿'!$B:$B,$A16,'jiliarena_活动分析数据_底稿'!$L:$L,BA$3)</f>
        <v>0</v>
      </c>
      <c r="BB16" s="201">
        <f>SUMIFS('jiliarena_活动分析数据_底稿'!$K:$K,'jiliarena_活动分析数据_底稿'!$B:$B,$A16,'jiliarena_活动分析数据_底稿'!$L:$L,BB$3)</f>
        <v>0</v>
      </c>
      <c r="BC16" s="201">
        <f>SUMIFS('jiliarena_活动分析数据_底稿'!$K:$K,'jiliarena_活动分析数据_底稿'!$B:$B,$A16,'jiliarena_活动分析数据_底稿'!$L:$L,BC$3)</f>
        <v>7</v>
      </c>
      <c r="BD16" s="201">
        <f>SUMIFS('jiliarena_活动分析数据_底稿'!$K:$K,'jiliarena_活动分析数据_底稿'!$B:$B,$A16,'jiliarena_活动分析数据_底稿'!$L:$L,BD$3)</f>
        <v>0</v>
      </c>
      <c r="BE16" s="201">
        <f>SUMIFS('jiliarena_活动分析数据_底稿'!$K:$K,'jiliarena_活动分析数据_底稿'!$B:$B,$A16,'jiliarena_活动分析数据_底稿'!$L:$L,BE$3)</f>
        <v>0</v>
      </c>
      <c r="BF16" s="201">
        <f>SUMIFS('jiliarena_活动分析数据_底稿'!$K:$K,'jiliarena_活动分析数据_底稿'!$B:$B,$A16,'jiliarena_活动分析数据_底稿'!$L:$L,BF$3)</f>
        <v>0</v>
      </c>
      <c r="BG16" s="201">
        <f>SUMIFS('jiliarena_活动分析数据_底稿'!$K:$K,'jiliarena_活动分析数据_底稿'!$B:$B,$A16,'jiliarena_活动分析数据_底稿'!$L:$L,BG$3)</f>
        <v>0</v>
      </c>
      <c r="BH16" s="201">
        <f>SUMIFS('jiliarena_活动分析数据_底稿'!$K:$K,'jiliarena_活动分析数据_底稿'!$B:$B,$A16,'jiliarena_活动分析数据_底稿'!$L:$L,BH$3)</f>
        <v>0</v>
      </c>
      <c r="BI16" s="201">
        <f>SUMIFS('jiliarena_活动分析数据_底稿'!$K:$K,'jiliarena_活动分析数据_底稿'!$B:$B,$A16,'jiliarena_活动分析数据_底稿'!$L:$L,BI$3)</f>
        <v>0</v>
      </c>
      <c r="BJ16" s="201">
        <f>SUMIFS('jiliarena_活动分析数据_底稿'!$K:$K,'jiliarena_活动分析数据_底稿'!$B:$B,$A16,'jiliarena_活动分析数据_底稿'!$L:$L,BJ$3)</f>
        <v>0</v>
      </c>
      <c r="BK16" s="201">
        <f>SUMIFS('jiliarena_活动分析数据_底稿'!$K:$K,'jiliarena_活动分析数据_底稿'!$B:$B,$A16,'jiliarena_活动分析数据_底稿'!$L:$L,BK$3)</f>
        <v>0</v>
      </c>
      <c r="BL16" s="201">
        <f>SUMIFS('jiliarena_活动分析数据_底稿'!$K:$K,'jiliarena_活动分析数据_底稿'!$B:$B,$A16,'jiliarena_活动分析数据_底稿'!$L:$L,BL$3)</f>
        <v>8</v>
      </c>
      <c r="BM16" s="201">
        <f>SUMIFS('jiliarena_活动分析数据_底稿'!$K:$K,'jiliarena_活动分析数据_底稿'!$B:$B,$A16,'jiliarena_活动分析数据_底稿'!$L:$L,BM$3)</f>
        <v>0</v>
      </c>
      <c r="BN16" s="201">
        <f>SUMIFS('jiliarena_活动分析数据_底稿'!$K:$K,'jiliarena_活动分析数据_底稿'!$B:$B,$A16,'jiliarena_活动分析数据_底稿'!$L:$L,BN$3)</f>
        <v>0</v>
      </c>
      <c r="BO16" s="201">
        <f>SUMIFS('jiliarena_活动分析数据_底稿'!$K:$K,'jiliarena_活动分析数据_底稿'!$B:$B,$A16,'jiliarena_活动分析数据_底稿'!$L:$L,BO$3)</f>
        <v>0</v>
      </c>
      <c r="BP16" s="201">
        <f>SUMIFS('jiliarena_活动分析数据_底稿'!$K:$K,'jiliarena_活动分析数据_底稿'!$B:$B,$A16,'jiliarena_活动分析数据_底稿'!$L:$L,BP$3)</f>
        <v>0</v>
      </c>
      <c r="BQ16" s="198">
        <f t="shared" si="60"/>
        <v>39</v>
      </c>
      <c r="BR16" s="198">
        <f t="shared" si="61"/>
        <v>0</v>
      </c>
      <c r="BS16" s="198">
        <f t="shared" si="62"/>
        <v>0</v>
      </c>
      <c r="BT16" s="194" t="str">
        <f t="shared" si="26"/>
        <v/>
      </c>
      <c r="BU16" s="194" t="str">
        <f t="shared" si="27"/>
        <v/>
      </c>
      <c r="BV16" s="194" t="str">
        <f t="shared" si="28"/>
        <v/>
      </c>
      <c r="BW16" s="202">
        <f t="shared" si="29"/>
        <v>-39</v>
      </c>
      <c r="BX16" s="203">
        <f t="shared" si="30"/>
        <v>-1</v>
      </c>
      <c r="BY16" s="204">
        <f t="shared" si="31"/>
        <v>0</v>
      </c>
      <c r="BZ16" s="205">
        <f t="shared" si="32"/>
        <v>0</v>
      </c>
      <c r="CA16" s="206">
        <f t="shared" si="33"/>
        <v>0</v>
      </c>
      <c r="CB16" s="207">
        <f t="shared" si="34"/>
        <v>0</v>
      </c>
      <c r="CC16" s="203">
        <f t="shared" si="35"/>
        <v>0</v>
      </c>
      <c r="CD16" s="198">
        <f t="array" ref="CD16">index('jiliarena_日报_底稿'!$P$3:$DS$31,match(A16,'jiliarena_日报_底稿'!$P$3:$P$31,0),match("综合性分红",'jiliarena_日报_底稿'!$P$3:$DS$3,0))</f>
        <v>0</v>
      </c>
      <c r="CE16" s="208"/>
      <c r="CF16" s="198">
        <f t="array" ref="CF16">INDEX('jiliarena_日报_底稿'!$P$2:$DS$31,MATCH($A16,'jiliarena_日报_底稿'!$P$2:$P$31,0),MATCH(CF$3,'jiliarena_日报_底稿'!$P$3:$DS$3,0))</f>
        <v>0</v>
      </c>
      <c r="CG16" s="198">
        <f t="array" ref="CG16">-INDEX('jiliarena_日报_底稿'!$P$2:$DS$31,MATCH($A16,'jiliarena_日报_底稿'!$P$2:$P$31,0),MATCH(CG$3,'jiliarena_日报_底稿'!$P$3:$DS$3,0))</f>
        <v>0</v>
      </c>
      <c r="CH16" s="198">
        <f t="array" ref="CH16">INDEX('jiliarena_日报_底稿'!$P$2:$DS$31,MATCH($A16,'jiliarena_日报_底稿'!$P$2:$P$31,0),MATCH(CH$3,'jiliarena_日报_底稿'!$P$3:$DS$3,0))</f>
        <v>619</v>
      </c>
      <c r="CI16" s="202">
        <f t="shared" si="37"/>
        <v>-39</v>
      </c>
      <c r="CJ16" s="209">
        <f t="shared" si="38"/>
        <v>2</v>
      </c>
      <c r="CK16" s="209">
        <f t="shared" si="39"/>
        <v>10</v>
      </c>
    </row>
    <row r="17">
      <c r="A17" s="222">
        <f t="shared" si="63"/>
        <v>46064</v>
      </c>
      <c r="B17" s="191">
        <f t="array" ref="B17">INDEX('jiliarena_日报_底稿'!$A$3:$N$31,MATCH($A17,'jiliarena_日报_底稿'!$A$3:$A$31,0),MATCH(B$3,'jiliarena_日报_底稿'!$A$3:$N$3,0))</f>
        <v>1156</v>
      </c>
      <c r="C17" s="191">
        <f t="array" ref="C17">INDEX('jiliarena_日报_底稿'!$A$3:$N$31,MATCH($A17,'jiliarena_日报_底稿'!$A$3:$A$31,0),MATCH(C$3,'jiliarena_日报_底稿'!$A$3:$N$3,0))</f>
        <v>294</v>
      </c>
      <c r="D17" s="191">
        <f t="array" ref="D17">INDEX('jiliarena_日报_底稿'!$A$3:$N$31,MATCH($A17,'jiliarena_日报_底稿'!$A$3:$A$31,0),MATCH(D$3,'jiliarena_日报_底稿'!$A$3:$N$3,0))</f>
        <v>1158</v>
      </c>
      <c r="E17" s="192">
        <v>175.0</v>
      </c>
      <c r="F17" s="191">
        <f t="array" ref="F17">INDEX('jiliarena_日报_底稿'!$A$3:$N$31,MATCH($A17,'jiliarena_日报_底稿'!$A$3:$A$31,0),MATCH(F$3,'jiliarena_日报_底稿'!$A$3:$N$3,0))</f>
        <v>294</v>
      </c>
      <c r="G17" s="191">
        <f>SUMIFS('渠道充值成功率_底稿'!$F:$F,'渠道充值成功率_底稿'!$A:$A,A17)</f>
        <v>331</v>
      </c>
      <c r="H17" s="191">
        <f t="array" ref="H17">INDEX('jiliarena_日报_底稿'!$A$3:$N$31,MATCH($A17,'jiliarena_日报_底稿'!$A$3:$A$31,0),MATCH(H$3,'jiliarena_日报_底稿'!$A$3:$N$3,0))</f>
        <v>57</v>
      </c>
      <c r="I17" s="192">
        <v>72.0</v>
      </c>
      <c r="J17" s="191">
        <f t="array" ref="J17">INDEX('jiliarena_日报_底稿'!$A$3:$N$31,MATCH($A17,'jiliarena_日报_底稿'!$A$3:$A$31,0),MATCH(J$3,'jiliarena_日报_底稿'!$A$3:$N$3,0))</f>
        <v>980</v>
      </c>
      <c r="K17" s="193">
        <f>SUMIFS('渠道充值成功率_底稿'!$J:$J,'渠道充值成功率_底稿'!$A:$A,$A17)</f>
        <v>38923</v>
      </c>
      <c r="L17" s="193">
        <f t="array" ref="L17">INDEX('jiliarena_日报_底稿'!$A$3:$N$31,MATCH($A17,'jiliarena_日报_底稿'!$A$3:$A$31,0),MATCH(L$3,'jiliarena_日报_底稿'!$A$3:$N$3,0))</f>
        <v>50713</v>
      </c>
      <c r="M17" s="193">
        <f t="array" ref="M17">INDEX('jiliarena_日报_底稿'!$P$2:$DS$31,MATCH($A17,'jiliarena_日报_底稿'!$P$2:$P$31,0),MATCH($M$3,'jiliarena_日报_底稿'!$P$3:$DS$3,0))</f>
        <v>33315</v>
      </c>
      <c r="N17" s="194">
        <f t="shared" si="2"/>
        <v>0.2543</v>
      </c>
      <c r="O17" s="195">
        <f t="shared" si="3"/>
        <v>132</v>
      </c>
      <c r="P17" s="194">
        <f t="shared" si="4"/>
        <v>0.767515</v>
      </c>
      <c r="Q17" s="195">
        <f t="shared" si="5"/>
        <v>1.1</v>
      </c>
      <c r="R17" s="196">
        <f t="shared" si="6"/>
        <v>172</v>
      </c>
      <c r="S17" s="195">
        <f t="shared" si="7"/>
        <v>153</v>
      </c>
      <c r="T17" s="195">
        <f t="shared" si="8"/>
        <v>1.2</v>
      </c>
      <c r="U17" s="196">
        <f t="shared" si="9"/>
        <v>584</v>
      </c>
      <c r="V17" s="197">
        <f t="shared" si="10"/>
        <v>17398</v>
      </c>
      <c r="W17" s="198">
        <f t="shared" si="57"/>
        <v>454649.05</v>
      </c>
      <c r="X17" s="198">
        <f t="array" ref="X17">index('jiliarena_日报_底稿'!$P$2:$DS$31,match($A17,'jiliarena_日报_底稿'!$P$2:$P$31,0),match("电子有效投注",'jiliarena_日报_底稿'!$P$3:$DS$3,0))+index('jiliarena_日报_底稿'!$P$2:$DS$31,match($A17,'jiliarena_日报_底稿'!$P$2:$P$31,0),match("真人有效投注",'jiliarena_日报_底稿'!$P$3:$DS$3,0))+index('jiliarena_日报_底稿'!$P$2:$DS$31,match($A17,'jiliarena_日报_底稿'!$P$2:$P$31,0),match("彩票有效投注",'jiliarena_日报_底稿'!$P$3:$DS$3,0))+index('jiliarena_日报_底稿'!$P$2:$DS$31,match($A17,'jiliarena_日报_底稿'!$P$2:$P$31,0),match("棋牌有效投注",'jiliarena_日报_底稿'!$P$3:$DS$3,0))+index('jiliarena_日报_底稿'!$P$2:$DS$31,match($A17,'jiliarena_日报_底稿'!$P$2:$P$31,0),match("捕鱼有效投注",'jiliarena_日报_底稿'!$P$3:$DS$3,0))+index('jiliarena_日报_底稿'!$P$2:$DS$31,match($A17,'jiliarena_日报_底稿'!$P$2:$P$31,0),match("体育有效投注",'jiliarena_日报_底稿'!$P$3:$DS$3,0))+index('jiliarena_日报_底稿'!$P$2:$DS$31,match($A17,'jiliarena_日报_底稿'!$P$2:$P$31,0),match("盘口彩票有效投注",'jiliarena_日报_底稿'!$P$3:$DS$3,0))</f>
        <v>425384.905</v>
      </c>
      <c r="Y17" s="199">
        <f t="shared" si="58"/>
        <v>-2580.665</v>
      </c>
      <c r="Z17" s="198">
        <f t="shared" si="59"/>
        <v>457229.715</v>
      </c>
      <c r="AA17" s="194">
        <f t="shared" si="12"/>
        <v>-0.005676</v>
      </c>
      <c r="AB17" s="200">
        <f t="array" ref="AB17">INDEX('jiliarena_日报_底稿'!$P$2:$DS$31,MATCH($A17,'jiliarena_日报_底稿'!$P$2:$P$31,0),MATCH(AB$3,'jiliarena_日报_底稿'!$P$3:$DS$3,0))</f>
        <v>5</v>
      </c>
      <c r="AC17" s="200">
        <f t="array" ref="AC17">INDEX('jiliarena_日报_底稿'!$P$2:$DS$31,MATCH($A17,'jiliarena_日报_底稿'!$P$2:$P$31,0),MATCH(AC$3,'jiliarena_日报_底稿'!$P$3:$DS$3,0))</f>
        <v>0</v>
      </c>
      <c r="AD17" s="194">
        <f t="shared" si="14"/>
        <v>1</v>
      </c>
      <c r="AE17" s="200">
        <f t="array" ref="AE17">INDEX('jiliarena_日报_底稿'!$P$2:$DS$31,MATCH($A17,'jiliarena_日报_底稿'!$P$2:$P$31,0),MATCH(AE$3,'jiliarena_日报_底稿'!$P$3:$DS$3,0))</f>
        <v>446896.25</v>
      </c>
      <c r="AF17" s="200">
        <f t="array" ref="AF17">INDEX('jiliarena_日报_底稿'!$P$2:$DS$31,MATCH($A17,'jiliarena_日报_底稿'!$P$2:$P$31,0),MATCH(AF$3,'jiliarena_日报_底稿'!$P$3:$DS$3,0))</f>
        <v>449947.715</v>
      </c>
      <c r="AG17" s="194">
        <f t="shared" si="16"/>
        <v>-0.006828</v>
      </c>
      <c r="AH17" s="200">
        <f t="array" ref="AH17">INDEX('jiliarena_日报_底稿'!$P$2:$DS$31,MATCH($A17,'jiliarena_日报_底稿'!$P$2:$P$31,0),MATCH(AH$3,'jiliarena_日报_底稿'!$P$3:$DS$3,0))</f>
        <v>3620</v>
      </c>
      <c r="AI17" s="200">
        <f t="array" ref="AI17">INDEX('jiliarena_日报_底稿'!$P$2:$DS$31,MATCH($A17,'jiliarena_日报_底稿'!$P$2:$P$31,0),MATCH(AI$3,'jiliarena_日报_底稿'!$P$3:$DS$3,0))</f>
        <v>3345</v>
      </c>
      <c r="AJ17" s="194">
        <f t="shared" si="18"/>
        <v>0.075967</v>
      </c>
      <c r="AK17" s="200">
        <f t="array" ref="AK17">INDEX('jiliarena_日报_底稿'!$P$2:$DS$31,MATCH($A17,'jiliarena_日报_底稿'!$P$2:$P$31,0),MATCH(AK$3,'jiliarena_日报_底稿'!$P$3:$DS$3,0))</f>
        <v>4127.8</v>
      </c>
      <c r="AL17" s="200">
        <f t="array" ref="AL17">INDEX('jiliarena_日报_底稿'!$P$2:$DS$31,MATCH($A17,'jiliarena_日报_底稿'!$P$2:$P$31,0),MATCH(AL$3,'jiliarena_日报_底稿'!$P$3:$DS$3,0))</f>
        <v>3937</v>
      </c>
      <c r="AM17" s="194">
        <f t="shared" si="20"/>
        <v>0.046223</v>
      </c>
      <c r="AN17" s="200">
        <f t="array" ref="AN17">INDEX('jiliarena_日报_底稿'!$P$2:$DS$31,MATCH($A17,'jiliarena_日报_底稿'!$P$2:$P$31,0),MATCH(AN$3,'jiliarena_日报_底稿'!$P$3:$DS$3,0))</f>
        <v>0</v>
      </c>
      <c r="AO17" s="200">
        <f t="array" ref="AO17">INDEX('jiliarena_日报_底稿'!$P$2:$DS$31,MATCH($A17,'jiliarena_日报_底稿'!$P$2:$P$31,0),MATCH(AO$3,'jiliarena_日报_底稿'!$P$3:$DS$3,0))</f>
        <v>0</v>
      </c>
      <c r="AP17" s="194" t="str">
        <f t="shared" si="22"/>
        <v>#DIV/0!</v>
      </c>
      <c r="AQ17" s="200">
        <f t="array" ref="AQ17">INDEX('jiliarena_日报_底稿'!$P$2:$DS$31,MATCH($A17,'jiliarena_日报_底稿'!$P$2:$P$31,0),MATCH(AQ$3,'jiliarena_日报_底稿'!$P$3:$DS$3,0))</f>
        <v>0</v>
      </c>
      <c r="AR17" s="200">
        <f t="array" ref="AR17">INDEX('jiliarena_日报_底稿'!$P$2:$DS$31,MATCH($A17,'jiliarena_日报_底稿'!$P$2:$P$31,0),MATCH(AR$3,'jiliarena_日报_底稿'!$P$3:$DS$3,0))</f>
        <v>0</v>
      </c>
      <c r="AS17" s="194" t="str">
        <f t="shared" si="24"/>
        <v>#DIV/0!</v>
      </c>
      <c r="AT17" s="201">
        <f>SUMIFS('jiliarena_活动分析数据_底稿'!$K:$K,'jiliarena_活动分析数据_底稿'!$B:$B,$A17,'jiliarena_活动分析数据_底稿'!$L:$L,AT$3)</f>
        <v>0</v>
      </c>
      <c r="AU17" s="201">
        <f>SUMIFS('jiliarena_活动分析数据_底稿'!$K:$K,'jiliarena_活动分析数据_底稿'!$B:$B,$A17,'jiliarena_活动分析数据_底稿'!$L:$L,AU$3)</f>
        <v>4569.75</v>
      </c>
      <c r="AV17" s="201">
        <f>SUMIFS('jiliarena_活动分析数据_底稿'!$K:$K,'jiliarena_活动分析数据_底稿'!$B:$B,$A17,'jiliarena_活动分析数据_底稿'!$L:$L,AV$3)</f>
        <v>400.5</v>
      </c>
      <c r="AW17" s="201">
        <f>SUMIFS('jiliarena_活动分析数据_底稿'!$K:$K,'jiliarena_活动分析数据_底稿'!$B:$B,$A17,'jiliarena_活动分析数据_底稿'!$L:$L,AW$3)</f>
        <v>914</v>
      </c>
      <c r="AX17" s="201">
        <f>SUMIFS('jiliarena_活动分析数据_底稿'!$K:$K,'jiliarena_活动分析数据_底稿'!$B:$B,$A17,'jiliarena_活动分析数据_底稿'!$L:$L,AX$3)</f>
        <v>4</v>
      </c>
      <c r="AY17" s="201">
        <f>SUMIFS('jiliarena_活动分析数据_底稿'!$K:$K,'jiliarena_活动分析数据_底稿'!$B:$B,$A17,'jiliarena_活动分析数据_底稿'!$L:$L,AY$3)</f>
        <v>8</v>
      </c>
      <c r="AZ17" s="201">
        <f>SUMIFS('jiliarena_活动分析数据_底稿'!$K:$K,'jiliarena_活动分析数据_底稿'!$B:$B,$A17,'jiliarena_活动分析数据_底稿'!$L:$L,AZ$3)</f>
        <v>0</v>
      </c>
      <c r="BA17" s="201">
        <f>SUMIFS('jiliarena_活动分析数据_底稿'!$K:$K,'jiliarena_活动分析数据_底稿'!$B:$B,$A17,'jiliarena_活动分析数据_底稿'!$L:$L,BA$3)</f>
        <v>0</v>
      </c>
      <c r="BB17" s="201">
        <f>SUMIFS('jiliarena_活动分析数据_底稿'!$K:$K,'jiliarena_活动分析数据_底稿'!$B:$B,$A17,'jiliarena_活动分析数据_底稿'!$L:$L,BB$3)</f>
        <v>320</v>
      </c>
      <c r="BC17" s="201">
        <f>SUMIFS('jiliarena_活动分析数据_底稿'!$K:$K,'jiliarena_活动分析数据_底稿'!$B:$B,$A17,'jiliarena_活动分析数据_底稿'!$L:$L,BC$3)</f>
        <v>155</v>
      </c>
      <c r="BD17" s="201">
        <f>SUMIFS('jiliarena_活动分析数据_底稿'!$K:$K,'jiliarena_活动分析数据_底稿'!$B:$B,$A17,'jiliarena_活动分析数据_底稿'!$L:$L,BD$3)</f>
        <v>0</v>
      </c>
      <c r="BE17" s="201">
        <f>SUMIFS('jiliarena_活动分析数据_底稿'!$K:$K,'jiliarena_活动分析数据_底稿'!$B:$B,$A17,'jiliarena_活动分析数据_底稿'!$L:$L,BE$3)</f>
        <v>0</v>
      </c>
      <c r="BF17" s="201">
        <f>SUMIFS('jiliarena_活动分析数据_底稿'!$K:$K,'jiliarena_活动分析数据_底稿'!$B:$B,$A17,'jiliarena_活动分析数据_底稿'!$L:$L,BF$3)</f>
        <v>0</v>
      </c>
      <c r="BG17" s="201">
        <f>SUMIFS('jiliarena_活动分析数据_底稿'!$K:$K,'jiliarena_活动分析数据_底稿'!$B:$B,$A17,'jiliarena_活动分析数据_底稿'!$L:$L,BG$3)</f>
        <v>0</v>
      </c>
      <c r="BH17" s="201">
        <f>SUMIFS('jiliarena_活动分析数据_底稿'!$K:$K,'jiliarena_活动分析数据_底稿'!$B:$B,$A17,'jiliarena_活动分析数据_底稿'!$L:$L,BH$3)</f>
        <v>1210</v>
      </c>
      <c r="BI17" s="201">
        <f>SUMIFS('jiliarena_活动分析数据_底稿'!$K:$K,'jiliarena_活动分析数据_底稿'!$B:$B,$A17,'jiliarena_活动分析数据_底稿'!$L:$L,BI$3)</f>
        <v>0</v>
      </c>
      <c r="BJ17" s="201">
        <f>SUMIFS('jiliarena_活动分析数据_底稿'!$K:$K,'jiliarena_活动分析数据_底稿'!$B:$B,$A17,'jiliarena_活动分析数据_底稿'!$L:$L,BJ$3)</f>
        <v>24844.8</v>
      </c>
      <c r="BK17" s="201">
        <f>SUMIFS('jiliarena_活动分析数据_底稿'!$K:$K,'jiliarena_活动分析数据_底稿'!$B:$B,$A17,'jiliarena_活动分析数据_底稿'!$L:$L,BK$3)</f>
        <v>0</v>
      </c>
      <c r="BL17" s="201">
        <f>SUMIFS('jiliarena_活动分析数据_底稿'!$K:$K,'jiliarena_活动分析数据_底稿'!$B:$B,$A17,'jiliarena_活动分析数据_底稿'!$L:$L,BL$3)</f>
        <v>9232</v>
      </c>
      <c r="BM17" s="201">
        <f>SUMIFS('jiliarena_活动分析数据_底稿'!$K:$K,'jiliarena_活动分析数据_底稿'!$B:$B,$A17,'jiliarena_活动分析数据_底稿'!$L:$L,BM$3)</f>
        <v>0</v>
      </c>
      <c r="BN17" s="201">
        <f>SUMIFS('jiliarena_活动分析数据_底稿'!$K:$K,'jiliarena_活动分析数据_底稿'!$B:$B,$A17,'jiliarena_活动分析数据_底稿'!$L:$L,BN$3)</f>
        <v>0</v>
      </c>
      <c r="BO17" s="201">
        <f>SUMIFS('jiliarena_活动分析数据_底稿'!$K:$K,'jiliarena_活动分析数据_底稿'!$B:$B,$A17,'jiliarena_活动分析数据_底稿'!$L:$L,BO$3)</f>
        <v>0</v>
      </c>
      <c r="BP17" s="201">
        <f>SUMIFS('jiliarena_活动分析数据_底稿'!$K:$K,'jiliarena_活动分析数据_底稿'!$B:$B,$A17,'jiliarena_活动分析数据_底稿'!$L:$L,BP$3)</f>
        <v>0</v>
      </c>
      <c r="BQ17" s="198">
        <f t="shared" si="60"/>
        <v>41658.05</v>
      </c>
      <c r="BR17" s="198">
        <f t="shared" si="61"/>
        <v>0</v>
      </c>
      <c r="BS17" s="198">
        <f t="shared" si="62"/>
        <v>320</v>
      </c>
      <c r="BT17" s="194">
        <f t="shared" si="26"/>
        <v>0.09793</v>
      </c>
      <c r="BU17" s="194">
        <f t="shared" si="27"/>
        <v>0.8214471634</v>
      </c>
      <c r="BV17" s="194">
        <f t="shared" si="28"/>
        <v>-16.14237028</v>
      </c>
      <c r="BW17" s="202">
        <f t="shared" si="29"/>
        <v>-44238.715</v>
      </c>
      <c r="BX17" s="203">
        <f t="shared" si="30"/>
        <v>-0.9416650099</v>
      </c>
      <c r="BY17" s="204">
        <f t="shared" si="31"/>
        <v>1222.1833</v>
      </c>
      <c r="BZ17" s="205">
        <f t="shared" si="32"/>
        <v>66.63</v>
      </c>
      <c r="CA17" s="206">
        <f t="shared" si="33"/>
        <v>1288.8133</v>
      </c>
      <c r="CB17" s="207">
        <f t="shared" si="34"/>
        <v>-232</v>
      </c>
      <c r="CC17" s="203">
        <f t="shared" si="35"/>
        <v>-0.02913315407</v>
      </c>
      <c r="CD17" s="198">
        <f t="array" ref="CD17">index('jiliarena_日报_底稿'!$P$3:$DS$31,match(A17,'jiliarena_日报_底稿'!$P$3:$P$31,0),match("综合性分红",'jiliarena_日报_底稿'!$P$3:$DS$3,0))</f>
        <v>0</v>
      </c>
      <c r="CE17" s="208"/>
      <c r="CF17" s="198">
        <f t="array" ref="CF17">INDEX('jiliarena_日报_底稿'!$P$2:$DS$31,MATCH($A17,'jiliarena_日报_底稿'!$P$2:$P$31,0),MATCH(CF$3,'jiliarena_日报_底稿'!$P$3:$DS$3,0))</f>
        <v>0</v>
      </c>
      <c r="CG17" s="198">
        <f t="array" ref="CG17">-INDEX('jiliarena_日报_底稿'!$P$2:$DS$31,MATCH($A17,'jiliarena_日报_底稿'!$P$2:$P$31,0),MATCH(CG$3,'jiliarena_日报_底稿'!$P$3:$DS$3,0))</f>
        <v>0</v>
      </c>
      <c r="CH17" s="198">
        <f t="array" ref="CH17">INDEX('jiliarena_日报_底稿'!$P$2:$DS$31,MATCH($A17,'jiliarena_日报_底稿'!$P$2:$P$31,0),MATCH(CH$3,'jiliarena_日报_底稿'!$P$3:$DS$3,0))</f>
        <v>4859.3</v>
      </c>
      <c r="CI17" s="202">
        <f t="shared" si="37"/>
        <v>-45295.5283</v>
      </c>
      <c r="CJ17" s="209">
        <f t="shared" si="38"/>
        <v>2</v>
      </c>
      <c r="CK17" s="209">
        <f t="shared" si="39"/>
        <v>11</v>
      </c>
    </row>
    <row r="18">
      <c r="A18" s="222">
        <f t="shared" si="63"/>
        <v>46065</v>
      </c>
      <c r="B18" s="191">
        <f t="array" ref="B18">INDEX('jiliarena_日报_底稿'!$A$3:$N$31,MATCH($A18,'jiliarena_日报_底稿'!$A$3:$A$31,0),MATCH(B$3,'jiliarena_日报_底稿'!$A$3:$N$3,0))</f>
        <v>24367</v>
      </c>
      <c r="C18" s="191">
        <f t="array" ref="C18">INDEX('jiliarena_日报_底稿'!$A$3:$N$31,MATCH($A18,'jiliarena_日报_底稿'!$A$3:$A$31,0),MATCH(C$3,'jiliarena_日报_底稿'!$A$3:$N$3,0))</f>
        <v>2629</v>
      </c>
      <c r="D18" s="191">
        <f t="array" ref="D18">INDEX('jiliarena_日报_底稿'!$A$3:$N$31,MATCH($A18,'jiliarena_日报_底稿'!$A$3:$A$31,0),MATCH(D$3,'jiliarena_日报_底稿'!$A$3:$N$3,0))</f>
        <v>24176</v>
      </c>
      <c r="E18" s="192">
        <v>667.0</v>
      </c>
      <c r="F18" s="191">
        <f t="array" ref="F18">INDEX('jiliarena_日报_底稿'!$A$3:$N$31,MATCH($A18,'jiliarena_日报_底稿'!$A$3:$A$31,0),MATCH(F$3,'jiliarena_日报_底稿'!$A$3:$N$3,0))</f>
        <v>2725</v>
      </c>
      <c r="G18" s="191">
        <f>SUMIFS('渠道充值成功率_底稿'!$F:$F,'渠道充值成功率_底稿'!$A:$A,A18)</f>
        <v>3444</v>
      </c>
      <c r="H18" s="191">
        <f t="array" ref="H18">INDEX('jiliarena_日报_底稿'!$A$3:$N$31,MATCH($A18,'jiliarena_日报_底稿'!$A$3:$A$31,0),MATCH(H$3,'jiliarena_日报_底稿'!$A$3:$N$3,0))</f>
        <v>695</v>
      </c>
      <c r="I18" s="192">
        <v>898.0</v>
      </c>
      <c r="J18" s="191">
        <f t="array" ref="J18">INDEX('jiliarena_日报_底稿'!$A$3:$N$31,MATCH($A18,'jiliarena_日报_底稿'!$A$3:$A$31,0),MATCH(J$3,'jiliarena_日报_底稿'!$A$3:$N$3,0))</f>
        <v>22593</v>
      </c>
      <c r="K18" s="193">
        <f>SUMIFS('渠道充值成功率_底稿'!$J:$J,'渠道充值成功率_底稿'!$A:$A,$A18)</f>
        <v>411539</v>
      </c>
      <c r="L18" s="193">
        <f t="array" ref="L18">INDEX('jiliarena_日报_底稿'!$A$3:$N$31,MATCH($A18,'jiliarena_日报_底稿'!$A$3:$A$31,0),MATCH(L$3,'jiliarena_日报_底稿'!$A$3:$N$3,0))</f>
        <v>548736</v>
      </c>
      <c r="M18" s="193">
        <f t="array" ref="M18">INDEX('jiliarena_日报_底稿'!$P$2:$DS$31,MATCH($A18,'jiliarena_日报_底稿'!$P$2:$P$31,0),MATCH($M$3,'jiliarena_日报_底稿'!$P$3:$DS$3,0))</f>
        <v>661797</v>
      </c>
      <c r="N18" s="194">
        <f t="shared" si="2"/>
        <v>0.1079</v>
      </c>
      <c r="O18" s="195">
        <f t="shared" si="3"/>
        <v>157</v>
      </c>
      <c r="P18" s="194">
        <f t="shared" si="4"/>
        <v>0.749976</v>
      </c>
      <c r="Q18" s="195">
        <f t="shared" si="5"/>
        <v>1.3</v>
      </c>
      <c r="R18" s="196">
        <f t="shared" si="6"/>
        <v>201</v>
      </c>
      <c r="S18" s="195">
        <f t="shared" si="7"/>
        <v>159</v>
      </c>
      <c r="T18" s="195">
        <f t="shared" si="8"/>
        <v>1</v>
      </c>
      <c r="U18" s="196">
        <f t="shared" si="9"/>
        <v>952</v>
      </c>
      <c r="V18" s="197">
        <f t="shared" si="10"/>
        <v>-113061</v>
      </c>
      <c r="W18" s="198">
        <f t="shared" si="57"/>
        <v>8728745.27</v>
      </c>
      <c r="X18" s="198">
        <f t="array" ref="X18">index('jiliarena_日报_底稿'!$P$2:$DS$31,match($A18,'jiliarena_日报_底稿'!$P$2:$P$31,0),match("电子有效投注",'jiliarena_日报_底稿'!$P$3:$DS$3,0))+index('jiliarena_日报_底稿'!$P$2:$DS$31,match($A18,'jiliarena_日报_底稿'!$P$2:$P$31,0),match("真人有效投注",'jiliarena_日报_底稿'!$P$3:$DS$3,0))+index('jiliarena_日报_底稿'!$P$2:$DS$31,match($A18,'jiliarena_日报_底稿'!$P$2:$P$31,0),match("彩票有效投注",'jiliarena_日报_底稿'!$P$3:$DS$3,0))+index('jiliarena_日报_底稿'!$P$2:$DS$31,match($A18,'jiliarena_日报_底稿'!$P$2:$P$31,0),match("棋牌有效投注",'jiliarena_日报_底稿'!$P$3:$DS$3,0))+index('jiliarena_日报_底稿'!$P$2:$DS$31,match($A18,'jiliarena_日报_底稿'!$P$2:$P$31,0),match("捕鱼有效投注",'jiliarena_日报_底稿'!$P$3:$DS$3,0))+index('jiliarena_日报_底稿'!$P$2:$DS$31,match($A18,'jiliarena_日报_底稿'!$P$2:$P$31,0),match("体育有效投注",'jiliarena_日报_底稿'!$P$3:$DS$3,0))+index('jiliarena_日报_底稿'!$P$2:$DS$31,match($A18,'jiliarena_日报_底稿'!$P$2:$P$31,0),match("盘口彩票有效投注",'jiliarena_日报_底稿'!$P$3:$DS$3,0))</f>
        <v>8075815.415</v>
      </c>
      <c r="Y18" s="199">
        <f t="shared" si="58"/>
        <v>258087.713</v>
      </c>
      <c r="Z18" s="198">
        <f t="shared" si="59"/>
        <v>8470657.557</v>
      </c>
      <c r="AA18" s="194">
        <f t="shared" si="12"/>
        <v>0.029568</v>
      </c>
      <c r="AB18" s="200">
        <f t="array" ref="AB18">INDEX('jiliarena_日报_底稿'!$P$2:$DS$31,MATCH($A18,'jiliarena_日报_底稿'!$P$2:$P$31,0),MATCH(AB$3,'jiliarena_日报_底稿'!$P$3:$DS$3,0))</f>
        <v>0</v>
      </c>
      <c r="AC18" s="200">
        <f t="array" ref="AC18">INDEX('jiliarena_日报_底稿'!$P$2:$DS$31,MATCH($A18,'jiliarena_日报_底稿'!$P$2:$P$31,0),MATCH(AC$3,'jiliarena_日报_底稿'!$P$3:$DS$3,0))</f>
        <v>0</v>
      </c>
      <c r="AD18" s="194" t="str">
        <f t="shared" si="14"/>
        <v>#DIV/0!</v>
      </c>
      <c r="AE18" s="200">
        <f t="array" ref="AE18">INDEX('jiliarena_日报_底稿'!$P$2:$DS$31,MATCH($A18,'jiliarena_日报_底稿'!$P$2:$P$31,0),MATCH(AE$3,'jiliarena_日报_底稿'!$P$3:$DS$3,0))</f>
        <v>8470815.88</v>
      </c>
      <c r="AF18" s="200">
        <f t="array" ref="AF18">INDEX('jiliarena_日报_底稿'!$P$2:$DS$31,MATCH($A18,'jiliarena_日报_底稿'!$P$2:$P$31,0),MATCH(AF$3,'jiliarena_日报_底稿'!$P$3:$DS$3,0))</f>
        <v>8218021.297</v>
      </c>
      <c r="AG18" s="194">
        <f t="shared" si="16"/>
        <v>0.029843</v>
      </c>
      <c r="AH18" s="200">
        <f t="array" ref="AH18">INDEX('jiliarena_日报_底稿'!$P$2:$DS$31,MATCH($A18,'jiliarena_日报_底稿'!$P$2:$P$31,0),MATCH(AH$3,'jiliarena_日报_底稿'!$P$3:$DS$3,0))</f>
        <v>131106.5</v>
      </c>
      <c r="AI18" s="200">
        <f t="array" ref="AI18">INDEX('jiliarena_日报_底稿'!$P$2:$DS$31,MATCH($A18,'jiliarena_日报_底稿'!$P$2:$P$31,0),MATCH(AI$3,'jiliarena_日报_底稿'!$P$3:$DS$3,0))</f>
        <v>127685.45</v>
      </c>
      <c r="AJ18" s="194">
        <f t="shared" si="18"/>
        <v>0.026094</v>
      </c>
      <c r="AK18" s="200">
        <f t="array" ref="AK18">INDEX('jiliarena_日报_底稿'!$P$2:$DS$31,MATCH($A18,'jiliarena_日报_底稿'!$P$2:$P$31,0),MATCH(AK$3,'jiliarena_日报_底稿'!$P$3:$DS$3,0))</f>
        <v>123567.19</v>
      </c>
      <c r="AL18" s="200">
        <f t="array" ref="AL18">INDEX('jiliarena_日报_底稿'!$P$2:$DS$31,MATCH($A18,'jiliarena_日报_底稿'!$P$2:$P$31,0),MATCH(AL$3,'jiliarena_日报_底稿'!$P$3:$DS$3,0))</f>
        <v>122807.1</v>
      </c>
      <c r="AM18" s="194">
        <f t="shared" si="20"/>
        <v>0.006151</v>
      </c>
      <c r="AN18" s="200">
        <f t="array" ref="AN18">INDEX('jiliarena_日报_底稿'!$P$2:$DS$31,MATCH($A18,'jiliarena_日报_底稿'!$P$2:$P$31,0),MATCH(AN$3,'jiliarena_日报_底稿'!$P$3:$DS$3,0))</f>
        <v>3245.7</v>
      </c>
      <c r="AO18" s="200">
        <f t="array" ref="AO18">INDEX('jiliarena_日报_底稿'!$P$2:$DS$31,MATCH($A18,'jiliarena_日报_底稿'!$P$2:$P$31,0),MATCH(AO$3,'jiliarena_日报_底稿'!$P$3:$DS$3,0))</f>
        <v>2143.71</v>
      </c>
      <c r="AP18" s="194">
        <f t="shared" si="22"/>
        <v>0.339523</v>
      </c>
      <c r="AQ18" s="200">
        <f t="array" ref="AQ18">INDEX('jiliarena_日报_底稿'!$P$2:$DS$31,MATCH($A18,'jiliarena_日报_底稿'!$P$2:$P$31,0),MATCH(AQ$3,'jiliarena_日报_底稿'!$P$3:$DS$3,0))</f>
        <v>10</v>
      </c>
      <c r="AR18" s="200">
        <f t="array" ref="AR18">INDEX('jiliarena_日报_底稿'!$P$2:$DS$31,MATCH($A18,'jiliarena_日报_底稿'!$P$2:$P$31,0),MATCH(AR$3,'jiliarena_日报_底稿'!$P$3:$DS$3,0))</f>
        <v>0</v>
      </c>
      <c r="AS18" s="194">
        <f t="shared" si="24"/>
        <v>1</v>
      </c>
      <c r="AT18" s="201">
        <f>SUMIFS('jiliarena_活动分析数据_底稿'!$K:$K,'jiliarena_活动分析数据_底稿'!$B:$B,$A18,'jiliarena_活动分析数据_底稿'!$L:$L,AT$3)</f>
        <v>245.67</v>
      </c>
      <c r="AU18" s="201">
        <f>SUMIFS('jiliarena_活动分析数据_底稿'!$K:$K,'jiliarena_活动分析数据_底稿'!$B:$B,$A18,'jiliarena_活动分析数据_底稿'!$L:$L,AU$3)</f>
        <v>37773.41</v>
      </c>
      <c r="AV18" s="201">
        <f>SUMIFS('jiliarena_活动分析数据_底稿'!$K:$K,'jiliarena_活动分析数据_底稿'!$B:$B,$A18,'jiliarena_活动分析数据_底稿'!$L:$L,AV$3)</f>
        <v>4285.67</v>
      </c>
      <c r="AW18" s="201">
        <f>SUMIFS('jiliarena_活动分析数据_底稿'!$K:$K,'jiliarena_活动分析数据_底稿'!$B:$B,$A18,'jiliarena_活动分析数据_底稿'!$L:$L,AW$3)</f>
        <v>8052</v>
      </c>
      <c r="AX18" s="201">
        <f>SUMIFS('jiliarena_活动分析数据_底稿'!$K:$K,'jiliarena_活动分析数据_底稿'!$B:$B,$A18,'jiliarena_活动分析数据_底稿'!$L:$L,AX$3)</f>
        <v>902</v>
      </c>
      <c r="AY18" s="201">
        <f>SUMIFS('jiliarena_活动分析数据_底稿'!$K:$K,'jiliarena_活动分析数据_底稿'!$B:$B,$A18,'jiliarena_活动分析数据_底稿'!$L:$L,AY$3)</f>
        <v>0</v>
      </c>
      <c r="AZ18" s="201">
        <f>SUMIFS('jiliarena_活动分析数据_底稿'!$K:$K,'jiliarena_活动分析数据_底稿'!$B:$B,$A18,'jiliarena_活动分析数据_底稿'!$L:$L,AZ$3)</f>
        <v>0</v>
      </c>
      <c r="BA18" s="201">
        <f>SUMIFS('jiliarena_活动分析数据_底稿'!$K:$K,'jiliarena_活动分析数据_底稿'!$B:$B,$A18,'jiliarena_活动分析数据_底稿'!$L:$L,BA$3)</f>
        <v>0</v>
      </c>
      <c r="BB18" s="201">
        <f>SUMIFS('jiliarena_活动分析数据_底稿'!$K:$K,'jiliarena_活动分析数据_底稿'!$B:$B,$A18,'jiliarena_活动分析数据_底稿'!$L:$L,BB$3)</f>
        <v>14630.65</v>
      </c>
      <c r="BC18" s="201">
        <f>SUMIFS('jiliarena_活动分析数据_底稿'!$K:$K,'jiliarena_活动分析数据_底稿'!$B:$B,$A18,'jiliarena_活动分析数据_底稿'!$L:$L,BC$3)</f>
        <v>2161</v>
      </c>
      <c r="BD18" s="201">
        <f>SUMIFS('jiliarena_活动分析数据_底稿'!$K:$K,'jiliarena_活动分析数据_底稿'!$B:$B,$A18,'jiliarena_活动分析数据_底稿'!$L:$L,BD$3)</f>
        <v>0</v>
      </c>
      <c r="BE18" s="201">
        <f>SUMIFS('jiliarena_活动分析数据_底稿'!$K:$K,'jiliarena_活动分析数据_底稿'!$B:$B,$A18,'jiliarena_活动分析数据_底稿'!$L:$L,BE$3)</f>
        <v>0</v>
      </c>
      <c r="BF18" s="201">
        <f>SUMIFS('jiliarena_活动分析数据_底稿'!$K:$K,'jiliarena_活动分析数据_底稿'!$B:$B,$A18,'jiliarena_活动分析数据_底稿'!$L:$L,BF$3)</f>
        <v>0</v>
      </c>
      <c r="BG18" s="201">
        <f>SUMIFS('jiliarena_活动分析数据_底稿'!$K:$K,'jiliarena_活动分析数据_底稿'!$B:$B,$A18,'jiliarena_活动分析数据_底稿'!$L:$L,BG$3)</f>
        <v>0</v>
      </c>
      <c r="BH18" s="201">
        <f>SUMIFS('jiliarena_活动分析数据_底稿'!$K:$K,'jiliarena_活动分析数据_底稿'!$B:$B,$A18,'jiliarena_活动分析数据_底稿'!$L:$L,BH$3)</f>
        <v>27123.5</v>
      </c>
      <c r="BI18" s="201">
        <f>SUMIFS('jiliarena_活动分析数据_底稿'!$K:$K,'jiliarena_活动分析数据_底稿'!$B:$B,$A18,'jiliarena_活动分析数据_底稿'!$L:$L,BI$3)</f>
        <v>0</v>
      </c>
      <c r="BJ18" s="201">
        <f>SUMIFS('jiliarena_活动分析数据_底稿'!$K:$K,'jiliarena_活动分析数据_底稿'!$B:$B,$A18,'jiliarena_活动分析数据_底稿'!$L:$L,BJ$3)</f>
        <v>346606.8</v>
      </c>
      <c r="BK18" s="201">
        <f>SUMIFS('jiliarena_活动分析数据_底稿'!$K:$K,'jiliarena_活动分析数据_底稿'!$B:$B,$A18,'jiliarena_活动分析数据_底稿'!$L:$L,BK$3)</f>
        <v>0</v>
      </c>
      <c r="BL18" s="201">
        <f>SUMIFS('jiliarena_活动分析数据_底稿'!$K:$K,'jiliarena_活动分析数据_底稿'!$B:$B,$A18,'jiliarena_活动分析数据_底稿'!$L:$L,BL$3)</f>
        <v>150328</v>
      </c>
      <c r="BM18" s="201">
        <f>SUMIFS('jiliarena_活动分析数据_底稿'!$K:$K,'jiliarena_活动分析数据_底稿'!$B:$B,$A18,'jiliarena_活动分析数据_底稿'!$L:$L,BM$3)</f>
        <v>0</v>
      </c>
      <c r="BN18" s="201">
        <f>SUMIFS('jiliarena_活动分析数据_底稿'!$K:$K,'jiliarena_活动分析数据_底稿'!$B:$B,$A18,'jiliarena_活动分析数据_底稿'!$L:$L,BN$3)</f>
        <v>0</v>
      </c>
      <c r="BO18" s="201">
        <f>SUMIFS('jiliarena_活动分析数据_底稿'!$K:$K,'jiliarena_活动分析数据_底稿'!$B:$B,$A18,'jiliarena_活动分析数据_底稿'!$L:$L,BO$3)</f>
        <v>0</v>
      </c>
      <c r="BP18" s="201">
        <f>SUMIFS('jiliarena_活动分析数据_底稿'!$K:$K,'jiliarena_活动分析数据_底稿'!$B:$B,$A18,'jiliarena_活动分析数据_底稿'!$L:$L,BP$3)</f>
        <v>0</v>
      </c>
      <c r="BQ18" s="198">
        <f t="shared" si="60"/>
        <v>592108.7</v>
      </c>
      <c r="BR18" s="198">
        <f t="shared" si="61"/>
        <v>245.67</v>
      </c>
      <c r="BS18" s="198">
        <f t="shared" si="62"/>
        <v>14630.65</v>
      </c>
      <c r="BT18" s="194">
        <f t="shared" si="26"/>
        <v>0.073319</v>
      </c>
      <c r="BU18" s="194">
        <f t="shared" si="27"/>
        <v>1.079041105</v>
      </c>
      <c r="BV18" s="194">
        <f t="shared" si="28"/>
        <v>2.29421499</v>
      </c>
      <c r="BW18" s="202">
        <f t="shared" si="29"/>
        <v>-334020.987</v>
      </c>
      <c r="BX18" s="203">
        <f t="shared" si="30"/>
        <v>-1.772669153</v>
      </c>
      <c r="BY18" s="204">
        <f t="shared" si="31"/>
        <v>13224.5376</v>
      </c>
      <c r="BZ18" s="205">
        <f t="shared" si="32"/>
        <v>1323.594</v>
      </c>
      <c r="CA18" s="206">
        <f t="shared" si="33"/>
        <v>14548.1316</v>
      </c>
      <c r="CB18" s="207">
        <f t="shared" si="34"/>
        <v>23228</v>
      </c>
      <c r="CC18" s="203">
        <f t="shared" si="35"/>
        <v>-0.04355454348</v>
      </c>
      <c r="CD18" s="198">
        <f t="array" ref="CD18">index('jiliarena_日报_底稿'!$P$3:$DS$31,match(A18,'jiliarena_日报_底稿'!$P$3:$P$31,0),match("综合性分红",'jiliarena_日报_底稿'!$P$3:$DS$3,0))</f>
        <v>0</v>
      </c>
      <c r="CE18" s="208"/>
      <c r="CF18" s="198">
        <f t="array" ref="CF18">INDEX('jiliarena_日报_底稿'!$P$2:$DS$31,MATCH($A18,'jiliarena_日报_底稿'!$P$2:$P$31,0),MATCH(CF$3,'jiliarena_日报_底稿'!$P$3:$DS$3,0))</f>
        <v>0</v>
      </c>
      <c r="CG18" s="198">
        <f t="array" ref="CG18">-INDEX('jiliarena_日报_底稿'!$P$2:$DS$31,MATCH($A18,'jiliarena_日报_底稿'!$P$2:$P$31,0),MATCH(CG$3,'jiliarena_日报_底稿'!$P$3:$DS$3,0))</f>
        <v>0</v>
      </c>
      <c r="CH18" s="198">
        <f t="array" ref="CH18">INDEX('jiliarena_日报_底稿'!$P$2:$DS$31,MATCH($A18,'jiliarena_日报_底稿'!$P$2:$P$31,0),MATCH(CH$3,'jiliarena_日报_底稿'!$P$3:$DS$3,0))</f>
        <v>75885.6498</v>
      </c>
      <c r="CI18" s="202">
        <f t="shared" si="37"/>
        <v>-371797.1186</v>
      </c>
      <c r="CJ18" s="209">
        <f t="shared" si="38"/>
        <v>2</v>
      </c>
      <c r="CK18" s="209">
        <f t="shared" si="39"/>
        <v>12</v>
      </c>
    </row>
    <row r="19">
      <c r="A19" s="222">
        <f t="shared" si="63"/>
        <v>46066</v>
      </c>
      <c r="B19" s="191">
        <f t="array" ref="B19">INDEX('jiliarena_日报_底稿'!$A$3:$N$31,MATCH($A19,'jiliarena_日报_底稿'!$A$3:$A$31,0),MATCH(B$3,'jiliarena_日报_底稿'!$A$3:$N$3,0))</f>
        <v>5918</v>
      </c>
      <c r="C19" s="191">
        <f t="array" ref="C19">INDEX('jiliarena_日报_底稿'!$A$3:$N$31,MATCH($A19,'jiliarena_日报_底稿'!$A$3:$A$31,0),MATCH(C$3,'jiliarena_日报_底稿'!$A$3:$N$3,0))</f>
        <v>2244</v>
      </c>
      <c r="D19" s="191">
        <f t="array" ref="D19">INDEX('jiliarena_日报_底稿'!$A$3:$N$31,MATCH($A19,'jiliarena_日报_底稿'!$A$3:$A$31,0),MATCH(D$3,'jiliarena_日报_底稿'!$A$3:$N$3,0))</f>
        <v>9825</v>
      </c>
      <c r="E19" s="192">
        <v>348.0</v>
      </c>
      <c r="F19" s="191">
        <f t="array" ref="F19">INDEX('jiliarena_日报_底稿'!$A$3:$N$31,MATCH($A19,'jiliarena_日报_底稿'!$A$3:$A$31,0),MATCH(F$3,'jiliarena_日报_底稿'!$A$3:$N$3,0))</f>
        <v>2755</v>
      </c>
      <c r="G19" s="191">
        <f>SUMIFS('渠道充值成功率_底稿'!$F:$F,'渠道充值成功率_底稿'!$A:$A,A19)</f>
        <v>3470</v>
      </c>
      <c r="H19" s="191">
        <f t="array" ref="H19">INDEX('jiliarena_日报_底稿'!$A$3:$N$31,MATCH($A19,'jiliarena_日报_底稿'!$A$3:$A$31,0),MATCH(H$3,'jiliarena_日报_底稿'!$A$3:$N$3,0))</f>
        <v>667</v>
      </c>
      <c r="I19" s="192">
        <v>861.0</v>
      </c>
      <c r="J19" s="191">
        <f t="array" ref="J19">INDEX('jiliarena_日报_底稿'!$A$3:$N$31,MATCH($A19,'jiliarena_日报_底稿'!$A$3:$A$31,0),MATCH(J$3,'jiliarena_日报_底稿'!$A$3:$N$3,0))</f>
        <v>7496</v>
      </c>
      <c r="K19" s="193">
        <f>SUMIFS('渠道充值成功率_底稿'!$J:$J,'渠道充值成功率_底稿'!$A:$A,$A19)</f>
        <v>368366</v>
      </c>
      <c r="L19" s="193">
        <f t="array" ref="L19">INDEX('jiliarena_日报_底稿'!$A$3:$N$31,MATCH($A19,'jiliarena_日报_底稿'!$A$3:$A$31,0),MATCH(L$3,'jiliarena_日报_底稿'!$A$3:$N$3,0))</f>
        <v>549266</v>
      </c>
      <c r="M19" s="193">
        <f t="array" ref="M19">INDEX('jiliarena_日报_底稿'!$P$2:$DS$31,MATCH($A19,'jiliarena_日报_底稿'!$P$2:$P$31,0),MATCH($M$3,'jiliarena_日报_底稿'!$P$3:$DS$3,0))</f>
        <v>629642</v>
      </c>
      <c r="N19" s="194">
        <f t="shared" si="2"/>
        <v>0.3792</v>
      </c>
      <c r="O19" s="195">
        <f t="shared" si="3"/>
        <v>164</v>
      </c>
      <c r="P19" s="194">
        <f t="shared" si="4"/>
        <v>0.670651</v>
      </c>
      <c r="Q19" s="195">
        <f t="shared" si="5"/>
        <v>1.3</v>
      </c>
      <c r="R19" s="196">
        <f t="shared" si="6"/>
        <v>199</v>
      </c>
      <c r="S19" s="195">
        <f t="shared" si="7"/>
        <v>158</v>
      </c>
      <c r="T19" s="195">
        <f t="shared" si="8"/>
        <v>1</v>
      </c>
      <c r="U19" s="196">
        <f t="shared" si="9"/>
        <v>944</v>
      </c>
      <c r="V19" s="197">
        <f t="shared" si="10"/>
        <v>-80376</v>
      </c>
      <c r="W19" s="198">
        <f t="shared" si="57"/>
        <v>8782978.81</v>
      </c>
      <c r="X19" s="198">
        <f t="array" ref="X19">index('jiliarena_日报_底稿'!$P$2:$DS$31,match($A19,'jiliarena_日报_底稿'!$P$2:$P$31,0),match("电子有效投注",'jiliarena_日报_底稿'!$P$3:$DS$3,0))+index('jiliarena_日报_底稿'!$P$2:$DS$31,match($A19,'jiliarena_日报_底稿'!$P$2:$P$31,0),match("真人有效投注",'jiliarena_日报_底稿'!$P$3:$DS$3,0))+index('jiliarena_日报_底稿'!$P$2:$DS$31,match($A19,'jiliarena_日报_底稿'!$P$2:$P$31,0),match("彩票有效投注",'jiliarena_日报_底稿'!$P$3:$DS$3,0))+index('jiliarena_日报_底稿'!$P$2:$DS$31,match($A19,'jiliarena_日报_底稿'!$P$2:$P$31,0),match("棋牌有效投注",'jiliarena_日报_底稿'!$P$3:$DS$3,0))+index('jiliarena_日报_底稿'!$P$2:$DS$31,match($A19,'jiliarena_日报_底稿'!$P$2:$P$31,0),match("捕鱼有效投注",'jiliarena_日报_底稿'!$P$3:$DS$3,0))+index('jiliarena_日报_底稿'!$P$2:$DS$31,match($A19,'jiliarena_日报_底稿'!$P$2:$P$31,0),match("体育有效投注",'jiliarena_日报_底稿'!$P$3:$DS$3,0))+index('jiliarena_日报_底稿'!$P$2:$DS$31,match($A19,'jiliarena_日报_底稿'!$P$2:$P$31,0),match("盘口彩票有效投注",'jiliarena_日报_底稿'!$P$3:$DS$3,0))</f>
        <v>7966262.04</v>
      </c>
      <c r="Y19" s="199">
        <f t="shared" si="58"/>
        <v>171550.688</v>
      </c>
      <c r="Z19" s="198">
        <f t="shared" si="59"/>
        <v>8611428.122</v>
      </c>
      <c r="AA19" s="194">
        <f t="shared" si="12"/>
        <v>0.019532</v>
      </c>
      <c r="AB19" s="200">
        <f t="array" ref="AB19">INDEX('jiliarena_日报_底稿'!$P$2:$DS$31,MATCH($A19,'jiliarena_日报_底稿'!$P$2:$P$31,0),MATCH(AB$3,'jiliarena_日报_底稿'!$P$3:$DS$3,0))</f>
        <v>0</v>
      </c>
      <c r="AC19" s="200">
        <f t="array" ref="AC19">INDEX('jiliarena_日报_底稿'!$P$2:$DS$31,MATCH($A19,'jiliarena_日报_底稿'!$P$2:$P$31,0),MATCH(AC$3,'jiliarena_日报_底稿'!$P$3:$DS$3,0))</f>
        <v>0</v>
      </c>
      <c r="AD19" s="194" t="str">
        <f t="shared" si="14"/>
        <v>#DIV/0!</v>
      </c>
      <c r="AE19" s="200">
        <f t="array" ref="AE19">INDEX('jiliarena_日报_底稿'!$P$2:$DS$31,MATCH($A19,'jiliarena_日报_底稿'!$P$2:$P$31,0),MATCH(AE$3,'jiliarena_日报_底稿'!$P$3:$DS$3,0))</f>
        <v>8392571.91</v>
      </c>
      <c r="AF19" s="200">
        <f t="array" ref="AF19">INDEX('jiliarena_日报_底稿'!$P$2:$DS$31,MATCH($A19,'jiliarena_日报_底稿'!$P$2:$P$31,0),MATCH(AF$3,'jiliarena_日报_底稿'!$P$3:$DS$3,0))</f>
        <v>8223448.842</v>
      </c>
      <c r="AG19" s="194">
        <f t="shared" si="16"/>
        <v>0.020152</v>
      </c>
      <c r="AH19" s="200">
        <f t="array" ref="AH19">INDEX('jiliarena_日报_底稿'!$P$2:$DS$31,MATCH($A19,'jiliarena_日报_底稿'!$P$2:$P$31,0),MATCH(AH$3,'jiliarena_日报_底稿'!$P$3:$DS$3,0))</f>
        <v>296008.9</v>
      </c>
      <c r="AI19" s="200">
        <f t="array" ref="AI19">INDEX('jiliarena_日报_底稿'!$P$2:$DS$31,MATCH($A19,'jiliarena_日报_底稿'!$P$2:$P$31,0),MATCH(AI$3,'jiliarena_日报_底稿'!$P$3:$DS$3,0))</f>
        <v>295103.4</v>
      </c>
      <c r="AJ19" s="194">
        <f t="shared" si="18"/>
        <v>0.003059</v>
      </c>
      <c r="AK19" s="200">
        <f t="array" ref="AK19">INDEX('jiliarena_日报_底稿'!$P$2:$DS$31,MATCH($A19,'jiliarena_日报_底稿'!$P$2:$P$31,0),MATCH(AK$3,'jiliarena_日报_底稿'!$P$3:$DS$3,0))</f>
        <v>93215</v>
      </c>
      <c r="AL19" s="200">
        <f t="array" ref="AL19">INDEX('jiliarena_日报_底稿'!$P$2:$DS$31,MATCH($A19,'jiliarena_日报_底稿'!$P$2:$P$31,0),MATCH(AL$3,'jiliarena_日报_底稿'!$P$3:$DS$3,0))</f>
        <v>91841.32</v>
      </c>
      <c r="AM19" s="194">
        <f t="shared" si="20"/>
        <v>0.014737</v>
      </c>
      <c r="AN19" s="200">
        <f t="array" ref="AN19">INDEX('jiliarena_日报_底稿'!$P$2:$DS$31,MATCH($A19,'jiliarena_日报_底稿'!$P$2:$P$31,0),MATCH(AN$3,'jiliarena_日报_底稿'!$P$3:$DS$3,0))</f>
        <v>1167</v>
      </c>
      <c r="AO19" s="200">
        <f t="array" ref="AO19">INDEX('jiliarena_日报_底稿'!$P$2:$DS$31,MATCH($A19,'jiliarena_日报_底稿'!$P$2:$P$31,0),MATCH(AO$3,'jiliarena_日报_底稿'!$P$3:$DS$3,0))</f>
        <v>944.56</v>
      </c>
      <c r="AP19" s="194">
        <f t="shared" si="22"/>
        <v>0.190608</v>
      </c>
      <c r="AQ19" s="200">
        <f t="array" ref="AQ19">INDEX('jiliarena_日报_底稿'!$P$2:$DS$31,MATCH($A19,'jiliarena_日报_底稿'!$P$2:$P$31,0),MATCH(AQ$3,'jiliarena_日报_底稿'!$P$3:$DS$3,0))</f>
        <v>16</v>
      </c>
      <c r="AR19" s="200">
        <f t="array" ref="AR19">INDEX('jiliarena_日报_底稿'!$P$2:$DS$31,MATCH($A19,'jiliarena_日报_底稿'!$P$2:$P$31,0),MATCH(AR$3,'jiliarena_日报_底稿'!$P$3:$DS$3,0))</f>
        <v>90</v>
      </c>
      <c r="AS19" s="194">
        <f t="shared" si="24"/>
        <v>-4.625</v>
      </c>
      <c r="AT19" s="201">
        <f>SUMIFS('jiliarena_活动分析数据_底稿'!$K:$K,'jiliarena_活动分析数据_底稿'!$B:$B,$A19,'jiliarena_活动分析数据_底稿'!$L:$L,AT$3)</f>
        <v>7222.36</v>
      </c>
      <c r="AU19" s="201">
        <f>SUMIFS('jiliarena_活动分析数据_底稿'!$K:$K,'jiliarena_活动分析数据_底稿'!$B:$B,$A19,'jiliarena_活动分析数据_底稿'!$L:$L,AU$3)</f>
        <v>9902.37</v>
      </c>
      <c r="AV19" s="201">
        <f>SUMIFS('jiliarena_活动分析数据_底稿'!$K:$K,'jiliarena_活动分析数据_底稿'!$B:$B,$A19,'jiliarena_活动分析数据_底稿'!$L:$L,AV$3)</f>
        <v>6977.4</v>
      </c>
      <c r="AW19" s="201">
        <f>SUMIFS('jiliarena_活动分析数据_底稿'!$K:$K,'jiliarena_活动分析数据_底稿'!$B:$B,$A19,'jiliarena_活动分析数据_底稿'!$L:$L,AW$3)</f>
        <v>10388</v>
      </c>
      <c r="AX19" s="201">
        <f>SUMIFS('jiliarena_活动分析数据_底稿'!$K:$K,'jiliarena_活动分析数据_底稿'!$B:$B,$A19,'jiliarena_活动分析数据_底稿'!$L:$L,AX$3)</f>
        <v>1662</v>
      </c>
      <c r="AY19" s="201">
        <f>SUMIFS('jiliarena_活动分析数据_底稿'!$K:$K,'jiliarena_活动分析数据_底稿'!$B:$B,$A19,'jiliarena_活动分析数据_底稿'!$L:$L,AY$3)</f>
        <v>0</v>
      </c>
      <c r="AZ19" s="201">
        <f>SUMIFS('jiliarena_活动分析数据_底稿'!$K:$K,'jiliarena_活动分析数据_底稿'!$B:$B,$A19,'jiliarena_活动分析数据_底稿'!$L:$L,AZ$3)</f>
        <v>0</v>
      </c>
      <c r="BA19" s="201">
        <f>SUMIFS('jiliarena_活动分析数据_底稿'!$K:$K,'jiliarena_活动分析数据_底稿'!$B:$B,$A19,'jiliarena_活动分析数据_底稿'!$L:$L,BA$3)</f>
        <v>0</v>
      </c>
      <c r="BB19" s="201">
        <f>SUMIFS('jiliarena_活动分析数据_底稿'!$K:$K,'jiliarena_活动分析数据_底稿'!$B:$B,$A19,'jiliarena_活动分析数据_底稿'!$L:$L,BB$3)</f>
        <v>9494.23</v>
      </c>
      <c r="BC19" s="201">
        <f>SUMIFS('jiliarena_活动分析数据_底稿'!$K:$K,'jiliarena_活动分析数据_底稿'!$B:$B,$A19,'jiliarena_活动分析数据_底稿'!$L:$L,BC$3)</f>
        <v>2051</v>
      </c>
      <c r="BD19" s="201">
        <f>SUMIFS('jiliarena_活动分析数据_底稿'!$K:$K,'jiliarena_活动分析数据_底稿'!$B:$B,$A19,'jiliarena_活动分析数据_底稿'!$L:$L,BD$3)</f>
        <v>0</v>
      </c>
      <c r="BE19" s="201">
        <f>SUMIFS('jiliarena_活动分析数据_底稿'!$K:$K,'jiliarena_活动分析数据_底稿'!$B:$B,$A19,'jiliarena_活动分析数据_底稿'!$L:$L,BE$3)</f>
        <v>0</v>
      </c>
      <c r="BF19" s="201">
        <f>SUMIFS('jiliarena_活动分析数据_底稿'!$K:$K,'jiliarena_活动分析数据_底稿'!$B:$B,$A19,'jiliarena_活动分析数据_底稿'!$L:$L,BF$3)</f>
        <v>0</v>
      </c>
      <c r="BG19" s="201">
        <f>SUMIFS('jiliarena_活动分析数据_底稿'!$K:$K,'jiliarena_活动分析数据_底稿'!$B:$B,$A19,'jiliarena_活动分析数据_底稿'!$L:$L,BG$3)</f>
        <v>0</v>
      </c>
      <c r="BH19" s="201">
        <f>SUMIFS('jiliarena_活动分析数据_底稿'!$K:$K,'jiliarena_活动分析数据_底稿'!$B:$B,$A19,'jiliarena_活动分析数据_底稿'!$L:$L,BH$3)</f>
        <v>28807.5</v>
      </c>
      <c r="BI19" s="201">
        <f>SUMIFS('jiliarena_活动分析数据_底稿'!$K:$K,'jiliarena_活动分析数据_底稿'!$B:$B,$A19,'jiliarena_活动分析数据_底稿'!$L:$L,BI$3)</f>
        <v>0</v>
      </c>
      <c r="BJ19" s="201">
        <f>SUMIFS('jiliarena_活动分析数据_底稿'!$K:$K,'jiliarena_活动分析数据_底稿'!$B:$B,$A19,'jiliarena_活动分析数据_底稿'!$L:$L,BJ$3)</f>
        <v>324410.4</v>
      </c>
      <c r="BK19" s="201">
        <f>SUMIFS('jiliarena_活动分析数据_底稿'!$K:$K,'jiliarena_活动分析数据_底稿'!$B:$B,$A19,'jiliarena_活动分析数据_底稿'!$L:$L,BK$3)</f>
        <v>0</v>
      </c>
      <c r="BL19" s="201">
        <f>SUMIFS('jiliarena_活动分析数据_底稿'!$K:$K,'jiliarena_活动分析数据_底稿'!$B:$B,$A19,'jiliarena_活动分析数据_底稿'!$L:$L,BL$3)</f>
        <v>0</v>
      </c>
      <c r="BM19" s="201">
        <f>SUMIFS('jiliarena_活动分析数据_底稿'!$K:$K,'jiliarena_活动分析数据_底稿'!$B:$B,$A19,'jiliarena_活动分析数据_底稿'!$L:$L,BM$3)</f>
        <v>0</v>
      </c>
      <c r="BN19" s="201">
        <f>SUMIFS('jiliarena_活动分析数据_底稿'!$K:$K,'jiliarena_活动分析数据_底稿'!$B:$B,$A19,'jiliarena_活动分析数据_底稿'!$L:$L,BN$3)</f>
        <v>0</v>
      </c>
      <c r="BO19" s="201">
        <f>SUMIFS('jiliarena_活动分析数据_底稿'!$K:$K,'jiliarena_活动分析数据_底稿'!$B:$B,$A19,'jiliarena_活动分析数据_底稿'!$L:$L,BO$3)</f>
        <v>0</v>
      </c>
      <c r="BP19" s="201">
        <f>SUMIFS('jiliarena_活动分析数据_底稿'!$K:$K,'jiliarena_活动分析数据_底稿'!$B:$B,$A19,'jiliarena_活动分析数据_底稿'!$L:$L,BP$3)</f>
        <v>0</v>
      </c>
      <c r="BQ19" s="198">
        <f t="shared" si="60"/>
        <v>400915.26</v>
      </c>
      <c r="BR19" s="198">
        <f t="shared" si="61"/>
        <v>7222.36</v>
      </c>
      <c r="BS19" s="198">
        <f t="shared" si="62"/>
        <v>9494.23</v>
      </c>
      <c r="BT19" s="194">
        <f t="shared" si="26"/>
        <v>0.050327</v>
      </c>
      <c r="BU19" s="194">
        <f t="shared" si="27"/>
        <v>0.7299109357</v>
      </c>
      <c r="BV19" s="194">
        <f t="shared" si="28"/>
        <v>2.33700759</v>
      </c>
      <c r="BW19" s="202">
        <f t="shared" si="29"/>
        <v>-229364.572</v>
      </c>
      <c r="BX19" s="203">
        <f t="shared" si="30"/>
        <v>-1.74793891</v>
      </c>
      <c r="BY19" s="204">
        <f t="shared" si="31"/>
        <v>13237.3106</v>
      </c>
      <c r="BZ19" s="205">
        <f t="shared" si="32"/>
        <v>1259.284</v>
      </c>
      <c r="CA19" s="206">
        <f t="shared" si="33"/>
        <v>14496.5946</v>
      </c>
      <c r="CB19" s="207">
        <f t="shared" si="34"/>
        <v>15440</v>
      </c>
      <c r="CC19" s="203">
        <f t="shared" si="35"/>
        <v>-0.06320328582</v>
      </c>
      <c r="CD19" s="198">
        <f t="array" ref="CD19">index('jiliarena_日报_底稿'!$P$3:$DS$31,match(A19,'jiliarena_日报_底稿'!$P$3:$P$31,0),match("综合性分红",'jiliarena_日报_底稿'!$P$3:$DS$3,0))</f>
        <v>0</v>
      </c>
      <c r="CE19" s="208"/>
      <c r="CF19" s="198">
        <f t="array" ref="CF19">INDEX('jiliarena_日报_底稿'!$P$2:$DS$31,MATCH($A19,'jiliarena_日报_底稿'!$P$2:$P$31,0),MATCH(CF$3,'jiliarena_日报_底稿'!$P$3:$DS$3,0))</f>
        <v>0</v>
      </c>
      <c r="CG19" s="198">
        <f t="array" ref="CG19">-INDEX('jiliarena_日报_底稿'!$P$2:$DS$31,MATCH($A19,'jiliarena_日报_底稿'!$P$2:$P$31,0),MATCH(CG$3,'jiliarena_日报_底稿'!$P$3:$DS$3,0))</f>
        <v>0</v>
      </c>
      <c r="CH19" s="198">
        <f t="array" ref="CH19">INDEX('jiliarena_日报_底稿'!$P$2:$DS$31,MATCH($A19,'jiliarena_日报_底稿'!$P$2:$P$31,0),MATCH(CH$3,'jiliarena_日报_底稿'!$P$3:$DS$3,0))</f>
        <v>82040.627</v>
      </c>
      <c r="CI19" s="202">
        <f t="shared" si="37"/>
        <v>-259301.1666</v>
      </c>
      <c r="CJ19" s="209">
        <f t="shared" si="38"/>
        <v>2</v>
      </c>
      <c r="CK19" s="209">
        <f t="shared" si="39"/>
        <v>13</v>
      </c>
    </row>
    <row r="20">
      <c r="A20" s="222">
        <f t="shared" si="63"/>
        <v>46067</v>
      </c>
      <c r="B20" s="191">
        <f t="array" ref="B20">INDEX('jiliarena_日报_底稿'!$A$3:$N$31,MATCH($A20,'jiliarena_日报_底稿'!$A$3:$A$31,0),MATCH(B$3,'jiliarena_日报_底稿'!$A$3:$N$3,0))</f>
        <v>2481</v>
      </c>
      <c r="C20" s="191">
        <f t="array" ref="C20">INDEX('jiliarena_日报_底稿'!$A$3:$N$31,MATCH($A20,'jiliarena_日报_底稿'!$A$3:$A$31,0),MATCH(C$3,'jiliarena_日报_底稿'!$A$3:$N$3,0))</f>
        <v>1179</v>
      </c>
      <c r="D20" s="191">
        <f t="array" ref="D20">INDEX('jiliarena_日报_底稿'!$A$3:$N$31,MATCH($A20,'jiliarena_日报_底稿'!$A$3:$A$31,0),MATCH(D$3,'jiliarena_日报_底稿'!$A$3:$N$3,0))</f>
        <v>6768</v>
      </c>
      <c r="E20" s="192">
        <v>228.0</v>
      </c>
      <c r="F20" s="191">
        <f t="array" ref="F20">INDEX('jiliarena_日报_底稿'!$A$3:$N$31,MATCH($A20,'jiliarena_日报_底稿'!$A$3:$A$31,0),MATCH(F$3,'jiliarena_日报_底稿'!$A$3:$N$3,0))</f>
        <v>1743</v>
      </c>
      <c r="G20" s="191">
        <f>SUMIFS('渠道充值成功率_底稿'!$F:$F,'渠道充值成功率_底稿'!$A:$A,A20)</f>
        <v>2272</v>
      </c>
      <c r="H20" s="191">
        <f t="array" ref="H20">INDEX('jiliarena_日报_底稿'!$A$3:$N$31,MATCH($A20,'jiliarena_日报_底稿'!$A$3:$A$31,0),MATCH(H$3,'jiliarena_日报_底稿'!$A$3:$N$3,0))</f>
        <v>408</v>
      </c>
      <c r="I20" s="192">
        <v>554.0</v>
      </c>
      <c r="J20" s="191">
        <f t="array" ref="J20">INDEX('jiliarena_日报_底稿'!$A$3:$N$31,MATCH($A20,'jiliarena_日报_底稿'!$A$3:$A$31,0),MATCH(J$3,'jiliarena_日报_底稿'!$A$3:$N$3,0))</f>
        <v>4953</v>
      </c>
      <c r="K20" s="193">
        <f>SUMIFS('渠道充值成功率_底稿'!$J:$J,'渠道充值成功率_底稿'!$A:$A,$A20)</f>
        <v>206836</v>
      </c>
      <c r="L20" s="193">
        <f t="array" ref="L20">INDEX('jiliarena_日报_底稿'!$A$3:$N$31,MATCH($A20,'jiliarena_日报_底稿'!$A$3:$A$31,0),MATCH(L$3,'jiliarena_日报_底稿'!$A$3:$N$3,0))</f>
        <v>441981</v>
      </c>
      <c r="M20" s="193">
        <f t="array" ref="M20">INDEX('jiliarena_日报_底稿'!$P$2:$DS$31,MATCH($A20,'jiliarena_日报_底稿'!$P$2:$P$31,0),MATCH($M$3,'jiliarena_日报_底稿'!$P$3:$DS$3,0))</f>
        <v>442011</v>
      </c>
      <c r="N20" s="194">
        <f t="shared" si="2"/>
        <v>0.4752</v>
      </c>
      <c r="O20" s="195">
        <f t="shared" si="3"/>
        <v>175</v>
      </c>
      <c r="P20" s="194">
        <f t="shared" si="4"/>
        <v>0.467975</v>
      </c>
      <c r="Q20" s="195">
        <f t="shared" si="5"/>
        <v>1.3</v>
      </c>
      <c r="R20" s="196">
        <f t="shared" si="6"/>
        <v>254</v>
      </c>
      <c r="S20" s="195">
        <f t="shared" si="7"/>
        <v>195</v>
      </c>
      <c r="T20" s="195">
        <f t="shared" si="8"/>
        <v>1.1</v>
      </c>
      <c r="U20" s="196">
        <f t="shared" si="9"/>
        <v>1083</v>
      </c>
      <c r="V20" s="197">
        <f t="shared" si="10"/>
        <v>-30</v>
      </c>
      <c r="W20" s="198">
        <f t="shared" si="57"/>
        <v>5172261.47</v>
      </c>
      <c r="X20" s="198">
        <f t="array" ref="X20">index('jiliarena_日报_底稿'!$P$2:$DS$31,match($A20,'jiliarena_日报_底稿'!$P$2:$P$31,0),match("电子有效投注",'jiliarena_日报_底稿'!$P$3:$DS$3,0))+index('jiliarena_日报_底稿'!$P$2:$DS$31,match($A20,'jiliarena_日报_底稿'!$P$2:$P$31,0),match("真人有效投注",'jiliarena_日报_底稿'!$P$3:$DS$3,0))+index('jiliarena_日报_底稿'!$P$2:$DS$31,match($A20,'jiliarena_日报_底稿'!$P$2:$P$31,0),match("彩票有效投注",'jiliarena_日报_底稿'!$P$3:$DS$3,0))+index('jiliarena_日报_底稿'!$P$2:$DS$31,match($A20,'jiliarena_日报_底稿'!$P$2:$P$31,0),match("棋牌有效投注",'jiliarena_日报_底稿'!$P$3:$DS$3,0))+index('jiliarena_日报_底稿'!$P$2:$DS$31,match($A20,'jiliarena_日报_底稿'!$P$2:$P$31,0),match("捕鱼有效投注",'jiliarena_日报_底稿'!$P$3:$DS$3,0))+index('jiliarena_日报_底稿'!$P$2:$DS$31,match($A20,'jiliarena_日报_底稿'!$P$2:$P$31,0),match("体育有效投注",'jiliarena_日报_底稿'!$P$3:$DS$3,0))+index('jiliarena_日报_底稿'!$P$2:$DS$31,match($A20,'jiliarena_日报_底稿'!$P$2:$P$31,0),match("盘口彩票有效投注",'jiliarena_日报_底稿'!$P$3:$DS$3,0))</f>
        <v>4622958.17</v>
      </c>
      <c r="Y20" s="199">
        <f t="shared" si="58"/>
        <v>149191.365</v>
      </c>
      <c r="Z20" s="198">
        <f t="shared" si="59"/>
        <v>5023070.105</v>
      </c>
      <c r="AA20" s="194">
        <f t="shared" si="12"/>
        <v>0.028845</v>
      </c>
      <c r="AB20" s="200">
        <f t="array" ref="AB20">INDEX('jiliarena_日报_底稿'!$P$2:$DS$31,MATCH($A20,'jiliarena_日报_底稿'!$P$2:$P$31,0),MATCH(AB$3,'jiliarena_日报_底稿'!$P$3:$DS$3,0))</f>
        <v>171</v>
      </c>
      <c r="AC20" s="200">
        <f t="array" ref="AC20">INDEX('jiliarena_日报_底稿'!$P$2:$DS$31,MATCH($A20,'jiliarena_日报_底稿'!$P$2:$P$31,0),MATCH(AC$3,'jiliarena_日报_底稿'!$P$3:$DS$3,0))</f>
        <v>210</v>
      </c>
      <c r="AD20" s="194">
        <f t="shared" si="14"/>
        <v>-0.22807</v>
      </c>
      <c r="AE20" s="200">
        <f t="array" ref="AE20">INDEX('jiliarena_日报_底稿'!$P$2:$DS$31,MATCH($A20,'jiliarena_日报_底稿'!$P$2:$P$31,0),MATCH(AE$3,'jiliarena_日报_底稿'!$P$3:$DS$3,0))</f>
        <v>4999747.57</v>
      </c>
      <c r="AF20" s="200">
        <f t="array" ref="AF20">INDEX('jiliarena_日报_底稿'!$P$2:$DS$31,MATCH($A20,'jiliarena_日报_底稿'!$P$2:$P$31,0),MATCH(AF$3,'jiliarena_日报_底稿'!$P$3:$DS$3,0))</f>
        <v>4856154.915</v>
      </c>
      <c r="AG20" s="194">
        <f t="shared" si="16"/>
        <v>0.02872</v>
      </c>
      <c r="AH20" s="200">
        <f t="array" ref="AH20">INDEX('jiliarena_日报_底稿'!$P$2:$DS$31,MATCH($A20,'jiliarena_日报_底稿'!$P$2:$P$31,0),MATCH(AH$3,'jiliarena_日报_底稿'!$P$3:$DS$3,0))</f>
        <v>130176</v>
      </c>
      <c r="AI20" s="200">
        <f t="array" ref="AI20">INDEX('jiliarena_日报_底稿'!$P$2:$DS$31,MATCH($A20,'jiliarena_日报_底稿'!$P$2:$P$31,0),MATCH(AI$3,'jiliarena_日报_底稿'!$P$3:$DS$3,0))</f>
        <v>128385.85</v>
      </c>
      <c r="AJ20" s="194">
        <f t="shared" si="18"/>
        <v>0.013752</v>
      </c>
      <c r="AK20" s="200">
        <f t="array" ref="AK20">INDEX('jiliarena_日报_底稿'!$P$2:$DS$31,MATCH($A20,'jiliarena_日报_底稿'!$P$2:$P$31,0),MATCH(AK$3,'jiliarena_日报_底稿'!$P$3:$DS$3,0))</f>
        <v>42093.9</v>
      </c>
      <c r="AL20" s="200">
        <f t="array" ref="AL20">INDEX('jiliarena_日报_底稿'!$P$2:$DS$31,MATCH($A20,'jiliarena_日报_底稿'!$P$2:$P$31,0),MATCH(AL$3,'jiliarena_日报_底稿'!$P$3:$DS$3,0))</f>
        <v>38270.14</v>
      </c>
      <c r="AM20" s="194">
        <f t="shared" si="20"/>
        <v>0.090839</v>
      </c>
      <c r="AN20" s="200">
        <f t="array" ref="AN20">INDEX('jiliarena_日报_底稿'!$P$2:$DS$31,MATCH($A20,'jiliarena_日报_底稿'!$P$2:$P$31,0),MATCH(AN$3,'jiliarena_日报_底稿'!$P$3:$DS$3,0))</f>
        <v>60</v>
      </c>
      <c r="AO20" s="200">
        <f t="array" ref="AO20">INDEX('jiliarena_日报_底稿'!$P$2:$DS$31,MATCH($A20,'jiliarena_日报_底稿'!$P$2:$P$31,0),MATCH(AO$3,'jiliarena_日报_底稿'!$P$3:$DS$3,0))</f>
        <v>49.2</v>
      </c>
      <c r="AP20" s="194">
        <f t="shared" si="22"/>
        <v>0.18</v>
      </c>
      <c r="AQ20" s="200">
        <f t="array" ref="AQ20">INDEX('jiliarena_日报_底稿'!$P$2:$DS$31,MATCH($A20,'jiliarena_日报_底稿'!$P$2:$P$31,0),MATCH(AQ$3,'jiliarena_日报_底稿'!$P$3:$DS$3,0))</f>
        <v>13</v>
      </c>
      <c r="AR20" s="200">
        <f t="array" ref="AR20">INDEX('jiliarena_日报_底稿'!$P$2:$DS$31,MATCH($A20,'jiliarena_日报_底稿'!$P$2:$P$31,0),MATCH(AR$3,'jiliarena_日报_底稿'!$P$3:$DS$3,0))</f>
        <v>0</v>
      </c>
      <c r="AS20" s="194">
        <f t="shared" si="24"/>
        <v>1</v>
      </c>
      <c r="AT20" s="201">
        <f>SUMIFS('jiliarena_活动分析数据_底稿'!$K:$K,'jiliarena_活动分析数据_底稿'!$B:$B,$A20,'jiliarena_活动分析数据_底稿'!$L:$L,AT$3)</f>
        <v>10456.46</v>
      </c>
      <c r="AU20" s="201">
        <f>SUMIFS('jiliarena_活动分析数据_底稿'!$K:$K,'jiliarena_活动分析数据_底稿'!$B:$B,$A20,'jiliarena_活动分析数据_底稿'!$L:$L,AU$3)</f>
        <v>0</v>
      </c>
      <c r="AV20" s="201">
        <f>SUMIFS('jiliarena_活动分析数据_底稿'!$K:$K,'jiliarena_活动分析数据_底稿'!$B:$B,$A20,'jiliarena_活动分析数据_底稿'!$L:$L,AV$3)</f>
        <v>9068.62</v>
      </c>
      <c r="AW20" s="201">
        <f>SUMIFS('jiliarena_活动分析数据_底稿'!$K:$K,'jiliarena_活动分析数据_底稿'!$B:$B,$A20,'jiliarena_活动分析数据_底稿'!$L:$L,AW$3)</f>
        <v>6829</v>
      </c>
      <c r="AX20" s="201">
        <f>SUMIFS('jiliarena_活动分析数据_底稿'!$K:$K,'jiliarena_活动分析数据_底稿'!$B:$B,$A20,'jiliarena_活动分析数据_底稿'!$L:$L,AX$3)</f>
        <v>2656</v>
      </c>
      <c r="AY20" s="201">
        <f>SUMIFS('jiliarena_活动分析数据_底稿'!$K:$K,'jiliarena_活动分析数据_底稿'!$B:$B,$A20,'jiliarena_活动分析数据_底稿'!$L:$L,AY$3)</f>
        <v>0</v>
      </c>
      <c r="AZ20" s="201">
        <f>SUMIFS('jiliarena_活动分析数据_底稿'!$K:$K,'jiliarena_活动分析数据_底稿'!$B:$B,$A20,'jiliarena_活动分析数据_底稿'!$L:$L,AZ$3)</f>
        <v>0</v>
      </c>
      <c r="BA20" s="201">
        <f>SUMIFS('jiliarena_活动分析数据_底稿'!$K:$K,'jiliarena_活动分析数据_底稿'!$B:$B,$A20,'jiliarena_活动分析数据_底稿'!$L:$L,BA$3)</f>
        <v>0</v>
      </c>
      <c r="BB20" s="201">
        <f>SUMIFS('jiliarena_活动分析数据_底稿'!$K:$K,'jiliarena_活动分析数据_底稿'!$B:$B,$A20,'jiliarena_活动分析数据_底稿'!$L:$L,BB$3)</f>
        <v>3721.31</v>
      </c>
      <c r="BC20" s="201">
        <f>SUMIFS('jiliarena_活动分析数据_底稿'!$K:$K,'jiliarena_活动分析数据_底稿'!$B:$B,$A20,'jiliarena_活动分析数据_底稿'!$L:$L,BC$3)</f>
        <v>1367</v>
      </c>
      <c r="BD20" s="201">
        <f>SUMIFS('jiliarena_活动分析数据_底稿'!$K:$K,'jiliarena_活动分析数据_底稿'!$B:$B,$A20,'jiliarena_活动分析数据_底稿'!$L:$L,BD$3)</f>
        <v>0</v>
      </c>
      <c r="BE20" s="201">
        <f>SUMIFS('jiliarena_活动分析数据_底稿'!$K:$K,'jiliarena_活动分析数据_底稿'!$B:$B,$A20,'jiliarena_活动分析数据_底稿'!$L:$L,BE$3)</f>
        <v>0</v>
      </c>
      <c r="BF20" s="201">
        <f>SUMIFS('jiliarena_活动分析数据_底稿'!$K:$K,'jiliarena_活动分析数据_底稿'!$B:$B,$A20,'jiliarena_活动分析数据_底稿'!$L:$L,BF$3)</f>
        <v>0</v>
      </c>
      <c r="BG20" s="201">
        <f>SUMIFS('jiliarena_活动分析数据_底稿'!$K:$K,'jiliarena_活动分析数据_底稿'!$B:$B,$A20,'jiliarena_活动分析数据_底稿'!$L:$L,BG$3)</f>
        <v>0</v>
      </c>
      <c r="BH20" s="201">
        <f>SUMIFS('jiliarena_活动分析数据_底稿'!$K:$K,'jiliarena_活动分析数据_底稿'!$B:$B,$A20,'jiliarena_活动分析数据_底稿'!$L:$L,BH$3)</f>
        <v>15647</v>
      </c>
      <c r="BI20" s="201">
        <f>SUMIFS('jiliarena_活动分析数据_底稿'!$K:$K,'jiliarena_活动分析数据_底稿'!$B:$B,$A20,'jiliarena_活动分析数据_底稿'!$L:$L,BI$3)</f>
        <v>0</v>
      </c>
      <c r="BJ20" s="201">
        <f>SUMIFS('jiliarena_活动分析数据_底稿'!$K:$K,'jiliarena_活动分析数据_底稿'!$B:$B,$A20,'jiliarena_活动分析数据_底稿'!$L:$L,BJ$3)</f>
        <v>141147.5</v>
      </c>
      <c r="BK20" s="201">
        <f>SUMIFS('jiliarena_活动分析数据_底稿'!$K:$K,'jiliarena_活动分析数据_底稿'!$B:$B,$A20,'jiliarena_活动分析数据_底稿'!$L:$L,BK$3)</f>
        <v>0</v>
      </c>
      <c r="BL20" s="201">
        <f>SUMIFS('jiliarena_活动分析数据_底稿'!$K:$K,'jiliarena_活动分析数据_底稿'!$B:$B,$A20,'jiliarena_活动分析数据_底稿'!$L:$L,BL$3)</f>
        <v>0</v>
      </c>
      <c r="BM20" s="201">
        <f>SUMIFS('jiliarena_活动分析数据_底稿'!$K:$K,'jiliarena_活动分析数据_底稿'!$B:$B,$A20,'jiliarena_活动分析数据_底稿'!$L:$L,BM$3)</f>
        <v>0</v>
      </c>
      <c r="BN20" s="201">
        <f>SUMIFS('jiliarena_活动分析数据_底稿'!$K:$K,'jiliarena_活动分析数据_底稿'!$B:$B,$A20,'jiliarena_活动分析数据_底稿'!$L:$L,BN$3)</f>
        <v>0</v>
      </c>
      <c r="BO20" s="201">
        <f>SUMIFS('jiliarena_活动分析数据_底稿'!$K:$K,'jiliarena_活动分析数据_底稿'!$B:$B,$A20,'jiliarena_活动分析数据_底稿'!$L:$L,BO$3)</f>
        <v>0</v>
      </c>
      <c r="BP20" s="201">
        <f>SUMIFS('jiliarena_活动分析数据_底稿'!$K:$K,'jiliarena_活动分析数据_底稿'!$B:$B,$A20,'jiliarena_活动分析数据_底稿'!$L:$L,BP$3)</f>
        <v>0</v>
      </c>
      <c r="BQ20" s="198">
        <f t="shared" si="60"/>
        <v>190892.89</v>
      </c>
      <c r="BR20" s="198">
        <f t="shared" si="61"/>
        <v>10456.46</v>
      </c>
      <c r="BS20" s="198">
        <f t="shared" si="62"/>
        <v>3721.31</v>
      </c>
      <c r="BT20" s="194">
        <f t="shared" si="26"/>
        <v>0.041292</v>
      </c>
      <c r="BU20" s="194">
        <f t="shared" si="27"/>
        <v>0.4319029325</v>
      </c>
      <c r="BV20" s="194">
        <f t="shared" si="28"/>
        <v>1.279517015</v>
      </c>
      <c r="BW20" s="202">
        <f t="shared" si="29"/>
        <v>-41701.525</v>
      </c>
      <c r="BX20" s="203">
        <f t="shared" si="30"/>
        <v>-4.57759974</v>
      </c>
      <c r="BY20" s="204">
        <f t="shared" si="31"/>
        <v>10651.7421</v>
      </c>
      <c r="BZ20" s="205">
        <f t="shared" si="32"/>
        <v>884.022</v>
      </c>
      <c r="CA20" s="206">
        <f t="shared" si="33"/>
        <v>11535.7641</v>
      </c>
      <c r="CB20" s="207">
        <f t="shared" si="34"/>
        <v>13427</v>
      </c>
      <c r="CC20" s="203">
        <f t="shared" si="35"/>
        <v>-0.2766269123</v>
      </c>
      <c r="CD20" s="198">
        <f t="array" ref="CD20">index('jiliarena_日报_底稿'!$P$3:$DS$31,match(A20,'jiliarena_日报_底稿'!$P$3:$P$31,0),match("综合性分红",'jiliarena_日报_底稿'!$P$3:$DS$3,0))</f>
        <v>0</v>
      </c>
      <c r="CE20" s="208"/>
      <c r="CF20" s="198">
        <f t="array" ref="CF20">INDEX('jiliarena_日报_底稿'!$P$2:$DS$31,MATCH($A20,'jiliarena_日报_底稿'!$P$2:$P$31,0),MATCH(CF$3,'jiliarena_日报_底稿'!$P$3:$DS$3,0))</f>
        <v>0</v>
      </c>
      <c r="CG20" s="198">
        <f t="array" ref="CG20">-INDEX('jiliarena_日报_底稿'!$P$2:$DS$31,MATCH($A20,'jiliarena_日报_底稿'!$P$2:$P$31,0),MATCH(CG$3,'jiliarena_日报_底稿'!$P$3:$DS$3,0))</f>
        <v>0</v>
      </c>
      <c r="CH20" s="198">
        <f t="array" ref="CH20">INDEX('jiliarena_日报_底稿'!$P$2:$DS$31,MATCH($A20,'jiliarena_日报_底稿'!$P$2:$P$31,0),MATCH(CH$3,'jiliarena_日报_底稿'!$P$3:$DS$3,0))</f>
        <v>68151.3193</v>
      </c>
      <c r="CI20" s="202">
        <f t="shared" si="37"/>
        <v>-66664.2891</v>
      </c>
      <c r="CJ20" s="209">
        <f t="shared" si="38"/>
        <v>2</v>
      </c>
      <c r="CK20" s="209">
        <f t="shared" si="39"/>
        <v>14</v>
      </c>
    </row>
    <row r="21">
      <c r="A21" s="222">
        <f t="shared" si="63"/>
        <v>46068</v>
      </c>
      <c r="B21" s="191">
        <f t="array" ref="B21">INDEX('jiliarena_日报_底稿'!$A$3:$N$31,MATCH($A21,'jiliarena_日报_底稿'!$A$3:$A$31,0),MATCH(B$3,'jiliarena_日报_底稿'!$A$3:$N$3,0))</f>
        <v>1264</v>
      </c>
      <c r="C21" s="191">
        <f t="array" ref="C21">INDEX('jiliarena_日报_底稿'!$A$3:$N$31,MATCH($A21,'jiliarena_日报_底稿'!$A$3:$A$31,0),MATCH(C$3,'jiliarena_日报_底稿'!$A$3:$N$3,0))</f>
        <v>490</v>
      </c>
      <c r="D21" s="191">
        <f t="array" ref="D21">INDEX('jiliarena_日报_底稿'!$A$3:$N$31,MATCH($A21,'jiliarena_日报_底稿'!$A$3:$A$31,0),MATCH(D$3,'jiliarena_日报_底稿'!$A$3:$N$3,0))</f>
        <v>5122</v>
      </c>
      <c r="E21" s="192">
        <v>85.0</v>
      </c>
      <c r="F21" s="191">
        <f t="array" ref="F21">INDEX('jiliarena_日报_底稿'!$A$3:$N$31,MATCH($A21,'jiliarena_日报_底稿'!$A$3:$A$31,0),MATCH(F$3,'jiliarena_日报_底稿'!$A$3:$N$3,0))</f>
        <v>915</v>
      </c>
      <c r="G21" s="191">
        <f>SUMIFS('渠道充值成功率_底稿'!$F:$F,'渠道充值成功率_底稿'!$A:$A,A21)</f>
        <v>1310</v>
      </c>
      <c r="H21" s="191">
        <f t="array" ref="H21">INDEX('jiliarena_日报_底稿'!$A$3:$N$31,MATCH($A21,'jiliarena_日报_底稿'!$A$3:$A$31,0),MATCH(H$3,'jiliarena_日报_底稿'!$A$3:$N$3,0))</f>
        <v>200</v>
      </c>
      <c r="I21" s="192">
        <v>268.0</v>
      </c>
      <c r="J21" s="191">
        <f t="array" ref="J21">INDEX('jiliarena_日报_底稿'!$A$3:$N$31,MATCH($A21,'jiliarena_日报_底稿'!$A$3:$A$31,0),MATCH(J$3,'jiliarena_日报_底稿'!$A$3:$N$3,0))</f>
        <v>3714</v>
      </c>
      <c r="K21" s="193">
        <f>SUMIFS('渠道充值成功率_底稿'!$J:$J,'渠道充值成功率_底稿'!$A:$A,$A21)</f>
        <v>66829</v>
      </c>
      <c r="L21" s="193">
        <f t="array" ref="L21">INDEX('jiliarena_日报_底稿'!$A$3:$N$31,MATCH($A21,'jiliarena_日报_底稿'!$A$3:$A$31,0),MATCH(L$3,'jiliarena_日报_底稿'!$A$3:$N$3,0))</f>
        <v>186953</v>
      </c>
      <c r="M21" s="193">
        <f t="array" ref="M21">INDEX('jiliarena_日报_底稿'!$P$2:$DS$31,MATCH($A21,'jiliarena_日报_底稿'!$P$2:$P$31,0),MATCH($M$3,'jiliarena_日报_底稿'!$P$3:$DS$3,0))</f>
        <v>159570</v>
      </c>
      <c r="N21" s="194">
        <f t="shared" si="2"/>
        <v>0.3877</v>
      </c>
      <c r="O21" s="195">
        <f t="shared" si="3"/>
        <v>136</v>
      </c>
      <c r="P21" s="194">
        <f t="shared" si="4"/>
        <v>0.357464</v>
      </c>
      <c r="Q21" s="195">
        <f t="shared" si="5"/>
        <v>1.4</v>
      </c>
      <c r="R21" s="196">
        <f t="shared" si="6"/>
        <v>204</v>
      </c>
      <c r="S21" s="195">
        <f t="shared" si="7"/>
        <v>143</v>
      </c>
      <c r="T21" s="195">
        <f t="shared" si="8"/>
        <v>1.1</v>
      </c>
      <c r="U21" s="196">
        <f t="shared" si="9"/>
        <v>798</v>
      </c>
      <c r="V21" s="197">
        <f t="shared" si="10"/>
        <v>27383</v>
      </c>
      <c r="W21" s="198">
        <f t="shared" si="57"/>
        <v>1968991.06</v>
      </c>
      <c r="X21" s="198">
        <f t="array" ref="X21">index('jiliarena_日报_底稿'!$P$2:$DS$31,match($A21,'jiliarena_日报_底稿'!$P$2:$P$31,0),match("电子有效投注",'jiliarena_日报_底稿'!$P$3:$DS$3,0))+index('jiliarena_日报_底稿'!$P$2:$DS$31,match($A21,'jiliarena_日报_底稿'!$P$2:$P$31,0),match("真人有效投注",'jiliarena_日报_底稿'!$P$3:$DS$3,0))+index('jiliarena_日报_底稿'!$P$2:$DS$31,match($A21,'jiliarena_日报_底稿'!$P$2:$P$31,0),match("彩票有效投注",'jiliarena_日报_底稿'!$P$3:$DS$3,0))+index('jiliarena_日报_底稿'!$P$2:$DS$31,match($A21,'jiliarena_日报_底稿'!$P$2:$P$31,0),match("棋牌有效投注",'jiliarena_日报_底稿'!$P$3:$DS$3,0))+index('jiliarena_日报_底稿'!$P$2:$DS$31,match($A21,'jiliarena_日报_底稿'!$P$2:$P$31,0),match("捕鱼有效投注",'jiliarena_日报_底稿'!$P$3:$DS$3,0))+index('jiliarena_日报_底稿'!$P$2:$DS$31,match($A21,'jiliarena_日报_底稿'!$P$2:$P$31,0),match("体育有效投注",'jiliarena_日报_底稿'!$P$3:$DS$3,0))+index('jiliarena_日报_底稿'!$P$2:$DS$31,match($A21,'jiliarena_日报_底稿'!$P$2:$P$31,0),match("盘口彩票有效投注",'jiliarena_日报_底稿'!$P$3:$DS$3,0))</f>
        <v>1841656.155</v>
      </c>
      <c r="Y21" s="199">
        <f t="shared" si="58"/>
        <v>56157.385</v>
      </c>
      <c r="Z21" s="198">
        <f t="shared" si="59"/>
        <v>1912833.675</v>
      </c>
      <c r="AA21" s="194">
        <f t="shared" si="12"/>
        <v>0.028521</v>
      </c>
      <c r="AB21" s="200">
        <f t="array" ref="AB21">INDEX('jiliarena_日报_底稿'!$P$2:$DS$31,MATCH($A21,'jiliarena_日报_底稿'!$P$2:$P$31,0),MATCH(AB$3,'jiliarena_日报_底稿'!$P$3:$DS$3,0))</f>
        <v>0</v>
      </c>
      <c r="AC21" s="200">
        <f t="array" ref="AC21">INDEX('jiliarena_日报_底稿'!$P$2:$DS$31,MATCH($A21,'jiliarena_日报_底稿'!$P$2:$P$31,0),MATCH(AC$3,'jiliarena_日报_底稿'!$P$3:$DS$3,0))</f>
        <v>0</v>
      </c>
      <c r="AD21" s="194" t="str">
        <f t="shared" si="14"/>
        <v>#DIV/0!</v>
      </c>
      <c r="AE21" s="200">
        <f t="array" ref="AE21">INDEX('jiliarena_日报_底稿'!$P$2:$DS$31,MATCH($A21,'jiliarena_日报_底稿'!$P$2:$P$31,0),MATCH(AE$3,'jiliarena_日报_底稿'!$P$3:$DS$3,0))</f>
        <v>1941584.16</v>
      </c>
      <c r="AF21" s="200">
        <f t="array" ref="AF21">INDEX('jiliarena_日报_底稿'!$P$2:$DS$31,MATCH($A21,'jiliarena_日报_底稿'!$P$2:$P$31,0),MATCH(AF$3,'jiliarena_日报_底稿'!$P$3:$DS$3,0))</f>
        <v>1889644.575</v>
      </c>
      <c r="AG21" s="194">
        <f t="shared" si="16"/>
        <v>0.026751</v>
      </c>
      <c r="AH21" s="200">
        <f t="array" ref="AH21">INDEX('jiliarena_日报_底稿'!$P$2:$DS$31,MATCH($A21,'jiliarena_日报_底稿'!$P$2:$P$31,0),MATCH(AH$3,'jiliarena_日报_底稿'!$P$3:$DS$3,0))</f>
        <v>11748</v>
      </c>
      <c r="AI21" s="200">
        <f t="array" ref="AI21">INDEX('jiliarena_日报_底稿'!$P$2:$DS$31,MATCH($A21,'jiliarena_日报_底稿'!$P$2:$P$31,0),MATCH(AI$3,'jiliarena_日报_底稿'!$P$3:$DS$3,0))</f>
        <v>8866</v>
      </c>
      <c r="AJ21" s="194">
        <f t="shared" si="18"/>
        <v>0.245318</v>
      </c>
      <c r="AK21" s="200">
        <f t="array" ref="AK21">INDEX('jiliarena_日报_底稿'!$P$2:$DS$31,MATCH($A21,'jiliarena_日报_底稿'!$P$2:$P$31,0),MATCH(AK$3,'jiliarena_日报_底稿'!$P$3:$DS$3,0))</f>
        <v>13879.9</v>
      </c>
      <c r="AL21" s="200">
        <f t="array" ref="AL21">INDEX('jiliarena_日报_底稿'!$P$2:$DS$31,MATCH($A21,'jiliarena_日报_底稿'!$P$2:$P$31,0),MATCH(AL$3,'jiliarena_日报_底稿'!$P$3:$DS$3,0))</f>
        <v>12844.3</v>
      </c>
      <c r="AM21" s="194">
        <f t="shared" si="20"/>
        <v>0.074611</v>
      </c>
      <c r="AN21" s="200">
        <f t="array" ref="AN21">INDEX('jiliarena_日报_底稿'!$P$2:$DS$31,MATCH($A21,'jiliarena_日报_底稿'!$P$2:$P$31,0),MATCH(AN$3,'jiliarena_日报_底稿'!$P$3:$DS$3,0))</f>
        <v>1775</v>
      </c>
      <c r="AO21" s="200">
        <f t="array" ref="AO21">INDEX('jiliarena_日报_底稿'!$P$2:$DS$31,MATCH($A21,'jiliarena_日报_底稿'!$P$2:$P$31,0),MATCH(AO$3,'jiliarena_日报_底稿'!$P$3:$DS$3,0))</f>
        <v>1478.8</v>
      </c>
      <c r="AP21" s="194">
        <f t="shared" si="22"/>
        <v>0.166873</v>
      </c>
      <c r="AQ21" s="200">
        <f t="array" ref="AQ21">INDEX('jiliarena_日报_底稿'!$P$2:$DS$31,MATCH($A21,'jiliarena_日报_底稿'!$P$2:$P$31,0),MATCH(AQ$3,'jiliarena_日报_底稿'!$P$3:$DS$3,0))</f>
        <v>4</v>
      </c>
      <c r="AR21" s="200">
        <f t="array" ref="AR21">INDEX('jiliarena_日报_底稿'!$P$2:$DS$31,MATCH($A21,'jiliarena_日报_底稿'!$P$2:$P$31,0),MATCH(AR$3,'jiliarena_日报_底稿'!$P$3:$DS$3,0))</f>
        <v>0</v>
      </c>
      <c r="AS21" s="194">
        <f t="shared" si="24"/>
        <v>1</v>
      </c>
      <c r="AT21" s="201">
        <f>SUMIFS('jiliarena_活动分析数据_底稿'!$K:$K,'jiliarena_活动分析数据_底稿'!$B:$B,$A21,'jiliarena_活动分析数据_底稿'!$L:$L,AT$3)</f>
        <v>8380.11</v>
      </c>
      <c r="AU21" s="201">
        <f>SUMIFS('jiliarena_活动分析数据_底稿'!$K:$K,'jiliarena_活动分析数据_底稿'!$B:$B,$A21,'jiliarena_活动分析数据_底稿'!$L:$L,AU$3)</f>
        <v>0</v>
      </c>
      <c r="AV21" s="201">
        <f>SUMIFS('jiliarena_活动分析数据_底稿'!$K:$K,'jiliarena_活动分析数据_底稿'!$B:$B,$A21,'jiliarena_活动分析数据_底稿'!$L:$L,AV$3)</f>
        <v>7386.32</v>
      </c>
      <c r="AW21" s="201">
        <f>SUMIFS('jiliarena_活动分析数据_底稿'!$K:$K,'jiliarena_活动分析数据_底稿'!$B:$B,$A21,'jiliarena_活动分析数据_底稿'!$L:$L,AW$3)</f>
        <v>6099</v>
      </c>
      <c r="AX21" s="201">
        <f>SUMIFS('jiliarena_活动分析数据_底稿'!$K:$K,'jiliarena_活动分析数据_底稿'!$B:$B,$A21,'jiliarena_活动分析数据_底稿'!$L:$L,AX$3)</f>
        <v>1739</v>
      </c>
      <c r="AY21" s="201">
        <f>SUMIFS('jiliarena_活动分析数据_底稿'!$K:$K,'jiliarena_活动分析数据_底稿'!$B:$B,$A21,'jiliarena_活动分析数据_底稿'!$L:$L,AY$3)</f>
        <v>0</v>
      </c>
      <c r="AZ21" s="201">
        <f>SUMIFS('jiliarena_活动分析数据_底稿'!$K:$K,'jiliarena_活动分析数据_底稿'!$B:$B,$A21,'jiliarena_活动分析数据_底稿'!$L:$L,AZ$3)</f>
        <v>0</v>
      </c>
      <c r="BA21" s="201">
        <f>SUMIFS('jiliarena_活动分析数据_底稿'!$K:$K,'jiliarena_活动分析数据_底稿'!$B:$B,$A21,'jiliarena_活动分析数据_底稿'!$L:$L,BA$3)</f>
        <v>0</v>
      </c>
      <c r="BB21" s="201">
        <f>SUMIFS('jiliarena_活动分析数据_底稿'!$K:$K,'jiliarena_活动分析数据_底稿'!$B:$B,$A21,'jiliarena_活动分析数据_底稿'!$L:$L,BB$3)</f>
        <v>1484.08</v>
      </c>
      <c r="BC21" s="201">
        <f>SUMIFS('jiliarena_活动分析数据_底稿'!$K:$K,'jiliarena_活动分析数据_底稿'!$B:$B,$A21,'jiliarena_活动分析数据_底稿'!$L:$L,BC$3)</f>
        <v>833</v>
      </c>
      <c r="BD21" s="201">
        <f>SUMIFS('jiliarena_活动分析数据_底稿'!$K:$K,'jiliarena_活动分析数据_底稿'!$B:$B,$A21,'jiliarena_活动分析数据_底稿'!$L:$L,BD$3)</f>
        <v>0</v>
      </c>
      <c r="BE21" s="201">
        <f>SUMIFS('jiliarena_活动分析数据_底稿'!$K:$K,'jiliarena_活动分析数据_底稿'!$B:$B,$A21,'jiliarena_活动分析数据_底稿'!$L:$L,BE$3)</f>
        <v>0</v>
      </c>
      <c r="BF21" s="201">
        <f>SUMIFS('jiliarena_活动分析数据_底稿'!$K:$K,'jiliarena_活动分析数据_底稿'!$B:$B,$A21,'jiliarena_活动分析数据_底稿'!$L:$L,BF$3)</f>
        <v>1134</v>
      </c>
      <c r="BG21" s="201">
        <f>SUMIFS('jiliarena_活动分析数据_底稿'!$K:$K,'jiliarena_活动分析数据_底稿'!$B:$B,$A21,'jiliarena_活动分析数据_底稿'!$L:$L,BG$3)</f>
        <v>0</v>
      </c>
      <c r="BH21" s="201">
        <f>SUMIFS('jiliarena_活动分析数据_底稿'!$K:$K,'jiliarena_活动分析数据_底稿'!$B:$B,$A21,'jiliarena_活动分析数据_底稿'!$L:$L,BH$3)</f>
        <v>0</v>
      </c>
      <c r="BI21" s="201">
        <f>SUMIFS('jiliarena_活动分析数据_底稿'!$K:$K,'jiliarena_活动分析数据_底稿'!$B:$B,$A21,'jiliarena_活动分析数据_底稿'!$L:$L,BI$3)</f>
        <v>0</v>
      </c>
      <c r="BJ21" s="201">
        <f>SUMIFS('jiliarena_活动分析数据_底稿'!$K:$K,'jiliarena_活动分析数据_底稿'!$B:$B,$A21,'jiliarena_活动分析数据_底稿'!$L:$L,BJ$3)</f>
        <v>17731.5</v>
      </c>
      <c r="BK21" s="201">
        <f>SUMIFS('jiliarena_活动分析数据_底稿'!$K:$K,'jiliarena_活动分析数据_底稿'!$B:$B,$A21,'jiliarena_活动分析数据_底稿'!$L:$L,BK$3)</f>
        <v>0</v>
      </c>
      <c r="BL21" s="201">
        <f>SUMIFS('jiliarena_活动分析数据_底稿'!$K:$K,'jiliarena_活动分析数据_底稿'!$B:$B,$A21,'jiliarena_活动分析数据_底稿'!$L:$L,BL$3)</f>
        <v>0</v>
      </c>
      <c r="BM21" s="201">
        <f>SUMIFS('jiliarena_活动分析数据_底稿'!$K:$K,'jiliarena_活动分析数据_底稿'!$B:$B,$A21,'jiliarena_活动分析数据_底稿'!$L:$L,BM$3)</f>
        <v>0</v>
      </c>
      <c r="BN21" s="201">
        <f>SUMIFS('jiliarena_活动分析数据_底稿'!$K:$K,'jiliarena_活动分析数据_底稿'!$B:$B,$A21,'jiliarena_活动分析数据_底稿'!$L:$L,BN$3)</f>
        <v>0</v>
      </c>
      <c r="BO21" s="201">
        <f>SUMIFS('jiliarena_活动分析数据_底稿'!$K:$K,'jiliarena_活动分析数据_底稿'!$B:$B,$A21,'jiliarena_活动分析数据_底稿'!$L:$L,BO$3)</f>
        <v>0</v>
      </c>
      <c r="BP21" s="201">
        <f>SUMIFS('jiliarena_活动分析数据_底稿'!$K:$K,'jiliarena_活动分析数据_底稿'!$B:$B,$A21,'jiliarena_活动分析数据_底稿'!$L:$L,BP$3)</f>
        <v>0</v>
      </c>
      <c r="BQ21" s="198">
        <f t="shared" si="60"/>
        <v>44787.01</v>
      </c>
      <c r="BR21" s="198">
        <f t="shared" si="61"/>
        <v>8380.11</v>
      </c>
      <c r="BS21" s="198">
        <f t="shared" si="62"/>
        <v>1484.08</v>
      </c>
      <c r="BT21" s="194">
        <f t="shared" si="26"/>
        <v>0.024319</v>
      </c>
      <c r="BU21" s="194">
        <f t="shared" si="27"/>
        <v>0.2395629383</v>
      </c>
      <c r="BV21" s="194">
        <f t="shared" si="28"/>
        <v>0.7975266298</v>
      </c>
      <c r="BW21" s="202">
        <f t="shared" si="29"/>
        <v>11370.375</v>
      </c>
      <c r="BX21" s="203">
        <f t="shared" si="30"/>
        <v>3.9389211</v>
      </c>
      <c r="BY21" s="204">
        <f t="shared" si="31"/>
        <v>4505.5673</v>
      </c>
      <c r="BZ21" s="205">
        <f t="shared" si="32"/>
        <v>319.14</v>
      </c>
      <c r="CA21" s="206">
        <f t="shared" si="33"/>
        <v>4824.7073</v>
      </c>
      <c r="CB21" s="207">
        <f t="shared" si="34"/>
        <v>5054</v>
      </c>
      <c r="CC21" s="203">
        <f t="shared" si="35"/>
        <v>0.4243226191</v>
      </c>
      <c r="CD21" s="198">
        <f t="array" ref="CD21">index('jiliarena_日报_底稿'!$P$3:$DS$31,match(A21,'jiliarena_日报_底稿'!$P$3:$P$31,0),match("综合性分红",'jiliarena_日报_底稿'!$P$3:$DS$3,0))</f>
        <v>0</v>
      </c>
      <c r="CE21" s="208"/>
      <c r="CF21" s="198">
        <f t="array" ref="CF21">INDEX('jiliarena_日报_底稿'!$P$2:$DS$31,MATCH($A21,'jiliarena_日报_底稿'!$P$2:$P$31,0),MATCH(CF$3,'jiliarena_日报_底稿'!$P$3:$DS$3,0))</f>
        <v>0</v>
      </c>
      <c r="CG21" s="198">
        <f t="array" ref="CG21">-INDEX('jiliarena_日报_底稿'!$P$2:$DS$31,MATCH($A21,'jiliarena_日报_底稿'!$P$2:$P$31,0),MATCH(CG$3,'jiliarena_日报_底稿'!$P$3:$DS$3,0))</f>
        <v>0</v>
      </c>
      <c r="CH21" s="198">
        <f t="array" ref="CH21">INDEX('jiliarena_日报_底稿'!$P$2:$DS$31,MATCH($A21,'jiliarena_日报_底稿'!$P$2:$P$31,0),MATCH(CH$3,'jiliarena_日报_底稿'!$P$3:$DS$3,0))</f>
        <v>71988.6742</v>
      </c>
      <c r="CI21" s="202">
        <f t="shared" si="37"/>
        <v>1491.6677</v>
      </c>
      <c r="CJ21" s="209">
        <f t="shared" si="38"/>
        <v>2</v>
      </c>
      <c r="CK21" s="209">
        <f t="shared" si="39"/>
        <v>15</v>
      </c>
    </row>
    <row r="22">
      <c r="A22" s="210" t="s">
        <v>507</v>
      </c>
      <c r="B22" s="211">
        <f t="shared" ref="B22:M22" si="64">SUM(B15:B21)</f>
        <v>35187</v>
      </c>
      <c r="C22" s="211">
        <f t="shared" si="64"/>
        <v>6836</v>
      </c>
      <c r="D22" s="211">
        <f t="shared" si="64"/>
        <v>47053</v>
      </c>
      <c r="E22" s="211">
        <f t="shared" si="64"/>
        <v>1516</v>
      </c>
      <c r="F22" s="211">
        <f t="shared" si="64"/>
        <v>8432</v>
      </c>
      <c r="G22" s="211">
        <f t="shared" si="64"/>
        <v>10827</v>
      </c>
      <c r="H22" s="211">
        <f t="shared" si="64"/>
        <v>2027</v>
      </c>
      <c r="I22" s="211">
        <f t="shared" si="64"/>
        <v>3480</v>
      </c>
      <c r="J22" s="211">
        <f t="shared" si="64"/>
        <v>39736</v>
      </c>
      <c r="K22" s="212">
        <f t="shared" si="64"/>
        <v>1092493</v>
      </c>
      <c r="L22" s="212">
        <f t="shared" si="64"/>
        <v>1777649</v>
      </c>
      <c r="M22" s="212">
        <f t="shared" si="64"/>
        <v>1926335</v>
      </c>
      <c r="N22" s="213">
        <f t="shared" si="2"/>
        <v>0.1943</v>
      </c>
      <c r="O22" s="214">
        <f t="shared" si="3"/>
        <v>160</v>
      </c>
      <c r="P22" s="213">
        <f t="shared" si="4"/>
        <v>0.614572</v>
      </c>
      <c r="Q22" s="214">
        <f t="shared" si="5"/>
        <v>1.3</v>
      </c>
      <c r="R22" s="214">
        <f t="shared" si="6"/>
        <v>211</v>
      </c>
      <c r="S22" s="214">
        <f t="shared" si="7"/>
        <v>164</v>
      </c>
      <c r="T22" s="214">
        <f t="shared" si="8"/>
        <v>1</v>
      </c>
      <c r="U22" s="215">
        <f t="shared" si="9"/>
        <v>950</v>
      </c>
      <c r="V22" s="216">
        <f t="shared" si="10"/>
        <v>-148686</v>
      </c>
      <c r="W22" s="217">
        <f t="shared" ref="W22:Z22" si="65">SUM(W15:W21)</f>
        <v>25107625.66</v>
      </c>
      <c r="X22" s="217">
        <f t="shared" si="65"/>
        <v>22932076.69</v>
      </c>
      <c r="Y22" s="217">
        <f t="shared" si="65"/>
        <v>632406.486</v>
      </c>
      <c r="Z22" s="217">
        <f t="shared" si="65"/>
        <v>24475219.17</v>
      </c>
      <c r="AA22" s="218">
        <f t="shared" si="12"/>
        <v>0.025188</v>
      </c>
      <c r="AB22" s="217">
        <f t="shared" ref="AB22:AC22" si="66">SUM(AB15:AB21)</f>
        <v>176</v>
      </c>
      <c r="AC22" s="217">
        <f t="shared" si="66"/>
        <v>210</v>
      </c>
      <c r="AD22" s="218">
        <f t="shared" si="14"/>
        <v>-0.193182</v>
      </c>
      <c r="AE22" s="217">
        <f t="shared" ref="AE22:AF22" si="67">SUM(AE15:AE21)</f>
        <v>24251615.77</v>
      </c>
      <c r="AF22" s="217">
        <f t="shared" si="67"/>
        <v>23637217.34</v>
      </c>
      <c r="AG22" s="218">
        <f t="shared" si="16"/>
        <v>0.025334</v>
      </c>
      <c r="AH22" s="217">
        <f t="shared" ref="AH22:AI22" si="68">SUM(AH15:AH21)</f>
        <v>572659.4</v>
      </c>
      <c r="AI22" s="217">
        <f t="shared" si="68"/>
        <v>563385.7</v>
      </c>
      <c r="AJ22" s="219">
        <f t="shared" si="18"/>
        <v>0.016194</v>
      </c>
      <c r="AK22" s="217">
        <f t="shared" ref="AK22:AL22" si="69">SUM(AK15:AK21)</f>
        <v>276883.79</v>
      </c>
      <c r="AL22" s="217">
        <f t="shared" si="69"/>
        <v>269699.86</v>
      </c>
      <c r="AM22" s="218">
        <f t="shared" si="20"/>
        <v>0.025946</v>
      </c>
      <c r="AN22" s="217">
        <f t="shared" ref="AN22:AO22" si="70">SUM(AN15:AN21)</f>
        <v>6247.7</v>
      </c>
      <c r="AO22" s="217">
        <f t="shared" si="70"/>
        <v>4616.27</v>
      </c>
      <c r="AP22" s="218">
        <f t="shared" si="22"/>
        <v>0.261125</v>
      </c>
      <c r="AQ22" s="217">
        <f t="shared" ref="AQ22:AR22" si="71">SUM(AQ15:AQ21)</f>
        <v>43</v>
      </c>
      <c r="AR22" s="217">
        <f t="shared" si="71"/>
        <v>90</v>
      </c>
      <c r="AS22" s="218">
        <f t="shared" si="24"/>
        <v>-1.093023</v>
      </c>
      <c r="AT22" s="220">
        <f t="shared" ref="AT22:BS22" si="72">SUM(AT15:AT21)</f>
        <v>26304.6</v>
      </c>
      <c r="AU22" s="220">
        <f t="shared" si="72"/>
        <v>52245.53</v>
      </c>
      <c r="AV22" s="220">
        <f t="shared" si="72"/>
        <v>28118.51</v>
      </c>
      <c r="AW22" s="220">
        <f t="shared" si="72"/>
        <v>32282</v>
      </c>
      <c r="AX22" s="220">
        <f t="shared" si="72"/>
        <v>6963</v>
      </c>
      <c r="AY22" s="220">
        <f t="shared" si="72"/>
        <v>32</v>
      </c>
      <c r="AZ22" s="220">
        <f t="shared" si="72"/>
        <v>0</v>
      </c>
      <c r="BA22" s="220">
        <f t="shared" si="72"/>
        <v>0</v>
      </c>
      <c r="BB22" s="220">
        <f t="shared" si="72"/>
        <v>29650.27</v>
      </c>
      <c r="BC22" s="220">
        <f t="shared" si="72"/>
        <v>6574</v>
      </c>
      <c r="BD22" s="220">
        <f t="shared" si="72"/>
        <v>0</v>
      </c>
      <c r="BE22" s="220">
        <f t="shared" si="72"/>
        <v>0</v>
      </c>
      <c r="BF22" s="220">
        <f t="shared" si="72"/>
        <v>1134</v>
      </c>
      <c r="BG22" s="220">
        <f t="shared" si="72"/>
        <v>0</v>
      </c>
      <c r="BH22" s="220">
        <f t="shared" si="72"/>
        <v>72788</v>
      </c>
      <c r="BI22" s="220">
        <f t="shared" si="72"/>
        <v>0</v>
      </c>
      <c r="BJ22" s="220">
        <f t="shared" si="72"/>
        <v>854741</v>
      </c>
      <c r="BK22" s="220">
        <f t="shared" si="72"/>
        <v>0</v>
      </c>
      <c r="BL22" s="220">
        <f t="shared" si="72"/>
        <v>159568</v>
      </c>
      <c r="BM22" s="220">
        <f t="shared" si="72"/>
        <v>0</v>
      </c>
      <c r="BN22" s="220">
        <f t="shared" si="72"/>
        <v>0</v>
      </c>
      <c r="BO22" s="220">
        <f t="shared" si="72"/>
        <v>0</v>
      </c>
      <c r="BP22" s="220">
        <f t="shared" si="72"/>
        <v>0</v>
      </c>
      <c r="BQ22" s="220">
        <f t="shared" si="72"/>
        <v>1270400.91</v>
      </c>
      <c r="BR22" s="220">
        <f t="shared" si="72"/>
        <v>26304.6</v>
      </c>
      <c r="BS22" s="220">
        <f t="shared" si="72"/>
        <v>29650.27</v>
      </c>
      <c r="BT22" s="213">
        <f t="shared" si="26"/>
        <v>0.055398</v>
      </c>
      <c r="BU22" s="213">
        <f t="shared" si="27"/>
        <v>0.7146522795</v>
      </c>
      <c r="BV22" s="213">
        <f t="shared" si="28"/>
        <v>2.008835991</v>
      </c>
      <c r="BW22" s="215">
        <f t="shared" si="29"/>
        <v>-637994.424</v>
      </c>
      <c r="BX22" s="213">
        <f t="shared" si="30"/>
        <v>-1.9912414</v>
      </c>
      <c r="BY22" s="215">
        <f t="shared" si="31"/>
        <v>42841.3409</v>
      </c>
      <c r="BZ22" s="215">
        <f t="shared" si="32"/>
        <v>3852.67</v>
      </c>
      <c r="CA22" s="215">
        <f t="shared" si="33"/>
        <v>46694.0109</v>
      </c>
      <c r="CB22" s="215">
        <f t="shared" si="34"/>
        <v>56917</v>
      </c>
      <c r="CC22" s="221">
        <f t="shared" si="35"/>
        <v>-0.07318874451</v>
      </c>
      <c r="CD22" s="220">
        <f t="shared" ref="CD22:CH22" si="73">SUM(CD15:CD21)</f>
        <v>0</v>
      </c>
      <c r="CE22" s="220">
        <f t="shared" si="73"/>
        <v>0</v>
      </c>
      <c r="CF22" s="220">
        <f t="shared" si="73"/>
        <v>0</v>
      </c>
      <c r="CG22" s="220">
        <f t="shared" si="73"/>
        <v>0</v>
      </c>
      <c r="CH22" s="220">
        <f t="shared" si="73"/>
        <v>303544.5703</v>
      </c>
      <c r="CI22" s="215">
        <f t="shared" si="37"/>
        <v>-741605.4349</v>
      </c>
      <c r="CJ22" s="146" t="str">
        <f t="shared" si="38"/>
        <v/>
      </c>
      <c r="CK22" s="146" t="str">
        <f t="shared" si="39"/>
        <v/>
      </c>
    </row>
    <row r="23">
      <c r="A23" s="190">
        <f>A21+1</f>
        <v>46069</v>
      </c>
      <c r="B23" s="191">
        <f t="array" ref="B23">INDEX('jiliarena_日报_底稿'!$A$3:$N$31,MATCH($A23,'jiliarena_日报_底稿'!$A$3:$A$31,0),MATCH(B$3,'jiliarena_日报_底稿'!$A$3:$N$3,0))</f>
        <v>1031</v>
      </c>
      <c r="C23" s="191">
        <f t="array" ref="C23">INDEX('jiliarena_日报_底稿'!$A$3:$N$31,MATCH($A23,'jiliarena_日报_底稿'!$A$3:$A$31,0),MATCH(C$3,'jiliarena_日报_底稿'!$A$3:$N$3,0))</f>
        <v>412</v>
      </c>
      <c r="D23" s="191">
        <f t="array" ref="D23">INDEX('jiliarena_日报_底稿'!$A$3:$N$31,MATCH($A23,'jiliarena_日报_底稿'!$A$3:$A$31,0),MATCH(D$3,'jiliarena_日报_底稿'!$A$3:$N$3,0))</f>
        <v>5039</v>
      </c>
      <c r="E23" s="192">
        <v>63.0</v>
      </c>
      <c r="F23" s="191">
        <f t="array" ref="F23">INDEX('jiliarena_日报_底稿'!$A$3:$N$31,MATCH($A23,'jiliarena_日报_底稿'!$A$3:$A$31,0),MATCH(F$3,'jiliarena_日报_底稿'!$A$3:$N$3,0))</f>
        <v>821</v>
      </c>
      <c r="G23" s="191">
        <f>SUMIFS('渠道充值成功率_底稿'!$F:$F,'渠道充值成功率_底稿'!$A:$A,A23)</f>
        <v>1094</v>
      </c>
      <c r="H23" s="191">
        <f t="array" ref="H23">INDEX('jiliarena_日报_底稿'!$A$3:$N$31,MATCH($A23,'jiliarena_日报_底稿'!$A$3:$A$31,0),MATCH(H$3,'jiliarena_日报_底稿'!$A$3:$N$3,0))</f>
        <v>176</v>
      </c>
      <c r="I23" s="192">
        <v>217.0</v>
      </c>
      <c r="J23" s="191">
        <f t="array" ref="J23">INDEX('jiliarena_日报_底稿'!$A$3:$N$31,MATCH($A23,'jiliarena_日报_底稿'!$A$3:$A$31,0),MATCH(J$3,'jiliarena_日报_底稿'!$A$3:$N$3,0))</f>
        <v>3597</v>
      </c>
      <c r="K23" s="193">
        <f>SUMIFS('渠道充值成功率_底稿'!$J:$J,'渠道充值成功率_底稿'!$A:$A,$A23)</f>
        <v>59223</v>
      </c>
      <c r="L23" s="193">
        <f t="array" ref="L23">INDEX('jiliarena_日报_底稿'!$A$3:$N$31,MATCH($A23,'jiliarena_日报_底稿'!$A$3:$A$31,0),MATCH(L$3,'jiliarena_日报_底稿'!$A$3:$N$3,0))</f>
        <v>161464</v>
      </c>
      <c r="M23" s="193">
        <f t="array" ref="M23">INDEX('jiliarena_日报_底稿'!$P$2:$DS$31,MATCH($A23,'jiliarena_日报_底稿'!$P$2:$P$31,0),MATCH($M$3,'jiliarena_日报_底稿'!$P$3:$DS$3,0))</f>
        <v>103977</v>
      </c>
      <c r="N23" s="194">
        <f t="shared" si="2"/>
        <v>0.3996</v>
      </c>
      <c r="O23" s="195">
        <f t="shared" si="3"/>
        <v>144</v>
      </c>
      <c r="P23" s="194">
        <f t="shared" si="4"/>
        <v>0.366788</v>
      </c>
      <c r="Q23" s="195">
        <f t="shared" si="5"/>
        <v>1.3</v>
      </c>
      <c r="R23" s="196">
        <f t="shared" si="6"/>
        <v>197</v>
      </c>
      <c r="S23" s="195">
        <f t="shared" si="7"/>
        <v>148</v>
      </c>
      <c r="T23" s="195">
        <f t="shared" si="8"/>
        <v>1</v>
      </c>
      <c r="U23" s="196">
        <f t="shared" si="9"/>
        <v>591</v>
      </c>
      <c r="V23" s="197">
        <f t="shared" si="10"/>
        <v>57487</v>
      </c>
      <c r="W23" s="198">
        <f t="shared" ref="W23:W29" si="74">AB23+AE23+AH23+AK23+AN23+AQ23</f>
        <v>1510181.65</v>
      </c>
      <c r="X23" s="198">
        <f t="array" ref="X23">index('jiliarena_日报_底稿'!$P$2:$DS$31,match($A23,'jiliarena_日报_底稿'!$P$2:$P$31,0),match("电子有效投注",'jiliarena_日报_底稿'!$P$3:$DS$3,0))+index('jiliarena_日报_底稿'!$P$2:$DS$31,match($A23,'jiliarena_日报_底稿'!$P$2:$P$31,0),match("真人有效投注",'jiliarena_日报_底稿'!$P$3:$DS$3,0))+index('jiliarena_日报_底稿'!$P$2:$DS$31,match($A23,'jiliarena_日报_底稿'!$P$2:$P$31,0),match("彩票有效投注",'jiliarena_日报_底稿'!$P$3:$DS$3,0))+index('jiliarena_日报_底稿'!$P$2:$DS$31,match($A23,'jiliarena_日报_底稿'!$P$2:$P$31,0),match("棋牌有效投注",'jiliarena_日报_底稿'!$P$3:$DS$3,0))+index('jiliarena_日报_底稿'!$P$2:$DS$31,match($A23,'jiliarena_日报_底稿'!$P$2:$P$31,0),match("捕鱼有效投注",'jiliarena_日报_底稿'!$P$3:$DS$3,0))+index('jiliarena_日报_底稿'!$P$2:$DS$31,match($A23,'jiliarena_日报_底稿'!$P$2:$P$31,0),match("体育有效投注",'jiliarena_日报_底稿'!$P$3:$DS$3,0))+index('jiliarena_日报_底稿'!$P$2:$DS$31,match($A23,'jiliarena_日报_底稿'!$P$2:$P$31,0),match("盘口彩票有效投注",'jiliarena_日报_底稿'!$P$3:$DS$3,0))</f>
        <v>1418472.245</v>
      </c>
      <c r="Y23" s="199">
        <f t="shared" ref="Y23:Y29" si="75">AB23+AE23+AH23+AK23+AN23+AQ23-AR23-AO23-AL23-AI23-AF23-AC23</f>
        <v>73227.575</v>
      </c>
      <c r="Z23" s="198">
        <f t="shared" ref="Z23:Z29" si="76">AC23+AF23+AI23+AL23+AO23+AR23</f>
        <v>1436954.075</v>
      </c>
      <c r="AA23" s="194">
        <f t="shared" si="12"/>
        <v>0.048489</v>
      </c>
      <c r="AB23" s="200">
        <f t="array" ref="AB23">INDEX('jiliarena_日报_底稿'!$P$2:$DS$31,MATCH($A23,'jiliarena_日报_底稿'!$P$2:$P$31,0),MATCH(AB$3,'jiliarena_日报_底稿'!$P$3:$DS$3,0))</f>
        <v>15</v>
      </c>
      <c r="AC23" s="200">
        <f t="array" ref="AC23">INDEX('jiliarena_日报_底稿'!$P$2:$DS$31,MATCH($A23,'jiliarena_日报_底稿'!$P$2:$P$31,0),MATCH(AC$3,'jiliarena_日报_底稿'!$P$3:$DS$3,0))</f>
        <v>0</v>
      </c>
      <c r="AD23" s="194">
        <f t="shared" si="14"/>
        <v>1</v>
      </c>
      <c r="AE23" s="200">
        <f t="array" ref="AE23">INDEX('jiliarena_日报_底稿'!$P$2:$DS$31,MATCH($A23,'jiliarena_日报_底稿'!$P$2:$P$31,0),MATCH(AE$3,'jiliarena_日报_底稿'!$P$3:$DS$3,0))</f>
        <v>1489183.92</v>
      </c>
      <c r="AF23" s="200">
        <f t="array" ref="AF23">INDEX('jiliarena_日报_底稿'!$P$2:$DS$31,MATCH($A23,'jiliarena_日报_底稿'!$P$2:$P$31,0),MATCH(AF$3,'jiliarena_日报_底稿'!$P$3:$DS$3,0))</f>
        <v>1414939.445</v>
      </c>
      <c r="AG23" s="194">
        <f t="shared" si="16"/>
        <v>0.049856</v>
      </c>
      <c r="AH23" s="200">
        <f t="array" ref="AH23">INDEX('jiliarena_日报_底稿'!$P$2:$DS$31,MATCH($A23,'jiliarena_日报_底稿'!$P$2:$P$31,0),MATCH(AH$3,'jiliarena_日报_底稿'!$P$3:$DS$3,0))</f>
        <v>3046</v>
      </c>
      <c r="AI23" s="200">
        <f t="array" ref="AI23">INDEX('jiliarena_日报_底稿'!$P$2:$DS$31,MATCH($A23,'jiliarena_日报_底稿'!$P$2:$P$31,0),MATCH(AI$3,'jiliarena_日报_底稿'!$P$3:$DS$3,0))</f>
        <v>4380.5</v>
      </c>
      <c r="AJ23" s="194">
        <f t="shared" si="18"/>
        <v>-0.438116</v>
      </c>
      <c r="AK23" s="200">
        <f t="array" ref="AK23">INDEX('jiliarena_日报_底稿'!$P$2:$DS$31,MATCH($A23,'jiliarena_日报_底稿'!$P$2:$P$31,0),MATCH(AK$3,'jiliarena_日报_底稿'!$P$3:$DS$3,0))</f>
        <v>16216.73</v>
      </c>
      <c r="AL23" s="200">
        <f t="array" ref="AL23">INDEX('jiliarena_日报_底稿'!$P$2:$DS$31,MATCH($A23,'jiliarena_日报_底稿'!$P$2:$P$31,0),MATCH(AL$3,'jiliarena_日报_底稿'!$P$3:$DS$3,0))</f>
        <v>15873.63</v>
      </c>
      <c r="AM23" s="194">
        <f t="shared" si="20"/>
        <v>0.021157</v>
      </c>
      <c r="AN23" s="200">
        <f t="array" ref="AN23">INDEX('jiliarena_日报_底稿'!$P$2:$DS$31,MATCH($A23,'jiliarena_日报_底稿'!$P$2:$P$31,0),MATCH(AN$3,'jiliarena_日报_底稿'!$P$3:$DS$3,0))</f>
        <v>1708</v>
      </c>
      <c r="AO23" s="200">
        <f t="array" ref="AO23">INDEX('jiliarena_日报_底稿'!$P$2:$DS$31,MATCH($A23,'jiliarena_日报_底稿'!$P$2:$P$31,0),MATCH(AO$3,'jiliarena_日报_底稿'!$P$3:$DS$3,0))</f>
        <v>1760.5</v>
      </c>
      <c r="AP23" s="194">
        <f t="shared" si="22"/>
        <v>-0.030738</v>
      </c>
      <c r="AQ23" s="200">
        <f t="array" ref="AQ23">INDEX('jiliarena_日报_底稿'!$P$2:$DS$31,MATCH($A23,'jiliarena_日报_底稿'!$P$2:$P$31,0),MATCH(AQ$3,'jiliarena_日报_底稿'!$P$3:$DS$3,0))</f>
        <v>12</v>
      </c>
      <c r="AR23" s="200">
        <f t="array" ref="AR23">INDEX('jiliarena_日报_底稿'!$P$2:$DS$31,MATCH($A23,'jiliarena_日报_底稿'!$P$2:$P$31,0),MATCH(AR$3,'jiliarena_日报_底稿'!$P$3:$DS$3,0))</f>
        <v>0</v>
      </c>
      <c r="AS23" s="194">
        <f t="shared" si="24"/>
        <v>1</v>
      </c>
      <c r="AT23" s="201">
        <f>SUMIFS('jiliarena_活动分析数据_底稿'!$K:$K,'jiliarena_活动分析数据_底稿'!$B:$B,$A23,'jiliarena_活动分析数据_底稿'!$L:$L,AT$3)</f>
        <v>4999.59</v>
      </c>
      <c r="AU23" s="201">
        <f>SUMIFS('jiliarena_活动分析数据_底稿'!$K:$K,'jiliarena_活动分析数据_底稿'!$B:$B,$A23,'jiliarena_活动分析数据_底稿'!$L:$L,AU$3)</f>
        <v>0</v>
      </c>
      <c r="AV23" s="201">
        <f>SUMIFS('jiliarena_活动分析数据_底稿'!$K:$K,'jiliarena_活动分析数据_底稿'!$B:$B,$A23,'jiliarena_活动分析数据_底稿'!$L:$L,AV$3)</f>
        <v>5425.67</v>
      </c>
      <c r="AW23" s="201">
        <f>SUMIFS('jiliarena_活动分析数据_底稿'!$K:$K,'jiliarena_活动分析数据_底稿'!$B:$B,$A23,'jiliarena_活动分析数据_底稿'!$L:$L,AW$3)</f>
        <v>5998</v>
      </c>
      <c r="AX23" s="201">
        <f>SUMIFS('jiliarena_活动分析数据_底稿'!$K:$K,'jiliarena_活动分析数据_底稿'!$B:$B,$A23,'jiliarena_活动分析数据_底稿'!$L:$L,AX$3)</f>
        <v>1479</v>
      </c>
      <c r="AY23" s="201">
        <f>SUMIFS('jiliarena_活动分析数据_底稿'!$K:$K,'jiliarena_活动分析数据_底稿'!$B:$B,$A23,'jiliarena_活动分析数据_底稿'!$L:$L,AY$3)</f>
        <v>0</v>
      </c>
      <c r="AZ23" s="201">
        <f>SUMIFS('jiliarena_活动分析数据_底稿'!$K:$K,'jiliarena_活动分析数据_底稿'!$B:$B,$A23,'jiliarena_活动分析数据_底稿'!$L:$L,AZ$3)</f>
        <v>0</v>
      </c>
      <c r="BA23" s="201">
        <f>SUMIFS('jiliarena_活动分析数据_底稿'!$K:$K,'jiliarena_活动分析数据_底稿'!$B:$B,$A23,'jiliarena_活动分析数据_底稿'!$L:$L,BA$3)</f>
        <v>0</v>
      </c>
      <c r="BB23" s="201">
        <f>SUMIFS('jiliarena_活动分析数据_底稿'!$K:$K,'jiliarena_活动分析数据_底稿'!$B:$B,$A23,'jiliarena_活动分析数据_底稿'!$L:$L,BB$3)</f>
        <v>727.8</v>
      </c>
      <c r="BC23" s="201">
        <f>SUMIFS('jiliarena_活动分析数据_底稿'!$K:$K,'jiliarena_活动分析数据_底稿'!$B:$B,$A23,'jiliarena_活动分析数据_底稿'!$L:$L,BC$3)</f>
        <v>633</v>
      </c>
      <c r="BD23" s="201">
        <f>SUMIFS('jiliarena_活动分析数据_底稿'!$K:$K,'jiliarena_活动分析数据_底稿'!$B:$B,$A23,'jiliarena_活动分析数据_底稿'!$L:$L,BD$3)</f>
        <v>0</v>
      </c>
      <c r="BE23" s="201">
        <f>SUMIFS('jiliarena_活动分析数据_底稿'!$K:$K,'jiliarena_活动分析数据_底稿'!$B:$B,$A23,'jiliarena_活动分析数据_底稿'!$L:$L,BE$3)</f>
        <v>0</v>
      </c>
      <c r="BF23" s="201">
        <f>SUMIFS('jiliarena_活动分析数据_底稿'!$K:$K,'jiliarena_活动分析数据_底稿'!$B:$B,$A23,'jiliarena_活动分析数据_底稿'!$L:$L,BF$3)</f>
        <v>787</v>
      </c>
      <c r="BG23" s="201">
        <f>SUMIFS('jiliarena_活动分析数据_底稿'!$K:$K,'jiliarena_活动分析数据_底稿'!$B:$B,$A23,'jiliarena_活动分析数据_底稿'!$L:$L,BG$3)</f>
        <v>0</v>
      </c>
      <c r="BH23" s="201">
        <f>SUMIFS('jiliarena_活动分析数据_底稿'!$K:$K,'jiliarena_活动分析数据_底稿'!$B:$B,$A23,'jiliarena_活动分析数据_底稿'!$L:$L,BH$3)</f>
        <v>0</v>
      </c>
      <c r="BI23" s="201">
        <f>SUMIFS('jiliarena_活动分析数据_底稿'!$K:$K,'jiliarena_活动分析数据_底稿'!$B:$B,$A23,'jiliarena_活动分析数据_底稿'!$L:$L,BI$3)</f>
        <v>0</v>
      </c>
      <c r="BJ23" s="201">
        <f>SUMIFS('jiliarena_活动分析数据_底稿'!$K:$K,'jiliarena_活动分析数据_底稿'!$B:$B,$A23,'jiliarena_活动分析数据_底稿'!$L:$L,BJ$3)</f>
        <v>14191.5</v>
      </c>
      <c r="BK23" s="201">
        <f>SUMIFS('jiliarena_活动分析数据_底稿'!$K:$K,'jiliarena_活动分析数据_底稿'!$B:$B,$A23,'jiliarena_活动分析数据_底稿'!$L:$L,BK$3)</f>
        <v>0</v>
      </c>
      <c r="BL23" s="201">
        <f>SUMIFS('jiliarena_活动分析数据_底稿'!$K:$K,'jiliarena_活动分析数据_底稿'!$B:$B,$A23,'jiliarena_活动分析数据_底稿'!$L:$L,BL$3)</f>
        <v>0</v>
      </c>
      <c r="BM23" s="201">
        <f>SUMIFS('jiliarena_活动分析数据_底稿'!$K:$K,'jiliarena_活动分析数据_底稿'!$B:$B,$A23,'jiliarena_活动分析数据_底稿'!$L:$L,BM$3)</f>
        <v>0</v>
      </c>
      <c r="BN23" s="201">
        <f>SUMIFS('jiliarena_活动分析数据_底稿'!$K:$K,'jiliarena_活动分析数据_底稿'!$B:$B,$A23,'jiliarena_活动分析数据_底稿'!$L:$L,BN$3)</f>
        <v>0</v>
      </c>
      <c r="BO23" s="201">
        <f>SUMIFS('jiliarena_活动分析数据_底稿'!$K:$K,'jiliarena_活动分析数据_底稿'!$B:$B,$A23,'jiliarena_活动分析数据_底稿'!$L:$L,BO$3)</f>
        <v>0</v>
      </c>
      <c r="BP23" s="201">
        <f>SUMIFS('jiliarena_活动分析数据_底稿'!$K:$K,'jiliarena_活动分析数据_底稿'!$B:$B,$A23,'jiliarena_活动分析数据_底稿'!$L:$L,BP$3)</f>
        <v>0</v>
      </c>
      <c r="BQ23" s="198">
        <f t="shared" ref="BQ23:BQ29" si="77">SUM(AT23:BP23)</f>
        <v>34241.56</v>
      </c>
      <c r="BR23" s="198">
        <f t="shared" ref="BR23:BR29" si="78">AT23</f>
        <v>4999.59</v>
      </c>
      <c r="BS23" s="198">
        <f t="shared" ref="BS23:BS29" si="79">BB23</f>
        <v>727.8</v>
      </c>
      <c r="BT23" s="194">
        <f t="shared" si="26"/>
        <v>0.02414</v>
      </c>
      <c r="BU23" s="194">
        <f t="shared" si="27"/>
        <v>0.2120693158</v>
      </c>
      <c r="BV23" s="194">
        <f t="shared" si="28"/>
        <v>0.467604724</v>
      </c>
      <c r="BW23" s="202">
        <f t="shared" si="29"/>
        <v>38986.015</v>
      </c>
      <c r="BX23" s="203">
        <f t="shared" si="30"/>
        <v>0.8783036686</v>
      </c>
      <c r="BY23" s="204">
        <f t="shared" si="31"/>
        <v>3891.2824</v>
      </c>
      <c r="BZ23" s="205">
        <f t="shared" si="32"/>
        <v>207.954</v>
      </c>
      <c r="CA23" s="206">
        <f t="shared" si="33"/>
        <v>4099.2364</v>
      </c>
      <c r="CB23" s="207">
        <f t="shared" si="34"/>
        <v>6590</v>
      </c>
      <c r="CC23" s="203">
        <f t="shared" si="35"/>
        <v>0.10514633</v>
      </c>
      <c r="CD23" s="198">
        <f t="array" ref="CD23">index('jiliarena_日报_底稿'!$P$3:$DS$31,match(A23,'jiliarena_日报_底稿'!$P$3:$P$31,0),match("综合性分红",'jiliarena_日报_底稿'!$P$3:$DS$3,0))</f>
        <v>0</v>
      </c>
      <c r="CE23" s="208"/>
      <c r="CF23" s="198">
        <f t="array" ref="CF23">INDEX('jiliarena_日报_底稿'!$P$2:$DS$31,MATCH($A23,'jiliarena_日报_底稿'!$P$2:$P$31,0),MATCH(CF$3,'jiliarena_日报_底稿'!$P$3:$DS$3,0))</f>
        <v>0</v>
      </c>
      <c r="CG23" s="198">
        <f t="array" ref="CG23">-INDEX('jiliarena_日报_底稿'!$P$2:$DS$31,MATCH($A23,'jiliarena_日报_底稿'!$P$2:$P$31,0),MATCH(CG$3,'jiliarena_日报_底稿'!$P$3:$DS$3,0))</f>
        <v>0</v>
      </c>
      <c r="CH23" s="198">
        <f t="array" ref="CH23">INDEX('jiliarena_日报_底稿'!$P$2:$DS$31,MATCH($A23,'jiliarena_日报_底稿'!$P$2:$P$31,0),MATCH(CH$3,'jiliarena_日报_底稿'!$P$3:$DS$3,0))</f>
        <v>83755.8515</v>
      </c>
      <c r="CI23" s="202">
        <f t="shared" si="37"/>
        <v>28296.7786</v>
      </c>
      <c r="CJ23" s="209">
        <f t="shared" si="38"/>
        <v>2</v>
      </c>
      <c r="CK23" s="209">
        <f t="shared" si="39"/>
        <v>16</v>
      </c>
    </row>
    <row r="24">
      <c r="A24" s="222">
        <f t="shared" ref="A24:A29" si="80">A23+1</f>
        <v>46070</v>
      </c>
      <c r="B24" s="191">
        <f t="array" ref="B24">INDEX('jiliarena_日报_底稿'!$A$3:$N$31,MATCH($A24,'jiliarena_日报_底稿'!$A$3:$A$31,0),MATCH(B$3,'jiliarena_日报_底稿'!$A$3:$N$3,0))</f>
        <v>881</v>
      </c>
      <c r="C24" s="191">
        <f t="array" ref="C24">INDEX('jiliarena_日报_底稿'!$A$3:$N$31,MATCH($A24,'jiliarena_日报_底稿'!$A$3:$A$31,0),MATCH(C$3,'jiliarena_日报_底稿'!$A$3:$N$3,0))</f>
        <v>378</v>
      </c>
      <c r="D24" s="191">
        <f t="array" ref="D24">INDEX('jiliarena_日报_底稿'!$A$3:$N$31,MATCH($A24,'jiliarena_日报_底稿'!$A$3:$A$31,0),MATCH(D$3,'jiliarena_日报_底稿'!$A$3:$N$3,0))</f>
        <v>5216</v>
      </c>
      <c r="E24" s="192">
        <v>73.0</v>
      </c>
      <c r="F24" s="191">
        <f t="array" ref="F24">INDEX('jiliarena_日报_底稿'!$A$3:$N$31,MATCH($A24,'jiliarena_日报_底稿'!$A$3:$A$31,0),MATCH(F$3,'jiliarena_日报_底稿'!$A$3:$N$3,0))</f>
        <v>787</v>
      </c>
      <c r="G24" s="191">
        <f>SUMIFS('渠道充值成功率_底稿'!$F:$F,'渠道充值成功率_底稿'!$A:$A,A24)</f>
        <v>1052</v>
      </c>
      <c r="H24" s="191">
        <f t="array" ref="H24">INDEX('jiliarena_日报_底稿'!$A$3:$N$31,MATCH($A24,'jiliarena_日报_底稿'!$A$3:$A$31,0),MATCH(H$3,'jiliarena_日报_底稿'!$A$3:$N$3,0))</f>
        <v>180</v>
      </c>
      <c r="I24" s="192">
        <v>226.0</v>
      </c>
      <c r="J24" s="191">
        <f t="array" ref="J24">INDEX('jiliarena_日报_底稿'!$A$3:$N$31,MATCH($A24,'jiliarena_日报_底稿'!$A$3:$A$31,0),MATCH(J$3,'jiliarena_日报_底稿'!$A$3:$N$3,0))</f>
        <v>3764</v>
      </c>
      <c r="K24" s="193">
        <f>SUMIFS('渠道充值成功率_底稿'!$J:$J,'渠道充值成功率_底稿'!$A:$A,$A24)</f>
        <v>57731</v>
      </c>
      <c r="L24" s="193">
        <f t="array" ref="L24">INDEX('jiliarena_日报_底稿'!$A$3:$N$31,MATCH($A24,'jiliarena_日报_底稿'!$A$3:$A$31,0),MATCH(L$3,'jiliarena_日报_底稿'!$A$3:$N$3,0))</f>
        <v>165666</v>
      </c>
      <c r="M24" s="193">
        <f t="array" ref="M24">INDEX('jiliarena_日报_底稿'!$P$2:$DS$31,MATCH($A24,'jiliarena_日报_底稿'!$P$2:$P$31,0),MATCH($M$3,'jiliarena_日报_底稿'!$P$3:$DS$3,0))</f>
        <v>115840</v>
      </c>
      <c r="N24" s="194">
        <f t="shared" si="2"/>
        <v>0.4291</v>
      </c>
      <c r="O24" s="195">
        <f t="shared" si="3"/>
        <v>153</v>
      </c>
      <c r="P24" s="194">
        <f t="shared" si="4"/>
        <v>0.348478</v>
      </c>
      <c r="Q24" s="195">
        <f t="shared" si="5"/>
        <v>1.3</v>
      </c>
      <c r="R24" s="196">
        <f t="shared" si="6"/>
        <v>211</v>
      </c>
      <c r="S24" s="195">
        <f t="shared" si="7"/>
        <v>157</v>
      </c>
      <c r="T24" s="195">
        <f t="shared" si="8"/>
        <v>1</v>
      </c>
      <c r="U24" s="196">
        <f t="shared" si="9"/>
        <v>644</v>
      </c>
      <c r="V24" s="197">
        <f t="shared" si="10"/>
        <v>49826</v>
      </c>
      <c r="W24" s="198">
        <f t="shared" si="74"/>
        <v>1522936.29</v>
      </c>
      <c r="X24" s="198">
        <f t="array" ref="X24">index('jiliarena_日报_底稿'!$P$2:$DS$31,match($A24,'jiliarena_日报_底稿'!$P$2:$P$31,0),match("电子有效投注",'jiliarena_日报_底稿'!$P$3:$DS$3,0))+index('jiliarena_日报_底稿'!$P$2:$DS$31,match($A24,'jiliarena_日报_底稿'!$P$2:$P$31,0),match("真人有效投注",'jiliarena_日报_底稿'!$P$3:$DS$3,0))+index('jiliarena_日报_底稿'!$P$2:$DS$31,match($A24,'jiliarena_日报_底稿'!$P$2:$P$31,0),match("彩票有效投注",'jiliarena_日报_底稿'!$P$3:$DS$3,0))+index('jiliarena_日报_底稿'!$P$2:$DS$31,match($A24,'jiliarena_日报_底稿'!$P$2:$P$31,0),match("棋牌有效投注",'jiliarena_日报_底稿'!$P$3:$DS$3,0))+index('jiliarena_日报_底稿'!$P$2:$DS$31,match($A24,'jiliarena_日报_底稿'!$P$2:$P$31,0),match("捕鱼有效投注",'jiliarena_日报_底稿'!$P$3:$DS$3,0))+index('jiliarena_日报_底稿'!$P$2:$DS$31,match($A24,'jiliarena_日报_底稿'!$P$2:$P$31,0),match("体育有效投注",'jiliarena_日报_底稿'!$P$3:$DS$3,0))+index('jiliarena_日报_底稿'!$P$2:$DS$31,match($A24,'jiliarena_日报_底稿'!$P$2:$P$31,0),match("盘口彩票有效投注",'jiliarena_日报_底稿'!$P$3:$DS$3,0))</f>
        <v>1413930.83</v>
      </c>
      <c r="Y24" s="199">
        <f t="shared" si="75"/>
        <v>61788.64</v>
      </c>
      <c r="Z24" s="198">
        <f t="shared" si="76"/>
        <v>1461147.65</v>
      </c>
      <c r="AA24" s="194">
        <f t="shared" si="12"/>
        <v>0.040572</v>
      </c>
      <c r="AB24" s="200">
        <f t="array" ref="AB24">INDEX('jiliarena_日报_底稿'!$P$2:$DS$31,MATCH($A24,'jiliarena_日报_底稿'!$P$2:$P$31,0),MATCH(AB$3,'jiliarena_日报_底稿'!$P$3:$DS$3,0))</f>
        <v>63</v>
      </c>
      <c r="AC24" s="200">
        <f t="array" ref="AC24">INDEX('jiliarena_日报_底稿'!$P$2:$DS$31,MATCH($A24,'jiliarena_日报_底稿'!$P$2:$P$31,0),MATCH(AC$3,'jiliarena_日报_底稿'!$P$3:$DS$3,0))</f>
        <v>119.72</v>
      </c>
      <c r="AD24" s="194">
        <f t="shared" si="14"/>
        <v>-0.900317</v>
      </c>
      <c r="AE24" s="200">
        <f t="array" ref="AE24">INDEX('jiliarena_日报_底稿'!$P$2:$DS$31,MATCH($A24,'jiliarena_日报_底稿'!$P$2:$P$31,0),MATCH(AE$3,'jiliarena_日报_底稿'!$P$3:$DS$3,0))</f>
        <v>1509509.29</v>
      </c>
      <c r="AF24" s="200">
        <f t="array" ref="AF24">INDEX('jiliarena_日报_底稿'!$P$2:$DS$31,MATCH($A24,'jiliarena_日报_底稿'!$P$2:$P$31,0),MATCH(AF$3,'jiliarena_日报_底稿'!$P$3:$DS$3,0))</f>
        <v>1449055.74</v>
      </c>
      <c r="AG24" s="194">
        <f t="shared" si="16"/>
        <v>0.040048</v>
      </c>
      <c r="AH24" s="200">
        <f t="array" ref="AH24">INDEX('jiliarena_日报_底稿'!$P$2:$DS$31,MATCH($A24,'jiliarena_日报_底稿'!$P$2:$P$31,0),MATCH(AH$3,'jiliarena_日报_底稿'!$P$3:$DS$3,0))</f>
        <v>2993</v>
      </c>
      <c r="AI24" s="200">
        <f t="array" ref="AI24">INDEX('jiliarena_日报_底稿'!$P$2:$DS$31,MATCH($A24,'jiliarena_日报_底稿'!$P$2:$P$31,0),MATCH(AI$3,'jiliarena_日报_底稿'!$P$3:$DS$3,0))</f>
        <v>2564.5</v>
      </c>
      <c r="AJ24" s="194">
        <f t="shared" si="18"/>
        <v>0.143167</v>
      </c>
      <c r="AK24" s="200">
        <f t="array" ref="AK24">INDEX('jiliarena_日报_底稿'!$P$2:$DS$31,MATCH($A24,'jiliarena_日报_底稿'!$P$2:$P$31,0),MATCH(AK$3,'jiliarena_日报_底稿'!$P$3:$DS$3,0))</f>
        <v>9362</v>
      </c>
      <c r="AL24" s="200">
        <f t="array" ref="AL24">INDEX('jiliarena_日报_底稿'!$P$2:$DS$31,MATCH($A24,'jiliarena_日报_底稿'!$P$2:$P$31,0),MATCH(AL$3,'jiliarena_日报_底稿'!$P$3:$DS$3,0))</f>
        <v>8367.69</v>
      </c>
      <c r="AM24" s="194">
        <f t="shared" si="20"/>
        <v>0.106207</v>
      </c>
      <c r="AN24" s="200">
        <f t="array" ref="AN24">INDEX('jiliarena_日报_底稿'!$P$2:$DS$31,MATCH($A24,'jiliarena_日报_底稿'!$P$2:$P$31,0),MATCH(AN$3,'jiliarena_日报_底稿'!$P$3:$DS$3,0))</f>
        <v>1000</v>
      </c>
      <c r="AO24" s="200">
        <f t="array" ref="AO24">INDEX('jiliarena_日报_底稿'!$P$2:$DS$31,MATCH($A24,'jiliarena_日报_底稿'!$P$2:$P$31,0),MATCH(AO$3,'jiliarena_日报_底稿'!$P$3:$DS$3,0))</f>
        <v>950</v>
      </c>
      <c r="AP24" s="194">
        <f t="shared" si="22"/>
        <v>0.05</v>
      </c>
      <c r="AQ24" s="200">
        <f t="array" ref="AQ24">INDEX('jiliarena_日报_底稿'!$P$2:$DS$31,MATCH($A24,'jiliarena_日报_底稿'!$P$2:$P$31,0),MATCH(AQ$3,'jiliarena_日报_底稿'!$P$3:$DS$3,0))</f>
        <v>9</v>
      </c>
      <c r="AR24" s="200">
        <f t="array" ref="AR24">INDEX('jiliarena_日报_底稿'!$P$2:$DS$31,MATCH($A24,'jiliarena_日报_底稿'!$P$2:$P$31,0),MATCH(AR$3,'jiliarena_日报_底稿'!$P$3:$DS$3,0))</f>
        <v>90</v>
      </c>
      <c r="AS24" s="194">
        <f t="shared" si="24"/>
        <v>-9</v>
      </c>
      <c r="AT24" s="201">
        <f>SUMIFS('jiliarena_活动分析数据_底稿'!$K:$K,'jiliarena_活动分析数据_底稿'!$B:$B,$A24,'jiliarena_活动分析数据_底稿'!$L:$L,AT$3)</f>
        <v>4501.77</v>
      </c>
      <c r="AU24" s="201">
        <f>SUMIFS('jiliarena_活动分析数据_底稿'!$K:$K,'jiliarena_活动分析数据_底稿'!$B:$B,$A24,'jiliarena_活动分析数据_底稿'!$L:$L,AU$3)</f>
        <v>0</v>
      </c>
      <c r="AV24" s="201">
        <f>SUMIFS('jiliarena_活动分析数据_底稿'!$K:$K,'jiliarena_活动分析数据_底稿'!$B:$B,$A24,'jiliarena_活动分析数据_底稿'!$L:$L,AV$3)</f>
        <v>5826.4</v>
      </c>
      <c r="AW24" s="201">
        <f>SUMIFS('jiliarena_活动分析数据_底稿'!$K:$K,'jiliarena_活动分析数据_底稿'!$B:$B,$A24,'jiliarena_活动分析数据_底稿'!$L:$L,AW$3)</f>
        <v>6387</v>
      </c>
      <c r="AX24" s="201">
        <f>SUMIFS('jiliarena_活动分析数据_底稿'!$K:$K,'jiliarena_活动分析数据_底稿'!$B:$B,$A24,'jiliarena_活动分析数据_底稿'!$L:$L,AX$3)</f>
        <v>1104</v>
      </c>
      <c r="AY24" s="201">
        <f>SUMIFS('jiliarena_活动分析数据_底稿'!$K:$K,'jiliarena_活动分析数据_底稿'!$B:$B,$A24,'jiliarena_活动分析数据_底稿'!$L:$L,AY$3)</f>
        <v>0</v>
      </c>
      <c r="AZ24" s="201">
        <f>SUMIFS('jiliarena_活动分析数据_底稿'!$K:$K,'jiliarena_活动分析数据_底稿'!$B:$B,$A24,'jiliarena_活动分析数据_底稿'!$L:$L,AZ$3)</f>
        <v>0</v>
      </c>
      <c r="BA24" s="201">
        <f>SUMIFS('jiliarena_活动分析数据_底稿'!$K:$K,'jiliarena_活动分析数据_底稿'!$B:$B,$A24,'jiliarena_活动分析数据_底稿'!$L:$L,BA$3)</f>
        <v>0</v>
      </c>
      <c r="BB24" s="201">
        <f>SUMIFS('jiliarena_活动分析数据_底稿'!$K:$K,'jiliarena_活动分析数据_底稿'!$B:$B,$A24,'jiliarena_活动分析数据_底稿'!$L:$L,BB$3)</f>
        <v>544.82</v>
      </c>
      <c r="BC24" s="201">
        <f>SUMIFS('jiliarena_活动分析数据_底稿'!$K:$K,'jiliarena_活动分析数据_底稿'!$B:$B,$A24,'jiliarena_活动分析数据_底稿'!$L:$L,BC$3)</f>
        <v>605</v>
      </c>
      <c r="BD24" s="201">
        <f>SUMIFS('jiliarena_活动分析数据_底稿'!$K:$K,'jiliarena_活动分析数据_底稿'!$B:$B,$A24,'jiliarena_活动分析数据_底稿'!$L:$L,BD$3)</f>
        <v>0</v>
      </c>
      <c r="BE24" s="201">
        <f>SUMIFS('jiliarena_活动分析数据_底稿'!$K:$K,'jiliarena_活动分析数据_底稿'!$B:$B,$A24,'jiliarena_活动分析数据_底稿'!$L:$L,BE$3)</f>
        <v>0</v>
      </c>
      <c r="BF24" s="201">
        <f>SUMIFS('jiliarena_活动分析数据_底稿'!$K:$K,'jiliarena_活动分析数据_底稿'!$B:$B,$A24,'jiliarena_活动分析数据_底稿'!$L:$L,BF$3)</f>
        <v>899</v>
      </c>
      <c r="BG24" s="201">
        <f>SUMIFS('jiliarena_活动分析数据_底稿'!$K:$K,'jiliarena_活动分析数据_底稿'!$B:$B,$A24,'jiliarena_活动分析数据_底稿'!$L:$L,BG$3)</f>
        <v>0</v>
      </c>
      <c r="BH24" s="201">
        <f>SUMIFS('jiliarena_活动分析数据_底稿'!$K:$K,'jiliarena_活动分析数据_底稿'!$B:$B,$A24,'jiliarena_活动分析数据_底稿'!$L:$L,BH$3)</f>
        <v>0</v>
      </c>
      <c r="BI24" s="201">
        <f>SUMIFS('jiliarena_活动分析数据_底稿'!$K:$K,'jiliarena_活动分析数据_底稿'!$B:$B,$A24,'jiliarena_活动分析数据_底稿'!$L:$L,BI$3)</f>
        <v>0</v>
      </c>
      <c r="BJ24" s="201">
        <f>SUMIFS('jiliarena_活动分析数据_底稿'!$K:$K,'jiliarena_活动分析数据_底稿'!$B:$B,$A24,'jiliarena_活动分析数据_底稿'!$L:$L,BJ$3)</f>
        <v>14835.5</v>
      </c>
      <c r="BK24" s="201">
        <f>SUMIFS('jiliarena_活动分析数据_底稿'!$K:$K,'jiliarena_活动分析数据_底稿'!$B:$B,$A24,'jiliarena_活动分析数据_底稿'!$L:$L,BK$3)</f>
        <v>0</v>
      </c>
      <c r="BL24" s="201">
        <f>SUMIFS('jiliarena_活动分析数据_底稿'!$K:$K,'jiliarena_活动分析数据_底稿'!$B:$B,$A24,'jiliarena_活动分析数据_底稿'!$L:$L,BL$3)</f>
        <v>0</v>
      </c>
      <c r="BM24" s="201">
        <f>SUMIFS('jiliarena_活动分析数据_底稿'!$K:$K,'jiliarena_活动分析数据_底稿'!$B:$B,$A24,'jiliarena_活动分析数据_底稿'!$L:$L,BM$3)</f>
        <v>0</v>
      </c>
      <c r="BN24" s="201">
        <f>SUMIFS('jiliarena_活动分析数据_底稿'!$K:$K,'jiliarena_活动分析数据_底稿'!$B:$B,$A24,'jiliarena_活动分析数据_底稿'!$L:$L,BN$3)</f>
        <v>0</v>
      </c>
      <c r="BO24" s="201">
        <f>SUMIFS('jiliarena_活动分析数据_底稿'!$K:$K,'jiliarena_活动分析数据_底稿'!$B:$B,$A24,'jiliarena_活动分析数据_底稿'!$L:$L,BO$3)</f>
        <v>0</v>
      </c>
      <c r="BP24" s="201">
        <f>SUMIFS('jiliarena_活动分析数据_底稿'!$K:$K,'jiliarena_活动分析数据_底稿'!$B:$B,$A24,'jiliarena_活动分析数据_底稿'!$L:$L,BP$3)</f>
        <v>0</v>
      </c>
      <c r="BQ24" s="198">
        <f t="shared" si="77"/>
        <v>34703.49</v>
      </c>
      <c r="BR24" s="198">
        <f t="shared" si="78"/>
        <v>4501.77</v>
      </c>
      <c r="BS24" s="198">
        <f t="shared" si="79"/>
        <v>544.82</v>
      </c>
      <c r="BT24" s="194">
        <f t="shared" si="26"/>
        <v>0.024544</v>
      </c>
      <c r="BU24" s="194">
        <f t="shared" si="27"/>
        <v>0.2094786498</v>
      </c>
      <c r="BV24" s="194">
        <f t="shared" si="28"/>
        <v>0.5616483871</v>
      </c>
      <c r="BW24" s="202">
        <f t="shared" si="29"/>
        <v>27085.15</v>
      </c>
      <c r="BX24" s="203">
        <f t="shared" si="30"/>
        <v>1.281273687</v>
      </c>
      <c r="BY24" s="204">
        <f t="shared" si="31"/>
        <v>3992.5506</v>
      </c>
      <c r="BZ24" s="205">
        <f t="shared" si="32"/>
        <v>231.68</v>
      </c>
      <c r="CA24" s="206">
        <f t="shared" si="33"/>
        <v>4224.2306</v>
      </c>
      <c r="CB24" s="207">
        <f t="shared" si="34"/>
        <v>5561</v>
      </c>
      <c r="CC24" s="203">
        <f t="shared" si="35"/>
        <v>0.15596113</v>
      </c>
      <c r="CD24" s="198">
        <f t="array" ref="CD24">index('jiliarena_日报_底稿'!$P$3:$DS$31,match(A24,'jiliarena_日报_底稿'!$P$3:$P$31,0),match("综合性分红",'jiliarena_日报_底稿'!$P$3:$DS$3,0))</f>
        <v>0</v>
      </c>
      <c r="CE24" s="208"/>
      <c r="CF24" s="198">
        <f t="array" ref="CF24">INDEX('jiliarena_日报_底稿'!$P$2:$DS$31,MATCH($A24,'jiliarena_日报_底稿'!$P$2:$P$31,0),MATCH(CF$3,'jiliarena_日报_底稿'!$P$3:$DS$3,0))</f>
        <v>0</v>
      </c>
      <c r="CG24" s="198">
        <f t="array" ref="CG24">-INDEX('jiliarena_日报_底稿'!$P$2:$DS$31,MATCH($A24,'jiliarena_日报_底稿'!$P$2:$P$31,0),MATCH(CG$3,'jiliarena_日报_底稿'!$P$3:$DS$3,0))</f>
        <v>0</v>
      </c>
      <c r="CH24" s="198">
        <f t="array" ref="CH24">INDEX('jiliarena_日报_底稿'!$P$2:$DS$31,MATCH($A24,'jiliarena_日报_底稿'!$P$2:$P$31,0),MATCH(CH$3,'jiliarena_日报_底稿'!$P$3:$DS$3,0))</f>
        <v>85921.3877</v>
      </c>
      <c r="CI24" s="202">
        <f t="shared" si="37"/>
        <v>17299.9194</v>
      </c>
      <c r="CJ24" s="209">
        <f t="shared" si="38"/>
        <v>2</v>
      </c>
      <c r="CK24" s="209">
        <f t="shared" si="39"/>
        <v>17</v>
      </c>
    </row>
    <row r="25">
      <c r="A25" s="222">
        <f t="shared" si="80"/>
        <v>46071</v>
      </c>
      <c r="B25" s="191">
        <f t="array" ref="B25">INDEX('jiliarena_日报_底稿'!$A$3:$N$31,MATCH($A25,'jiliarena_日报_底稿'!$A$3:$A$31,0),MATCH(B$3,'jiliarena_日报_底稿'!$A$3:$N$3,0))</f>
        <v>829</v>
      </c>
      <c r="C25" s="191">
        <f t="array" ref="C25">INDEX('jiliarena_日报_底稿'!$A$3:$N$31,MATCH($A25,'jiliarena_日报_底稿'!$A$3:$A$31,0),MATCH(C$3,'jiliarena_日报_底稿'!$A$3:$N$3,0))</f>
        <v>291</v>
      </c>
      <c r="D25" s="191">
        <f t="array" ref="D25">INDEX('jiliarena_日报_底稿'!$A$3:$N$31,MATCH($A25,'jiliarena_日报_底稿'!$A$3:$A$31,0),MATCH(D$3,'jiliarena_日报_底稿'!$A$3:$N$3,0))</f>
        <v>4444</v>
      </c>
      <c r="E25" s="192">
        <v>57.0</v>
      </c>
      <c r="F25" s="191">
        <f t="array" ref="F25">INDEX('jiliarena_日报_底稿'!$A$3:$N$31,MATCH($A25,'jiliarena_日报_底稿'!$A$3:$A$31,0),MATCH(F$3,'jiliarena_日报_底稿'!$A$3:$N$3,0))</f>
        <v>670</v>
      </c>
      <c r="G25" s="191">
        <f>SUMIFS('渠道充值成功率_底稿'!$F:$F,'渠道充值成功率_底稿'!$A:$A,A25)</f>
        <v>910</v>
      </c>
      <c r="H25" s="191">
        <f t="array" ref="H25">INDEX('jiliarena_日报_底稿'!$A$3:$N$31,MATCH($A25,'jiliarena_日报_底稿'!$A$3:$A$31,0),MATCH(H$3,'jiliarena_日报_底稿'!$A$3:$N$3,0))</f>
        <v>151</v>
      </c>
      <c r="I25" s="192">
        <v>201.0</v>
      </c>
      <c r="J25" s="191">
        <f t="array" ref="J25">INDEX('jiliarena_日报_底稿'!$A$3:$N$31,MATCH($A25,'jiliarena_日报_底稿'!$A$3:$A$31,0),MATCH(J$3,'jiliarena_日报_底稿'!$A$3:$N$3,0))</f>
        <v>3251</v>
      </c>
      <c r="K25" s="193">
        <f>SUMIFS('渠道充值成功率_底稿'!$J:$J,'渠道充值成功率_底稿'!$A:$A,$A25)</f>
        <v>43064</v>
      </c>
      <c r="L25" s="193">
        <f t="array" ref="L25">INDEX('jiliarena_日报_底稿'!$A$3:$N$31,MATCH($A25,'jiliarena_日报_底稿'!$A$3:$A$31,0),MATCH(L$3,'jiliarena_日报_底稿'!$A$3:$N$3,0))</f>
        <v>131088</v>
      </c>
      <c r="M25" s="193">
        <f t="array" ref="M25">INDEX('jiliarena_日报_底稿'!$P$2:$DS$31,MATCH($A25,'jiliarena_日报_底稿'!$P$2:$P$31,0),MATCH($M$3,'jiliarena_日报_底稿'!$P$3:$DS$3,0))</f>
        <v>108071</v>
      </c>
      <c r="N25" s="194">
        <f t="shared" si="2"/>
        <v>0.351</v>
      </c>
      <c r="O25" s="195">
        <f t="shared" si="3"/>
        <v>148</v>
      </c>
      <c r="P25" s="194">
        <f t="shared" si="4"/>
        <v>0.328512</v>
      </c>
      <c r="Q25" s="195">
        <f t="shared" si="5"/>
        <v>1.4</v>
      </c>
      <c r="R25" s="196">
        <f t="shared" si="6"/>
        <v>196</v>
      </c>
      <c r="S25" s="195">
        <f t="shared" si="7"/>
        <v>144</v>
      </c>
      <c r="T25" s="195">
        <f t="shared" si="8"/>
        <v>1</v>
      </c>
      <c r="U25" s="196">
        <f t="shared" si="9"/>
        <v>716</v>
      </c>
      <c r="V25" s="197">
        <f t="shared" si="10"/>
        <v>23017</v>
      </c>
      <c r="W25" s="198">
        <f t="shared" si="74"/>
        <v>1235000.58</v>
      </c>
      <c r="X25" s="198">
        <f t="array" ref="X25">index('jiliarena_日报_底稿'!$P$2:$DS$31,match($A25,'jiliarena_日报_底稿'!$P$2:$P$31,0),match("电子有效投注",'jiliarena_日报_底稿'!$P$3:$DS$3,0))+index('jiliarena_日报_底稿'!$P$2:$DS$31,match($A25,'jiliarena_日报_底稿'!$P$2:$P$31,0),match("真人有效投注",'jiliarena_日报_底稿'!$P$3:$DS$3,0))+index('jiliarena_日报_底稿'!$P$2:$DS$31,match($A25,'jiliarena_日报_底稿'!$P$2:$P$31,0),match("彩票有效投注",'jiliarena_日报_底稿'!$P$3:$DS$3,0))+index('jiliarena_日报_底稿'!$P$2:$DS$31,match($A25,'jiliarena_日报_底稿'!$P$2:$P$31,0),match("棋牌有效投注",'jiliarena_日报_底稿'!$P$3:$DS$3,0))+index('jiliarena_日报_底稿'!$P$2:$DS$31,match($A25,'jiliarena_日报_底稿'!$P$2:$P$31,0),match("捕鱼有效投注",'jiliarena_日报_底稿'!$P$3:$DS$3,0))+index('jiliarena_日报_底稿'!$P$2:$DS$31,match($A25,'jiliarena_日报_底稿'!$P$2:$P$31,0),match("体育有效投注",'jiliarena_日报_底稿'!$P$3:$DS$3,0))+index('jiliarena_日报_底稿'!$P$2:$DS$31,match($A25,'jiliarena_日报_底稿'!$P$2:$P$31,0),match("盘口彩票有效投注",'jiliarena_日报_底稿'!$P$3:$DS$3,0))</f>
        <v>1119244.1</v>
      </c>
      <c r="Y25" s="199">
        <f t="shared" si="75"/>
        <v>70124.675</v>
      </c>
      <c r="Z25" s="198">
        <f t="shared" si="76"/>
        <v>1164875.905</v>
      </c>
      <c r="AA25" s="194">
        <f t="shared" si="12"/>
        <v>0.056781</v>
      </c>
      <c r="AB25" s="200">
        <f t="array" ref="AB25">INDEX('jiliarena_日报_底稿'!$P$2:$DS$31,MATCH($A25,'jiliarena_日报_底稿'!$P$2:$P$31,0),MATCH(AB$3,'jiliarena_日报_底稿'!$P$3:$DS$3,0))</f>
        <v>216</v>
      </c>
      <c r="AC25" s="200">
        <f t="array" ref="AC25">INDEX('jiliarena_日报_底稿'!$P$2:$DS$31,MATCH($A25,'jiliarena_日报_底稿'!$P$2:$P$31,0),MATCH(AC$3,'jiliarena_日报_底稿'!$P$3:$DS$3,0))</f>
        <v>12</v>
      </c>
      <c r="AD25" s="194">
        <f t="shared" si="14"/>
        <v>0.944444</v>
      </c>
      <c r="AE25" s="200">
        <f t="array" ref="AE25">INDEX('jiliarena_日报_底稿'!$P$2:$DS$31,MATCH($A25,'jiliarena_日报_底稿'!$P$2:$P$31,0),MATCH(AE$3,'jiliarena_日报_底稿'!$P$3:$DS$3,0))</f>
        <v>1227872.21</v>
      </c>
      <c r="AF25" s="200">
        <f t="array" ref="AF25">INDEX('jiliarena_日报_底稿'!$P$2:$DS$31,MATCH($A25,'jiliarena_日报_底稿'!$P$2:$P$31,0),MATCH(AF$3,'jiliarena_日报_底稿'!$P$3:$DS$3,0))</f>
        <v>1158142.095</v>
      </c>
      <c r="AG25" s="194">
        <f t="shared" si="16"/>
        <v>0.056789</v>
      </c>
      <c r="AH25" s="200">
        <f t="array" ref="AH25">INDEX('jiliarena_日报_底稿'!$P$2:$DS$31,MATCH($A25,'jiliarena_日报_底稿'!$P$2:$P$31,0),MATCH(AH$3,'jiliarena_日报_底稿'!$P$3:$DS$3,0))</f>
        <v>900</v>
      </c>
      <c r="AI25" s="200">
        <f t="array" ref="AI25">INDEX('jiliarena_日报_底稿'!$P$2:$DS$31,MATCH($A25,'jiliarena_日报_底稿'!$P$2:$P$31,0),MATCH(AI$3,'jiliarena_日报_底稿'!$P$3:$DS$3,0))</f>
        <v>663</v>
      </c>
      <c r="AJ25" s="194">
        <f t="shared" si="18"/>
        <v>0.263333</v>
      </c>
      <c r="AK25" s="200">
        <f t="array" ref="AK25">INDEX('jiliarena_日报_底稿'!$P$2:$DS$31,MATCH($A25,'jiliarena_日报_底稿'!$P$2:$P$31,0),MATCH(AK$3,'jiliarena_日报_底稿'!$P$3:$DS$3,0))</f>
        <v>5999.37</v>
      </c>
      <c r="AL25" s="200">
        <f t="array" ref="AL25">INDEX('jiliarena_日报_底稿'!$P$2:$DS$31,MATCH($A25,'jiliarena_日报_底稿'!$P$2:$P$31,0),MATCH(AL$3,'jiliarena_日报_底稿'!$P$3:$DS$3,0))</f>
        <v>6058.81</v>
      </c>
      <c r="AM25" s="194">
        <f t="shared" si="20"/>
        <v>-0.009908</v>
      </c>
      <c r="AN25" s="200">
        <f t="array" ref="AN25">INDEX('jiliarena_日报_底稿'!$P$2:$DS$31,MATCH($A25,'jiliarena_日报_底稿'!$P$2:$P$31,0),MATCH(AN$3,'jiliarena_日报_底稿'!$P$3:$DS$3,0))</f>
        <v>0</v>
      </c>
      <c r="AO25" s="200">
        <f t="array" ref="AO25">INDEX('jiliarena_日报_底稿'!$P$2:$DS$31,MATCH($A25,'jiliarena_日报_底稿'!$P$2:$P$31,0),MATCH(AO$3,'jiliarena_日报_底稿'!$P$3:$DS$3,0))</f>
        <v>0</v>
      </c>
      <c r="AP25" s="194" t="str">
        <f t="shared" si="22"/>
        <v>#DIV/0!</v>
      </c>
      <c r="AQ25" s="200">
        <f t="array" ref="AQ25">INDEX('jiliarena_日报_底稿'!$P$2:$DS$31,MATCH($A25,'jiliarena_日报_底稿'!$P$2:$P$31,0),MATCH(AQ$3,'jiliarena_日报_底稿'!$P$3:$DS$3,0))</f>
        <v>13</v>
      </c>
      <c r="AR25" s="200">
        <f t="array" ref="AR25">INDEX('jiliarena_日报_底稿'!$P$2:$DS$31,MATCH($A25,'jiliarena_日报_底稿'!$P$2:$P$31,0),MATCH(AR$3,'jiliarena_日报_底稿'!$P$3:$DS$3,0))</f>
        <v>0</v>
      </c>
      <c r="AS25" s="194">
        <f t="shared" si="24"/>
        <v>1</v>
      </c>
      <c r="AT25" s="201">
        <f>SUMIFS('jiliarena_活动分析数据_底稿'!$K:$K,'jiliarena_活动分析数据_底稿'!$B:$B,$A25,'jiliarena_活动分析数据_底稿'!$L:$L,AT$3)</f>
        <v>4538.84</v>
      </c>
      <c r="AU25" s="201">
        <f>SUMIFS('jiliarena_活动分析数据_底稿'!$K:$K,'jiliarena_活动分析数据_底稿'!$B:$B,$A25,'jiliarena_活动分析数据_底稿'!$L:$L,AU$3)</f>
        <v>0</v>
      </c>
      <c r="AV25" s="201">
        <f>SUMIFS('jiliarena_活动分析数据_底稿'!$K:$K,'jiliarena_活动分析数据_底稿'!$B:$B,$A25,'jiliarena_活动分析数据_底稿'!$L:$L,AV$3)</f>
        <v>4820.61</v>
      </c>
      <c r="AW25" s="201">
        <f>SUMIFS('jiliarena_活动分析数据_底稿'!$K:$K,'jiliarena_活动分析数据_底稿'!$B:$B,$A25,'jiliarena_活动分析数据_底稿'!$L:$L,AW$3)</f>
        <v>6327</v>
      </c>
      <c r="AX25" s="201">
        <f>SUMIFS('jiliarena_活动分析数据_底稿'!$K:$K,'jiliarena_活动分析数据_底稿'!$B:$B,$A25,'jiliarena_活动分析数据_底稿'!$L:$L,AX$3)</f>
        <v>812</v>
      </c>
      <c r="AY25" s="201">
        <f>SUMIFS('jiliarena_活动分析数据_底稿'!$K:$K,'jiliarena_活动分析数据_底稿'!$B:$B,$A25,'jiliarena_活动分析数据_底稿'!$L:$L,AY$3)</f>
        <v>0</v>
      </c>
      <c r="AZ25" s="201">
        <f>SUMIFS('jiliarena_活动分析数据_底稿'!$K:$K,'jiliarena_活动分析数据_底稿'!$B:$B,$A25,'jiliarena_活动分析数据_底稿'!$L:$L,AZ$3)</f>
        <v>0</v>
      </c>
      <c r="BA25" s="201">
        <f>SUMIFS('jiliarena_活动分析数据_底稿'!$K:$K,'jiliarena_活动分析数据_底稿'!$B:$B,$A25,'jiliarena_活动分析数据_底稿'!$L:$L,BA$3)</f>
        <v>0</v>
      </c>
      <c r="BB25" s="201">
        <f>SUMIFS('jiliarena_活动分析数据_底稿'!$K:$K,'jiliarena_活动分析数据_底稿'!$B:$B,$A25,'jiliarena_活动分析数据_底稿'!$L:$L,BB$3)</f>
        <v>517.6</v>
      </c>
      <c r="BC25" s="201">
        <f>SUMIFS('jiliarena_活动分析数据_底稿'!$K:$K,'jiliarena_活动分析数据_底稿'!$B:$B,$A25,'jiliarena_活动分析数据_底稿'!$L:$L,BC$3)</f>
        <v>506</v>
      </c>
      <c r="BD25" s="201">
        <f>SUMIFS('jiliarena_活动分析数据_底稿'!$K:$K,'jiliarena_活动分析数据_底稿'!$B:$B,$A25,'jiliarena_活动分析数据_底稿'!$L:$L,BD$3)</f>
        <v>0</v>
      </c>
      <c r="BE25" s="201">
        <f>SUMIFS('jiliarena_活动分析数据_底稿'!$K:$K,'jiliarena_活动分析数据_底稿'!$B:$B,$A25,'jiliarena_活动分析数据_底稿'!$L:$L,BE$3)</f>
        <v>0</v>
      </c>
      <c r="BF25" s="201">
        <f>SUMIFS('jiliarena_活动分析数据_底稿'!$K:$K,'jiliarena_活动分析数据_底稿'!$B:$B,$A25,'jiliarena_活动分析数据_底稿'!$L:$L,BF$3)</f>
        <v>699</v>
      </c>
      <c r="BG25" s="201">
        <f>SUMIFS('jiliarena_活动分析数据_底稿'!$K:$K,'jiliarena_活动分析数据_底稿'!$B:$B,$A25,'jiliarena_活动分析数据_底稿'!$L:$L,BG$3)</f>
        <v>0</v>
      </c>
      <c r="BH25" s="201">
        <f>SUMIFS('jiliarena_活动分析数据_底稿'!$K:$K,'jiliarena_活动分析数据_底稿'!$B:$B,$A25,'jiliarena_活动分析数据_底稿'!$L:$L,BH$3)</f>
        <v>0</v>
      </c>
      <c r="BI25" s="201">
        <f>SUMIFS('jiliarena_活动分析数据_底稿'!$K:$K,'jiliarena_活动分析数据_底稿'!$B:$B,$A25,'jiliarena_活动分析数据_底稿'!$L:$L,BI$3)</f>
        <v>0</v>
      </c>
      <c r="BJ25" s="201">
        <f>SUMIFS('jiliarena_活动分析数据_底稿'!$K:$K,'jiliarena_活动分析数据_底稿'!$B:$B,$A25,'jiliarena_活动分析数据_底稿'!$L:$L,BJ$3)</f>
        <v>11558.5</v>
      </c>
      <c r="BK25" s="201">
        <f>SUMIFS('jiliarena_活动分析数据_底稿'!$K:$K,'jiliarena_活动分析数据_底稿'!$B:$B,$A25,'jiliarena_活动分析数据_底稿'!$L:$L,BK$3)</f>
        <v>0</v>
      </c>
      <c r="BL25" s="201">
        <f>SUMIFS('jiliarena_活动分析数据_底稿'!$K:$K,'jiliarena_活动分析数据_底稿'!$B:$B,$A25,'jiliarena_活动分析数据_底稿'!$L:$L,BL$3)</f>
        <v>0</v>
      </c>
      <c r="BM25" s="201">
        <f>SUMIFS('jiliarena_活动分析数据_底稿'!$K:$K,'jiliarena_活动分析数据_底稿'!$B:$B,$A25,'jiliarena_活动分析数据_底稿'!$L:$L,BM$3)</f>
        <v>0</v>
      </c>
      <c r="BN25" s="201">
        <f>SUMIFS('jiliarena_活动分析数据_底稿'!$K:$K,'jiliarena_活动分析数据_底稿'!$B:$B,$A25,'jiliarena_活动分析数据_底稿'!$L:$L,BN$3)</f>
        <v>0</v>
      </c>
      <c r="BO25" s="201">
        <f>SUMIFS('jiliarena_活动分析数据_底稿'!$K:$K,'jiliarena_活动分析数据_底稿'!$B:$B,$A25,'jiliarena_活动分析数据_底稿'!$L:$L,BO$3)</f>
        <v>0</v>
      </c>
      <c r="BP25" s="201">
        <f>SUMIFS('jiliarena_活动分析数据_底稿'!$K:$K,'jiliarena_活动分析数据_底稿'!$B:$B,$A25,'jiliarena_活动分析数据_底稿'!$L:$L,BP$3)</f>
        <v>0</v>
      </c>
      <c r="BQ25" s="198">
        <f t="shared" si="77"/>
        <v>29779.55</v>
      </c>
      <c r="BR25" s="198">
        <f t="shared" si="78"/>
        <v>4538.84</v>
      </c>
      <c r="BS25" s="198">
        <f t="shared" si="79"/>
        <v>517.6</v>
      </c>
      <c r="BT25" s="194">
        <f t="shared" si="26"/>
        <v>0.026607</v>
      </c>
      <c r="BU25" s="194">
        <f t="shared" si="27"/>
        <v>0.2271722049</v>
      </c>
      <c r="BV25" s="194">
        <f t="shared" si="28"/>
        <v>0.4246657828</v>
      </c>
      <c r="BW25" s="202">
        <f t="shared" si="29"/>
        <v>40345.125</v>
      </c>
      <c r="BX25" s="203">
        <f t="shared" si="30"/>
        <v>0.738120157</v>
      </c>
      <c r="BY25" s="204">
        <f t="shared" si="31"/>
        <v>3159.2208</v>
      </c>
      <c r="BZ25" s="205">
        <f t="shared" si="32"/>
        <v>216.142</v>
      </c>
      <c r="CA25" s="206">
        <f t="shared" si="33"/>
        <v>3375.3628</v>
      </c>
      <c r="CB25" s="207">
        <f t="shared" si="34"/>
        <v>6311</v>
      </c>
      <c r="CC25" s="203">
        <f t="shared" si="35"/>
        <v>0.08366222189</v>
      </c>
      <c r="CD25" s="198">
        <f t="array" ref="CD25">index('jiliarena_日报_底稿'!$P$3:$DS$31,match(A25,'jiliarena_日报_底稿'!$P$3:$P$31,0),match("综合性分红",'jiliarena_日报_底稿'!$P$3:$DS$3,0))</f>
        <v>0</v>
      </c>
      <c r="CE25" s="208"/>
      <c r="CF25" s="198">
        <f t="array" ref="CF25">INDEX('jiliarena_日报_底稿'!$P$2:$DS$31,MATCH($A25,'jiliarena_日报_底稿'!$P$2:$P$31,0),MATCH(CF$3,'jiliarena_日报_底稿'!$P$3:$DS$3,0))</f>
        <v>0</v>
      </c>
      <c r="CG25" s="198">
        <f t="array" ref="CG25">-INDEX('jiliarena_日报_底稿'!$P$2:$DS$31,MATCH($A25,'jiliarena_日报_底稿'!$P$2:$P$31,0),MATCH(CG$3,'jiliarena_日报_底稿'!$P$3:$DS$3,0))</f>
        <v>0</v>
      </c>
      <c r="CH25" s="198">
        <f t="array" ref="CH25">INDEX('jiliarena_日报_底稿'!$P$2:$DS$31,MATCH($A25,'jiliarena_日报_底稿'!$P$2:$P$31,0),MATCH(CH$3,'jiliarena_日报_底稿'!$P$3:$DS$3,0))</f>
        <v>81187.6958</v>
      </c>
      <c r="CI25" s="202">
        <f t="shared" si="37"/>
        <v>30658.7622</v>
      </c>
      <c r="CJ25" s="209">
        <f t="shared" si="38"/>
        <v>2</v>
      </c>
      <c r="CK25" s="209">
        <f t="shared" si="39"/>
        <v>18</v>
      </c>
    </row>
    <row r="26">
      <c r="A26" s="222">
        <f t="shared" si="80"/>
        <v>46072</v>
      </c>
      <c r="B26" s="191">
        <f t="array" ref="B26">INDEX('jiliarena_日报_底稿'!$A$3:$N$31,MATCH($A26,'jiliarena_日报_底稿'!$A$3:$A$31,0),MATCH(B$3,'jiliarena_日报_底稿'!$A$3:$N$3,0))</f>
        <v>1186</v>
      </c>
      <c r="C26" s="191">
        <f t="array" ref="C26">INDEX('jiliarena_日报_底稿'!$A$3:$N$31,MATCH($A26,'jiliarena_日报_底稿'!$A$3:$A$31,0),MATCH(C$3,'jiliarena_日报_底稿'!$A$3:$N$3,0))</f>
        <v>344</v>
      </c>
      <c r="D26" s="191">
        <f t="array" ref="D26">INDEX('jiliarena_日报_底稿'!$A$3:$N$31,MATCH($A26,'jiliarena_日报_底稿'!$A$3:$A$31,0),MATCH(D$3,'jiliarena_日报_底稿'!$A$3:$N$3,0))</f>
        <v>4710</v>
      </c>
      <c r="E26" s="192">
        <v>84.0</v>
      </c>
      <c r="F26" s="191">
        <f t="array" ref="F26">INDEX('jiliarena_日报_底稿'!$A$3:$N$31,MATCH($A26,'jiliarena_日报_底稿'!$A$3:$A$31,0),MATCH(F$3,'jiliarena_日报_底稿'!$A$3:$N$3,0))</f>
        <v>667</v>
      </c>
      <c r="G26" s="191">
        <f>SUMIFS('渠道充值成功率_底稿'!$F:$F,'渠道充值成功率_底稿'!$A:$A,A26)</f>
        <v>938</v>
      </c>
      <c r="H26" s="191">
        <f t="array" ref="H26">INDEX('jiliarena_日报_底稿'!$A$3:$N$31,MATCH($A26,'jiliarena_日报_底稿'!$A$3:$A$31,0),MATCH(H$3,'jiliarena_日报_底稿'!$A$3:$N$3,0))</f>
        <v>147</v>
      </c>
      <c r="I26" s="192">
        <v>192.0</v>
      </c>
      <c r="J26" s="191">
        <f t="array" ref="J26">INDEX('jiliarena_日报_底稿'!$A$3:$N$31,MATCH($A26,'jiliarena_日报_底稿'!$A$3:$A$31,0),MATCH(J$3,'jiliarena_日报_底稿'!$A$3:$N$3,0))</f>
        <v>3204</v>
      </c>
      <c r="K26" s="193">
        <f>SUMIFS('渠道充值成功率_底稿'!$J:$J,'渠道充值成功率_底稿'!$A:$A,$A26)</f>
        <v>51008</v>
      </c>
      <c r="L26" s="193">
        <f t="array" ref="L26">INDEX('jiliarena_日报_底稿'!$A$3:$N$31,MATCH($A26,'jiliarena_日报_底稿'!$A$3:$A$31,0),MATCH(L$3,'jiliarena_日报_底稿'!$A$3:$N$3,0))</f>
        <v>146521</v>
      </c>
      <c r="M26" s="193">
        <f t="array" ref="M26">INDEX('jiliarena_日报_底稿'!$P$2:$DS$31,MATCH($A26,'jiliarena_日报_底稿'!$P$2:$P$31,0),MATCH($M$3,'jiliarena_日报_底稿'!$P$3:$DS$3,0))</f>
        <v>102175</v>
      </c>
      <c r="N26" s="194">
        <f t="shared" si="2"/>
        <v>0.2901</v>
      </c>
      <c r="O26" s="195">
        <f t="shared" si="3"/>
        <v>148</v>
      </c>
      <c r="P26" s="194">
        <f t="shared" si="4"/>
        <v>0.348128</v>
      </c>
      <c r="Q26" s="195">
        <f t="shared" si="5"/>
        <v>1.4</v>
      </c>
      <c r="R26" s="196">
        <f t="shared" si="6"/>
        <v>220</v>
      </c>
      <c r="S26" s="195">
        <f t="shared" si="7"/>
        <v>156</v>
      </c>
      <c r="T26" s="195">
        <f t="shared" si="8"/>
        <v>1.1</v>
      </c>
      <c r="U26" s="196">
        <f t="shared" si="9"/>
        <v>695</v>
      </c>
      <c r="V26" s="197">
        <f t="shared" si="10"/>
        <v>44346</v>
      </c>
      <c r="W26" s="198">
        <f t="shared" si="74"/>
        <v>1470554.02</v>
      </c>
      <c r="X26" s="198">
        <f t="array" ref="X26">index('jiliarena_日报_底稿'!$P$2:$DS$31,match($A26,'jiliarena_日报_底稿'!$P$2:$P$31,0),match("电子有效投注",'jiliarena_日报_底稿'!$P$3:$DS$3,0))+index('jiliarena_日报_底稿'!$P$2:$DS$31,match($A26,'jiliarena_日报_底稿'!$P$2:$P$31,0),match("真人有效投注",'jiliarena_日报_底稿'!$P$3:$DS$3,0))+index('jiliarena_日报_底稿'!$P$2:$DS$31,match($A26,'jiliarena_日报_底稿'!$P$2:$P$31,0),match("彩票有效投注",'jiliarena_日报_底稿'!$P$3:$DS$3,0))+index('jiliarena_日报_底稿'!$P$2:$DS$31,match($A26,'jiliarena_日报_底稿'!$P$2:$P$31,0),match("棋牌有效投注",'jiliarena_日报_底稿'!$P$3:$DS$3,0))+index('jiliarena_日报_底稿'!$P$2:$DS$31,match($A26,'jiliarena_日报_底稿'!$P$2:$P$31,0),match("捕鱼有效投注",'jiliarena_日报_底稿'!$P$3:$DS$3,0))+index('jiliarena_日报_底稿'!$P$2:$DS$31,match($A26,'jiliarena_日报_底稿'!$P$2:$P$31,0),match("体育有效投注",'jiliarena_日报_底稿'!$P$3:$DS$3,0))+index('jiliarena_日报_底稿'!$P$2:$DS$31,match($A26,'jiliarena_日报_底稿'!$P$2:$P$31,0),match("盘口彩票有效投注",'jiliarena_日报_底稿'!$P$3:$DS$3,0))</f>
        <v>1361509.3</v>
      </c>
      <c r="Y26" s="199">
        <f t="shared" si="75"/>
        <v>5224.57</v>
      </c>
      <c r="Z26" s="198">
        <f t="shared" si="76"/>
        <v>1465329.45</v>
      </c>
      <c r="AA26" s="194">
        <f t="shared" si="12"/>
        <v>0.003553</v>
      </c>
      <c r="AB26" s="200">
        <f t="array" ref="AB26">INDEX('jiliarena_日报_底稿'!$P$2:$DS$31,MATCH($A26,'jiliarena_日报_底稿'!$P$2:$P$31,0),MATCH(AB$3,'jiliarena_日报_底稿'!$P$3:$DS$3,0))</f>
        <v>358</v>
      </c>
      <c r="AC26" s="200">
        <f t="array" ref="AC26">INDEX('jiliarena_日报_底稿'!$P$2:$DS$31,MATCH($A26,'jiliarena_日报_底稿'!$P$2:$P$31,0),MATCH(AC$3,'jiliarena_日报_底稿'!$P$3:$DS$3,0))</f>
        <v>366</v>
      </c>
      <c r="AD26" s="194">
        <f t="shared" si="14"/>
        <v>-0.022346</v>
      </c>
      <c r="AE26" s="200">
        <f t="array" ref="AE26">INDEX('jiliarena_日报_底稿'!$P$2:$DS$31,MATCH($A26,'jiliarena_日报_底稿'!$P$2:$P$31,0),MATCH(AE$3,'jiliarena_日报_底稿'!$P$3:$DS$3,0))</f>
        <v>1445994.25</v>
      </c>
      <c r="AF26" s="200">
        <f t="array" ref="AF26">INDEX('jiliarena_日报_底稿'!$P$2:$DS$31,MATCH($A26,'jiliarena_日报_底稿'!$P$2:$P$31,0),MATCH(AF$3,'jiliarena_日报_底稿'!$P$3:$DS$3,0))</f>
        <v>1441145.24</v>
      </c>
      <c r="AG26" s="194">
        <f t="shared" si="16"/>
        <v>0.003353</v>
      </c>
      <c r="AH26" s="200">
        <f t="array" ref="AH26">INDEX('jiliarena_日报_底稿'!$P$2:$DS$31,MATCH($A26,'jiliarena_日报_底稿'!$P$2:$P$31,0),MATCH(AH$3,'jiliarena_日报_底稿'!$P$3:$DS$3,0))</f>
        <v>11203.77</v>
      </c>
      <c r="AI26" s="200">
        <f t="array" ref="AI26">INDEX('jiliarena_日报_底稿'!$P$2:$DS$31,MATCH($A26,'jiliarena_日报_底稿'!$P$2:$P$31,0),MATCH(AI$3,'jiliarena_日报_底稿'!$P$3:$DS$3,0))</f>
        <v>10535.2</v>
      </c>
      <c r="AJ26" s="194">
        <f t="shared" si="18"/>
        <v>0.059674</v>
      </c>
      <c r="AK26" s="200">
        <f t="array" ref="AK26">INDEX('jiliarena_日报_底稿'!$P$2:$DS$31,MATCH($A26,'jiliarena_日报_底稿'!$P$2:$P$31,0),MATCH(AK$3,'jiliarena_日报_底稿'!$P$3:$DS$3,0))</f>
        <v>11893</v>
      </c>
      <c r="AL26" s="200">
        <f t="array" ref="AL26">INDEX('jiliarena_日报_底稿'!$P$2:$DS$31,MATCH($A26,'jiliarena_日报_底稿'!$P$2:$P$31,0),MATCH(AL$3,'jiliarena_日报_底稿'!$P$3:$DS$3,0))</f>
        <v>11878.7</v>
      </c>
      <c r="AM26" s="194">
        <f t="shared" si="20"/>
        <v>0.001202</v>
      </c>
      <c r="AN26" s="200">
        <f t="array" ref="AN26">INDEX('jiliarena_日报_底稿'!$P$2:$DS$31,MATCH($A26,'jiliarena_日报_底稿'!$P$2:$P$31,0),MATCH(AN$3,'jiliarena_日报_底稿'!$P$3:$DS$3,0))</f>
        <v>1079</v>
      </c>
      <c r="AO26" s="200">
        <f t="array" ref="AO26">INDEX('jiliarena_日报_底稿'!$P$2:$DS$31,MATCH($A26,'jiliarena_日报_底稿'!$P$2:$P$31,0),MATCH(AO$3,'jiliarena_日报_底稿'!$P$3:$DS$3,0))</f>
        <v>1224.31</v>
      </c>
      <c r="AP26" s="194">
        <f t="shared" si="22"/>
        <v>-0.134671</v>
      </c>
      <c r="AQ26" s="200">
        <f t="array" ref="AQ26">INDEX('jiliarena_日报_底稿'!$P$2:$DS$31,MATCH($A26,'jiliarena_日报_底稿'!$P$2:$P$31,0),MATCH(AQ$3,'jiliarena_日报_底稿'!$P$3:$DS$3,0))</f>
        <v>26</v>
      </c>
      <c r="AR26" s="200">
        <f t="array" ref="AR26">INDEX('jiliarena_日报_底稿'!$P$2:$DS$31,MATCH($A26,'jiliarena_日报_底稿'!$P$2:$P$31,0),MATCH(AR$3,'jiliarena_日报_底稿'!$P$3:$DS$3,0))</f>
        <v>180</v>
      </c>
      <c r="AS26" s="194">
        <f t="shared" si="24"/>
        <v>-5.923077</v>
      </c>
      <c r="AT26" s="201">
        <f>SUMIFS('jiliarena_活动分析数据_底稿'!$K:$K,'jiliarena_活动分析数据_底稿'!$B:$B,$A26,'jiliarena_活动分析数据_底稿'!$L:$L,AT$3)</f>
        <v>3477.93</v>
      </c>
      <c r="AU26" s="201">
        <f>SUMIFS('jiliarena_活动分析数据_底稿'!$K:$K,'jiliarena_活动分析数据_底稿'!$B:$B,$A26,'jiliarena_活动分析数据_底稿'!$L:$L,AU$3)</f>
        <v>0</v>
      </c>
      <c r="AV26" s="201">
        <f>SUMIFS('jiliarena_活动分析数据_底稿'!$K:$K,'jiliarena_活动分析数据_底稿'!$B:$B,$A26,'jiliarena_活动分析数据_底稿'!$L:$L,AV$3)</f>
        <v>5021.76</v>
      </c>
      <c r="AW26" s="201">
        <f>SUMIFS('jiliarena_活动分析数据_底稿'!$K:$K,'jiliarena_活动分析数据_底稿'!$B:$B,$A26,'jiliarena_活动分析数据_底稿'!$L:$L,AW$3)</f>
        <v>5340</v>
      </c>
      <c r="AX26" s="201">
        <f>SUMIFS('jiliarena_活动分析数据_底稿'!$K:$K,'jiliarena_活动分析数据_底稿'!$B:$B,$A26,'jiliarena_活动分析数据_底稿'!$L:$L,AX$3)</f>
        <v>707</v>
      </c>
      <c r="AY26" s="201">
        <f>SUMIFS('jiliarena_活动分析数据_底稿'!$K:$K,'jiliarena_活动分析数据_底稿'!$B:$B,$A26,'jiliarena_活动分析数据_底稿'!$L:$L,AY$3)</f>
        <v>0</v>
      </c>
      <c r="AZ26" s="201">
        <f>SUMIFS('jiliarena_活动分析数据_底稿'!$K:$K,'jiliarena_活动分析数据_底稿'!$B:$B,$A26,'jiliarena_活动分析数据_底稿'!$L:$L,AZ$3)</f>
        <v>0</v>
      </c>
      <c r="BA26" s="201">
        <f>SUMIFS('jiliarena_活动分析数据_底稿'!$K:$K,'jiliarena_活动分析数据_底稿'!$B:$B,$A26,'jiliarena_活动分析数据_底稿'!$L:$L,BA$3)</f>
        <v>0</v>
      </c>
      <c r="BB26" s="201">
        <f>SUMIFS('jiliarena_活动分析数据_底稿'!$K:$K,'jiliarena_活动分析数据_底稿'!$B:$B,$A26,'jiliarena_活动分析数据_底稿'!$L:$L,BB$3)</f>
        <v>426.37</v>
      </c>
      <c r="BC26" s="201">
        <f>SUMIFS('jiliarena_活动分析数据_底稿'!$K:$K,'jiliarena_活动分析数据_底稿'!$B:$B,$A26,'jiliarena_活动分析数据_底稿'!$L:$L,BC$3)</f>
        <v>455</v>
      </c>
      <c r="BD26" s="201">
        <f>SUMIFS('jiliarena_活动分析数据_底稿'!$K:$K,'jiliarena_活动分析数据_底稿'!$B:$B,$A26,'jiliarena_活动分析数据_底稿'!$L:$L,BD$3)</f>
        <v>0</v>
      </c>
      <c r="BE26" s="201">
        <f>SUMIFS('jiliarena_活动分析数据_底稿'!$K:$K,'jiliarena_活动分析数据_底稿'!$B:$B,$A26,'jiliarena_活动分析数据_底稿'!$L:$L,BE$3)</f>
        <v>0</v>
      </c>
      <c r="BF26" s="201">
        <f>SUMIFS('jiliarena_活动分析数据_底稿'!$K:$K,'jiliarena_活动分析数据_底稿'!$B:$B,$A26,'jiliarena_活动分析数据_底稿'!$L:$L,BF$3)</f>
        <v>629</v>
      </c>
      <c r="BG26" s="201">
        <f>SUMIFS('jiliarena_活动分析数据_底稿'!$K:$K,'jiliarena_活动分析数据_底稿'!$B:$B,$A26,'jiliarena_活动分析数据_底稿'!$L:$L,BG$3)</f>
        <v>0</v>
      </c>
      <c r="BH26" s="201">
        <f>SUMIFS('jiliarena_活动分析数据_底稿'!$K:$K,'jiliarena_活动分析数据_底稿'!$B:$B,$A26,'jiliarena_活动分析数据_底稿'!$L:$L,BH$3)</f>
        <v>0</v>
      </c>
      <c r="BI26" s="201">
        <f>SUMIFS('jiliarena_活动分析数据_底稿'!$K:$K,'jiliarena_活动分析数据_底稿'!$B:$B,$A26,'jiliarena_活动分析数据_底稿'!$L:$L,BI$3)</f>
        <v>0</v>
      </c>
      <c r="BJ26" s="201">
        <f>SUMIFS('jiliarena_活动分析数据_底稿'!$K:$K,'jiliarena_活动分析数据_底稿'!$B:$B,$A26,'jiliarena_活动分析数据_底稿'!$L:$L,BJ$3)</f>
        <v>10171</v>
      </c>
      <c r="BK26" s="201">
        <f>SUMIFS('jiliarena_活动分析数据_底稿'!$K:$K,'jiliarena_活动分析数据_底稿'!$B:$B,$A26,'jiliarena_活动分析数据_底稿'!$L:$L,BK$3)</f>
        <v>0</v>
      </c>
      <c r="BL26" s="201">
        <f>SUMIFS('jiliarena_活动分析数据_底稿'!$K:$K,'jiliarena_活动分析数据_底稿'!$B:$B,$A26,'jiliarena_活动分析数据_底稿'!$L:$L,BL$3)</f>
        <v>0</v>
      </c>
      <c r="BM26" s="201">
        <f>SUMIFS('jiliarena_活动分析数据_底稿'!$K:$K,'jiliarena_活动分析数据_底稿'!$B:$B,$A26,'jiliarena_活动分析数据_底稿'!$L:$L,BM$3)</f>
        <v>0</v>
      </c>
      <c r="BN26" s="201">
        <f>SUMIFS('jiliarena_活动分析数据_底稿'!$K:$K,'jiliarena_活动分析数据_底稿'!$B:$B,$A26,'jiliarena_活动分析数据_底稿'!$L:$L,BN$3)</f>
        <v>0</v>
      </c>
      <c r="BO26" s="201">
        <f>SUMIFS('jiliarena_活动分析数据_底稿'!$K:$K,'jiliarena_活动分析数据_底稿'!$B:$B,$A26,'jiliarena_活动分析数据_底稿'!$L:$L,BO$3)</f>
        <v>0</v>
      </c>
      <c r="BP26" s="201">
        <f>SUMIFS('jiliarena_活动分析数据_底稿'!$K:$K,'jiliarena_活动分析数据_底稿'!$B:$B,$A26,'jiliarena_活动分析数据_底稿'!$L:$L,BP$3)</f>
        <v>0</v>
      </c>
      <c r="BQ26" s="198">
        <f t="shared" si="77"/>
        <v>26228.06</v>
      </c>
      <c r="BR26" s="198">
        <f t="shared" si="78"/>
        <v>3477.93</v>
      </c>
      <c r="BS26" s="198">
        <f t="shared" si="79"/>
        <v>426.37</v>
      </c>
      <c r="BT26" s="194">
        <f t="shared" si="26"/>
        <v>0.019264</v>
      </c>
      <c r="BU26" s="194">
        <f t="shared" si="27"/>
        <v>0.1790054668</v>
      </c>
      <c r="BV26" s="194">
        <f t="shared" si="28"/>
        <v>5.020137542</v>
      </c>
      <c r="BW26" s="202">
        <f t="shared" si="29"/>
        <v>-21003.49</v>
      </c>
      <c r="BX26" s="203">
        <f t="shared" si="30"/>
        <v>-1.248747708</v>
      </c>
      <c r="BY26" s="204">
        <f t="shared" si="31"/>
        <v>3531.1561</v>
      </c>
      <c r="BZ26" s="205">
        <f t="shared" si="32"/>
        <v>204.35</v>
      </c>
      <c r="CA26" s="206">
        <f t="shared" si="33"/>
        <v>3735.5061</v>
      </c>
      <c r="CB26" s="207">
        <f t="shared" si="34"/>
        <v>470</v>
      </c>
      <c r="CC26" s="203">
        <f t="shared" si="35"/>
        <v>-0.1778516856</v>
      </c>
      <c r="CD26" s="198">
        <f t="array" ref="CD26">index('jiliarena_日报_底稿'!$P$3:$DS$31,match(A26,'jiliarena_日报_底稿'!$P$3:$P$31,0),match("综合性分红",'jiliarena_日报_底稿'!$P$3:$DS$3,0))</f>
        <v>0</v>
      </c>
      <c r="CE26" s="208"/>
      <c r="CF26" s="198">
        <f t="array" ref="CF26">INDEX('jiliarena_日报_底稿'!$P$2:$DS$31,MATCH($A26,'jiliarena_日报_底稿'!$P$2:$P$31,0),MATCH(CF$3,'jiliarena_日报_底稿'!$P$3:$DS$3,0))</f>
        <v>0</v>
      </c>
      <c r="CG26" s="198">
        <f t="array" ref="CG26">-INDEX('jiliarena_日报_底稿'!$P$2:$DS$31,MATCH($A26,'jiliarena_日报_底稿'!$P$2:$P$31,0),MATCH(CG$3,'jiliarena_日报_底稿'!$P$3:$DS$3,0))</f>
        <v>0</v>
      </c>
      <c r="CH26" s="198">
        <f t="array" ref="CH26">INDEX('jiliarena_日报_底稿'!$P$2:$DS$31,MATCH($A26,'jiliarena_日报_底稿'!$P$2:$P$31,0),MATCH(CH$3,'jiliarena_日报_底稿'!$P$3:$DS$3,0))</f>
        <v>84574.5318</v>
      </c>
      <c r="CI26" s="202">
        <f t="shared" si="37"/>
        <v>-25208.9961</v>
      </c>
      <c r="CJ26" s="209">
        <f t="shared" si="38"/>
        <v>2</v>
      </c>
      <c r="CK26" s="209">
        <f t="shared" si="39"/>
        <v>19</v>
      </c>
    </row>
    <row r="27">
      <c r="A27" s="222">
        <f t="shared" si="80"/>
        <v>46073</v>
      </c>
      <c r="B27" s="191">
        <f t="array" ref="B27">INDEX('jiliarena_日报_底稿'!$A$3:$N$31,MATCH($A27,'jiliarena_日报_底稿'!$A$3:$A$31,0),MATCH(B$3,'jiliarena_日报_底稿'!$A$3:$N$3,0))</f>
        <v>739</v>
      </c>
      <c r="C27" s="191">
        <f t="array" ref="C27">INDEX('jiliarena_日报_底稿'!$A$3:$N$31,MATCH($A27,'jiliarena_日报_底稿'!$A$3:$A$31,0),MATCH(C$3,'jiliarena_日报_底稿'!$A$3:$N$3,0))</f>
        <v>272</v>
      </c>
      <c r="D27" s="191">
        <f t="array" ref="D27">INDEX('jiliarena_日报_底稿'!$A$3:$N$31,MATCH($A27,'jiliarena_日报_底稿'!$A$3:$A$31,0),MATCH(D$3,'jiliarena_日报_底稿'!$A$3:$N$3,0))</f>
        <v>4200</v>
      </c>
      <c r="E27" s="192">
        <v>48.0</v>
      </c>
      <c r="F27" s="191">
        <f t="array" ref="F27">INDEX('jiliarena_日报_底稿'!$A$3:$N$31,MATCH($A27,'jiliarena_日报_底稿'!$A$3:$A$31,0),MATCH(F$3,'jiliarena_日报_底稿'!$A$3:$N$3,0))</f>
        <v>625</v>
      </c>
      <c r="G27" s="191">
        <f>SUMIFS('渠道充值成功率_底稿'!$F:$F,'渠道充值成功率_底稿'!$A:$A,A27)</f>
        <v>903</v>
      </c>
      <c r="H27" s="191">
        <f t="array" ref="H27">INDEX('jiliarena_日报_底稿'!$A$3:$N$31,MATCH($A27,'jiliarena_日报_底稿'!$A$3:$A$31,0),MATCH(H$3,'jiliarena_日报_底稿'!$A$3:$N$3,0))</f>
        <v>126</v>
      </c>
      <c r="I27" s="192">
        <v>171.0</v>
      </c>
      <c r="J27" s="191">
        <f t="array" ref="J27">INDEX('jiliarena_日报_底稿'!$A$3:$N$31,MATCH($A27,'jiliarena_日报_底稿'!$A$3:$A$31,0),MATCH(J$3,'jiliarena_日报_底稿'!$A$3:$N$3,0))</f>
        <v>2965</v>
      </c>
      <c r="K27" s="193">
        <f>SUMIFS('渠道充值成功率_底稿'!$J:$J,'渠道充值成功率_底稿'!$A:$A,$A27)</f>
        <v>40730</v>
      </c>
      <c r="L27" s="193">
        <f t="array" ref="L27">INDEX('jiliarena_日报_底稿'!$A$3:$N$31,MATCH($A27,'jiliarena_日报_底稿'!$A$3:$A$31,0),MATCH(L$3,'jiliarena_日报_底稿'!$A$3:$N$3,0))</f>
        <v>139268</v>
      </c>
      <c r="M27" s="193">
        <f t="array" ref="M27">INDEX('jiliarena_日报_底稿'!$P$2:$DS$31,MATCH($A27,'jiliarena_日报_底稿'!$P$2:$P$31,0),MATCH($M$3,'jiliarena_日报_底稿'!$P$3:$DS$3,0))</f>
        <v>104725</v>
      </c>
      <c r="N27" s="194">
        <f t="shared" si="2"/>
        <v>0.3681</v>
      </c>
      <c r="O27" s="195">
        <f t="shared" si="3"/>
        <v>150</v>
      </c>
      <c r="P27" s="194">
        <f t="shared" si="4"/>
        <v>0.292458</v>
      </c>
      <c r="Q27" s="195">
        <f t="shared" si="5"/>
        <v>1.4</v>
      </c>
      <c r="R27" s="196">
        <f t="shared" si="6"/>
        <v>223</v>
      </c>
      <c r="S27" s="195">
        <f t="shared" si="7"/>
        <v>154</v>
      </c>
      <c r="T27" s="195">
        <f t="shared" si="8"/>
        <v>1</v>
      </c>
      <c r="U27" s="196">
        <f t="shared" si="9"/>
        <v>831</v>
      </c>
      <c r="V27" s="197">
        <f t="shared" si="10"/>
        <v>34543</v>
      </c>
      <c r="W27" s="198">
        <f t="shared" si="74"/>
        <v>1298336.12</v>
      </c>
      <c r="X27" s="198">
        <f t="array" ref="X27">index('jiliarena_日报_底稿'!$P$2:$DS$31,match($A27,'jiliarena_日报_底稿'!$P$2:$P$31,0),match("电子有效投注",'jiliarena_日报_底稿'!$P$3:$DS$3,0))+index('jiliarena_日报_底稿'!$P$2:$DS$31,match($A27,'jiliarena_日报_底稿'!$P$2:$P$31,0),match("真人有效投注",'jiliarena_日报_底稿'!$P$3:$DS$3,0))+index('jiliarena_日报_底稿'!$P$2:$DS$31,match($A27,'jiliarena_日报_底稿'!$P$2:$P$31,0),match("彩票有效投注",'jiliarena_日报_底稿'!$P$3:$DS$3,0))+index('jiliarena_日报_底稿'!$P$2:$DS$31,match($A27,'jiliarena_日报_底稿'!$P$2:$P$31,0),match("棋牌有效投注",'jiliarena_日报_底稿'!$P$3:$DS$3,0))+index('jiliarena_日报_底稿'!$P$2:$DS$31,match($A27,'jiliarena_日报_底稿'!$P$2:$P$31,0),match("捕鱼有效投注",'jiliarena_日报_底稿'!$P$3:$DS$3,0))+index('jiliarena_日报_底稿'!$P$2:$DS$31,match($A27,'jiliarena_日报_底稿'!$P$2:$P$31,0),match("体育有效投注",'jiliarena_日报_底稿'!$P$3:$DS$3,0))+index('jiliarena_日报_底稿'!$P$2:$DS$31,match($A27,'jiliarena_日报_底稿'!$P$2:$P$31,0),match("盘口彩票有效投注",'jiliarena_日报_底稿'!$P$3:$DS$3,0))</f>
        <v>1197341.839</v>
      </c>
      <c r="Y27" s="199">
        <f t="shared" si="75"/>
        <v>38561.106</v>
      </c>
      <c r="Z27" s="198">
        <f t="shared" si="76"/>
        <v>1259775.014</v>
      </c>
      <c r="AA27" s="194">
        <f t="shared" si="12"/>
        <v>0.0297</v>
      </c>
      <c r="AB27" s="200">
        <f t="array" ref="AB27">INDEX('jiliarena_日报_底稿'!$P$2:$DS$31,MATCH($A27,'jiliarena_日报_底稿'!$P$2:$P$31,0),MATCH(AB$3,'jiliarena_日报_底稿'!$P$3:$DS$3,0))</f>
        <v>0</v>
      </c>
      <c r="AC27" s="200">
        <f t="array" ref="AC27">INDEX('jiliarena_日报_底稿'!$P$2:$DS$31,MATCH($A27,'jiliarena_日报_底稿'!$P$2:$P$31,0),MATCH(AC$3,'jiliarena_日报_底稿'!$P$3:$DS$3,0))</f>
        <v>0</v>
      </c>
      <c r="AD27" s="194" t="str">
        <f t="shared" si="14"/>
        <v>#DIV/0!</v>
      </c>
      <c r="AE27" s="200">
        <f t="array" ref="AE27">INDEX('jiliarena_日报_底稿'!$P$2:$DS$31,MATCH($A27,'jiliarena_日报_底稿'!$P$2:$P$31,0),MATCH(AE$3,'jiliarena_日报_底稿'!$P$3:$DS$3,0))</f>
        <v>1259267.58</v>
      </c>
      <c r="AF27" s="200">
        <f t="array" ref="AF27">INDEX('jiliarena_日报_底稿'!$P$2:$DS$31,MATCH($A27,'jiliarena_日报_底稿'!$P$2:$P$31,0),MATCH(AF$3,'jiliarena_日报_底稿'!$P$3:$DS$3,0))</f>
        <v>1233542.764</v>
      </c>
      <c r="AG27" s="194">
        <f t="shared" si="16"/>
        <v>0.020428</v>
      </c>
      <c r="AH27" s="200">
        <f t="array" ref="AH27">INDEX('jiliarena_日报_底稿'!$P$2:$DS$31,MATCH($A27,'jiliarena_日报_底稿'!$P$2:$P$31,0),MATCH(AH$3,'jiliarena_日报_底稿'!$P$3:$DS$3,0))</f>
        <v>7031.44</v>
      </c>
      <c r="AI27" s="200">
        <f t="array" ref="AI27">INDEX('jiliarena_日报_底稿'!$P$2:$DS$31,MATCH($A27,'jiliarena_日报_底稿'!$P$2:$P$31,0),MATCH(AI$3,'jiliarena_日报_底稿'!$P$3:$DS$3,0))</f>
        <v>5330.46</v>
      </c>
      <c r="AJ27" s="194">
        <f t="shared" si="18"/>
        <v>0.241911</v>
      </c>
      <c r="AK27" s="200">
        <f t="array" ref="AK27">INDEX('jiliarena_日报_底稿'!$P$2:$DS$31,MATCH($A27,'jiliarena_日报_底稿'!$P$2:$P$31,0),MATCH(AK$3,'jiliarena_日报_底稿'!$P$3:$DS$3,0))</f>
        <v>31820.1</v>
      </c>
      <c r="AL27" s="200">
        <f t="array" ref="AL27">INDEX('jiliarena_日报_底稿'!$P$2:$DS$31,MATCH($A27,'jiliarena_日报_底稿'!$P$2:$P$31,0),MATCH(AL$3,'jiliarena_日报_底稿'!$P$3:$DS$3,0))</f>
        <v>20901.79</v>
      </c>
      <c r="AM27" s="194">
        <f t="shared" si="20"/>
        <v>0.343126</v>
      </c>
      <c r="AN27" s="200">
        <f t="array" ref="AN27">INDEX('jiliarena_日报_底稿'!$P$2:$DS$31,MATCH($A27,'jiliarena_日报_底稿'!$P$2:$P$31,0),MATCH(AN$3,'jiliarena_日报_底稿'!$P$3:$DS$3,0))</f>
        <v>200</v>
      </c>
      <c r="AO27" s="200">
        <f t="array" ref="AO27">INDEX('jiliarena_日报_底稿'!$P$2:$DS$31,MATCH($A27,'jiliarena_日报_底稿'!$P$2:$P$31,0),MATCH(AO$3,'jiliarena_日报_底稿'!$P$3:$DS$3,0))</f>
        <v>0</v>
      </c>
      <c r="AP27" s="194">
        <f t="shared" si="22"/>
        <v>1</v>
      </c>
      <c r="AQ27" s="200">
        <f t="array" ref="AQ27">INDEX('jiliarena_日报_底稿'!$P$2:$DS$31,MATCH($A27,'jiliarena_日报_底稿'!$P$2:$P$31,0),MATCH(AQ$3,'jiliarena_日报_底稿'!$P$3:$DS$3,0))</f>
        <v>17</v>
      </c>
      <c r="AR27" s="200">
        <f t="array" ref="AR27">INDEX('jiliarena_日报_底稿'!$P$2:$DS$31,MATCH($A27,'jiliarena_日报_底稿'!$P$2:$P$31,0),MATCH(AR$3,'jiliarena_日报_底稿'!$P$3:$DS$3,0))</f>
        <v>0</v>
      </c>
      <c r="AS27" s="194">
        <f t="shared" si="24"/>
        <v>1</v>
      </c>
      <c r="AT27" s="201">
        <f>SUMIFS('jiliarena_活动分析数据_底稿'!$K:$K,'jiliarena_活动分析数据_底稿'!$B:$B,$A27,'jiliarena_活动分析数据_底稿'!$L:$L,AT$3)</f>
        <v>4729.36</v>
      </c>
      <c r="AU27" s="201">
        <f>SUMIFS('jiliarena_活动分析数据_底稿'!$K:$K,'jiliarena_活动分析数据_底稿'!$B:$B,$A27,'jiliarena_活动分析数据_底稿'!$L:$L,AU$3)</f>
        <v>0</v>
      </c>
      <c r="AV27" s="201">
        <f>SUMIFS('jiliarena_活动分析数据_底稿'!$K:$K,'jiliarena_活动分析数据_底稿'!$B:$B,$A27,'jiliarena_活动分析数据_底稿'!$L:$L,AV$3)</f>
        <v>4921.43</v>
      </c>
      <c r="AW27" s="201">
        <f>SUMIFS('jiliarena_活动分析数据_底稿'!$K:$K,'jiliarena_活动分析数据_底稿'!$B:$B,$A27,'jiliarena_活动分析数据_底稿'!$L:$L,AW$3)</f>
        <v>4989</v>
      </c>
      <c r="AX27" s="201">
        <f>SUMIFS('jiliarena_活动分析数据_底稿'!$K:$K,'jiliarena_活动分析数据_底稿'!$B:$B,$A27,'jiliarena_活动分析数据_底稿'!$L:$L,AX$3)</f>
        <v>637</v>
      </c>
      <c r="AY27" s="201">
        <f>SUMIFS('jiliarena_活动分析数据_底稿'!$K:$K,'jiliarena_活动分析数据_底稿'!$B:$B,$A27,'jiliarena_活动分析数据_底稿'!$L:$L,AY$3)</f>
        <v>0</v>
      </c>
      <c r="AZ27" s="201">
        <f>SUMIFS('jiliarena_活动分析数据_底稿'!$K:$K,'jiliarena_活动分析数据_底稿'!$B:$B,$A27,'jiliarena_活动分析数据_底稿'!$L:$L,AZ$3)</f>
        <v>0</v>
      </c>
      <c r="BA27" s="201">
        <f>SUMIFS('jiliarena_活动分析数据_底稿'!$K:$K,'jiliarena_活动分析数据_底稿'!$B:$B,$A27,'jiliarena_活动分析数据_底稿'!$L:$L,BA$3)</f>
        <v>0</v>
      </c>
      <c r="BB27" s="201">
        <f>SUMIFS('jiliarena_活动分析数据_底稿'!$K:$K,'jiliarena_活动分析数据_底稿'!$B:$B,$A27,'jiliarena_活动分析数据_底稿'!$L:$L,BB$3)</f>
        <v>455.98</v>
      </c>
      <c r="BC27" s="201">
        <f>SUMIFS('jiliarena_活动分析数据_底稿'!$K:$K,'jiliarena_活动分析数据_底稿'!$B:$B,$A27,'jiliarena_活动分析数据_底稿'!$L:$L,BC$3)</f>
        <v>461</v>
      </c>
      <c r="BD27" s="201">
        <f>SUMIFS('jiliarena_活动分析数据_底稿'!$K:$K,'jiliarena_活动分析数据_底稿'!$B:$B,$A27,'jiliarena_活动分析数据_底稿'!$L:$L,BD$3)</f>
        <v>0</v>
      </c>
      <c r="BE27" s="201">
        <f>SUMIFS('jiliarena_活动分析数据_底稿'!$K:$K,'jiliarena_活动分析数据_底稿'!$B:$B,$A27,'jiliarena_活动分析数据_底稿'!$L:$L,BE$3)</f>
        <v>0</v>
      </c>
      <c r="BF27" s="201">
        <f>SUMIFS('jiliarena_活动分析数据_底稿'!$K:$K,'jiliarena_活动分析数据_底稿'!$B:$B,$A27,'jiliarena_活动分析数据_底稿'!$L:$L,BF$3)</f>
        <v>631</v>
      </c>
      <c r="BG27" s="201">
        <f>SUMIFS('jiliarena_活动分析数据_底稿'!$K:$K,'jiliarena_活动分析数据_底稿'!$B:$B,$A27,'jiliarena_活动分析数据_底稿'!$L:$L,BG$3)</f>
        <v>0</v>
      </c>
      <c r="BH27" s="201">
        <f>SUMIFS('jiliarena_活动分析数据_底稿'!$K:$K,'jiliarena_活动分析数据_底稿'!$B:$B,$A27,'jiliarena_活动分析数据_底稿'!$L:$L,BH$3)</f>
        <v>0</v>
      </c>
      <c r="BI27" s="201">
        <f>SUMIFS('jiliarena_活动分析数据_底稿'!$K:$K,'jiliarena_活动分析数据_底稿'!$B:$B,$A27,'jiliarena_活动分析数据_底稿'!$L:$L,BI$3)</f>
        <v>0</v>
      </c>
      <c r="BJ27" s="201">
        <f>SUMIFS('jiliarena_活动分析数据_底稿'!$K:$K,'jiliarena_活动分析数据_底稿'!$B:$B,$A27,'jiliarena_活动分析数据_底稿'!$L:$L,BJ$3)</f>
        <v>7963.5</v>
      </c>
      <c r="BK27" s="201">
        <f>SUMIFS('jiliarena_活动分析数据_底稿'!$K:$K,'jiliarena_活动分析数据_底稿'!$B:$B,$A27,'jiliarena_活动分析数据_底稿'!$L:$L,BK$3)</f>
        <v>0</v>
      </c>
      <c r="BL27" s="201">
        <f>SUMIFS('jiliarena_活动分析数据_底稿'!$K:$K,'jiliarena_活动分析数据_底稿'!$B:$B,$A27,'jiliarena_活动分析数据_底稿'!$L:$L,BL$3)</f>
        <v>0</v>
      </c>
      <c r="BM27" s="201">
        <f>SUMIFS('jiliarena_活动分析数据_底稿'!$K:$K,'jiliarena_活动分析数据_底稿'!$B:$B,$A27,'jiliarena_活动分析数据_底稿'!$L:$L,BM$3)</f>
        <v>0</v>
      </c>
      <c r="BN27" s="201">
        <f>SUMIFS('jiliarena_活动分析数据_底稿'!$K:$K,'jiliarena_活动分析数据_底稿'!$B:$B,$A27,'jiliarena_活动分析数据_底稿'!$L:$L,BN$3)</f>
        <v>0</v>
      </c>
      <c r="BO27" s="201">
        <f>SUMIFS('jiliarena_活动分析数据_底稿'!$K:$K,'jiliarena_活动分析数据_底稿'!$B:$B,$A27,'jiliarena_活动分析数据_底稿'!$L:$L,BO$3)</f>
        <v>0</v>
      </c>
      <c r="BP27" s="201">
        <f>SUMIFS('jiliarena_活动分析数据_底稿'!$K:$K,'jiliarena_活动分析数据_底稿'!$B:$B,$A27,'jiliarena_活动分析数据_底稿'!$L:$L,BP$3)</f>
        <v>0</v>
      </c>
      <c r="BQ27" s="198">
        <f t="shared" si="77"/>
        <v>24788.27</v>
      </c>
      <c r="BR27" s="198">
        <f t="shared" si="78"/>
        <v>4729.36</v>
      </c>
      <c r="BS27" s="198">
        <f t="shared" si="79"/>
        <v>455.98</v>
      </c>
      <c r="BT27" s="194">
        <f t="shared" si="26"/>
        <v>0.020703</v>
      </c>
      <c r="BU27" s="194">
        <f t="shared" si="27"/>
        <v>0.1779897033</v>
      </c>
      <c r="BV27" s="194">
        <f t="shared" si="28"/>
        <v>0.6428308877</v>
      </c>
      <c r="BW27" s="202">
        <f t="shared" si="29"/>
        <v>13772.836</v>
      </c>
      <c r="BX27" s="203">
        <f t="shared" si="30"/>
        <v>1.799794175</v>
      </c>
      <c r="BY27" s="204">
        <f t="shared" si="31"/>
        <v>3356.3588</v>
      </c>
      <c r="BZ27" s="205">
        <f t="shared" si="32"/>
        <v>209.45</v>
      </c>
      <c r="CA27" s="206">
        <f t="shared" si="33"/>
        <v>3565.8088</v>
      </c>
      <c r="CB27" s="207">
        <f t="shared" si="34"/>
        <v>3470</v>
      </c>
      <c r="CC27" s="203">
        <f t="shared" si="35"/>
        <v>0.2589015654</v>
      </c>
      <c r="CD27" s="198">
        <f t="array" ref="CD27">index('jiliarena_日报_底稿'!$P$3:$DS$31,match(A27,'jiliarena_日报_底稿'!$P$3:$P$31,0),match("综合性分红",'jiliarena_日报_底稿'!$P$3:$DS$3,0))</f>
        <v>0</v>
      </c>
      <c r="CE27" s="208"/>
      <c r="CF27" s="198">
        <f t="array" ref="CF27">INDEX('jiliarena_日报_底稿'!$P$2:$DS$31,MATCH($A27,'jiliarena_日报_底稿'!$P$2:$P$31,0),MATCH(CF$3,'jiliarena_日报_底稿'!$P$3:$DS$3,0))</f>
        <v>0</v>
      </c>
      <c r="CG27" s="198">
        <f t="array" ref="CG27">-INDEX('jiliarena_日报_底稿'!$P$2:$DS$31,MATCH($A27,'jiliarena_日报_底稿'!$P$2:$P$31,0),MATCH(CG$3,'jiliarena_日报_底稿'!$P$3:$DS$3,0))</f>
        <v>0</v>
      </c>
      <c r="CH27" s="198">
        <f t="array" ref="CH27">INDEX('jiliarena_日报_底稿'!$P$2:$DS$31,MATCH($A27,'jiliarena_日报_底稿'!$P$2:$P$31,0),MATCH(CH$3,'jiliarena_日报_底稿'!$P$3:$DS$3,0))</f>
        <v>92945.1624</v>
      </c>
      <c r="CI27" s="202">
        <f t="shared" si="37"/>
        <v>6737.0272</v>
      </c>
      <c r="CJ27" s="209">
        <f t="shared" si="38"/>
        <v>2</v>
      </c>
      <c r="CK27" s="209">
        <f t="shared" si="39"/>
        <v>20</v>
      </c>
    </row>
    <row r="28">
      <c r="A28" s="222">
        <f t="shared" si="80"/>
        <v>46074</v>
      </c>
      <c r="B28" s="191">
        <f t="array" ref="B28">INDEX('jiliarena_日报_底稿'!$A$3:$N$31,MATCH($A28,'jiliarena_日报_底稿'!$A$3:$A$31,0),MATCH(B$3,'jiliarena_日报_底稿'!$A$3:$N$3,0))</f>
        <v>676</v>
      </c>
      <c r="C28" s="191">
        <f t="array" ref="C28">INDEX('jiliarena_日报_底稿'!$A$3:$N$31,MATCH($A28,'jiliarena_日报_底稿'!$A$3:$A$31,0),MATCH(C$3,'jiliarena_日报_底稿'!$A$3:$N$3,0))</f>
        <v>227</v>
      </c>
      <c r="D28" s="191">
        <f t="array" ref="D28">INDEX('jiliarena_日报_底稿'!$A$3:$N$31,MATCH($A28,'jiliarena_日报_底稿'!$A$3:$A$31,0),MATCH(D$3,'jiliarena_日报_底稿'!$A$3:$N$3,0))</f>
        <v>3808</v>
      </c>
      <c r="E28" s="192">
        <v>56.0</v>
      </c>
      <c r="F28" s="191">
        <f t="array" ref="F28">INDEX('jiliarena_日报_底稿'!$A$3:$N$31,MATCH($A28,'jiliarena_日报_底稿'!$A$3:$A$31,0),MATCH(F$3,'jiliarena_日报_底稿'!$A$3:$N$3,0))</f>
        <v>554</v>
      </c>
      <c r="G28" s="191">
        <f>SUMIFS('渠道充值成功率_底稿'!$F:$F,'渠道充值成功率_底稿'!$A:$A,A28)</f>
        <v>773</v>
      </c>
      <c r="H28" s="191">
        <f t="array" ref="H28">INDEX('jiliarena_日报_底稿'!$A$3:$N$31,MATCH($A28,'jiliarena_日报_底稿'!$A$3:$A$31,0),MATCH(H$3,'jiliarena_日报_底稿'!$A$3:$N$3,0))</f>
        <v>106</v>
      </c>
      <c r="I28" s="192">
        <v>132.0</v>
      </c>
      <c r="J28" s="191">
        <f t="array" ref="J28">INDEX('jiliarena_日报_底稿'!$A$3:$N$31,MATCH($A28,'jiliarena_日报_底稿'!$A$3:$A$31,0),MATCH(J$3,'jiliarena_日报_底稿'!$A$3:$N$3,0))</f>
        <v>2628</v>
      </c>
      <c r="K28" s="193">
        <f>SUMIFS('渠道充值成功率_底稿'!$J:$J,'渠道充值成功率_底稿'!$A:$A,$A28)</f>
        <v>32527</v>
      </c>
      <c r="L28" s="193">
        <f t="array" ref="L28">INDEX('jiliarena_日报_底稿'!$A$3:$N$31,MATCH($A28,'jiliarena_日报_底稿'!$A$3:$A$31,0),MATCH(L$3,'jiliarena_日报_底稿'!$A$3:$N$3,0))</f>
        <v>128243</v>
      </c>
      <c r="M28" s="193">
        <f t="array" ref="M28">INDEX('jiliarena_日报_底稿'!$P$2:$DS$31,MATCH($A28,'jiliarena_日报_底稿'!$P$2:$P$31,0),MATCH($M$3,'jiliarena_日报_底稿'!$P$3:$DS$3,0))</f>
        <v>69550</v>
      </c>
      <c r="N28" s="194">
        <f t="shared" si="2"/>
        <v>0.3358</v>
      </c>
      <c r="O28" s="195">
        <f t="shared" si="3"/>
        <v>143</v>
      </c>
      <c r="P28" s="194">
        <f t="shared" si="4"/>
        <v>0.253636</v>
      </c>
      <c r="Q28" s="195">
        <f t="shared" si="5"/>
        <v>1.4</v>
      </c>
      <c r="R28" s="196">
        <f t="shared" si="6"/>
        <v>231</v>
      </c>
      <c r="S28" s="195">
        <f t="shared" si="7"/>
        <v>166</v>
      </c>
      <c r="T28" s="195">
        <f t="shared" si="8"/>
        <v>1.2</v>
      </c>
      <c r="U28" s="196">
        <f t="shared" si="9"/>
        <v>656</v>
      </c>
      <c r="V28" s="197">
        <f t="shared" si="10"/>
        <v>58693</v>
      </c>
      <c r="W28" s="198">
        <f t="shared" si="74"/>
        <v>968214.26</v>
      </c>
      <c r="X28" s="198">
        <f t="array" ref="X28">index('jiliarena_日报_底稿'!$P$2:$DS$31,match($A28,'jiliarena_日报_底稿'!$P$2:$P$31,0),match("电子有效投注",'jiliarena_日报_底稿'!$P$3:$DS$3,0))+index('jiliarena_日报_底稿'!$P$2:$DS$31,match($A28,'jiliarena_日报_底稿'!$P$2:$P$31,0),match("真人有效投注",'jiliarena_日报_底稿'!$P$3:$DS$3,0))+index('jiliarena_日报_底稿'!$P$2:$DS$31,match($A28,'jiliarena_日报_底稿'!$P$2:$P$31,0),match("彩票有效投注",'jiliarena_日报_底稿'!$P$3:$DS$3,0))+index('jiliarena_日报_底稿'!$P$2:$DS$31,match($A28,'jiliarena_日报_底稿'!$P$2:$P$31,0),match("棋牌有效投注",'jiliarena_日报_底稿'!$P$3:$DS$3,0))+index('jiliarena_日报_底稿'!$P$2:$DS$31,match($A28,'jiliarena_日报_底稿'!$P$2:$P$31,0),match("捕鱼有效投注",'jiliarena_日报_底稿'!$P$3:$DS$3,0))+index('jiliarena_日报_底稿'!$P$2:$DS$31,match($A28,'jiliarena_日报_底稿'!$P$2:$P$31,0),match("体育有效投注",'jiliarena_日报_底稿'!$P$3:$DS$3,0))+index('jiliarena_日报_底稿'!$P$2:$DS$31,match($A28,'jiliarena_日报_底稿'!$P$2:$P$31,0),match("盘口彩票有效投注",'jiliarena_日报_底稿'!$P$3:$DS$3,0))</f>
        <v>910889.405</v>
      </c>
      <c r="Y28" s="199">
        <f t="shared" si="75"/>
        <v>67977.63</v>
      </c>
      <c r="Z28" s="198">
        <f t="shared" si="76"/>
        <v>900236.63</v>
      </c>
      <c r="AA28" s="194">
        <f t="shared" si="12"/>
        <v>0.070209</v>
      </c>
      <c r="AB28" s="200">
        <f t="array" ref="AB28">INDEX('jiliarena_日报_底稿'!$P$2:$DS$31,MATCH($A28,'jiliarena_日报_底稿'!$P$2:$P$31,0),MATCH(AB$3,'jiliarena_日报_底稿'!$P$3:$DS$3,0))</f>
        <v>0</v>
      </c>
      <c r="AC28" s="200">
        <f t="array" ref="AC28">INDEX('jiliarena_日报_底稿'!$P$2:$DS$31,MATCH($A28,'jiliarena_日报_底稿'!$P$2:$P$31,0),MATCH(AC$3,'jiliarena_日报_底稿'!$P$3:$DS$3,0))</f>
        <v>0</v>
      </c>
      <c r="AD28" s="194" t="str">
        <f t="shared" si="14"/>
        <v>#DIV/0!</v>
      </c>
      <c r="AE28" s="200">
        <f t="array" ref="AE28">INDEX('jiliarena_日报_底稿'!$P$2:$DS$31,MATCH($A28,'jiliarena_日报_底稿'!$P$2:$P$31,0),MATCH(AE$3,'jiliarena_日报_底稿'!$P$3:$DS$3,0))</f>
        <v>910332.01</v>
      </c>
      <c r="AF28" s="200">
        <f t="array" ref="AF28">INDEX('jiliarena_日报_底稿'!$P$2:$DS$31,MATCH($A28,'jiliarena_日报_底稿'!$P$2:$P$31,0),MATCH(AF$3,'jiliarena_日报_底稿'!$P$3:$DS$3,0))</f>
        <v>856643.71</v>
      </c>
      <c r="AG28" s="194">
        <f t="shared" si="16"/>
        <v>0.058977</v>
      </c>
      <c r="AH28" s="200">
        <f t="array" ref="AH28">INDEX('jiliarena_日报_底稿'!$P$2:$DS$31,MATCH($A28,'jiliarena_日报_底稿'!$P$2:$P$31,0),MATCH(AH$3,'jiliarena_日报_底稿'!$P$3:$DS$3,0))</f>
        <v>42245</v>
      </c>
      <c r="AI28" s="200">
        <f t="array" ref="AI28">INDEX('jiliarena_日报_底稿'!$P$2:$DS$31,MATCH($A28,'jiliarena_日报_底稿'!$P$2:$P$31,0),MATCH(AI$3,'jiliarena_日报_底稿'!$P$3:$DS$3,0))</f>
        <v>28142.5</v>
      </c>
      <c r="AJ28" s="194">
        <f t="shared" si="18"/>
        <v>0.333826</v>
      </c>
      <c r="AK28" s="200">
        <f t="array" ref="AK28">INDEX('jiliarena_日报_底稿'!$P$2:$DS$31,MATCH($A28,'jiliarena_日报_底稿'!$P$2:$P$31,0),MATCH(AK$3,'jiliarena_日报_底稿'!$P$3:$DS$3,0))</f>
        <v>15435.25</v>
      </c>
      <c r="AL28" s="200">
        <f t="array" ref="AL28">INDEX('jiliarena_日报_底稿'!$P$2:$DS$31,MATCH($A28,'jiliarena_日报_底稿'!$P$2:$P$31,0),MATCH(AL$3,'jiliarena_日报_底稿'!$P$3:$DS$3,0))</f>
        <v>15335.42</v>
      </c>
      <c r="AM28" s="194">
        <f t="shared" si="20"/>
        <v>0.006468</v>
      </c>
      <c r="AN28" s="200">
        <f t="array" ref="AN28">INDEX('jiliarena_日报_底稿'!$P$2:$DS$31,MATCH($A28,'jiliarena_日报_底稿'!$P$2:$P$31,0),MATCH(AN$3,'jiliarena_日报_底稿'!$P$3:$DS$3,0))</f>
        <v>200</v>
      </c>
      <c r="AO28" s="200">
        <f t="array" ref="AO28">INDEX('jiliarena_日报_底稿'!$P$2:$DS$31,MATCH($A28,'jiliarena_日报_底稿'!$P$2:$P$31,0),MATCH(AO$3,'jiliarena_日报_底稿'!$P$3:$DS$3,0))</f>
        <v>115</v>
      </c>
      <c r="AP28" s="194">
        <f t="shared" si="22"/>
        <v>0.425</v>
      </c>
      <c r="AQ28" s="200">
        <f t="array" ref="AQ28">INDEX('jiliarena_日报_底稿'!$P$2:$DS$31,MATCH($A28,'jiliarena_日报_底稿'!$P$2:$P$31,0),MATCH(AQ$3,'jiliarena_日报_底稿'!$P$3:$DS$3,0))</f>
        <v>2</v>
      </c>
      <c r="AR28" s="200">
        <f t="array" ref="AR28">INDEX('jiliarena_日报_底稿'!$P$2:$DS$31,MATCH($A28,'jiliarena_日报_底稿'!$P$2:$P$31,0),MATCH(AR$3,'jiliarena_日报_底稿'!$P$3:$DS$3,0))</f>
        <v>0</v>
      </c>
      <c r="AS28" s="194">
        <f t="shared" si="24"/>
        <v>1</v>
      </c>
      <c r="AT28" s="201">
        <f>SUMIFS('jiliarena_活动分析数据_底稿'!$K:$K,'jiliarena_活动分析数据_底稿'!$B:$B,$A28,'jiliarena_活动分析数据_底稿'!$L:$L,AT$3)</f>
        <v>4014.79</v>
      </c>
      <c r="AU28" s="201">
        <f>SUMIFS('jiliarena_活动分析数据_底稿'!$K:$K,'jiliarena_活动分析数据_底稿'!$B:$B,$A28,'jiliarena_活动分析数据_底稿'!$L:$L,AU$3)</f>
        <v>0</v>
      </c>
      <c r="AV28" s="201">
        <f>SUMIFS('jiliarena_活动分析数据_底稿'!$K:$K,'jiliarena_活动分析数据_底稿'!$B:$B,$A28,'jiliarena_活动分析数据_底稿'!$L:$L,AV$3)</f>
        <v>4141.83</v>
      </c>
      <c r="AW28" s="201">
        <f>SUMIFS('jiliarena_活动分析数据_底稿'!$K:$K,'jiliarena_活动分析数据_底稿'!$B:$B,$A28,'jiliarena_活动分析数据_底稿'!$L:$L,AW$3)</f>
        <v>4379</v>
      </c>
      <c r="AX28" s="201">
        <f>SUMIFS('jiliarena_活动分析数据_底稿'!$K:$K,'jiliarena_活动分析数据_底稿'!$B:$B,$A28,'jiliarena_活动分析数据_底稿'!$L:$L,AX$3)</f>
        <v>514</v>
      </c>
      <c r="AY28" s="201">
        <f>SUMIFS('jiliarena_活动分析数据_底稿'!$K:$K,'jiliarena_活动分析数据_底稿'!$B:$B,$A28,'jiliarena_活动分析数据_底稿'!$L:$L,AY$3)</f>
        <v>0</v>
      </c>
      <c r="AZ28" s="201">
        <f>SUMIFS('jiliarena_活动分析数据_底稿'!$K:$K,'jiliarena_活动分析数据_底稿'!$B:$B,$A28,'jiliarena_活动分析数据_底稿'!$L:$L,AZ$3)</f>
        <v>0</v>
      </c>
      <c r="BA28" s="201">
        <f>SUMIFS('jiliarena_活动分析数据_底稿'!$K:$K,'jiliarena_活动分析数据_底稿'!$B:$B,$A28,'jiliarena_活动分析数据_底稿'!$L:$L,BA$3)</f>
        <v>0</v>
      </c>
      <c r="BB28" s="201">
        <f>SUMIFS('jiliarena_活动分析数据_底稿'!$K:$K,'jiliarena_活动分析数据_底稿'!$B:$B,$A28,'jiliarena_活动分析数据_底稿'!$L:$L,BB$3)</f>
        <v>406.72</v>
      </c>
      <c r="BC28" s="201">
        <f>SUMIFS('jiliarena_活动分析数据_底稿'!$K:$K,'jiliarena_活动分析数据_底稿'!$B:$B,$A28,'jiliarena_活动分析数据_底稿'!$L:$L,BC$3)</f>
        <v>402</v>
      </c>
      <c r="BD28" s="201">
        <f>SUMIFS('jiliarena_活动分析数据_底稿'!$K:$K,'jiliarena_活动分析数据_底稿'!$B:$B,$A28,'jiliarena_活动分析数据_底稿'!$L:$L,BD$3)</f>
        <v>0</v>
      </c>
      <c r="BE28" s="201">
        <f>SUMIFS('jiliarena_活动分析数据_底稿'!$K:$K,'jiliarena_活动分析数据_底稿'!$B:$B,$A28,'jiliarena_活动分析数据_底稿'!$L:$L,BE$3)</f>
        <v>0</v>
      </c>
      <c r="BF28" s="201">
        <f>SUMIFS('jiliarena_活动分析数据_底稿'!$K:$K,'jiliarena_活动分析数据_底稿'!$B:$B,$A28,'jiliarena_活动分析数据_底稿'!$L:$L,BF$3)</f>
        <v>412</v>
      </c>
      <c r="BG28" s="201">
        <f>SUMIFS('jiliarena_活动分析数据_底稿'!$K:$K,'jiliarena_活动分析数据_底稿'!$B:$B,$A28,'jiliarena_活动分析数据_底稿'!$L:$L,BG$3)</f>
        <v>0</v>
      </c>
      <c r="BH28" s="201">
        <f>SUMIFS('jiliarena_活动分析数据_底稿'!$K:$K,'jiliarena_活动分析数据_底稿'!$B:$B,$A28,'jiliarena_活动分析数据_底稿'!$L:$L,BH$3)</f>
        <v>0</v>
      </c>
      <c r="BI28" s="201">
        <f>SUMIFS('jiliarena_活动分析数据_底稿'!$K:$K,'jiliarena_活动分析数据_底稿'!$B:$B,$A28,'jiliarena_活动分析数据_底稿'!$L:$L,BI$3)</f>
        <v>0</v>
      </c>
      <c r="BJ28" s="201">
        <f>SUMIFS('jiliarena_活动分析数据_底稿'!$K:$K,'jiliarena_活动分析数据_底稿'!$B:$B,$A28,'jiliarena_活动分析数据_底稿'!$L:$L,BJ$3)</f>
        <v>5874</v>
      </c>
      <c r="BK28" s="201">
        <f>SUMIFS('jiliarena_活动分析数据_底稿'!$K:$K,'jiliarena_活动分析数据_底稿'!$B:$B,$A28,'jiliarena_活动分析数据_底稿'!$L:$L,BK$3)</f>
        <v>0</v>
      </c>
      <c r="BL28" s="201">
        <f>SUMIFS('jiliarena_活动分析数据_底稿'!$K:$K,'jiliarena_活动分析数据_底稿'!$B:$B,$A28,'jiliarena_活动分析数据_底稿'!$L:$L,BL$3)</f>
        <v>0</v>
      </c>
      <c r="BM28" s="201">
        <f>SUMIFS('jiliarena_活动分析数据_底稿'!$K:$K,'jiliarena_活动分析数据_底稿'!$B:$B,$A28,'jiliarena_活动分析数据_底稿'!$L:$L,BM$3)</f>
        <v>0</v>
      </c>
      <c r="BN28" s="201">
        <f>SUMIFS('jiliarena_活动分析数据_底稿'!$K:$K,'jiliarena_活动分析数据_底稿'!$B:$B,$A28,'jiliarena_活动分析数据_底稿'!$L:$L,BN$3)</f>
        <v>0</v>
      </c>
      <c r="BO28" s="201">
        <f>SUMIFS('jiliarena_活动分析数据_底稿'!$K:$K,'jiliarena_活动分析数据_底稿'!$B:$B,$A28,'jiliarena_活动分析数据_底稿'!$L:$L,BO$3)</f>
        <v>0</v>
      </c>
      <c r="BP28" s="201">
        <f>SUMIFS('jiliarena_活动分析数据_底稿'!$K:$K,'jiliarena_活动分析数据_底稿'!$B:$B,$A28,'jiliarena_活动分析数据_底稿'!$L:$L,BP$3)</f>
        <v>0</v>
      </c>
      <c r="BQ28" s="198">
        <f t="shared" si="77"/>
        <v>20144.34</v>
      </c>
      <c r="BR28" s="198">
        <f t="shared" si="78"/>
        <v>4014.79</v>
      </c>
      <c r="BS28" s="198">
        <f t="shared" si="79"/>
        <v>406.72</v>
      </c>
      <c r="BT28" s="194">
        <f t="shared" si="26"/>
        <v>0.022115</v>
      </c>
      <c r="BU28" s="194">
        <f t="shared" si="27"/>
        <v>0.1570794507</v>
      </c>
      <c r="BV28" s="194">
        <f t="shared" si="28"/>
        <v>0.2963377805</v>
      </c>
      <c r="BW28" s="202">
        <f t="shared" si="29"/>
        <v>47833.29</v>
      </c>
      <c r="BX28" s="203">
        <f t="shared" si="30"/>
        <v>0.4211364094</v>
      </c>
      <c r="BY28" s="204">
        <f t="shared" si="31"/>
        <v>3090.6563</v>
      </c>
      <c r="BZ28" s="205">
        <f t="shared" si="32"/>
        <v>139.1</v>
      </c>
      <c r="CA28" s="206">
        <f t="shared" si="33"/>
        <v>3229.7563</v>
      </c>
      <c r="CB28" s="207">
        <f t="shared" si="34"/>
        <v>6118</v>
      </c>
      <c r="CC28" s="203">
        <f t="shared" si="35"/>
        <v>0.0675210988</v>
      </c>
      <c r="CD28" s="198">
        <f t="array" ref="CD28">index('jiliarena_日报_底稿'!$P$3:$DS$31,match(A28,'jiliarena_日报_底稿'!$P$3:$P$31,0),match("综合性分红",'jiliarena_日报_底稿'!$P$3:$DS$3,0))</f>
        <v>0</v>
      </c>
      <c r="CE28" s="208"/>
      <c r="CF28" s="198">
        <f t="array" ref="CF28">INDEX('jiliarena_日报_底稿'!$P$2:$DS$31,MATCH($A28,'jiliarena_日报_底稿'!$P$2:$P$31,0),MATCH(CF$3,'jiliarena_日报_底稿'!$P$3:$DS$3,0))</f>
        <v>0</v>
      </c>
      <c r="CG28" s="198">
        <f t="array" ref="CG28">-INDEX('jiliarena_日报_底稿'!$P$2:$DS$31,MATCH($A28,'jiliarena_日报_底稿'!$P$2:$P$31,0),MATCH(CG$3,'jiliarena_日报_底稿'!$P$3:$DS$3,0))</f>
        <v>0</v>
      </c>
      <c r="CH28" s="198">
        <f t="array" ref="CH28">INDEX('jiliarena_日报_底稿'!$P$2:$DS$31,MATCH($A28,'jiliarena_日报_底稿'!$P$2:$P$31,0),MATCH(CH$3,'jiliarena_日报_底稿'!$P$3:$DS$3,0))</f>
        <v>90410.5218</v>
      </c>
      <c r="CI28" s="202">
        <f t="shared" si="37"/>
        <v>38485.5337</v>
      </c>
      <c r="CJ28" s="209">
        <f t="shared" si="38"/>
        <v>2</v>
      </c>
      <c r="CK28" s="209">
        <f t="shared" si="39"/>
        <v>21</v>
      </c>
    </row>
    <row r="29">
      <c r="A29" s="222">
        <f t="shared" si="80"/>
        <v>46075</v>
      </c>
      <c r="B29" s="191">
        <f t="array" ref="B29">INDEX('jiliarena_日报_底稿'!$A$3:$N$31,MATCH($A29,'jiliarena_日报_底稿'!$A$3:$A$31,0),MATCH(B$3,'jiliarena_日报_底稿'!$A$3:$N$3,0))</f>
        <v>600</v>
      </c>
      <c r="C29" s="191">
        <f t="array" ref="C29">INDEX('jiliarena_日报_底稿'!$A$3:$N$31,MATCH($A29,'jiliarena_日报_底稿'!$A$3:$A$31,0),MATCH(C$3,'jiliarena_日报_底稿'!$A$3:$N$3,0))</f>
        <v>208</v>
      </c>
      <c r="D29" s="191">
        <f t="array" ref="D29">INDEX('jiliarena_日报_底稿'!$A$3:$N$31,MATCH($A29,'jiliarena_日报_底稿'!$A$3:$A$31,0),MATCH(D$3,'jiliarena_日报_底稿'!$A$3:$N$3,0))</f>
        <v>3650</v>
      </c>
      <c r="E29" s="192">
        <v>45.0</v>
      </c>
      <c r="F29" s="191">
        <f t="array" ref="F29">INDEX('jiliarena_日报_底稿'!$A$3:$N$31,MATCH($A29,'jiliarena_日报_底稿'!$A$3:$A$31,0),MATCH(F$3,'jiliarena_日报_底稿'!$A$3:$N$3,0))</f>
        <v>509</v>
      </c>
      <c r="G29" s="191">
        <f>SUMIFS('渠道充值成功率_底稿'!$F:$F,'渠道充值成功率_底稿'!$A:$A,A29)</f>
        <v>731</v>
      </c>
      <c r="H29" s="191">
        <f t="array" ref="H29">INDEX('jiliarena_日报_底稿'!$A$3:$N$31,MATCH($A29,'jiliarena_日报_底稿'!$A$3:$A$31,0),MATCH(H$3,'jiliarena_日报_底稿'!$A$3:$N$3,0))</f>
        <v>117</v>
      </c>
      <c r="I29" s="192">
        <v>149.0</v>
      </c>
      <c r="J29" s="191">
        <f t="array" ref="J29">INDEX('jiliarena_日报_底稿'!$A$3:$N$31,MATCH($A29,'jiliarena_日报_底稿'!$A$3:$A$31,0),MATCH(J$3,'jiliarena_日报_底稿'!$A$3:$N$3,0))</f>
        <v>2691</v>
      </c>
      <c r="K29" s="193">
        <f>SUMIFS('渠道充值成功率_底稿'!$J:$J,'渠道充值成功率_底稿'!$A:$A,$A29)</f>
        <v>27370</v>
      </c>
      <c r="L29" s="193">
        <f t="array" ref="L29">INDEX('jiliarena_日报_底稿'!$A$3:$N$31,MATCH($A29,'jiliarena_日报_底稿'!$A$3:$A$31,0),MATCH(L$3,'jiliarena_日报_底稿'!$A$3:$N$3,0))</f>
        <v>123790</v>
      </c>
      <c r="M29" s="193">
        <f t="array" ref="M29">INDEX('jiliarena_日报_底稿'!$P$2:$DS$31,MATCH($A29,'jiliarena_日报_底稿'!$P$2:$P$31,0),MATCH($M$3,'jiliarena_日报_底稿'!$P$3:$DS$3,0))</f>
        <v>92419</v>
      </c>
      <c r="N29" s="194">
        <f t="shared" si="2"/>
        <v>0.3467</v>
      </c>
      <c r="O29" s="195">
        <f t="shared" si="3"/>
        <v>132</v>
      </c>
      <c r="P29" s="194">
        <f t="shared" si="4"/>
        <v>0.2211</v>
      </c>
      <c r="Q29" s="195">
        <f t="shared" si="5"/>
        <v>1.4</v>
      </c>
      <c r="R29" s="196">
        <f t="shared" si="6"/>
        <v>243</v>
      </c>
      <c r="S29" s="195">
        <f t="shared" si="7"/>
        <v>169</v>
      </c>
      <c r="T29" s="195">
        <f t="shared" si="8"/>
        <v>1.3</v>
      </c>
      <c r="U29" s="196">
        <f t="shared" si="9"/>
        <v>790</v>
      </c>
      <c r="V29" s="197">
        <f t="shared" si="10"/>
        <v>31371</v>
      </c>
      <c r="W29" s="198">
        <f t="shared" si="74"/>
        <v>1367536</v>
      </c>
      <c r="X29" s="198">
        <f t="array" ref="X29">index('jiliarena_日报_底稿'!$P$2:$DS$31,match($A29,'jiliarena_日报_底稿'!$P$2:$P$31,0),match("电子有效投注",'jiliarena_日报_底稿'!$P$3:$DS$3,0))+index('jiliarena_日报_底稿'!$P$2:$DS$31,match($A29,'jiliarena_日报_底稿'!$P$2:$P$31,0),match("真人有效投注",'jiliarena_日报_底稿'!$P$3:$DS$3,0))+index('jiliarena_日报_底稿'!$P$2:$DS$31,match($A29,'jiliarena_日报_底稿'!$P$2:$P$31,0),match("彩票有效投注",'jiliarena_日报_底稿'!$P$3:$DS$3,0))+index('jiliarena_日报_底稿'!$P$2:$DS$31,match($A29,'jiliarena_日报_底稿'!$P$2:$P$31,0),match("棋牌有效投注",'jiliarena_日报_底稿'!$P$3:$DS$3,0))+index('jiliarena_日报_底稿'!$P$2:$DS$31,match($A29,'jiliarena_日报_底稿'!$P$2:$P$31,0),match("捕鱼有效投注",'jiliarena_日报_底稿'!$P$3:$DS$3,0))+index('jiliarena_日报_底稿'!$P$2:$DS$31,match($A29,'jiliarena_日报_底稿'!$P$2:$P$31,0),match("体育有效投注",'jiliarena_日报_底稿'!$P$3:$DS$3,0))+index('jiliarena_日报_底稿'!$P$2:$DS$31,match($A29,'jiliarena_日报_底稿'!$P$2:$P$31,0),match("盘口彩票有效投注",'jiliarena_日报_底稿'!$P$3:$DS$3,0))</f>
        <v>1289446.045</v>
      </c>
      <c r="Y29" s="199">
        <f t="shared" si="75"/>
        <v>45206.305</v>
      </c>
      <c r="Z29" s="198">
        <f t="shared" si="76"/>
        <v>1322329.695</v>
      </c>
      <c r="AA29" s="194">
        <f t="shared" si="12"/>
        <v>0.033057</v>
      </c>
      <c r="AB29" s="200">
        <f t="array" ref="AB29">INDEX('jiliarena_日报_底稿'!$P$2:$DS$31,MATCH($A29,'jiliarena_日报_底稿'!$P$2:$P$31,0),MATCH(AB$3,'jiliarena_日报_底稿'!$P$3:$DS$3,0))</f>
        <v>0</v>
      </c>
      <c r="AC29" s="200">
        <f t="array" ref="AC29">INDEX('jiliarena_日报_底稿'!$P$2:$DS$31,MATCH($A29,'jiliarena_日报_底稿'!$P$2:$P$31,0),MATCH(AC$3,'jiliarena_日报_底稿'!$P$3:$DS$3,0))</f>
        <v>0</v>
      </c>
      <c r="AD29" s="194" t="str">
        <f t="shared" si="14"/>
        <v>#DIV/0!</v>
      </c>
      <c r="AE29" s="200">
        <f t="array" ref="AE29">INDEX('jiliarena_日报_底稿'!$P$2:$DS$31,MATCH($A29,'jiliarena_日报_底稿'!$P$2:$P$31,0),MATCH(AE$3,'jiliarena_日报_底稿'!$P$3:$DS$3,0))</f>
        <v>1282834.1</v>
      </c>
      <c r="AF29" s="200">
        <f t="array" ref="AF29">INDEX('jiliarena_日报_底稿'!$P$2:$DS$31,MATCH($A29,'jiliarena_日报_底稿'!$P$2:$P$31,0),MATCH(AF$3,'jiliarena_日报_底稿'!$P$3:$DS$3,0))</f>
        <v>1257340.035</v>
      </c>
      <c r="AG29" s="194">
        <f t="shared" si="16"/>
        <v>0.019873</v>
      </c>
      <c r="AH29" s="200">
        <f t="array" ref="AH29">INDEX('jiliarena_日报_底稿'!$P$2:$DS$31,MATCH($A29,'jiliarena_日报_底稿'!$P$2:$P$31,0),MATCH(AH$3,'jiliarena_日报_底稿'!$P$3:$DS$3,0))</f>
        <v>75223</v>
      </c>
      <c r="AI29" s="200">
        <f t="array" ref="AI29">INDEX('jiliarena_日报_底稿'!$P$2:$DS$31,MATCH($A29,'jiliarena_日报_底稿'!$P$2:$P$31,0),MATCH(AI$3,'jiliarena_日报_底稿'!$P$3:$DS$3,0))</f>
        <v>55475.5</v>
      </c>
      <c r="AJ29" s="194">
        <f t="shared" si="18"/>
        <v>0.262519</v>
      </c>
      <c r="AK29" s="200">
        <f t="array" ref="AK29">INDEX('jiliarena_日报_底稿'!$P$2:$DS$31,MATCH($A29,'jiliarena_日报_底稿'!$P$2:$P$31,0),MATCH(AK$3,'jiliarena_日报_底稿'!$P$3:$DS$3,0))</f>
        <v>9369.9</v>
      </c>
      <c r="AL29" s="200">
        <f t="array" ref="AL29">INDEX('jiliarena_日报_底稿'!$P$2:$DS$31,MATCH($A29,'jiliarena_日报_底稿'!$P$2:$P$31,0),MATCH(AL$3,'jiliarena_日报_底稿'!$P$3:$DS$3,0))</f>
        <v>9514.16</v>
      </c>
      <c r="AM29" s="194">
        <f t="shared" si="20"/>
        <v>-0.015396</v>
      </c>
      <c r="AN29" s="200">
        <f t="array" ref="AN29">INDEX('jiliarena_日报_底稿'!$P$2:$DS$31,MATCH($A29,'jiliarena_日报_底稿'!$P$2:$P$31,0),MATCH(AN$3,'jiliarena_日报_底稿'!$P$3:$DS$3,0))</f>
        <v>100</v>
      </c>
      <c r="AO29" s="200">
        <f t="array" ref="AO29">INDEX('jiliarena_日报_底稿'!$P$2:$DS$31,MATCH($A29,'jiliarena_日报_底稿'!$P$2:$P$31,0),MATCH(AO$3,'jiliarena_日报_底稿'!$P$3:$DS$3,0))</f>
        <v>0</v>
      </c>
      <c r="AP29" s="194">
        <f t="shared" si="22"/>
        <v>1</v>
      </c>
      <c r="AQ29" s="200">
        <f t="array" ref="AQ29">INDEX('jiliarena_日报_底稿'!$P$2:$DS$31,MATCH($A29,'jiliarena_日报_底稿'!$P$2:$P$31,0),MATCH(AQ$3,'jiliarena_日报_底稿'!$P$3:$DS$3,0))</f>
        <v>9</v>
      </c>
      <c r="AR29" s="200">
        <f t="array" ref="AR29">INDEX('jiliarena_日报_底稿'!$P$2:$DS$31,MATCH($A29,'jiliarena_日报_底稿'!$P$2:$P$31,0),MATCH(AR$3,'jiliarena_日报_底稿'!$P$3:$DS$3,0))</f>
        <v>0</v>
      </c>
      <c r="AS29" s="194">
        <f t="shared" si="24"/>
        <v>1</v>
      </c>
      <c r="AT29" s="201">
        <f>SUMIFS('jiliarena_活动分析数据_底稿'!$K:$K,'jiliarena_活动分析数据_底稿'!$B:$B,$A29,'jiliarena_活动分析数据_底稿'!$L:$L,AT$3)</f>
        <v>2587.02</v>
      </c>
      <c r="AU29" s="201">
        <f>SUMIFS('jiliarena_活动分析数据_底稿'!$K:$K,'jiliarena_活动分析数据_底稿'!$B:$B,$A29,'jiliarena_活动分析数据_底稿'!$L:$L,AU$3)</f>
        <v>0</v>
      </c>
      <c r="AV29" s="201">
        <f>SUMIFS('jiliarena_活动分析数据_底稿'!$K:$K,'jiliarena_活动分析数据_底稿'!$B:$B,$A29,'jiliarena_活动分析数据_底稿'!$L:$L,AV$3)</f>
        <v>4179.15</v>
      </c>
      <c r="AW29" s="201">
        <f>SUMIFS('jiliarena_活动分析数据_底稿'!$K:$K,'jiliarena_活动分析数据_底稿'!$B:$B,$A29,'jiliarena_活动分析数据_底稿'!$L:$L,AW$3)</f>
        <v>4500</v>
      </c>
      <c r="AX29" s="201">
        <f>SUMIFS('jiliarena_活动分析数据_底稿'!$K:$K,'jiliarena_活动分析数据_底稿'!$B:$B,$A29,'jiliarena_活动分析数据_底稿'!$L:$L,AX$3)</f>
        <v>505</v>
      </c>
      <c r="AY29" s="201">
        <f>SUMIFS('jiliarena_活动分析数据_底稿'!$K:$K,'jiliarena_活动分析数据_底稿'!$B:$B,$A29,'jiliarena_活动分析数据_底稿'!$L:$L,AY$3)</f>
        <v>0</v>
      </c>
      <c r="AZ29" s="201">
        <f>SUMIFS('jiliarena_活动分析数据_底稿'!$K:$K,'jiliarena_活动分析数据_底稿'!$B:$B,$A29,'jiliarena_活动分析数据_底稿'!$L:$L,AZ$3)</f>
        <v>0</v>
      </c>
      <c r="BA29" s="201">
        <f>SUMIFS('jiliarena_活动分析数据_底稿'!$K:$K,'jiliarena_活动分析数据_底稿'!$B:$B,$A29,'jiliarena_活动分析数据_底稿'!$L:$L,BA$3)</f>
        <v>0</v>
      </c>
      <c r="BB29" s="201">
        <f>SUMIFS('jiliarena_活动分析数据_底稿'!$K:$K,'jiliarena_活动分析数据_底稿'!$B:$B,$A29,'jiliarena_活动分析数据_底稿'!$L:$L,BB$3)</f>
        <v>435.17</v>
      </c>
      <c r="BC29" s="201">
        <f>SUMIFS('jiliarena_活动分析数据_底稿'!$K:$K,'jiliarena_活动分析数据_底稿'!$B:$B,$A29,'jiliarena_活动分析数据_底稿'!$L:$L,BC$3)</f>
        <v>406</v>
      </c>
      <c r="BD29" s="201">
        <f>SUMIFS('jiliarena_活动分析数据_底稿'!$K:$K,'jiliarena_活动分析数据_底稿'!$B:$B,$A29,'jiliarena_活动分析数据_底稿'!$L:$L,BD$3)</f>
        <v>0</v>
      </c>
      <c r="BE29" s="201">
        <f>SUMIFS('jiliarena_活动分析数据_底稿'!$K:$K,'jiliarena_活动分析数据_底稿'!$B:$B,$A29,'jiliarena_活动分析数据_底稿'!$L:$L,BE$3)</f>
        <v>0</v>
      </c>
      <c r="BF29" s="201">
        <f>SUMIFS('jiliarena_活动分析数据_底稿'!$K:$K,'jiliarena_活动分析数据_底稿'!$B:$B,$A29,'jiliarena_活动分析数据_底稿'!$L:$L,BF$3)</f>
        <v>624</v>
      </c>
      <c r="BG29" s="201">
        <f>SUMIFS('jiliarena_活动分析数据_底稿'!$K:$K,'jiliarena_活动分析数据_底稿'!$B:$B,$A29,'jiliarena_活动分析数据_底稿'!$L:$L,BG$3)</f>
        <v>0</v>
      </c>
      <c r="BH29" s="201">
        <f>SUMIFS('jiliarena_活动分析数据_底稿'!$K:$K,'jiliarena_活动分析数据_底稿'!$B:$B,$A29,'jiliarena_活动分析数据_底稿'!$L:$L,BH$3)</f>
        <v>0</v>
      </c>
      <c r="BI29" s="201">
        <f>SUMIFS('jiliarena_活动分析数据_底稿'!$K:$K,'jiliarena_活动分析数据_底稿'!$B:$B,$A29,'jiliarena_活动分析数据_底稿'!$L:$L,BI$3)</f>
        <v>0</v>
      </c>
      <c r="BJ29" s="201">
        <f>SUMIFS('jiliarena_活动分析数据_底稿'!$K:$K,'jiliarena_活动分析数据_底稿'!$B:$B,$A29,'jiliarena_活动分析数据_底稿'!$L:$L,BJ$3)</f>
        <v>4300</v>
      </c>
      <c r="BK29" s="201">
        <f>SUMIFS('jiliarena_活动分析数据_底稿'!$K:$K,'jiliarena_活动分析数据_底稿'!$B:$B,$A29,'jiliarena_活动分析数据_底稿'!$L:$L,BK$3)</f>
        <v>0</v>
      </c>
      <c r="BL29" s="201">
        <f>SUMIFS('jiliarena_活动分析数据_底稿'!$K:$K,'jiliarena_活动分析数据_底稿'!$B:$B,$A29,'jiliarena_活动分析数据_底稿'!$L:$L,BL$3)</f>
        <v>0</v>
      </c>
      <c r="BM29" s="201">
        <f>SUMIFS('jiliarena_活动分析数据_底稿'!$K:$K,'jiliarena_活动分析数据_底稿'!$B:$B,$A29,'jiliarena_活动分析数据_底稿'!$L:$L,BM$3)</f>
        <v>0</v>
      </c>
      <c r="BN29" s="201">
        <f>SUMIFS('jiliarena_活动分析数据_底稿'!$K:$K,'jiliarena_活动分析数据_底稿'!$B:$B,$A29,'jiliarena_活动分析数据_底稿'!$L:$L,BN$3)</f>
        <v>0</v>
      </c>
      <c r="BO29" s="201">
        <f>SUMIFS('jiliarena_活动分析数据_底稿'!$K:$K,'jiliarena_活动分析数据_底稿'!$B:$B,$A29,'jiliarena_活动分析数据_底稿'!$L:$L,BO$3)</f>
        <v>0</v>
      </c>
      <c r="BP29" s="201">
        <f>SUMIFS('jiliarena_活动分析数据_底稿'!$K:$K,'jiliarena_活动分析数据_底稿'!$B:$B,$A29,'jiliarena_活动分析数据_底稿'!$L:$L,BP$3)</f>
        <v>0</v>
      </c>
      <c r="BQ29" s="198">
        <f t="shared" si="77"/>
        <v>17536.34</v>
      </c>
      <c r="BR29" s="198">
        <f t="shared" si="78"/>
        <v>2587.02</v>
      </c>
      <c r="BS29" s="198">
        <f t="shared" si="79"/>
        <v>435.17</v>
      </c>
      <c r="BT29" s="194">
        <f t="shared" si="26"/>
        <v>0.0136</v>
      </c>
      <c r="BU29" s="194">
        <f t="shared" si="27"/>
        <v>0.1416620082</v>
      </c>
      <c r="BV29" s="194">
        <f t="shared" si="28"/>
        <v>0.3879180128</v>
      </c>
      <c r="BW29" s="202">
        <f t="shared" si="29"/>
        <v>27669.965</v>
      </c>
      <c r="BX29" s="203">
        <f t="shared" si="30"/>
        <v>0.6337680586</v>
      </c>
      <c r="BY29" s="204">
        <f t="shared" si="31"/>
        <v>2983.339</v>
      </c>
      <c r="BZ29" s="205">
        <f t="shared" si="32"/>
        <v>184.838</v>
      </c>
      <c r="CA29" s="206">
        <f t="shared" si="33"/>
        <v>3168.177</v>
      </c>
      <c r="CB29" s="207">
        <f t="shared" si="34"/>
        <v>4069</v>
      </c>
      <c r="CC29" s="203">
        <f t="shared" si="35"/>
        <v>0.1144987715</v>
      </c>
      <c r="CD29" s="198">
        <f t="array" ref="CD29">index('jiliarena_日报_底稿'!$P$3:$DS$31,match(A29,'jiliarena_日报_底稿'!$P$3:$P$31,0),match("综合性分红",'jiliarena_日报_底稿'!$P$3:$DS$3,0))</f>
        <v>0</v>
      </c>
      <c r="CE29" s="208"/>
      <c r="CF29" s="198">
        <f t="array" ref="CF29">INDEX('jiliarena_日报_底稿'!$P$2:$DS$31,MATCH($A29,'jiliarena_日报_底稿'!$P$2:$P$31,0),MATCH(CF$3,'jiliarena_日报_底稿'!$P$3:$DS$3,0))</f>
        <v>0</v>
      </c>
      <c r="CG29" s="198">
        <f t="array" ref="CG29">-INDEX('jiliarena_日报_底稿'!$P$2:$DS$31,MATCH($A29,'jiliarena_日报_底稿'!$P$2:$P$31,0),MATCH(CG$3,'jiliarena_日报_底稿'!$P$3:$DS$3,0))</f>
        <v>0</v>
      </c>
      <c r="CH29" s="198">
        <f t="array" ref="CH29">INDEX('jiliarena_日报_底稿'!$P$2:$DS$31,MATCH($A29,'jiliarena_日报_底稿'!$P$2:$P$31,0),MATCH(CH$3,'jiliarena_日报_底稿'!$P$3:$DS$3,0))</f>
        <v>87680.7714</v>
      </c>
      <c r="CI29" s="202">
        <f t="shared" si="37"/>
        <v>20432.788</v>
      </c>
      <c r="CJ29" s="209">
        <f t="shared" si="38"/>
        <v>2</v>
      </c>
      <c r="CK29" s="209">
        <f t="shared" si="39"/>
        <v>22</v>
      </c>
    </row>
    <row r="30">
      <c r="A30" s="210" t="s">
        <v>507</v>
      </c>
      <c r="B30" s="211">
        <f t="shared" ref="B30:M30" si="81">SUM(B23:B29)</f>
        <v>5942</v>
      </c>
      <c r="C30" s="211">
        <f t="shared" si="81"/>
        <v>2132</v>
      </c>
      <c r="D30" s="211">
        <f t="shared" si="81"/>
        <v>31067</v>
      </c>
      <c r="E30" s="211">
        <f t="shared" si="81"/>
        <v>426</v>
      </c>
      <c r="F30" s="211">
        <f t="shared" si="81"/>
        <v>4633</v>
      </c>
      <c r="G30" s="211">
        <f t="shared" si="81"/>
        <v>6401</v>
      </c>
      <c r="H30" s="211">
        <f t="shared" si="81"/>
        <v>1003</v>
      </c>
      <c r="I30" s="211">
        <f t="shared" si="81"/>
        <v>1288</v>
      </c>
      <c r="J30" s="211">
        <f t="shared" si="81"/>
        <v>22100</v>
      </c>
      <c r="K30" s="212">
        <f t="shared" si="81"/>
        <v>311653</v>
      </c>
      <c r="L30" s="212">
        <f t="shared" si="81"/>
        <v>996040</v>
      </c>
      <c r="M30" s="212">
        <f t="shared" si="81"/>
        <v>696757</v>
      </c>
      <c r="N30" s="213">
        <f t="shared" si="2"/>
        <v>0.3588</v>
      </c>
      <c r="O30" s="214">
        <f t="shared" si="3"/>
        <v>146</v>
      </c>
      <c r="P30" s="213">
        <f t="shared" si="4"/>
        <v>0.312892</v>
      </c>
      <c r="Q30" s="214">
        <f t="shared" si="5"/>
        <v>1.4</v>
      </c>
      <c r="R30" s="214">
        <f t="shared" si="6"/>
        <v>215</v>
      </c>
      <c r="S30" s="214">
        <f t="shared" si="7"/>
        <v>156</v>
      </c>
      <c r="T30" s="214">
        <f t="shared" si="8"/>
        <v>1.1</v>
      </c>
      <c r="U30" s="215">
        <f t="shared" si="9"/>
        <v>695</v>
      </c>
      <c r="V30" s="216">
        <f t="shared" si="10"/>
        <v>299283</v>
      </c>
      <c r="W30" s="217">
        <f t="shared" ref="W30:Z30" si="82">SUM(W23:W29)</f>
        <v>9372758.92</v>
      </c>
      <c r="X30" s="217">
        <f t="shared" si="82"/>
        <v>8710833.764</v>
      </c>
      <c r="Y30" s="217">
        <f t="shared" si="82"/>
        <v>362110.501</v>
      </c>
      <c r="Z30" s="217">
        <f t="shared" si="82"/>
        <v>9010648.419</v>
      </c>
      <c r="AA30" s="218">
        <f t="shared" si="12"/>
        <v>0.038634</v>
      </c>
      <c r="AB30" s="217">
        <f t="shared" ref="AB30:AC30" si="83">SUM(AB23:AB29)</f>
        <v>652</v>
      </c>
      <c r="AC30" s="217">
        <f t="shared" si="83"/>
        <v>497.72</v>
      </c>
      <c r="AD30" s="218">
        <f t="shared" si="14"/>
        <v>0.236626</v>
      </c>
      <c r="AE30" s="217">
        <f t="shared" ref="AE30:AF30" si="84">SUM(AE23:AE29)</f>
        <v>9124993.36</v>
      </c>
      <c r="AF30" s="217">
        <f t="shared" si="84"/>
        <v>8810809.029</v>
      </c>
      <c r="AG30" s="218">
        <f t="shared" si="16"/>
        <v>0.034431</v>
      </c>
      <c r="AH30" s="217">
        <f t="shared" ref="AH30:AI30" si="85">SUM(AH23:AH29)</f>
        <v>142642.21</v>
      </c>
      <c r="AI30" s="217">
        <f t="shared" si="85"/>
        <v>107091.66</v>
      </c>
      <c r="AJ30" s="219">
        <f t="shared" si="18"/>
        <v>0.249229</v>
      </c>
      <c r="AK30" s="217">
        <f t="shared" ref="AK30:AL30" si="86">SUM(AK23:AK29)</f>
        <v>100096.35</v>
      </c>
      <c r="AL30" s="217">
        <f t="shared" si="86"/>
        <v>87930.2</v>
      </c>
      <c r="AM30" s="218">
        <f t="shared" si="20"/>
        <v>0.121544</v>
      </c>
      <c r="AN30" s="217">
        <f t="shared" ref="AN30:AO30" si="87">SUM(AN23:AN29)</f>
        <v>4287</v>
      </c>
      <c r="AO30" s="217">
        <f t="shared" si="87"/>
        <v>4049.81</v>
      </c>
      <c r="AP30" s="218">
        <f t="shared" si="22"/>
        <v>0.055328</v>
      </c>
      <c r="AQ30" s="217">
        <f t="shared" ref="AQ30:AR30" si="88">SUM(AQ23:AQ29)</f>
        <v>88</v>
      </c>
      <c r="AR30" s="217">
        <f t="shared" si="88"/>
        <v>270</v>
      </c>
      <c r="AS30" s="218">
        <f t="shared" si="24"/>
        <v>-2.068182</v>
      </c>
      <c r="AT30" s="220">
        <f t="shared" ref="AT30:BS30" si="89">SUM(AT23:AT29)</f>
        <v>28849.3</v>
      </c>
      <c r="AU30" s="220">
        <f t="shared" si="89"/>
        <v>0</v>
      </c>
      <c r="AV30" s="220">
        <f t="shared" si="89"/>
        <v>34336.85</v>
      </c>
      <c r="AW30" s="220">
        <f t="shared" si="89"/>
        <v>37920</v>
      </c>
      <c r="AX30" s="220">
        <f t="shared" si="89"/>
        <v>5758</v>
      </c>
      <c r="AY30" s="220">
        <f t="shared" si="89"/>
        <v>0</v>
      </c>
      <c r="AZ30" s="220">
        <f t="shared" si="89"/>
        <v>0</v>
      </c>
      <c r="BA30" s="220">
        <f t="shared" si="89"/>
        <v>0</v>
      </c>
      <c r="BB30" s="220">
        <f t="shared" si="89"/>
        <v>3514.46</v>
      </c>
      <c r="BC30" s="220">
        <f t="shared" si="89"/>
        <v>3468</v>
      </c>
      <c r="BD30" s="220">
        <f t="shared" si="89"/>
        <v>0</v>
      </c>
      <c r="BE30" s="220">
        <f t="shared" si="89"/>
        <v>0</v>
      </c>
      <c r="BF30" s="220">
        <f t="shared" si="89"/>
        <v>4681</v>
      </c>
      <c r="BG30" s="220">
        <f t="shared" si="89"/>
        <v>0</v>
      </c>
      <c r="BH30" s="220">
        <f t="shared" si="89"/>
        <v>0</v>
      </c>
      <c r="BI30" s="220">
        <f t="shared" si="89"/>
        <v>0</v>
      </c>
      <c r="BJ30" s="220">
        <f t="shared" si="89"/>
        <v>68894</v>
      </c>
      <c r="BK30" s="220">
        <f t="shared" si="89"/>
        <v>0</v>
      </c>
      <c r="BL30" s="220">
        <f t="shared" si="89"/>
        <v>0</v>
      </c>
      <c r="BM30" s="220">
        <f t="shared" si="89"/>
        <v>0</v>
      </c>
      <c r="BN30" s="220">
        <f t="shared" si="89"/>
        <v>0</v>
      </c>
      <c r="BO30" s="220">
        <f t="shared" si="89"/>
        <v>0</v>
      </c>
      <c r="BP30" s="220">
        <f t="shared" si="89"/>
        <v>0</v>
      </c>
      <c r="BQ30" s="220">
        <f t="shared" si="89"/>
        <v>187421.61</v>
      </c>
      <c r="BR30" s="220">
        <f t="shared" si="89"/>
        <v>28849.3</v>
      </c>
      <c r="BS30" s="220">
        <f t="shared" si="89"/>
        <v>3514.46</v>
      </c>
      <c r="BT30" s="213">
        <f t="shared" si="26"/>
        <v>0.021516</v>
      </c>
      <c r="BU30" s="213">
        <f t="shared" si="27"/>
        <v>0.1881667503</v>
      </c>
      <c r="BV30" s="213">
        <f t="shared" si="28"/>
        <v>0.5175812617</v>
      </c>
      <c r="BW30" s="215">
        <f t="shared" si="29"/>
        <v>174688.891</v>
      </c>
      <c r="BX30" s="213">
        <f t="shared" si="30"/>
        <v>1.072887972</v>
      </c>
      <c r="BY30" s="215">
        <f t="shared" si="31"/>
        <v>24004.564</v>
      </c>
      <c r="BZ30" s="215">
        <f t="shared" si="32"/>
        <v>1393.514</v>
      </c>
      <c r="CA30" s="215">
        <f t="shared" si="33"/>
        <v>25398.078</v>
      </c>
      <c r="CB30" s="215">
        <f t="shared" si="34"/>
        <v>32590</v>
      </c>
      <c r="CC30" s="221">
        <f t="shared" si="35"/>
        <v>0.1453903443</v>
      </c>
      <c r="CD30" s="220">
        <f t="shared" ref="CD30:CH30" si="90">SUM(CD23:CD29)</f>
        <v>0</v>
      </c>
      <c r="CE30" s="220">
        <f t="shared" si="90"/>
        <v>0</v>
      </c>
      <c r="CF30" s="220">
        <f t="shared" si="90"/>
        <v>0</v>
      </c>
      <c r="CG30" s="220">
        <f t="shared" si="90"/>
        <v>0</v>
      </c>
      <c r="CH30" s="220">
        <f t="shared" si="90"/>
        <v>606475.9224</v>
      </c>
      <c r="CI30" s="215">
        <f t="shared" si="37"/>
        <v>116700.813</v>
      </c>
      <c r="CJ30" s="146" t="str">
        <f t="shared" si="38"/>
        <v/>
      </c>
      <c r="CK30" s="146" t="str">
        <f t="shared" si="39"/>
        <v/>
      </c>
    </row>
    <row r="31">
      <c r="A31" s="190">
        <f>A29+1</f>
        <v>46076</v>
      </c>
      <c r="B31" s="191">
        <f t="array" ref="B31">INDEX('jiliarena_日报_底稿'!$A$3:$N$31,MATCH($A31,'jiliarena_日报_底稿'!$A$3:$A$31,0),MATCH(B$3,'jiliarena_日报_底稿'!$A$3:$N$3,0))</f>
        <v>623</v>
      </c>
      <c r="C31" s="191">
        <f t="array" ref="C31">INDEX('jiliarena_日报_底稿'!$A$3:$N$31,MATCH($A31,'jiliarena_日报_底稿'!$A$3:$A$31,0),MATCH(C$3,'jiliarena_日报_底稿'!$A$3:$N$3,0))</f>
        <v>161</v>
      </c>
      <c r="D31" s="191">
        <f t="array" ref="D31">INDEX('jiliarena_日报_底稿'!$A$3:$N$31,MATCH($A31,'jiliarena_日报_底稿'!$A$3:$A$31,0),MATCH(D$3,'jiliarena_日报_底稿'!$A$3:$N$3,0))</f>
        <v>3493</v>
      </c>
      <c r="E31" s="192">
        <v>33.0</v>
      </c>
      <c r="F31" s="191">
        <f t="array" ref="F31">INDEX('jiliarena_日报_底稿'!$A$3:$N$31,MATCH($A31,'jiliarena_日报_底稿'!$A$3:$A$31,0),MATCH(F$3,'jiliarena_日报_底稿'!$A$3:$N$3,0))</f>
        <v>419</v>
      </c>
      <c r="G31" s="191">
        <f>SUMIFS('渠道充值成功率_底稿'!$F:$F,'渠道充值成功率_底稿'!$A:$A,A31)</f>
        <v>578</v>
      </c>
      <c r="H31" s="191">
        <f t="array" ref="H31">INDEX('jiliarena_日报_底稿'!$A$3:$N$31,MATCH($A31,'jiliarena_日报_底稿'!$A$3:$A$31,0),MATCH(H$3,'jiliarena_日报_底稿'!$A$3:$N$3,0))</f>
        <v>94</v>
      </c>
      <c r="I31" s="192">
        <v>132.0</v>
      </c>
      <c r="J31" s="191">
        <f t="array" ref="J31">INDEX('jiliarena_日报_底稿'!$A$3:$N$31,MATCH($A31,'jiliarena_日报_底稿'!$A$3:$A$31,0),MATCH(J$3,'jiliarena_日报_底稿'!$A$3:$N$3,0))</f>
        <v>2358</v>
      </c>
      <c r="K31" s="193">
        <f>SUMIFS('渠道充值成功率_底稿'!$J:$J,'渠道充值成功率_底稿'!$A:$A,$A31)</f>
        <v>21559</v>
      </c>
      <c r="L31" s="193">
        <f t="array" ref="L31">INDEX('jiliarena_日报_底稿'!$A$3:$N$31,MATCH($A31,'jiliarena_日报_底稿'!$A$3:$A$31,0),MATCH(L$3,'jiliarena_日报_底稿'!$A$3:$N$3,0))</f>
        <v>75103</v>
      </c>
      <c r="M31" s="193">
        <f t="array" ref="M31">INDEX('jiliarena_日报_底稿'!$P$2:$DS$31,MATCH($A31,'jiliarena_日报_底稿'!$P$2:$P$31,0),MATCH($M$3,'jiliarena_日报_底稿'!$P$3:$DS$3,0))</f>
        <v>67348</v>
      </c>
      <c r="N31" s="194">
        <f t="shared" si="2"/>
        <v>0.2584</v>
      </c>
      <c r="O31" s="195">
        <f t="shared" si="3"/>
        <v>134</v>
      </c>
      <c r="P31" s="194">
        <f t="shared" si="4"/>
        <v>0.287059</v>
      </c>
      <c r="Q31" s="195">
        <f t="shared" si="5"/>
        <v>1.4</v>
      </c>
      <c r="R31" s="196">
        <f t="shared" si="6"/>
        <v>179</v>
      </c>
      <c r="S31" s="195">
        <f t="shared" si="7"/>
        <v>130</v>
      </c>
      <c r="T31" s="195">
        <f t="shared" si="8"/>
        <v>1</v>
      </c>
      <c r="U31" s="196">
        <f t="shared" si="9"/>
        <v>716</v>
      </c>
      <c r="V31" s="197">
        <f t="shared" si="10"/>
        <v>7755</v>
      </c>
      <c r="W31" s="198">
        <f t="shared" ref="W31:W36" si="91">AB31+AE31+AH31+AK31+AN31+AQ31</f>
        <v>799540.59</v>
      </c>
      <c r="X31" s="198">
        <f t="array" ref="X31">index('jiliarena_日报_底稿'!$P$2:$DS$31,match($A31,'jiliarena_日报_底稿'!$P$2:$P$31,0),match("电子有效投注",'jiliarena_日报_底稿'!$P$3:$DS$3,0))+index('jiliarena_日报_底稿'!$P$2:$DS$31,match($A31,'jiliarena_日报_底稿'!$P$2:$P$31,0),match("真人有效投注",'jiliarena_日报_底稿'!$P$3:$DS$3,0))+index('jiliarena_日报_底稿'!$P$2:$DS$31,match($A31,'jiliarena_日报_底稿'!$P$2:$P$31,0),match("彩票有效投注",'jiliarena_日报_底稿'!$P$3:$DS$3,0))+index('jiliarena_日报_底稿'!$P$2:$DS$31,match($A31,'jiliarena_日报_底稿'!$P$2:$P$31,0),match("棋牌有效投注",'jiliarena_日报_底稿'!$P$3:$DS$3,0))+index('jiliarena_日报_底稿'!$P$2:$DS$31,match($A31,'jiliarena_日报_底稿'!$P$2:$P$31,0),match("捕鱼有效投注",'jiliarena_日报_底稿'!$P$3:$DS$3,0))+index('jiliarena_日报_底稿'!$P$2:$DS$31,match($A31,'jiliarena_日报_底稿'!$P$2:$P$31,0),match("体育有效投注",'jiliarena_日报_底稿'!$P$3:$DS$3,0))+index('jiliarena_日报_底稿'!$P$2:$DS$31,match($A31,'jiliarena_日报_底稿'!$P$2:$P$31,0),match("盘口彩票有效投注",'jiliarena_日报_底稿'!$P$3:$DS$3,0))</f>
        <v>751956.38</v>
      </c>
      <c r="Y31" s="199">
        <f t="shared" ref="Y31:Y35" si="92">AB31+AE31+AH31+AK31+AN31+AQ31-AR31-AO31-AL31-AI31-AF31-AC31</f>
        <v>23986.09</v>
      </c>
      <c r="Z31" s="198">
        <f t="shared" ref="Z31:Z36" si="93">AC31+AF31+AI31+AL31+AO31+AR31</f>
        <v>775554.5</v>
      </c>
      <c r="AA31" s="194">
        <f t="shared" si="12"/>
        <v>0.03</v>
      </c>
      <c r="AB31" s="200">
        <f t="array" ref="AB31">INDEX('jiliarena_日报_底稿'!$P$2:$DS$31,MATCH($A31,'jiliarena_日报_底稿'!$P$2:$P$31,0),MATCH(AB$3,'jiliarena_日报_底稿'!$P$3:$DS$3,0))</f>
        <v>0</v>
      </c>
      <c r="AC31" s="200">
        <f t="array" ref="AC31">INDEX('jiliarena_日报_底稿'!$P$2:$DS$31,MATCH($A31,'jiliarena_日报_底稿'!$P$2:$P$31,0),MATCH(AC$3,'jiliarena_日报_底稿'!$P$3:$DS$3,0))</f>
        <v>0</v>
      </c>
      <c r="AD31" s="194" t="str">
        <f t="shared" si="14"/>
        <v>#DIV/0!</v>
      </c>
      <c r="AE31" s="200">
        <f t="array" ref="AE31">INDEX('jiliarena_日报_底稿'!$P$2:$DS$31,MATCH($A31,'jiliarena_日报_底稿'!$P$2:$P$31,0),MATCH(AE$3,'jiliarena_日报_底稿'!$P$3:$DS$3,0))</f>
        <v>767010.59</v>
      </c>
      <c r="AF31" s="200">
        <f t="array" ref="AF31">INDEX('jiliarena_日报_底稿'!$P$2:$DS$31,MATCH($A31,'jiliarena_日报_底稿'!$P$2:$P$31,0),MATCH(AF$3,'jiliarena_日报_底稿'!$P$3:$DS$3,0))</f>
        <v>740575.58</v>
      </c>
      <c r="AG31" s="194">
        <f t="shared" si="16"/>
        <v>0.034465</v>
      </c>
      <c r="AH31" s="200">
        <f t="array" ref="AH31">INDEX('jiliarena_日报_底稿'!$P$2:$DS$31,MATCH($A31,'jiliarena_日报_底稿'!$P$2:$P$31,0),MATCH(AH$3,'jiliarena_日报_底稿'!$P$3:$DS$3,0))</f>
        <v>3935</v>
      </c>
      <c r="AI31" s="200">
        <f t="array" ref="AI31">INDEX('jiliarena_日报_底稿'!$P$2:$DS$31,MATCH($A31,'jiliarena_日报_底稿'!$P$2:$P$31,0),MATCH(AI$3,'jiliarena_日报_底稿'!$P$3:$DS$3,0))</f>
        <v>4190</v>
      </c>
      <c r="AJ31" s="194">
        <f t="shared" si="18"/>
        <v>-0.064803</v>
      </c>
      <c r="AK31" s="200">
        <f t="array" ref="AK31">INDEX('jiliarena_日报_底稿'!$P$2:$DS$31,MATCH($A31,'jiliarena_日报_底稿'!$P$2:$P$31,0),MATCH(AK$3,'jiliarena_日报_底稿'!$P$3:$DS$3,0))</f>
        <v>27093.9</v>
      </c>
      <c r="AL31" s="200">
        <f t="array" ref="AL31">INDEX('jiliarena_日报_底稿'!$P$2:$DS$31,MATCH($A31,'jiliarena_日报_底稿'!$P$2:$P$31,0),MATCH(AL$3,'jiliarena_日报_底稿'!$P$3:$DS$3,0))</f>
        <v>28727.6</v>
      </c>
      <c r="AM31" s="194">
        <f t="shared" si="20"/>
        <v>-0.060298</v>
      </c>
      <c r="AN31" s="200">
        <f t="array" ref="AN31">INDEX('jiliarena_日报_底稿'!$P$2:$DS$31,MATCH($A31,'jiliarena_日报_底稿'!$P$2:$P$31,0),MATCH(AN$3,'jiliarena_日报_底稿'!$P$3:$DS$3,0))</f>
        <v>1495.1</v>
      </c>
      <c r="AO31" s="200">
        <f t="array" ref="AO31">INDEX('jiliarena_日报_底稿'!$P$2:$DS$31,MATCH($A31,'jiliarena_日报_底稿'!$P$2:$P$31,0),MATCH(AO$3,'jiliarena_日报_底稿'!$P$3:$DS$3,0))</f>
        <v>981.32</v>
      </c>
      <c r="AP31" s="194">
        <f t="shared" si="22"/>
        <v>0.343643</v>
      </c>
      <c r="AQ31" s="200">
        <f t="array" ref="AQ31">INDEX('jiliarena_日报_底稿'!$P$2:$DS$31,MATCH($A31,'jiliarena_日报_底稿'!$P$2:$P$31,0),MATCH(AQ$3,'jiliarena_日报_底稿'!$P$3:$DS$3,0))</f>
        <v>6</v>
      </c>
      <c r="AR31" s="200">
        <f t="array" ref="AR31">INDEX('jiliarena_日报_底稿'!$P$2:$DS$31,MATCH($A31,'jiliarena_日报_底稿'!$P$2:$P$31,0),MATCH(AR$3,'jiliarena_日报_底稿'!$P$3:$DS$3,0))</f>
        <v>1080</v>
      </c>
      <c r="AS31" s="194">
        <f t="shared" si="24"/>
        <v>-179</v>
      </c>
      <c r="AT31" s="201">
        <f>SUMIFS('jiliarena_活动分析数据_底稿'!$K:$K,'jiliarena_活动分析数据_底稿'!$B:$B,$A31,'jiliarena_活动分析数据_底稿'!$L:$L,AT$3)</f>
        <v>5406.93</v>
      </c>
      <c r="AU31" s="201">
        <f>SUMIFS('jiliarena_活动分析数据_底稿'!$K:$K,'jiliarena_活动分析数据_底稿'!$B:$B,$A31,'jiliarena_活动分析数据_底稿'!$L:$L,AU$3)</f>
        <v>0</v>
      </c>
      <c r="AV31" s="201">
        <f>SUMIFS('jiliarena_活动分析数据_底稿'!$K:$K,'jiliarena_活动分析数据_底稿'!$B:$B,$A31,'jiliarena_活动分析数据_底稿'!$L:$L,AV$3)</f>
        <v>3121.1</v>
      </c>
      <c r="AW31" s="201">
        <f>SUMIFS('jiliarena_活动分析数据_底稿'!$K:$K,'jiliarena_活动分析数据_底稿'!$B:$B,$A31,'jiliarena_活动分析数据_底稿'!$L:$L,AW$3)</f>
        <v>4366</v>
      </c>
      <c r="AX31" s="201">
        <f>SUMIFS('jiliarena_活动分析数据_底稿'!$K:$K,'jiliarena_活动分析数据_底稿'!$B:$B,$A31,'jiliarena_活动分析数据_底稿'!$L:$L,AX$3)</f>
        <v>427</v>
      </c>
      <c r="AY31" s="201">
        <f>SUMIFS('jiliarena_活动分析数据_底稿'!$K:$K,'jiliarena_活动分析数据_底稿'!$B:$B,$A31,'jiliarena_活动分析数据_底稿'!$L:$L,AY$3)</f>
        <v>0</v>
      </c>
      <c r="AZ31" s="201">
        <f>SUMIFS('jiliarena_活动分析数据_底稿'!$K:$K,'jiliarena_活动分析数据_底稿'!$B:$B,$A31,'jiliarena_活动分析数据_底稿'!$L:$L,AZ$3)</f>
        <v>0</v>
      </c>
      <c r="BA31" s="201">
        <f>SUMIFS('jiliarena_活动分析数据_底稿'!$K:$K,'jiliarena_活动分析数据_底稿'!$B:$B,$A31,'jiliarena_活动分析数据_底稿'!$L:$L,BA$3)</f>
        <v>0</v>
      </c>
      <c r="BB31" s="201">
        <f>SUMIFS('jiliarena_活动分析数据_底稿'!$K:$K,'jiliarena_活动分析数据_底稿'!$B:$B,$A31,'jiliarena_活动分析数据_底稿'!$L:$L,BB$3)</f>
        <v>457.68</v>
      </c>
      <c r="BC31" s="201">
        <f>SUMIFS('jiliarena_活动分析数据_底稿'!$K:$K,'jiliarena_活动分析数据_底稿'!$B:$B,$A31,'jiliarena_活动分析数据_底稿'!$L:$L,BC$3)</f>
        <v>246</v>
      </c>
      <c r="BD31" s="201">
        <f>SUMIFS('jiliarena_活动分析数据_底稿'!$K:$K,'jiliarena_活动分析数据_底稿'!$B:$B,$A31,'jiliarena_活动分析数据_底稿'!$L:$L,BD$3)</f>
        <v>0</v>
      </c>
      <c r="BE31" s="201">
        <f>SUMIFS('jiliarena_活动分析数据_底稿'!$K:$K,'jiliarena_活动分析数据_底稿'!$B:$B,$A31,'jiliarena_活动分析数据_底稿'!$L:$L,BE$3)</f>
        <v>0</v>
      </c>
      <c r="BF31" s="201">
        <f>SUMIFS('jiliarena_活动分析数据_底稿'!$K:$K,'jiliarena_活动分析数据_底稿'!$B:$B,$A31,'jiliarena_活动分析数据_底稿'!$L:$L,BF$3)</f>
        <v>405</v>
      </c>
      <c r="BG31" s="201">
        <f>SUMIFS('jiliarena_活动分析数据_底稿'!$K:$K,'jiliarena_活动分析数据_底稿'!$B:$B,$A31,'jiliarena_活动分析数据_底稿'!$L:$L,BG$3)</f>
        <v>0</v>
      </c>
      <c r="BH31" s="201">
        <f>SUMIFS('jiliarena_活动分析数据_底稿'!$K:$K,'jiliarena_活动分析数据_底稿'!$B:$B,$A31,'jiliarena_活动分析数据_底稿'!$L:$L,BH$3)</f>
        <v>0</v>
      </c>
      <c r="BI31" s="201">
        <f>SUMIFS('jiliarena_活动分析数据_底稿'!$K:$K,'jiliarena_活动分析数据_底稿'!$B:$B,$A31,'jiliarena_活动分析数据_底稿'!$L:$L,BI$3)</f>
        <v>0</v>
      </c>
      <c r="BJ31" s="201">
        <f>SUMIFS('jiliarena_活动分析数据_底稿'!$K:$K,'jiliarena_活动分析数据_底稿'!$B:$B,$A31,'jiliarena_活动分析数据_底稿'!$L:$L,BJ$3)</f>
        <v>3777</v>
      </c>
      <c r="BK31" s="201">
        <f>SUMIFS('jiliarena_活动分析数据_底稿'!$K:$K,'jiliarena_活动分析数据_底稿'!$B:$B,$A31,'jiliarena_活动分析数据_底稿'!$L:$L,BK$3)</f>
        <v>0</v>
      </c>
      <c r="BL31" s="201">
        <f>SUMIFS('jiliarena_活动分析数据_底稿'!$K:$K,'jiliarena_活动分析数据_底稿'!$B:$B,$A31,'jiliarena_活动分析数据_底稿'!$L:$L,BL$3)</f>
        <v>0</v>
      </c>
      <c r="BM31" s="201">
        <f>SUMIFS('jiliarena_活动分析数据_底稿'!$K:$K,'jiliarena_活动分析数据_底稿'!$B:$B,$A31,'jiliarena_活动分析数据_底稿'!$L:$L,BM$3)</f>
        <v>0</v>
      </c>
      <c r="BN31" s="201">
        <f>SUMIFS('jiliarena_活动分析数据_底稿'!$K:$K,'jiliarena_活动分析数据_底稿'!$B:$B,$A31,'jiliarena_活动分析数据_底稿'!$L:$L,BN$3)</f>
        <v>0</v>
      </c>
      <c r="BO31" s="201">
        <f>SUMIFS('jiliarena_活动分析数据_底稿'!$K:$K,'jiliarena_活动分析数据_底稿'!$B:$B,$A31,'jiliarena_活动分析数据_底稿'!$L:$L,BO$3)</f>
        <v>0</v>
      </c>
      <c r="BP31" s="201">
        <f>SUMIFS('jiliarena_活动分析数据_底稿'!$K:$K,'jiliarena_活动分析数据_底稿'!$B:$B,$A31,'jiliarena_活动分析数据_底稿'!$L:$L,BP$3)</f>
        <v>0</v>
      </c>
      <c r="BQ31" s="198">
        <f t="shared" ref="BQ31:BQ36" si="94">SUM(AT31:BP31)</f>
        <v>18206.71</v>
      </c>
      <c r="BR31" s="198">
        <f t="shared" ref="BR31:BR36" si="95">AT31</f>
        <v>5406.93</v>
      </c>
      <c r="BS31" s="198">
        <f t="shared" ref="BS31:BS36" si="96">BB31</f>
        <v>457.68</v>
      </c>
      <c r="BT31" s="194">
        <f t="shared" si="26"/>
        <v>0.024212</v>
      </c>
      <c r="BU31" s="194">
        <f t="shared" si="27"/>
        <v>0.2424232055</v>
      </c>
      <c r="BV31" s="194">
        <f t="shared" si="28"/>
        <v>0.759052851</v>
      </c>
      <c r="BW31" s="202">
        <f t="shared" si="29"/>
        <v>5779.38</v>
      </c>
      <c r="BX31" s="203">
        <f t="shared" si="30"/>
        <v>3.150287747</v>
      </c>
      <c r="BY31" s="204">
        <f t="shared" si="31"/>
        <v>1809.9823</v>
      </c>
      <c r="BZ31" s="205">
        <f t="shared" si="32"/>
        <v>134.696</v>
      </c>
      <c r="CA31" s="206">
        <f t="shared" si="33"/>
        <v>1944.6783</v>
      </c>
      <c r="CB31" s="207">
        <f t="shared" si="34"/>
        <v>2159</v>
      </c>
      <c r="CC31" s="203">
        <f t="shared" si="35"/>
        <v>0.3364856265</v>
      </c>
      <c r="CD31" s="198">
        <f t="array" ref="CD31">index('jiliarena_日报_底稿'!$P$3:$DS$31,match(A31,'jiliarena_日报_底稿'!$P$3:$P$31,0),match("综合性分红",'jiliarena_日报_底稿'!$P$3:$DS$3,0))</f>
        <v>0</v>
      </c>
      <c r="CE31" s="208"/>
      <c r="CF31" s="198">
        <f t="array" ref="CF31">INDEX('jiliarena_日报_底稿'!$P$2:$DS$31,MATCH($A31,'jiliarena_日报_底稿'!$P$2:$P$31,0),MATCH(CF$3,'jiliarena_日报_底稿'!$P$3:$DS$3,0))</f>
        <v>0</v>
      </c>
      <c r="CG31" s="198">
        <f t="array" ref="CG31">-INDEX('jiliarena_日报_底稿'!$P$2:$DS$31,MATCH($A31,'jiliarena_日报_底稿'!$P$2:$P$31,0),MATCH(CG$3,'jiliarena_日报_底稿'!$P$3:$DS$3,0))</f>
        <v>0</v>
      </c>
      <c r="CH31" s="198">
        <f t="array" ref="CH31">INDEX('jiliarena_日报_底稿'!$P$2:$DS$31,MATCH($A31,'jiliarena_日报_底稿'!$P$2:$P$31,0),MATCH(CH$3,'jiliarena_日报_底稿'!$P$3:$DS$3,0))</f>
        <v>88711.7314</v>
      </c>
      <c r="CI31" s="202">
        <f t="shared" si="37"/>
        <v>1675.7017</v>
      </c>
      <c r="CJ31" s="209">
        <f t="shared" si="38"/>
        <v>2</v>
      </c>
      <c r="CK31" s="209">
        <f t="shared" si="39"/>
        <v>23</v>
      </c>
    </row>
    <row r="32">
      <c r="A32" s="222">
        <f t="shared" ref="A32:A36" si="97">A31+1</f>
        <v>46077</v>
      </c>
      <c r="B32" s="191">
        <f t="array" ref="B32">INDEX('jiliarena_日报_底稿'!$A$3:$N$31,MATCH($A32,'jiliarena_日报_底稿'!$A$3:$A$31,0),MATCH(B$3,'jiliarena_日报_底稿'!$A$3:$N$3,0))</f>
        <v>707</v>
      </c>
      <c r="C32" s="191">
        <f t="array" ref="C32">INDEX('jiliarena_日报_底稿'!$A$3:$N$31,MATCH($A32,'jiliarena_日报_底稿'!$A$3:$A$31,0),MATCH(C$3,'jiliarena_日报_底稿'!$A$3:$N$3,0))</f>
        <v>199</v>
      </c>
      <c r="D32" s="191">
        <f t="array" ref="D32">INDEX('jiliarena_日报_底稿'!$A$3:$N$31,MATCH($A32,'jiliarena_日报_底稿'!$A$3:$A$31,0),MATCH(D$3,'jiliarena_日报_底稿'!$A$3:$N$3,0))</f>
        <v>3785</v>
      </c>
      <c r="E32" s="192">
        <v>39.0</v>
      </c>
      <c r="F32" s="191">
        <f t="array" ref="F32">INDEX('jiliarena_日报_底稿'!$A$3:$N$31,MATCH($A32,'jiliarena_日报_底稿'!$A$3:$A$31,0),MATCH(F$3,'jiliarena_日报_底稿'!$A$3:$N$3,0))</f>
        <v>498</v>
      </c>
      <c r="G32" s="191">
        <f>SUMIFS('渠道充值成功率_底稿'!$F:$F,'渠道充值成功率_底稿'!$A:$A,A32)</f>
        <v>699</v>
      </c>
      <c r="H32" s="191">
        <f t="array" ref="H32">INDEX('jiliarena_日报_底稿'!$A$3:$N$31,MATCH($A32,'jiliarena_日报_底稿'!$A$3:$A$31,0),MATCH(H$3,'jiliarena_日报_底稿'!$A$3:$N$3,0))</f>
        <v>95</v>
      </c>
      <c r="I32" s="192">
        <v>125.0</v>
      </c>
      <c r="J32" s="191">
        <f t="array" ref="J32">INDEX('jiliarena_日报_底稿'!$A$3:$N$31,MATCH($A32,'jiliarena_日报_底稿'!$A$3:$A$31,0),MATCH(J$3,'jiliarena_日报_底稿'!$A$3:$N$3,0))</f>
        <v>2686</v>
      </c>
      <c r="K32" s="193">
        <f>SUMIFS('渠道充值成功率_底稿'!$J:$J,'渠道充值成功率_底稿'!$A:$A,$A32)</f>
        <v>29064</v>
      </c>
      <c r="L32" s="193">
        <f t="array" ref="L32">INDEX('jiliarena_日报_底稿'!$A$3:$N$31,MATCH($A32,'jiliarena_日报_底稿'!$A$3:$A$31,0),MATCH(L$3,'jiliarena_日报_底稿'!$A$3:$N$3,0))</f>
        <v>120843</v>
      </c>
      <c r="M32" s="193">
        <f t="array" ref="M32">INDEX('jiliarena_日报_底稿'!$P$2:$DS$31,MATCH($A32,'jiliarena_日报_底稿'!$P$2:$P$31,0),MATCH($M$3,'jiliarena_日报_底稿'!$P$3:$DS$3,0))</f>
        <v>59351</v>
      </c>
      <c r="N32" s="194">
        <f t="shared" si="2"/>
        <v>0.2815</v>
      </c>
      <c r="O32" s="195">
        <f t="shared" si="3"/>
        <v>146</v>
      </c>
      <c r="P32" s="194">
        <f t="shared" si="4"/>
        <v>0.24051</v>
      </c>
      <c r="Q32" s="195">
        <f t="shared" si="5"/>
        <v>1.4</v>
      </c>
      <c r="R32" s="196">
        <f t="shared" si="6"/>
        <v>243</v>
      </c>
      <c r="S32" s="195">
        <f t="shared" si="7"/>
        <v>173</v>
      </c>
      <c r="T32" s="195">
        <f t="shared" si="8"/>
        <v>1.2</v>
      </c>
      <c r="U32" s="196">
        <f t="shared" si="9"/>
        <v>625</v>
      </c>
      <c r="V32" s="197">
        <f t="shared" si="10"/>
        <v>61492</v>
      </c>
      <c r="W32" s="198">
        <f t="shared" si="91"/>
        <v>1175025.67</v>
      </c>
      <c r="X32" s="198">
        <f t="array" ref="X32">index('jiliarena_日报_底稿'!$P$2:$DS$31,match($A32,'jiliarena_日报_底稿'!$P$2:$P$31,0),match("电子有效投注",'jiliarena_日报_底稿'!$P$3:$DS$3,0))+index('jiliarena_日报_底稿'!$P$2:$DS$31,match($A32,'jiliarena_日报_底稿'!$P$2:$P$31,0),match("真人有效投注",'jiliarena_日报_底稿'!$P$3:$DS$3,0))+index('jiliarena_日报_底稿'!$P$2:$DS$31,match($A32,'jiliarena_日报_底稿'!$P$2:$P$31,0),match("彩票有效投注",'jiliarena_日报_底稿'!$P$3:$DS$3,0))+index('jiliarena_日报_底稿'!$P$2:$DS$31,match($A32,'jiliarena_日报_底稿'!$P$2:$P$31,0),match("棋牌有效投注",'jiliarena_日报_底稿'!$P$3:$DS$3,0))+index('jiliarena_日报_底稿'!$P$2:$DS$31,match($A32,'jiliarena_日报_底稿'!$P$2:$P$31,0),match("捕鱼有效投注",'jiliarena_日报_底稿'!$P$3:$DS$3,0))+index('jiliarena_日报_底稿'!$P$2:$DS$31,match($A32,'jiliarena_日报_底稿'!$P$2:$P$31,0),match("体育有效投注",'jiliarena_日报_底稿'!$P$3:$DS$3,0))+index('jiliarena_日报_底稿'!$P$2:$DS$31,match($A32,'jiliarena_日报_底稿'!$P$2:$P$31,0),match("盘口彩票有效投注",'jiliarena_日报_底稿'!$P$3:$DS$3,0))</f>
        <v>1108281.935</v>
      </c>
      <c r="Y32" s="199">
        <f t="shared" si="92"/>
        <v>63427.475</v>
      </c>
      <c r="Z32" s="198">
        <f t="shared" si="93"/>
        <v>1111598.195</v>
      </c>
      <c r="AA32" s="194">
        <f t="shared" si="12"/>
        <v>0.05398</v>
      </c>
      <c r="AB32" s="200">
        <f t="array" ref="AB32">INDEX('jiliarena_日报_底稿'!$P$2:$DS$31,MATCH($A32,'jiliarena_日报_底稿'!$P$2:$P$31,0),MATCH(AB$3,'jiliarena_日报_底稿'!$P$3:$DS$3,0))</f>
        <v>1</v>
      </c>
      <c r="AC32" s="200">
        <f t="array" ref="AC32">INDEX('jiliarena_日报_底稿'!$P$2:$DS$31,MATCH($A32,'jiliarena_日报_底稿'!$P$2:$P$31,0),MATCH(AC$3,'jiliarena_日报_底稿'!$P$3:$DS$3,0))</f>
        <v>0</v>
      </c>
      <c r="AD32" s="194">
        <f t="shared" si="14"/>
        <v>1</v>
      </c>
      <c r="AE32" s="200">
        <f t="array" ref="AE32">INDEX('jiliarena_日报_底稿'!$P$2:$DS$31,MATCH($A32,'jiliarena_日报_底稿'!$P$2:$P$31,0),MATCH(AE$3,'jiliarena_日报_底稿'!$P$3:$DS$3,0))</f>
        <v>1086922.29</v>
      </c>
      <c r="AF32" s="200">
        <f t="array" ref="AF32">INDEX('jiliarena_日报_底稿'!$P$2:$DS$31,MATCH($A32,'jiliarena_日报_底稿'!$P$2:$P$31,0),MATCH(AF$3,'jiliarena_日报_底稿'!$P$3:$DS$3,0))</f>
        <v>1029615.405</v>
      </c>
      <c r="AG32" s="194">
        <f t="shared" si="16"/>
        <v>0.052724</v>
      </c>
      <c r="AH32" s="200">
        <f t="array" ref="AH32">INDEX('jiliarena_日报_底稿'!$P$2:$DS$31,MATCH($A32,'jiliarena_日报_底稿'!$P$2:$P$31,0),MATCH(AH$3,'jiliarena_日报_底稿'!$P$3:$DS$3,0))</f>
        <v>14221.23</v>
      </c>
      <c r="AI32" s="200">
        <f t="array" ref="AI32">INDEX('jiliarena_日报_底稿'!$P$2:$DS$31,MATCH($A32,'jiliarena_日报_底稿'!$P$2:$P$31,0),MATCH(AI$3,'jiliarena_日报_底稿'!$P$3:$DS$3,0))</f>
        <v>10874.82</v>
      </c>
      <c r="AJ32" s="194">
        <f t="shared" si="18"/>
        <v>0.235311</v>
      </c>
      <c r="AK32" s="200">
        <f t="array" ref="AK32">INDEX('jiliarena_日报_底稿'!$P$2:$DS$31,MATCH($A32,'jiliarena_日报_底稿'!$P$2:$P$31,0),MATCH(AK$3,'jiliarena_日报_底稿'!$P$3:$DS$3,0))</f>
        <v>71861.15</v>
      </c>
      <c r="AL32" s="200">
        <f t="array" ref="AL32">INDEX('jiliarena_日报_底稿'!$P$2:$DS$31,MATCH($A32,'jiliarena_日报_底稿'!$P$2:$P$31,0),MATCH(AL$3,'jiliarena_日报_底稿'!$P$3:$DS$3,0))</f>
        <v>69691.8</v>
      </c>
      <c r="AM32" s="194">
        <f t="shared" si="20"/>
        <v>0.030188</v>
      </c>
      <c r="AN32" s="200">
        <f t="array" ref="AN32">INDEX('jiliarena_日报_底稿'!$P$2:$DS$31,MATCH($A32,'jiliarena_日报_底稿'!$P$2:$P$31,0),MATCH(AN$3,'jiliarena_日报_底稿'!$P$3:$DS$3,0))</f>
        <v>2018</v>
      </c>
      <c r="AO32" s="200">
        <f t="array" ref="AO32">INDEX('jiliarena_日报_底稿'!$P$2:$DS$31,MATCH($A32,'jiliarena_日报_底稿'!$P$2:$P$31,0),MATCH(AO$3,'jiliarena_日报_底稿'!$P$3:$DS$3,0))</f>
        <v>1416.17</v>
      </c>
      <c r="AP32" s="194">
        <f t="shared" si="22"/>
        <v>0.298231</v>
      </c>
      <c r="AQ32" s="200">
        <f t="array" ref="AQ32">INDEX('jiliarena_日报_底稿'!$P$2:$DS$31,MATCH($A32,'jiliarena_日报_底稿'!$P$2:$P$31,0),MATCH(AQ$3,'jiliarena_日报_底稿'!$P$3:$DS$3,0))</f>
        <v>2</v>
      </c>
      <c r="AR32" s="200">
        <f t="array" ref="AR32">INDEX('jiliarena_日报_底稿'!$P$2:$DS$31,MATCH($A32,'jiliarena_日报_底稿'!$P$2:$P$31,0),MATCH(AR$3,'jiliarena_日报_底稿'!$P$3:$DS$3,0))</f>
        <v>0</v>
      </c>
      <c r="AS32" s="194">
        <f t="shared" si="24"/>
        <v>1</v>
      </c>
      <c r="AT32" s="201">
        <f>SUMIFS('jiliarena_活动分析数据_底稿'!$K:$K,'jiliarena_活动分析数据_底稿'!$B:$B,$A32,'jiliarena_活动分析数据_底稿'!$L:$L,AT$3)</f>
        <v>2417.95</v>
      </c>
      <c r="AU32" s="201">
        <f>SUMIFS('jiliarena_活动分析数据_底稿'!$K:$K,'jiliarena_活动分析数据_底稿'!$B:$B,$A32,'jiliarena_活动分析数据_底稿'!$L:$L,AU$3)</f>
        <v>0</v>
      </c>
      <c r="AV32" s="201">
        <f>SUMIFS('jiliarena_活动分析数据_底稿'!$K:$K,'jiliarena_活动分析数据_底稿'!$B:$B,$A32,'jiliarena_活动分析数据_底稿'!$L:$L,AV$3)</f>
        <v>3828.77</v>
      </c>
      <c r="AW32" s="201">
        <f>SUMIFS('jiliarena_活动分析数据_底稿'!$K:$K,'jiliarena_活动分析数据_底稿'!$B:$B,$A32,'jiliarena_活动分析数据_底稿'!$L:$L,AW$3)</f>
        <v>4504</v>
      </c>
      <c r="AX32" s="201">
        <f>SUMIFS('jiliarena_活动分析数据_底稿'!$K:$K,'jiliarena_活动分析数据_底稿'!$B:$B,$A32,'jiliarena_活动分析数据_底稿'!$L:$L,AX$3)</f>
        <v>457</v>
      </c>
      <c r="AY32" s="201">
        <f>SUMIFS('jiliarena_活动分析数据_底稿'!$K:$K,'jiliarena_活动分析数据_底稿'!$B:$B,$A32,'jiliarena_活动分析数据_底稿'!$L:$L,AY$3)</f>
        <v>0</v>
      </c>
      <c r="AZ32" s="201">
        <f>SUMIFS('jiliarena_活动分析数据_底稿'!$K:$K,'jiliarena_活动分析数据_底稿'!$B:$B,$A32,'jiliarena_活动分析数据_底稿'!$L:$L,AZ$3)</f>
        <v>0</v>
      </c>
      <c r="BA32" s="201">
        <f>SUMIFS('jiliarena_活动分析数据_底稿'!$K:$K,'jiliarena_活动分析数据_底稿'!$B:$B,$A32,'jiliarena_活动分析数据_底稿'!$L:$L,BA$3)</f>
        <v>0</v>
      </c>
      <c r="BB32" s="201">
        <f>SUMIFS('jiliarena_活动分析数据_底稿'!$K:$K,'jiliarena_活动分析数据_底稿'!$B:$B,$A32,'jiliarena_活动分析数据_底稿'!$L:$L,BB$3)</f>
        <v>471.85</v>
      </c>
      <c r="BC32" s="201">
        <f>SUMIFS('jiliarena_活动分析数据_底稿'!$K:$K,'jiliarena_活动分析数据_底稿'!$B:$B,$A32,'jiliarena_活动分析数据_底稿'!$L:$L,BC$3)</f>
        <v>348</v>
      </c>
      <c r="BD32" s="201">
        <f>SUMIFS('jiliarena_活动分析数据_底稿'!$K:$K,'jiliarena_活动分析数据_底稿'!$B:$B,$A32,'jiliarena_活动分析数据_底稿'!$L:$L,BD$3)</f>
        <v>0</v>
      </c>
      <c r="BE32" s="201">
        <f>SUMIFS('jiliarena_活动分析数据_底稿'!$K:$K,'jiliarena_活动分析数据_底稿'!$B:$B,$A32,'jiliarena_活动分析数据_底稿'!$L:$L,BE$3)</f>
        <v>0</v>
      </c>
      <c r="BF32" s="201">
        <f>SUMIFS('jiliarena_活动分析数据_底稿'!$K:$K,'jiliarena_活动分析数据_底稿'!$B:$B,$A32,'jiliarena_活动分析数据_底稿'!$L:$L,BF$3)</f>
        <v>497</v>
      </c>
      <c r="BG32" s="201">
        <f>SUMIFS('jiliarena_活动分析数据_底稿'!$K:$K,'jiliarena_活动分析数据_底稿'!$B:$B,$A32,'jiliarena_活动分析数据_底稿'!$L:$L,BG$3)</f>
        <v>0</v>
      </c>
      <c r="BH32" s="201">
        <f>SUMIFS('jiliarena_活动分析数据_底稿'!$K:$K,'jiliarena_活动分析数据_底稿'!$B:$B,$A32,'jiliarena_活动分析数据_底稿'!$L:$L,BH$3)</f>
        <v>0</v>
      </c>
      <c r="BI32" s="201">
        <f>SUMIFS('jiliarena_活动分析数据_底稿'!$K:$K,'jiliarena_活动分析数据_底稿'!$B:$B,$A32,'jiliarena_活动分析数据_底稿'!$L:$L,BI$3)</f>
        <v>0</v>
      </c>
      <c r="BJ32" s="201">
        <f>SUMIFS('jiliarena_活动分析数据_底稿'!$K:$K,'jiliarena_活动分析数据_底稿'!$B:$B,$A32,'jiliarena_活动分析数据_底稿'!$L:$L,BJ$3)</f>
        <v>3603</v>
      </c>
      <c r="BK32" s="201">
        <f>SUMIFS('jiliarena_活动分析数据_底稿'!$K:$K,'jiliarena_活动分析数据_底稿'!$B:$B,$A32,'jiliarena_活动分析数据_底稿'!$L:$L,BK$3)</f>
        <v>0</v>
      </c>
      <c r="BL32" s="201">
        <f>SUMIFS('jiliarena_活动分析数据_底稿'!$K:$K,'jiliarena_活动分析数据_底稿'!$B:$B,$A32,'jiliarena_活动分析数据_底稿'!$L:$L,BL$3)</f>
        <v>0</v>
      </c>
      <c r="BM32" s="201">
        <f>SUMIFS('jiliarena_活动分析数据_底稿'!$K:$K,'jiliarena_活动分析数据_底稿'!$B:$B,$A32,'jiliarena_活动分析数据_底稿'!$L:$L,BM$3)</f>
        <v>0</v>
      </c>
      <c r="BN32" s="201">
        <f>SUMIFS('jiliarena_活动分析数据_底稿'!$K:$K,'jiliarena_活动分析数据_底稿'!$B:$B,$A32,'jiliarena_活动分析数据_底稿'!$L:$L,BN$3)</f>
        <v>0</v>
      </c>
      <c r="BO32" s="201">
        <f>SUMIFS('jiliarena_活动分析数据_底稿'!$K:$K,'jiliarena_活动分析数据_底稿'!$B:$B,$A32,'jiliarena_活动分析数据_底稿'!$L:$L,BO$3)</f>
        <v>0</v>
      </c>
      <c r="BP32" s="201">
        <f>SUMIFS('jiliarena_活动分析数据_底稿'!$K:$K,'jiliarena_活动分析数据_底稿'!$B:$B,$A32,'jiliarena_活动分析数据_底稿'!$L:$L,BP$3)</f>
        <v>0</v>
      </c>
      <c r="BQ32" s="198">
        <f t="shared" si="94"/>
        <v>16127.57</v>
      </c>
      <c r="BR32" s="198">
        <f t="shared" si="95"/>
        <v>2417.95</v>
      </c>
      <c r="BS32" s="198">
        <f t="shared" si="96"/>
        <v>471.85</v>
      </c>
      <c r="BT32" s="194">
        <f t="shared" si="26"/>
        <v>0.014552</v>
      </c>
      <c r="BU32" s="194">
        <f t="shared" si="27"/>
        <v>0.1334588681</v>
      </c>
      <c r="BV32" s="194">
        <f t="shared" si="28"/>
        <v>0.2542678863</v>
      </c>
      <c r="BW32" s="202">
        <f t="shared" si="29"/>
        <v>47299.905</v>
      </c>
      <c r="BX32" s="203">
        <f t="shared" si="30"/>
        <v>0.3409641098</v>
      </c>
      <c r="BY32" s="204">
        <f t="shared" si="31"/>
        <v>2912.3163</v>
      </c>
      <c r="BZ32" s="205">
        <f t="shared" si="32"/>
        <v>118.702</v>
      </c>
      <c r="CA32" s="206">
        <f t="shared" si="33"/>
        <v>3031.0183</v>
      </c>
      <c r="CB32" s="207">
        <f t="shared" si="34"/>
        <v>5708</v>
      </c>
      <c r="CC32" s="203">
        <f t="shared" si="35"/>
        <v>0.06408085386</v>
      </c>
      <c r="CD32" s="198">
        <f t="array" ref="CD32">index('jiliarena_日报_底稿'!$P$3:$DS$31,match(A32,'jiliarena_日报_底稿'!$P$3:$P$31,0),match("综合性分红",'jiliarena_日报_底稿'!$P$3:$DS$3,0))</f>
        <v>0</v>
      </c>
      <c r="CE32" s="208"/>
      <c r="CF32" s="198">
        <f t="array" ref="CF32">INDEX('jiliarena_日报_底稿'!$P$2:$DS$31,MATCH($A32,'jiliarena_日报_底稿'!$P$2:$P$31,0),MATCH(CF$3,'jiliarena_日报_底稿'!$P$3:$DS$3,0))</f>
        <v>0</v>
      </c>
      <c r="CG32" s="198">
        <f t="array" ref="CG32">-INDEX('jiliarena_日报_底稿'!$P$2:$DS$31,MATCH($A32,'jiliarena_日报_底稿'!$P$2:$P$31,0),MATCH(CG$3,'jiliarena_日报_底稿'!$P$3:$DS$3,0))</f>
        <v>0</v>
      </c>
      <c r="CH32" s="198">
        <f t="array" ref="CH32">INDEX('jiliarena_日报_底稿'!$P$2:$DS$31,MATCH($A32,'jiliarena_日报_底稿'!$P$2:$P$31,0),MATCH(CH$3,'jiliarena_日报_底稿'!$P$3:$DS$3,0))</f>
        <v>93016.9658</v>
      </c>
      <c r="CI32" s="202">
        <f t="shared" si="37"/>
        <v>38560.8867</v>
      </c>
      <c r="CJ32" s="209">
        <f t="shared" si="38"/>
        <v>2</v>
      </c>
      <c r="CK32" s="209">
        <f t="shared" si="39"/>
        <v>24</v>
      </c>
    </row>
    <row r="33">
      <c r="A33" s="222">
        <f t="shared" si="97"/>
        <v>46078</v>
      </c>
      <c r="B33" s="191">
        <f t="array" ref="B33">INDEX('jiliarena_日报_底稿'!$A$3:$N$31,MATCH($A33,'jiliarena_日报_底稿'!$A$3:$A$31,0),MATCH(B$3,'jiliarena_日报_底稿'!$A$3:$N$3,0))</f>
        <v>826</v>
      </c>
      <c r="C33" s="191">
        <f t="array" ref="C33">INDEX('jiliarena_日报_底稿'!$A$3:$N$31,MATCH($A33,'jiliarena_日报_底稿'!$A$3:$A$31,0),MATCH(C$3,'jiliarena_日报_底稿'!$A$3:$N$3,0))</f>
        <v>213</v>
      </c>
      <c r="D33" s="191">
        <f t="array" ref="D33">INDEX('jiliarena_日报_底稿'!$A$3:$N$31,MATCH($A33,'jiliarena_日报_底稿'!$A$3:$A$31,0),MATCH(D$3,'jiliarena_日报_底稿'!$A$3:$N$3,0))</f>
        <v>3611</v>
      </c>
      <c r="E33" s="192">
        <v>36.0</v>
      </c>
      <c r="F33" s="191">
        <f t="array" ref="F33">INDEX('jiliarena_日报_底稿'!$A$3:$N$31,MATCH($A33,'jiliarena_日报_底稿'!$A$3:$A$31,0),MATCH(F$3,'jiliarena_日报_底稿'!$A$3:$N$3,0))</f>
        <v>481</v>
      </c>
      <c r="G33" s="191">
        <f>SUMIFS('渠道充值成功率_底稿'!$F:$F,'渠道充值成功率_底稿'!$A:$A,A33)</f>
        <v>657</v>
      </c>
      <c r="H33" s="191">
        <f t="array" ref="H33">INDEX('jiliarena_日报_底稿'!$A$3:$N$31,MATCH($A33,'jiliarena_日报_底稿'!$A$3:$A$31,0),MATCH(H$3,'jiliarena_日报_底稿'!$A$3:$N$3,0))</f>
        <v>97</v>
      </c>
      <c r="I33" s="192">
        <v>121.0</v>
      </c>
      <c r="J33" s="191">
        <f t="array" ref="J33">INDEX('jiliarena_日报_底稿'!$A$3:$N$31,MATCH($A33,'jiliarena_日报_底稿'!$A$3:$A$31,0),MATCH(J$3,'jiliarena_日报_底稿'!$A$3:$N$3,0))</f>
        <v>2548</v>
      </c>
      <c r="K33" s="193">
        <f>SUMIFS('渠道充值成功率_底稿'!$J:$J,'渠道充值成功率_底稿'!$A:$A,$A33)</f>
        <v>27687</v>
      </c>
      <c r="L33" s="193">
        <f t="array" ref="L33">INDEX('jiliarena_日报_底稿'!$A$3:$N$31,MATCH($A33,'jiliarena_日报_底稿'!$A$3:$A$31,0),MATCH(L$3,'jiliarena_日报_底稿'!$A$3:$N$3,0))</f>
        <v>92719</v>
      </c>
      <c r="M33" s="193">
        <f t="array" ref="M33">INDEX('jiliarena_日报_底稿'!$P$2:$DS$31,MATCH($A33,'jiliarena_日报_底稿'!$P$2:$P$31,0),MATCH($M$3,'jiliarena_日报_底稿'!$P$3:$DS$3,0))</f>
        <v>75437</v>
      </c>
      <c r="N33" s="194">
        <f t="shared" si="2"/>
        <v>0.2579</v>
      </c>
      <c r="O33" s="195">
        <f t="shared" si="3"/>
        <v>130</v>
      </c>
      <c r="P33" s="194">
        <f t="shared" si="4"/>
        <v>0.298612</v>
      </c>
      <c r="Q33" s="195">
        <f t="shared" si="5"/>
        <v>1.4</v>
      </c>
      <c r="R33" s="196">
        <f t="shared" si="6"/>
        <v>193</v>
      </c>
      <c r="S33" s="195">
        <f t="shared" si="7"/>
        <v>141</v>
      </c>
      <c r="T33" s="195">
        <f t="shared" si="8"/>
        <v>1.1</v>
      </c>
      <c r="U33" s="196">
        <f t="shared" si="9"/>
        <v>778</v>
      </c>
      <c r="V33" s="197">
        <f t="shared" si="10"/>
        <v>17282</v>
      </c>
      <c r="W33" s="198">
        <f t="shared" si="91"/>
        <v>873983.42</v>
      </c>
      <c r="X33" s="198">
        <f t="array" ref="X33">index('jiliarena_日报_底稿'!$P$2:$DS$31,match($A33,'jiliarena_日报_底稿'!$P$2:$P$31,0),match("电子有效投注",'jiliarena_日报_底稿'!$P$3:$DS$3,0))+index('jiliarena_日报_底稿'!$P$2:$DS$31,match($A33,'jiliarena_日报_底稿'!$P$2:$P$31,0),match("真人有效投注",'jiliarena_日报_底稿'!$P$3:$DS$3,0))+index('jiliarena_日报_底稿'!$P$2:$DS$31,match($A33,'jiliarena_日报_底稿'!$P$2:$P$31,0),match("彩票有效投注",'jiliarena_日报_底稿'!$P$3:$DS$3,0))+index('jiliarena_日报_底稿'!$P$2:$DS$31,match($A33,'jiliarena_日报_底稿'!$P$2:$P$31,0),match("棋牌有效投注",'jiliarena_日报_底稿'!$P$3:$DS$3,0))+index('jiliarena_日报_底稿'!$P$2:$DS$31,match($A33,'jiliarena_日报_底稿'!$P$2:$P$31,0),match("捕鱼有效投注",'jiliarena_日报_底稿'!$P$3:$DS$3,0))+index('jiliarena_日报_底稿'!$P$2:$DS$31,match($A33,'jiliarena_日报_底稿'!$P$2:$P$31,0),match("体育有效投注",'jiliarena_日报_底稿'!$P$3:$DS$3,0))+index('jiliarena_日报_底稿'!$P$2:$DS$31,match($A33,'jiliarena_日报_底稿'!$P$2:$P$31,0),match("盘口彩票有效投注",'jiliarena_日报_底稿'!$P$3:$DS$3,0))</f>
        <v>822652.925</v>
      </c>
      <c r="Y33" s="199">
        <f t="shared" si="92"/>
        <v>17252.125</v>
      </c>
      <c r="Z33" s="198">
        <f t="shared" si="93"/>
        <v>856731.295</v>
      </c>
      <c r="AA33" s="194">
        <f t="shared" si="12"/>
        <v>0.01974</v>
      </c>
      <c r="AB33" s="200">
        <f t="array" ref="AB33">INDEX('jiliarena_日报_底稿'!$P$2:$DS$31,MATCH($A33,'jiliarena_日报_底稿'!$P$2:$P$31,0),MATCH(AB$3,'jiliarena_日报_底稿'!$P$3:$DS$3,0))</f>
        <v>0</v>
      </c>
      <c r="AC33" s="200">
        <f t="array" ref="AC33">INDEX('jiliarena_日报_底稿'!$P$2:$DS$31,MATCH($A33,'jiliarena_日报_底稿'!$P$2:$P$31,0),MATCH(AC$3,'jiliarena_日报_底稿'!$P$3:$DS$3,0))</f>
        <v>0</v>
      </c>
      <c r="AD33" s="194" t="str">
        <f t="shared" si="14"/>
        <v>#DIV/0!</v>
      </c>
      <c r="AE33" s="200">
        <f t="array" ref="AE33">INDEX('jiliarena_日报_底稿'!$P$2:$DS$31,MATCH($A33,'jiliarena_日报_底稿'!$P$2:$P$31,0),MATCH(AE$3,'jiliarena_日报_底稿'!$P$3:$DS$3,0))</f>
        <v>840574.91</v>
      </c>
      <c r="AF33" s="200">
        <f t="array" ref="AF33">INDEX('jiliarena_日报_底稿'!$P$2:$DS$31,MATCH($A33,'jiliarena_日报_底稿'!$P$2:$P$31,0),MATCH(AF$3,'jiliarena_日报_底稿'!$P$3:$DS$3,0))</f>
        <v>823468.455</v>
      </c>
      <c r="AG33" s="194">
        <f t="shared" si="16"/>
        <v>0.020351</v>
      </c>
      <c r="AH33" s="200">
        <f t="array" ref="AH33">INDEX('jiliarena_日报_底稿'!$P$2:$DS$31,MATCH($A33,'jiliarena_日报_底稿'!$P$2:$P$31,0),MATCH(AH$3,'jiliarena_日报_底稿'!$P$3:$DS$3,0))</f>
        <v>15722.08</v>
      </c>
      <c r="AI33" s="200">
        <f t="array" ref="AI33">INDEX('jiliarena_日报_底稿'!$P$2:$DS$31,MATCH($A33,'jiliarena_日报_底稿'!$P$2:$P$31,0),MATCH(AI$3,'jiliarena_日报_底稿'!$P$3:$DS$3,0))</f>
        <v>15147.22</v>
      </c>
      <c r="AJ33" s="194">
        <f t="shared" si="18"/>
        <v>0.036564</v>
      </c>
      <c r="AK33" s="200">
        <f t="array" ref="AK33">INDEX('jiliarena_日报_底稿'!$P$2:$DS$31,MATCH($A33,'jiliarena_日报_底稿'!$P$2:$P$31,0),MATCH(AK$3,'jiliarena_日报_底稿'!$P$3:$DS$3,0))</f>
        <v>17582.43</v>
      </c>
      <c r="AL33" s="200">
        <f t="array" ref="AL33">INDEX('jiliarena_日报_底稿'!$P$2:$DS$31,MATCH($A33,'jiliarena_日报_底稿'!$P$2:$P$31,0),MATCH(AL$3,'jiliarena_日报_底稿'!$P$3:$DS$3,0))</f>
        <v>18115.62</v>
      </c>
      <c r="AM33" s="194">
        <f t="shared" si="20"/>
        <v>-0.030325</v>
      </c>
      <c r="AN33" s="200">
        <f t="array" ref="AN33">INDEX('jiliarena_日报_底稿'!$P$2:$DS$31,MATCH($A33,'jiliarena_日报_底稿'!$P$2:$P$31,0),MATCH(AN$3,'jiliarena_日报_底稿'!$P$3:$DS$3,0))</f>
        <v>100</v>
      </c>
      <c r="AO33" s="200">
        <f t="array" ref="AO33">INDEX('jiliarena_日报_底稿'!$P$2:$DS$31,MATCH($A33,'jiliarena_日报_底稿'!$P$2:$P$31,0),MATCH(AO$3,'jiliarena_日报_底稿'!$P$3:$DS$3,0))</f>
        <v>0</v>
      </c>
      <c r="AP33" s="194">
        <f t="shared" si="22"/>
        <v>1</v>
      </c>
      <c r="AQ33" s="200">
        <f t="array" ref="AQ33">INDEX('jiliarena_日报_底稿'!$P$2:$DS$31,MATCH($A33,'jiliarena_日报_底稿'!$P$2:$P$31,0),MATCH(AQ$3,'jiliarena_日报_底稿'!$P$3:$DS$3,0))</f>
        <v>4</v>
      </c>
      <c r="AR33" s="200">
        <f t="array" ref="AR33">INDEX('jiliarena_日报_底稿'!$P$2:$DS$31,MATCH($A33,'jiliarena_日报_底稿'!$P$2:$P$31,0),MATCH(AR$3,'jiliarena_日报_底稿'!$P$3:$DS$3,0))</f>
        <v>0</v>
      </c>
      <c r="AS33" s="194">
        <f t="shared" si="24"/>
        <v>1</v>
      </c>
      <c r="AT33" s="201">
        <f>SUMIFS('jiliarena_活动分析数据_底稿'!$K:$K,'jiliarena_活动分析数据_底稿'!$B:$B,$A33,'jiliarena_活动分析数据_底稿'!$L:$L,AT$3)</f>
        <v>3906.86</v>
      </c>
      <c r="AU33" s="201">
        <f>SUMIFS('jiliarena_活动分析数据_底稿'!$K:$K,'jiliarena_活动分析数据_底稿'!$B:$B,$A33,'jiliarena_活动分析数据_底稿'!$L:$L,AU$3)</f>
        <v>0</v>
      </c>
      <c r="AV33" s="201">
        <f>SUMIFS('jiliarena_活动分析数据_底稿'!$K:$K,'jiliarena_活动分析数据_底稿'!$B:$B,$A33,'jiliarena_活动分析数据_底稿'!$L:$L,AV$3)</f>
        <v>2830.51</v>
      </c>
      <c r="AW33" s="201">
        <f>SUMIFS('jiliarena_活动分析数据_底稿'!$K:$K,'jiliarena_活动分析数据_底稿'!$B:$B,$A33,'jiliarena_活动分析数据_底稿'!$L:$L,AW$3)</f>
        <v>4518</v>
      </c>
      <c r="AX33" s="201">
        <f>SUMIFS('jiliarena_活动分析数据_底稿'!$K:$K,'jiliarena_活动分析数据_底稿'!$B:$B,$A33,'jiliarena_活动分析数据_底稿'!$L:$L,AX$3)</f>
        <v>580</v>
      </c>
      <c r="AY33" s="201">
        <f>SUMIFS('jiliarena_活动分析数据_底稿'!$K:$K,'jiliarena_活动分析数据_底稿'!$B:$B,$A33,'jiliarena_活动分析数据_底稿'!$L:$L,AY$3)</f>
        <v>0</v>
      </c>
      <c r="AZ33" s="201">
        <f>SUMIFS('jiliarena_活动分析数据_底稿'!$K:$K,'jiliarena_活动分析数据_底稿'!$B:$B,$A33,'jiliarena_活动分析数据_底稿'!$L:$L,AZ$3)</f>
        <v>0</v>
      </c>
      <c r="BA33" s="201">
        <f>SUMIFS('jiliarena_活动分析数据_底稿'!$K:$K,'jiliarena_活动分析数据_底稿'!$B:$B,$A33,'jiliarena_活动分析数据_底稿'!$L:$L,BA$3)</f>
        <v>0</v>
      </c>
      <c r="BB33" s="201">
        <f>SUMIFS('jiliarena_活动分析数据_底稿'!$K:$K,'jiliarena_活动分析数据_底稿'!$B:$B,$A33,'jiliarena_活动分析数据_底稿'!$L:$L,BB$3)</f>
        <v>271.96</v>
      </c>
      <c r="BC33" s="201">
        <f>SUMIFS('jiliarena_活动分析数据_底稿'!$K:$K,'jiliarena_活动分析数据_底稿'!$B:$B,$A33,'jiliarena_活动分析数据_底稿'!$L:$L,BC$3)</f>
        <v>318</v>
      </c>
      <c r="BD33" s="201">
        <f>SUMIFS('jiliarena_活动分析数据_底稿'!$K:$K,'jiliarena_活动分析数据_底稿'!$B:$B,$A33,'jiliarena_活动分析数据_底稿'!$L:$L,BD$3)</f>
        <v>0</v>
      </c>
      <c r="BE33" s="201">
        <f>SUMIFS('jiliarena_活动分析数据_底稿'!$K:$K,'jiliarena_活动分析数据_底稿'!$B:$B,$A33,'jiliarena_活动分析数据_底稿'!$L:$L,BE$3)</f>
        <v>0</v>
      </c>
      <c r="BF33" s="201">
        <f>SUMIFS('jiliarena_活动分析数据_底稿'!$K:$K,'jiliarena_活动分析数据_底稿'!$B:$B,$A33,'jiliarena_活动分析数据_底稿'!$L:$L,BF$3)</f>
        <v>291</v>
      </c>
      <c r="BG33" s="201">
        <f>SUMIFS('jiliarena_活动分析数据_底稿'!$K:$K,'jiliarena_活动分析数据_底稿'!$B:$B,$A33,'jiliarena_活动分析数据_底稿'!$L:$L,BG$3)</f>
        <v>0</v>
      </c>
      <c r="BH33" s="201">
        <f>SUMIFS('jiliarena_活动分析数据_底稿'!$K:$K,'jiliarena_活动分析数据_底稿'!$B:$B,$A33,'jiliarena_活动分析数据_底稿'!$L:$L,BH$3)</f>
        <v>0</v>
      </c>
      <c r="BI33" s="201">
        <f>SUMIFS('jiliarena_活动分析数据_底稿'!$K:$K,'jiliarena_活动分析数据_底稿'!$B:$B,$A33,'jiliarena_活动分析数据_底稿'!$L:$L,BI$3)</f>
        <v>0</v>
      </c>
      <c r="BJ33" s="201">
        <f>SUMIFS('jiliarena_活动分析数据_底稿'!$K:$K,'jiliarena_活动分析数据_底稿'!$B:$B,$A33,'jiliarena_活动分析数据_底稿'!$L:$L,BJ$3)</f>
        <v>4701</v>
      </c>
      <c r="BK33" s="201">
        <f>SUMIFS('jiliarena_活动分析数据_底稿'!$K:$K,'jiliarena_活动分析数据_底稿'!$B:$B,$A33,'jiliarena_活动分析数据_底稿'!$L:$L,BK$3)</f>
        <v>0</v>
      </c>
      <c r="BL33" s="201">
        <f>SUMIFS('jiliarena_活动分析数据_底稿'!$K:$K,'jiliarena_活动分析数据_底稿'!$B:$B,$A33,'jiliarena_活动分析数据_底稿'!$L:$L,BL$3)</f>
        <v>0</v>
      </c>
      <c r="BM33" s="201">
        <f>SUMIFS('jiliarena_活动分析数据_底稿'!$K:$K,'jiliarena_活动分析数据_底稿'!$B:$B,$A33,'jiliarena_活动分析数据_底稿'!$L:$L,BM$3)</f>
        <v>0</v>
      </c>
      <c r="BN33" s="201">
        <f>SUMIFS('jiliarena_活动分析数据_底稿'!$K:$K,'jiliarena_活动分析数据_底稿'!$B:$B,$A33,'jiliarena_活动分析数据_底稿'!$L:$L,BN$3)</f>
        <v>0</v>
      </c>
      <c r="BO33" s="201">
        <f>SUMIFS('jiliarena_活动分析数据_底稿'!$K:$K,'jiliarena_活动分析数据_底稿'!$B:$B,$A33,'jiliarena_活动分析数据_底稿'!$L:$L,BO$3)</f>
        <v>0</v>
      </c>
      <c r="BP33" s="201">
        <f>SUMIFS('jiliarena_活动分析数据_底稿'!$K:$K,'jiliarena_活动分析数据_底稿'!$B:$B,$A33,'jiliarena_活动分析数据_底稿'!$L:$L,BP$3)</f>
        <v>0</v>
      </c>
      <c r="BQ33" s="198">
        <f t="shared" si="94"/>
        <v>17417.33</v>
      </c>
      <c r="BR33" s="198">
        <f t="shared" si="95"/>
        <v>3906.86</v>
      </c>
      <c r="BS33" s="198">
        <f t="shared" si="96"/>
        <v>271.96</v>
      </c>
      <c r="BT33" s="194">
        <f t="shared" si="26"/>
        <v>0.021172</v>
      </c>
      <c r="BU33" s="194">
        <f t="shared" si="27"/>
        <v>0.1878507102</v>
      </c>
      <c r="BV33" s="194">
        <f t="shared" si="28"/>
        <v>1.009575922</v>
      </c>
      <c r="BW33" s="202">
        <f t="shared" si="29"/>
        <v>-165.205</v>
      </c>
      <c r="BX33" s="203">
        <f t="shared" si="30"/>
        <v>-105.4285887</v>
      </c>
      <c r="BY33" s="204">
        <f t="shared" si="31"/>
        <v>2234.5279</v>
      </c>
      <c r="BZ33" s="205">
        <f t="shared" si="32"/>
        <v>150.874</v>
      </c>
      <c r="CA33" s="206">
        <f t="shared" si="33"/>
        <v>2385.4019</v>
      </c>
      <c r="CB33" s="207">
        <f t="shared" si="34"/>
        <v>1553</v>
      </c>
      <c r="CC33" s="203">
        <f t="shared" si="35"/>
        <v>-14.4390418</v>
      </c>
      <c r="CD33" s="198">
        <f t="array" ref="CD33">index('jiliarena_日报_底稿'!$P$3:$DS$31,match(A33,'jiliarena_日报_底稿'!$P$3:$P$31,0),match("综合性分红",'jiliarena_日报_底稿'!$P$3:$DS$3,0))</f>
        <v>0</v>
      </c>
      <c r="CE33" s="208"/>
      <c r="CF33" s="198">
        <f t="array" ref="CF33">INDEX('jiliarena_日报_底稿'!$P$2:$DS$31,MATCH($A33,'jiliarena_日报_底稿'!$P$2:$P$31,0),MATCH(CF$3,'jiliarena_日报_底稿'!$P$3:$DS$3,0))</f>
        <v>0</v>
      </c>
      <c r="CG33" s="198">
        <f t="array" ref="CG33">-INDEX('jiliarena_日报_底稿'!$P$2:$DS$31,MATCH($A33,'jiliarena_日报_底稿'!$P$2:$P$31,0),MATCH(CG$3,'jiliarena_日报_底稿'!$P$3:$DS$3,0))</f>
        <v>0</v>
      </c>
      <c r="CH33" s="198">
        <f t="array" ref="CH33">INDEX('jiliarena_日报_底稿'!$P$2:$DS$31,MATCH($A33,'jiliarena_日报_底稿'!$P$2:$P$31,0),MATCH(CH$3,'jiliarena_日报_底稿'!$P$3:$DS$3,0))</f>
        <v>96459.3807</v>
      </c>
      <c r="CI33" s="202">
        <f t="shared" si="37"/>
        <v>-4103.6069</v>
      </c>
      <c r="CJ33" s="209">
        <f t="shared" si="38"/>
        <v>2</v>
      </c>
      <c r="CK33" s="209">
        <f t="shared" si="39"/>
        <v>25</v>
      </c>
    </row>
    <row r="34">
      <c r="A34" s="222">
        <f t="shared" si="97"/>
        <v>46079</v>
      </c>
      <c r="B34" s="191">
        <f t="array" ref="B34">INDEX('jiliarena_日报_底稿'!$A$3:$N$31,MATCH($A34,'jiliarena_日报_底稿'!$A$3:$A$31,0),MATCH(B$3,'jiliarena_日报_底稿'!$A$3:$N$3,0))</f>
        <v>594</v>
      </c>
      <c r="C34" s="191">
        <f t="array" ref="C34">INDEX('jiliarena_日报_底稿'!$A$3:$N$31,MATCH($A34,'jiliarena_日报_底稿'!$A$3:$A$31,0),MATCH(C$3,'jiliarena_日报_底稿'!$A$3:$N$3,0))</f>
        <v>172</v>
      </c>
      <c r="D34" s="191">
        <f t="array" ref="D34">INDEX('jiliarena_日报_底稿'!$A$3:$N$31,MATCH($A34,'jiliarena_日报_底稿'!$A$3:$A$31,0),MATCH(D$3,'jiliarena_日报_底稿'!$A$3:$N$3,0))</f>
        <v>3223</v>
      </c>
      <c r="E34" s="192">
        <v>52.0</v>
      </c>
      <c r="F34" s="191">
        <f t="array" ref="F34">INDEX('jiliarena_日报_底稿'!$A$3:$N$31,MATCH($A34,'jiliarena_日报_底稿'!$A$3:$A$31,0),MATCH(F$3,'jiliarena_日报_底稿'!$A$3:$N$3,0))</f>
        <v>437</v>
      </c>
      <c r="G34" s="191">
        <f>SUMIFS('渠道充值成功率_底稿'!$F:$F,'渠道充值成功率_底稿'!$A:$A,A34)</f>
        <v>634</v>
      </c>
      <c r="H34" s="191">
        <f t="array" ref="H34">INDEX('jiliarena_日报_底稿'!$A$3:$N$31,MATCH($A34,'jiliarena_日报_底稿'!$A$3:$A$31,0),MATCH(H$3,'jiliarena_日报_底稿'!$A$3:$N$3,0))</f>
        <v>108</v>
      </c>
      <c r="I34" s="192">
        <v>146.0</v>
      </c>
      <c r="J34" s="191">
        <f t="array" ref="J34">INDEX('jiliarena_日报_底稿'!$A$3:$N$31,MATCH($A34,'jiliarena_日报_底稿'!$A$3:$A$31,0),MATCH(J$3,'jiliarena_日报_底稿'!$A$3:$N$3,0))</f>
        <v>2304</v>
      </c>
      <c r="K34" s="193">
        <f>SUMIFS('渠道充值成功率_底稿'!$J:$J,'渠道充值成功率_底稿'!$A:$A,$A34)</f>
        <v>23238</v>
      </c>
      <c r="L34" s="193">
        <f t="array" ref="L34">INDEX('jiliarena_日报_底稿'!$A$3:$N$31,MATCH($A34,'jiliarena_日报_底稿'!$A$3:$A$31,0),MATCH(L$3,'jiliarena_日报_底稿'!$A$3:$N$3,0))</f>
        <v>96473</v>
      </c>
      <c r="M34" s="193">
        <f t="array" ref="M34">INDEX('jiliarena_日报_底稿'!$P$2:$DS$31,MATCH($A34,'jiliarena_日报_底稿'!$P$2:$P$31,0),MATCH($M$3,'jiliarena_日报_底稿'!$P$3:$DS$3,0))</f>
        <v>89750</v>
      </c>
      <c r="N34" s="194">
        <f t="shared" si="2"/>
        <v>0.2896</v>
      </c>
      <c r="O34" s="195">
        <f t="shared" si="3"/>
        <v>135</v>
      </c>
      <c r="P34" s="194">
        <f t="shared" si="4"/>
        <v>0.240876</v>
      </c>
      <c r="Q34" s="195">
        <f t="shared" si="5"/>
        <v>1.5</v>
      </c>
      <c r="R34" s="196">
        <f t="shared" si="6"/>
        <v>221</v>
      </c>
      <c r="S34" s="195">
        <f t="shared" si="7"/>
        <v>152</v>
      </c>
      <c r="T34" s="195">
        <f t="shared" si="8"/>
        <v>1.1</v>
      </c>
      <c r="U34" s="196">
        <f t="shared" si="9"/>
        <v>831</v>
      </c>
      <c r="V34" s="197">
        <f t="shared" si="10"/>
        <v>6723</v>
      </c>
      <c r="W34" s="198">
        <f t="shared" si="91"/>
        <v>853298.63</v>
      </c>
      <c r="X34" s="198">
        <f t="array" ref="X34">index('jiliarena_日报_底稿'!$P$2:$DS$31,match($A34,'jiliarena_日报_底稿'!$P$2:$P$31,0),match("电子有效投注",'jiliarena_日报_底稿'!$P$3:$DS$3,0))+index('jiliarena_日报_底稿'!$P$2:$DS$31,match($A34,'jiliarena_日报_底稿'!$P$2:$P$31,0),match("真人有效投注",'jiliarena_日报_底稿'!$P$3:$DS$3,0))+index('jiliarena_日报_底稿'!$P$2:$DS$31,match($A34,'jiliarena_日报_底稿'!$P$2:$P$31,0),match("彩票有效投注",'jiliarena_日报_底稿'!$P$3:$DS$3,0))+index('jiliarena_日报_底稿'!$P$2:$DS$31,match($A34,'jiliarena_日报_底稿'!$P$2:$P$31,0),match("棋牌有效投注",'jiliarena_日报_底稿'!$P$3:$DS$3,0))+index('jiliarena_日报_底稿'!$P$2:$DS$31,match($A34,'jiliarena_日报_底稿'!$P$2:$P$31,0),match("捕鱼有效投注",'jiliarena_日报_底稿'!$P$3:$DS$3,0))+index('jiliarena_日报_底稿'!$P$2:$DS$31,match($A34,'jiliarena_日报_底稿'!$P$2:$P$31,0),match("体育有效投注",'jiliarena_日报_底稿'!$P$3:$DS$3,0))+index('jiliarena_日报_底稿'!$P$2:$DS$31,match($A34,'jiliarena_日报_底稿'!$P$2:$P$31,0),match("盘口彩票有效投注",'jiliarena_日报_底稿'!$P$3:$DS$3,0))</f>
        <v>804306.425</v>
      </c>
      <c r="Y34" s="199">
        <f t="shared" si="92"/>
        <v>13146.2178</v>
      </c>
      <c r="Z34" s="198">
        <f t="shared" si="93"/>
        <v>840152.4122</v>
      </c>
      <c r="AA34" s="194">
        <f t="shared" si="12"/>
        <v>0.015406</v>
      </c>
      <c r="AB34" s="200">
        <f t="array" ref="AB34">INDEX('jiliarena_日报_底稿'!$P$2:$DS$31,MATCH($A34,'jiliarena_日报_底稿'!$P$2:$P$31,0),MATCH(AB$3,'jiliarena_日报_底稿'!$P$3:$DS$3,0))</f>
        <v>60</v>
      </c>
      <c r="AC34" s="200">
        <f t="array" ref="AC34">INDEX('jiliarena_日报_底稿'!$P$2:$DS$31,MATCH($A34,'jiliarena_日报_底稿'!$P$2:$P$31,0),MATCH(AC$3,'jiliarena_日报_底稿'!$P$3:$DS$3,0))</f>
        <v>0</v>
      </c>
      <c r="AD34" s="194">
        <f t="shared" si="14"/>
        <v>1</v>
      </c>
      <c r="AE34" s="200">
        <f t="array" ref="AE34">INDEX('jiliarena_日报_底稿'!$P$2:$DS$31,MATCH($A34,'jiliarena_日报_底稿'!$P$2:$P$31,0),MATCH(AE$3,'jiliarena_日报_底稿'!$P$3:$DS$3,0))</f>
        <v>821477.24</v>
      </c>
      <c r="AF34" s="200">
        <f t="array" ref="AF34">INDEX('jiliarena_日报_底稿'!$P$2:$DS$31,MATCH($A34,'jiliarena_日报_底稿'!$P$2:$P$31,0),MATCH(AF$3,'jiliarena_日报_底稿'!$P$3:$DS$3,0))</f>
        <v>808905.7522</v>
      </c>
      <c r="AG34" s="194">
        <f t="shared" si="16"/>
        <v>0.015304</v>
      </c>
      <c r="AH34" s="200">
        <f t="array" ref="AH34">INDEX('jiliarena_日报_底稿'!$P$2:$DS$31,MATCH($A34,'jiliarena_日报_底稿'!$P$2:$P$31,0),MATCH(AH$3,'jiliarena_日报_底稿'!$P$3:$DS$3,0))</f>
        <v>18235.59</v>
      </c>
      <c r="AI34" s="200">
        <f t="array" ref="AI34">INDEX('jiliarena_日报_底稿'!$P$2:$DS$31,MATCH($A34,'jiliarena_日报_底稿'!$P$2:$P$31,0),MATCH(AI$3,'jiliarena_日报_底稿'!$P$3:$DS$3,0))</f>
        <v>19190</v>
      </c>
      <c r="AJ34" s="194">
        <f t="shared" si="18"/>
        <v>-0.052338</v>
      </c>
      <c r="AK34" s="200">
        <f t="array" ref="AK34">INDEX('jiliarena_日报_底稿'!$P$2:$DS$31,MATCH($A34,'jiliarena_日报_底稿'!$P$2:$P$31,0),MATCH(AK$3,'jiliarena_日报_底稿'!$P$3:$DS$3,0))</f>
        <v>13524.8</v>
      </c>
      <c r="AL34" s="200">
        <f t="array" ref="AL34">INDEX('jiliarena_日报_底稿'!$P$2:$DS$31,MATCH($A34,'jiliarena_日报_底稿'!$P$2:$P$31,0),MATCH(AL$3,'jiliarena_日报_底稿'!$P$3:$DS$3,0))</f>
        <v>12056.66</v>
      </c>
      <c r="AM34" s="194">
        <f t="shared" si="20"/>
        <v>0.108552</v>
      </c>
      <c r="AN34" s="200">
        <f t="array" ref="AN34">INDEX('jiliarena_日报_底稿'!$P$2:$DS$31,MATCH($A34,'jiliarena_日报_底稿'!$P$2:$P$31,0),MATCH(AN$3,'jiliarena_日报_底稿'!$P$3:$DS$3,0))</f>
        <v>0</v>
      </c>
      <c r="AO34" s="200">
        <f t="array" ref="AO34">INDEX('jiliarena_日报_底稿'!$P$2:$DS$31,MATCH($A34,'jiliarena_日报_底稿'!$P$2:$P$31,0),MATCH(AO$3,'jiliarena_日报_底稿'!$P$3:$DS$3,0))</f>
        <v>0</v>
      </c>
      <c r="AP34" s="194" t="str">
        <f t="shared" si="22"/>
        <v>#DIV/0!</v>
      </c>
      <c r="AQ34" s="200">
        <f t="array" ref="AQ34">INDEX('jiliarena_日报_底稿'!$P$2:$DS$31,MATCH($A34,'jiliarena_日报_底稿'!$P$2:$P$31,0),MATCH(AQ$3,'jiliarena_日报_底稿'!$P$3:$DS$3,0))</f>
        <v>1</v>
      </c>
      <c r="AR34" s="200">
        <f t="array" ref="AR34">INDEX('jiliarena_日报_底稿'!$P$2:$DS$31,MATCH($A34,'jiliarena_日报_底稿'!$P$2:$P$31,0),MATCH(AR$3,'jiliarena_日报_底稿'!$P$3:$DS$3,0))</f>
        <v>0</v>
      </c>
      <c r="AS34" s="194">
        <f t="shared" si="24"/>
        <v>1</v>
      </c>
      <c r="AT34" s="201">
        <f>SUMIFS('jiliarena_活动分析数据_底稿'!$K:$K,'jiliarena_活动分析数据_底稿'!$B:$B,$A34,'jiliarena_活动分析数据_底稿'!$L:$L,AT$3)</f>
        <v>3076.5</v>
      </c>
      <c r="AU34" s="201">
        <f>SUMIFS('jiliarena_活动分析数据_底稿'!$K:$K,'jiliarena_活动分析数据_底稿'!$B:$B,$A34,'jiliarena_活动分析数据_底稿'!$L:$L,AU$3)</f>
        <v>0</v>
      </c>
      <c r="AV34" s="201">
        <f>SUMIFS('jiliarena_活动分析数据_底稿'!$K:$K,'jiliarena_活动分析数据_底稿'!$B:$B,$A34,'jiliarena_活动分析数据_底稿'!$L:$L,AV$3)</f>
        <v>3710.2</v>
      </c>
      <c r="AW34" s="201">
        <f>SUMIFS('jiliarena_活动分析数据_底稿'!$K:$K,'jiliarena_活动分析数据_底稿'!$B:$B,$A34,'jiliarena_活动分析数据_底稿'!$L:$L,AW$3)</f>
        <v>3784</v>
      </c>
      <c r="AX34" s="201">
        <f>SUMIFS('jiliarena_活动分析数据_底稿'!$K:$K,'jiliarena_活动分析数据_底稿'!$B:$B,$A34,'jiliarena_活动分析数据_底稿'!$L:$L,AX$3)</f>
        <v>528</v>
      </c>
      <c r="AY34" s="201">
        <f>SUMIFS('jiliarena_活动分析数据_底稿'!$K:$K,'jiliarena_活动分析数据_底稿'!$B:$B,$A34,'jiliarena_活动分析数据_底稿'!$L:$L,AY$3)</f>
        <v>0</v>
      </c>
      <c r="AZ34" s="201">
        <f>SUMIFS('jiliarena_活动分析数据_底稿'!$K:$K,'jiliarena_活动分析数据_底稿'!$B:$B,$A34,'jiliarena_活动分析数据_底稿'!$L:$L,AZ$3)</f>
        <v>0</v>
      </c>
      <c r="BA34" s="201">
        <f>SUMIFS('jiliarena_活动分析数据_底稿'!$K:$K,'jiliarena_活动分析数据_底稿'!$B:$B,$A34,'jiliarena_活动分析数据_底稿'!$L:$L,BA$3)</f>
        <v>0</v>
      </c>
      <c r="BB34" s="201">
        <f>SUMIFS('jiliarena_活动分析数据_底稿'!$K:$K,'jiliarena_活动分析数据_底稿'!$B:$B,$A34,'jiliarena_活动分析数据_底稿'!$L:$L,BB$3)</f>
        <v>104.46</v>
      </c>
      <c r="BC34" s="201">
        <f>SUMIFS('jiliarena_活动分析数据_底稿'!$K:$K,'jiliarena_活动分析数据_底稿'!$B:$B,$A34,'jiliarena_活动分析数据_底稿'!$L:$L,BC$3)</f>
        <v>346</v>
      </c>
      <c r="BD34" s="201">
        <f>SUMIFS('jiliarena_活动分析数据_底稿'!$K:$K,'jiliarena_活动分析数据_底稿'!$B:$B,$A34,'jiliarena_活动分析数据_底稿'!$L:$L,BD$3)</f>
        <v>0</v>
      </c>
      <c r="BE34" s="201">
        <f>SUMIFS('jiliarena_活动分析数据_底稿'!$K:$K,'jiliarena_活动分析数据_底稿'!$B:$B,$A34,'jiliarena_活动分析数据_底稿'!$L:$L,BE$3)</f>
        <v>0</v>
      </c>
      <c r="BF34" s="201">
        <f>SUMIFS('jiliarena_活动分析数据_底稿'!$K:$K,'jiliarena_活动分析数据_底稿'!$B:$B,$A34,'jiliarena_活动分析数据_底稿'!$L:$L,BF$3)</f>
        <v>424</v>
      </c>
      <c r="BG34" s="201">
        <f>SUMIFS('jiliarena_活动分析数据_底稿'!$K:$K,'jiliarena_活动分析数据_底稿'!$B:$B,$A34,'jiliarena_活动分析数据_底稿'!$L:$L,BG$3)</f>
        <v>0</v>
      </c>
      <c r="BH34" s="201">
        <f>SUMIFS('jiliarena_活动分析数据_底稿'!$K:$K,'jiliarena_活动分析数据_底稿'!$B:$B,$A34,'jiliarena_活动分析数据_底稿'!$L:$L,BH$3)</f>
        <v>0</v>
      </c>
      <c r="BI34" s="201">
        <f>SUMIFS('jiliarena_活动分析数据_底稿'!$K:$K,'jiliarena_活动分析数据_底稿'!$B:$B,$A34,'jiliarena_活动分析数据_底稿'!$L:$L,BI$3)</f>
        <v>0</v>
      </c>
      <c r="BJ34" s="201">
        <f>SUMIFS('jiliarena_活动分析数据_底稿'!$K:$K,'jiliarena_活动分析数据_底稿'!$B:$B,$A34,'jiliarena_活动分析数据_底稿'!$L:$L,BJ$3)</f>
        <v>4112.5</v>
      </c>
      <c r="BK34" s="201">
        <f>SUMIFS('jiliarena_活动分析数据_底稿'!$K:$K,'jiliarena_活动分析数据_底稿'!$B:$B,$A34,'jiliarena_活动分析数据_底稿'!$L:$L,BK$3)</f>
        <v>0</v>
      </c>
      <c r="BL34" s="201">
        <f>SUMIFS('jiliarena_活动分析数据_底稿'!$K:$K,'jiliarena_活动分析数据_底稿'!$B:$B,$A34,'jiliarena_活动分析数据_底稿'!$L:$L,BL$3)</f>
        <v>0</v>
      </c>
      <c r="BM34" s="201">
        <f>SUMIFS('jiliarena_活动分析数据_底稿'!$K:$K,'jiliarena_活动分析数据_底稿'!$B:$B,$A34,'jiliarena_活动分析数据_底稿'!$L:$L,BM$3)</f>
        <v>0</v>
      </c>
      <c r="BN34" s="201">
        <f>SUMIFS('jiliarena_活动分析数据_底稿'!$K:$K,'jiliarena_活动分析数据_底稿'!$B:$B,$A34,'jiliarena_活动分析数据_底稿'!$L:$L,BN$3)</f>
        <v>0</v>
      </c>
      <c r="BO34" s="201">
        <f>SUMIFS('jiliarena_活动分析数据_底稿'!$K:$K,'jiliarena_活动分析数据_底稿'!$B:$B,$A34,'jiliarena_活动分析数据_底稿'!$L:$L,BO$3)</f>
        <v>0</v>
      </c>
      <c r="BP34" s="201">
        <f>SUMIFS('jiliarena_活动分析数据_底稿'!$K:$K,'jiliarena_活动分析数据_底稿'!$B:$B,$A34,'jiliarena_活动分析数据_底稿'!$L:$L,BP$3)</f>
        <v>0</v>
      </c>
      <c r="BQ34" s="198">
        <f t="shared" si="94"/>
        <v>16085.66</v>
      </c>
      <c r="BR34" s="198">
        <f t="shared" si="95"/>
        <v>3076.5</v>
      </c>
      <c r="BS34" s="198">
        <f t="shared" si="96"/>
        <v>104.46</v>
      </c>
      <c r="BT34" s="194">
        <f t="shared" si="26"/>
        <v>0.019999</v>
      </c>
      <c r="BU34" s="194">
        <f t="shared" si="27"/>
        <v>0.1667374291</v>
      </c>
      <c r="BV34" s="194">
        <f t="shared" si="28"/>
        <v>1.223596037</v>
      </c>
      <c r="BW34" s="202">
        <f t="shared" si="29"/>
        <v>-2939.4422</v>
      </c>
      <c r="BX34" s="203">
        <f t="shared" si="30"/>
        <v>-5.472351183</v>
      </c>
      <c r="BY34" s="204">
        <f t="shared" si="31"/>
        <v>2324.9993</v>
      </c>
      <c r="BZ34" s="205">
        <f t="shared" si="32"/>
        <v>179.5</v>
      </c>
      <c r="CA34" s="206">
        <f t="shared" si="33"/>
        <v>2504.4993</v>
      </c>
      <c r="CB34" s="207">
        <f t="shared" si="34"/>
        <v>1183</v>
      </c>
      <c r="CC34" s="203">
        <f t="shared" si="35"/>
        <v>-0.8520321645</v>
      </c>
      <c r="CD34" s="198">
        <f t="array" ref="CD34">index('jiliarena_日报_底稿'!$P$3:$DS$31,match(A34,'jiliarena_日报_底稿'!$P$3:$P$31,0),match("综合性分红",'jiliarena_日报_底稿'!$P$3:$DS$3,0))</f>
        <v>0</v>
      </c>
      <c r="CE34" s="208"/>
      <c r="CF34" s="198">
        <f t="array" ref="CF34">INDEX('jiliarena_日报_底稿'!$P$2:$DS$31,MATCH($A34,'jiliarena_日报_底稿'!$P$2:$P$31,0),MATCH(CF$3,'jiliarena_日报_底稿'!$P$3:$DS$3,0))</f>
        <v>0</v>
      </c>
      <c r="CG34" s="198">
        <f t="array" ref="CG34">-INDEX('jiliarena_日报_底稿'!$P$2:$DS$31,MATCH($A34,'jiliarena_日报_底稿'!$P$2:$P$31,0),MATCH(CG$3,'jiliarena_日报_底稿'!$P$3:$DS$3,0))</f>
        <v>0</v>
      </c>
      <c r="CH34" s="198">
        <f t="array" ref="CH34">INDEX('jiliarena_日报_底稿'!$P$2:$DS$31,MATCH($A34,'jiliarena_日报_底稿'!$P$2:$P$31,0),MATCH(CH$3,'jiliarena_日报_底稿'!$P$3:$DS$3,0))</f>
        <v>94316.745</v>
      </c>
      <c r="CI34" s="202">
        <f t="shared" si="37"/>
        <v>-6626.9415</v>
      </c>
      <c r="CJ34" s="209">
        <f t="shared" si="38"/>
        <v>2</v>
      </c>
      <c r="CK34" s="209">
        <f t="shared" si="39"/>
        <v>26</v>
      </c>
    </row>
    <row r="35">
      <c r="A35" s="222">
        <f t="shared" si="97"/>
        <v>46080</v>
      </c>
      <c r="B35" s="191">
        <f t="array" ref="B35">INDEX('jiliarena_日报_底稿'!$A$3:$N$31,MATCH($A35,'jiliarena_日报_底稿'!$A$3:$A$31,0),MATCH(B$3,'jiliarena_日报_底稿'!$A$3:$N$3,0))</f>
        <v>268</v>
      </c>
      <c r="C35" s="191">
        <f t="array" ref="C35">INDEX('jiliarena_日报_底稿'!$A$3:$N$31,MATCH($A35,'jiliarena_日报_底稿'!$A$3:$A$31,0),MATCH(C$3,'jiliarena_日报_底稿'!$A$3:$N$3,0))</f>
        <v>89</v>
      </c>
      <c r="D35" s="191">
        <f t="array" ref="D35">INDEX('jiliarena_日报_底稿'!$A$3:$N$31,MATCH($A35,'jiliarena_日报_底稿'!$A$3:$A$31,0),MATCH(D$3,'jiliarena_日报_底稿'!$A$3:$N$3,0))</f>
        <v>2890</v>
      </c>
      <c r="E35" s="192">
        <v>16.0</v>
      </c>
      <c r="F35" s="191">
        <f t="array" ref="F35">INDEX('jiliarena_日报_底稿'!$A$3:$N$31,MATCH($A35,'jiliarena_日报_底稿'!$A$3:$A$31,0),MATCH(F$3,'jiliarena_日报_底稿'!$A$3:$N$3,0))</f>
        <v>352</v>
      </c>
      <c r="G35" s="191">
        <f>SUMIFS('渠道充值成功率_底稿'!$F:$F,'渠道充值成功率_底稿'!$A:$A,A35)</f>
        <v>519</v>
      </c>
      <c r="H35" s="191">
        <f t="array" ref="H35">INDEX('jiliarena_日报_底稿'!$A$3:$N$31,MATCH($A35,'jiliarena_日报_底稿'!$A$3:$A$31,0),MATCH(H$3,'jiliarena_日报_底稿'!$A$3:$N$3,0))</f>
        <v>92</v>
      </c>
      <c r="I35" s="192">
        <v>519.0</v>
      </c>
      <c r="J35" s="191">
        <f t="array" ref="J35">INDEX('jiliarena_日报_底稿'!$A$3:$N$31,MATCH($A35,'jiliarena_日报_底稿'!$A$3:$A$31,0),MATCH(J$3,'jiliarena_日报_底稿'!$A$3:$N$3,0))</f>
        <v>2122</v>
      </c>
      <c r="K35" s="193">
        <f>SUMIFS('渠道充值成功率_底稿'!$J:$J,'渠道充值成功率_底稿'!$A:$A,$A35)</f>
        <v>12300</v>
      </c>
      <c r="L35" s="193">
        <f t="array" ref="L35">INDEX('jiliarena_日报_底稿'!$A$3:$N$31,MATCH($A35,'jiliarena_日报_底稿'!$A$3:$A$31,0),MATCH(L$3,'jiliarena_日报_底稿'!$A$3:$N$3,0))</f>
        <v>94962</v>
      </c>
      <c r="M35" s="193">
        <f t="array" ref="M35">INDEX('jiliarena_日报_底稿'!$P$2:$DS$31,MATCH($A35,'jiliarena_日报_底稿'!$P$2:$P$31,0),MATCH($M$3,'jiliarena_日报_底稿'!$P$3:$DS$3,0))</f>
        <v>93643</v>
      </c>
      <c r="N35" s="194">
        <f t="shared" si="2"/>
        <v>0.3321</v>
      </c>
      <c r="O35" s="195">
        <f t="shared" si="3"/>
        <v>138</v>
      </c>
      <c r="P35" s="194">
        <f t="shared" si="4"/>
        <v>0.129525</v>
      </c>
      <c r="Q35" s="195">
        <f t="shared" si="5"/>
        <v>1.5</v>
      </c>
      <c r="R35" s="196">
        <f t="shared" si="6"/>
        <v>270</v>
      </c>
      <c r="S35" s="195">
        <f t="shared" si="7"/>
        <v>183</v>
      </c>
      <c r="T35" s="195">
        <f t="shared" si="8"/>
        <v>1.3</v>
      </c>
      <c r="U35" s="196">
        <f t="shared" si="9"/>
        <v>1018</v>
      </c>
      <c r="V35" s="197">
        <f t="shared" si="10"/>
        <v>1319</v>
      </c>
      <c r="W35" s="198">
        <f t="shared" si="91"/>
        <v>742129.38</v>
      </c>
      <c r="X35" s="198">
        <f t="array" ref="X35">index('jiliarena_日报_底稿'!$P$2:$DS$31,match($A35,'jiliarena_日报_底稿'!$P$2:$P$31,0),match("电子有效投注",'jiliarena_日报_底稿'!$P$3:$DS$3,0))+index('jiliarena_日报_底稿'!$P$2:$DS$31,match($A35,'jiliarena_日报_底稿'!$P$2:$P$31,0),match("真人有效投注",'jiliarena_日报_底稿'!$P$3:$DS$3,0))+index('jiliarena_日报_底稿'!$P$2:$DS$31,match($A35,'jiliarena_日报_底稿'!$P$2:$P$31,0),match("彩票有效投注",'jiliarena_日报_底稿'!$P$3:$DS$3,0))+index('jiliarena_日报_底稿'!$P$2:$DS$31,match($A35,'jiliarena_日报_底稿'!$P$2:$P$31,0),match("棋牌有效投注",'jiliarena_日报_底稿'!$P$3:$DS$3,0))+index('jiliarena_日报_底稿'!$P$2:$DS$31,match($A35,'jiliarena_日报_底稿'!$P$2:$P$31,0),match("捕鱼有效投注",'jiliarena_日报_底稿'!$P$3:$DS$3,0))+index('jiliarena_日报_底稿'!$P$2:$DS$31,match($A35,'jiliarena_日报_底稿'!$P$2:$P$31,0),match("体育有效投注",'jiliarena_日报_底稿'!$P$3:$DS$3,0))+index('jiliarena_日报_底稿'!$P$2:$DS$31,match($A35,'jiliarena_日报_底稿'!$P$2:$P$31,0),match("盘口彩票有效投注",'jiliarena_日报_底稿'!$P$3:$DS$3,0))</f>
        <v>692850.77</v>
      </c>
      <c r="Y35" s="199">
        <f t="shared" si="92"/>
        <v>11032.035</v>
      </c>
      <c r="Z35" s="198">
        <f t="shared" si="93"/>
        <v>731097.345</v>
      </c>
      <c r="AA35" s="194">
        <f t="shared" si="12"/>
        <v>0.014865</v>
      </c>
      <c r="AB35" s="200">
        <f t="array" ref="AB35">INDEX('jiliarena_日报_底稿'!$P$2:$DS$31,MATCH($A35,'jiliarena_日报_底稿'!$P$2:$P$31,0),MATCH(AB$3,'jiliarena_日报_底稿'!$P$3:$DS$3,0))</f>
        <v>0</v>
      </c>
      <c r="AC35" s="200">
        <f t="array" ref="AC35">INDEX('jiliarena_日报_底稿'!$P$2:$DS$31,MATCH($A35,'jiliarena_日报_底稿'!$P$2:$P$31,0),MATCH(AC$3,'jiliarena_日报_底稿'!$P$3:$DS$3,0))</f>
        <v>0</v>
      </c>
      <c r="AD35" s="194" t="str">
        <f t="shared" si="14"/>
        <v>#DIV/0!</v>
      </c>
      <c r="AE35" s="200">
        <f t="array" ref="AE35">INDEX('jiliarena_日报_底稿'!$P$2:$DS$31,MATCH($A35,'jiliarena_日报_底稿'!$P$2:$P$31,0),MATCH(AE$3,'jiliarena_日报_底稿'!$P$3:$DS$3,0))</f>
        <v>734752.98</v>
      </c>
      <c r="AF35" s="200">
        <f t="array" ref="AF35">INDEX('jiliarena_日报_底稿'!$P$2:$DS$31,MATCH($A35,'jiliarena_日报_底稿'!$P$2:$P$31,0),MATCH(AF$3,'jiliarena_日报_底稿'!$P$3:$DS$3,0))</f>
        <v>724516.445</v>
      </c>
      <c r="AG35" s="194">
        <f t="shared" si="16"/>
        <v>0.013932</v>
      </c>
      <c r="AH35" s="200">
        <f t="array" ref="AH35">INDEX('jiliarena_日报_底稿'!$P$2:$DS$31,MATCH($A35,'jiliarena_日报_底稿'!$P$2:$P$31,0),MATCH(AH$3,'jiliarena_日报_底稿'!$P$3:$DS$3,0))</f>
        <v>2734.5</v>
      </c>
      <c r="AI35" s="200">
        <f t="array" ref="AI35">INDEX('jiliarena_日报_底稿'!$P$2:$DS$31,MATCH($A35,'jiliarena_日报_底稿'!$P$2:$P$31,0),MATCH(AI$3,'jiliarena_日报_底稿'!$P$3:$DS$3,0))</f>
        <v>1846.5</v>
      </c>
      <c r="AJ35" s="194">
        <f t="shared" si="18"/>
        <v>0.324739</v>
      </c>
      <c r="AK35" s="200">
        <f t="array" ref="AK35">INDEX('jiliarena_日报_底稿'!$P$2:$DS$31,MATCH($A35,'jiliarena_日报_底稿'!$P$2:$P$31,0),MATCH(AK$3,'jiliarena_日报_底稿'!$P$3:$DS$3,0))</f>
        <v>4639.9</v>
      </c>
      <c r="AL35" s="200">
        <f t="array" ref="AL35">INDEX('jiliarena_日报_底稿'!$P$2:$DS$31,MATCH($A35,'jiliarena_日报_底稿'!$P$2:$P$31,0),MATCH(AL$3,'jiliarena_日报_底稿'!$P$3:$DS$3,0))</f>
        <v>4734.4</v>
      </c>
      <c r="AM35" s="194">
        <f t="shared" si="20"/>
        <v>-0.020367</v>
      </c>
      <c r="AN35" s="200">
        <f t="array" ref="AN35">INDEX('jiliarena_日报_底稿'!$P$2:$DS$31,MATCH($A35,'jiliarena_日报_底稿'!$P$2:$P$31,0),MATCH(AN$3,'jiliarena_日报_底稿'!$P$3:$DS$3,0))</f>
        <v>0</v>
      </c>
      <c r="AO35" s="200">
        <f t="array" ref="AO35">INDEX('jiliarena_日报_底稿'!$P$2:$DS$31,MATCH($A35,'jiliarena_日报_底稿'!$P$2:$P$31,0),MATCH(AO$3,'jiliarena_日报_底稿'!$P$3:$DS$3,0))</f>
        <v>0</v>
      </c>
      <c r="AP35" s="194" t="str">
        <f t="shared" si="22"/>
        <v>#DIV/0!</v>
      </c>
      <c r="AQ35" s="200">
        <f t="array" ref="AQ35">INDEX('jiliarena_日报_底稿'!$P$2:$DS$31,MATCH($A35,'jiliarena_日报_底稿'!$P$2:$P$31,0),MATCH(AQ$3,'jiliarena_日报_底稿'!$P$3:$DS$3,0))</f>
        <v>2</v>
      </c>
      <c r="AR35" s="200">
        <f t="array" ref="AR35">INDEX('jiliarena_日报_底稿'!$P$2:$DS$31,MATCH($A35,'jiliarena_日报_底稿'!$P$2:$P$31,0),MATCH(AR$3,'jiliarena_日报_底稿'!$P$3:$DS$3,0))</f>
        <v>0</v>
      </c>
      <c r="AS35" s="194">
        <f t="shared" si="24"/>
        <v>1</v>
      </c>
      <c r="AT35" s="201">
        <f>SUMIFS('jiliarena_活动分析数据_底稿'!$K:$K,'jiliarena_活动分析数据_底稿'!$B:$B,$A35,'jiliarena_活动分析数据_底稿'!$L:$L,AT$3)</f>
        <v>2605.21</v>
      </c>
      <c r="AU35" s="201">
        <f>SUMIFS('jiliarena_活动分析数据_底稿'!$K:$K,'jiliarena_活动分析数据_底稿'!$B:$B,$A35,'jiliarena_活动分析数据_底稿'!$L:$L,AU$3)</f>
        <v>0</v>
      </c>
      <c r="AV35" s="201">
        <f>SUMIFS('jiliarena_活动分析数据_底稿'!$K:$K,'jiliarena_活动分析数据_底稿'!$B:$B,$A35,'jiliarena_活动分析数据_底稿'!$L:$L,AV$3)</f>
        <v>2664.5</v>
      </c>
      <c r="AW35" s="201">
        <f>SUMIFS('jiliarena_活动分析数据_底稿'!$K:$K,'jiliarena_活动分析数据_底稿'!$B:$B,$A35,'jiliarena_活动分析数据_底稿'!$L:$L,AW$3)</f>
        <v>3699</v>
      </c>
      <c r="AX35" s="201">
        <f>SUMIFS('jiliarena_活动分析数据_底稿'!$K:$K,'jiliarena_活动分析数据_底稿'!$B:$B,$A35,'jiliarena_活动分析数据_底稿'!$L:$L,AX$3)</f>
        <v>340</v>
      </c>
      <c r="AY35" s="201">
        <f>SUMIFS('jiliarena_活动分析数据_底稿'!$K:$K,'jiliarena_活动分析数据_底稿'!$B:$B,$A35,'jiliarena_活动分析数据_底稿'!$L:$L,AY$3)</f>
        <v>0</v>
      </c>
      <c r="AZ35" s="201">
        <f>SUMIFS('jiliarena_活动分析数据_底稿'!$K:$K,'jiliarena_活动分析数据_底稿'!$B:$B,$A35,'jiliarena_活动分析数据_底稿'!$L:$L,AZ$3)</f>
        <v>0</v>
      </c>
      <c r="BA35" s="201">
        <f>SUMIFS('jiliarena_活动分析数据_底稿'!$K:$K,'jiliarena_活动分析数据_底稿'!$B:$B,$A35,'jiliarena_活动分析数据_底稿'!$L:$L,BA$3)</f>
        <v>0</v>
      </c>
      <c r="BB35" s="201">
        <f>SUMIFS('jiliarena_活动分析数据_底稿'!$K:$K,'jiliarena_活动分析数据_底稿'!$B:$B,$A35,'jiliarena_活动分析数据_底稿'!$L:$L,BB$3)</f>
        <v>208.11</v>
      </c>
      <c r="BC35" s="201">
        <f>SUMIFS('jiliarena_活动分析数据_底稿'!$K:$K,'jiliarena_活动分析数据_底稿'!$B:$B,$A35,'jiliarena_活动分析数据_底稿'!$L:$L,BC$3)</f>
        <v>249</v>
      </c>
      <c r="BD35" s="201">
        <f>SUMIFS('jiliarena_活动分析数据_底稿'!$K:$K,'jiliarena_活动分析数据_底稿'!$B:$B,$A35,'jiliarena_活动分析数据_底稿'!$L:$L,BD$3)</f>
        <v>0</v>
      </c>
      <c r="BE35" s="201">
        <f>SUMIFS('jiliarena_活动分析数据_底稿'!$K:$K,'jiliarena_活动分析数据_底稿'!$B:$B,$A35,'jiliarena_活动分析数据_底稿'!$L:$L,BE$3)</f>
        <v>0</v>
      </c>
      <c r="BF35" s="201">
        <f>SUMIFS('jiliarena_活动分析数据_底稿'!$K:$K,'jiliarena_活动分析数据_底稿'!$B:$B,$A35,'jiliarena_活动分析数据_底稿'!$L:$L,BF$3)</f>
        <v>6</v>
      </c>
      <c r="BG35" s="201">
        <f>SUMIFS('jiliarena_活动分析数据_底稿'!$K:$K,'jiliarena_活动分析数据_底稿'!$B:$B,$A35,'jiliarena_活动分析数据_底稿'!$L:$L,BG$3)</f>
        <v>0</v>
      </c>
      <c r="BH35" s="201">
        <f>SUMIFS('jiliarena_活动分析数据_底稿'!$K:$K,'jiliarena_活动分析数据_底稿'!$B:$B,$A35,'jiliarena_活动分析数据_底稿'!$L:$L,BH$3)</f>
        <v>0</v>
      </c>
      <c r="BI35" s="201">
        <f>SUMIFS('jiliarena_活动分析数据_底稿'!$K:$K,'jiliarena_活动分析数据_底稿'!$B:$B,$A35,'jiliarena_活动分析数据_底稿'!$L:$L,BI$3)</f>
        <v>0</v>
      </c>
      <c r="BJ35" s="201">
        <f>SUMIFS('jiliarena_活动分析数据_底稿'!$K:$K,'jiliarena_活动分析数据_底稿'!$B:$B,$A35,'jiliarena_活动分析数据_底稿'!$L:$L,BJ$3)</f>
        <v>2075</v>
      </c>
      <c r="BK35" s="201">
        <f>SUMIFS('jiliarena_活动分析数据_底稿'!$K:$K,'jiliarena_活动分析数据_底稿'!$B:$B,$A35,'jiliarena_活动分析数据_底稿'!$L:$L,BK$3)</f>
        <v>0</v>
      </c>
      <c r="BL35" s="201">
        <f>SUMIFS('jiliarena_活动分析数据_底稿'!$K:$K,'jiliarena_活动分析数据_底稿'!$B:$B,$A35,'jiliarena_活动分析数据_底稿'!$L:$L,BL$3)</f>
        <v>0</v>
      </c>
      <c r="BM35" s="201">
        <f>SUMIFS('jiliarena_活动分析数据_底稿'!$K:$K,'jiliarena_活动分析数据_底稿'!$B:$B,$A35,'jiliarena_活动分析数据_底稿'!$L:$L,BM$3)</f>
        <v>0</v>
      </c>
      <c r="BN35" s="201">
        <f>SUMIFS('jiliarena_活动分析数据_底稿'!$K:$K,'jiliarena_活动分析数据_底稿'!$B:$B,$A35,'jiliarena_活动分析数据_底稿'!$L:$L,BN$3)</f>
        <v>0</v>
      </c>
      <c r="BO35" s="201">
        <f>SUMIFS('jiliarena_活动分析数据_底稿'!$K:$K,'jiliarena_活动分析数据_底稿'!$B:$B,$A35,'jiliarena_活动分析数据_底稿'!$L:$L,BO$3)</f>
        <v>0</v>
      </c>
      <c r="BP35" s="201">
        <f>SUMIFS('jiliarena_活动分析数据_底稿'!$K:$K,'jiliarena_活动分析数据_底稿'!$B:$B,$A35,'jiliarena_活动分析数据_底稿'!$L:$L,BP$3)</f>
        <v>0</v>
      </c>
      <c r="BQ35" s="198">
        <f t="shared" si="94"/>
        <v>11846.82</v>
      </c>
      <c r="BR35" s="198">
        <f t="shared" si="95"/>
        <v>2605.21</v>
      </c>
      <c r="BS35" s="198">
        <f t="shared" si="96"/>
        <v>208.11</v>
      </c>
      <c r="BT35" s="194">
        <f t="shared" si="26"/>
        <v>0.017099</v>
      </c>
      <c r="BU35" s="194">
        <f t="shared" si="27"/>
        <v>0.1247532697</v>
      </c>
      <c r="BV35" s="194">
        <f t="shared" si="28"/>
        <v>1.073856274</v>
      </c>
      <c r="BW35" s="202">
        <f t="shared" si="29"/>
        <v>-814.785</v>
      </c>
      <c r="BX35" s="203">
        <f t="shared" si="30"/>
        <v>-14.53981112</v>
      </c>
      <c r="BY35" s="204">
        <f t="shared" si="31"/>
        <v>2288.5842</v>
      </c>
      <c r="BZ35" s="205">
        <f t="shared" si="32"/>
        <v>187.286</v>
      </c>
      <c r="CA35" s="206">
        <f t="shared" si="33"/>
        <v>2475.8702</v>
      </c>
      <c r="CB35" s="207">
        <f t="shared" si="34"/>
        <v>993</v>
      </c>
      <c r="CC35" s="203">
        <f t="shared" si="35"/>
        <v>-3.038679161</v>
      </c>
      <c r="CD35" s="198">
        <f t="array" ref="CD35">index('jiliarena_日报_底稿'!$P$3:$DS$31,match(A35,'jiliarena_日报_底稿'!$P$3:$P$31,0),match("综合性分红",'jiliarena_日报_底稿'!$P$3:$DS$3,0))</f>
        <v>0</v>
      </c>
      <c r="CE35" s="208"/>
      <c r="CF35" s="198">
        <f t="array" ref="CF35">INDEX('jiliarena_日报_底稿'!$P$2:$DS$31,MATCH($A35,'jiliarena_日报_底稿'!$P$2:$P$31,0),MATCH(CF$3,'jiliarena_日报_底稿'!$P$3:$DS$3,0))</f>
        <v>0</v>
      </c>
      <c r="CG35" s="198">
        <f t="array" ref="CG35">-INDEX('jiliarena_日报_底稿'!$P$2:$DS$31,MATCH($A35,'jiliarena_日报_底稿'!$P$2:$P$31,0),MATCH(CG$3,'jiliarena_日报_底稿'!$P$3:$DS$3,0))</f>
        <v>0</v>
      </c>
      <c r="CH35" s="198">
        <f t="array" ref="CH35">INDEX('jiliarena_日报_底稿'!$P$2:$DS$31,MATCH($A35,'jiliarena_日报_底稿'!$P$2:$P$31,0),MATCH(CH$3,'jiliarena_日报_底稿'!$P$3:$DS$3,0))</f>
        <v>96202.4037</v>
      </c>
      <c r="CI35" s="202">
        <f t="shared" si="37"/>
        <v>-4283.6552</v>
      </c>
      <c r="CJ35" s="209">
        <f t="shared" si="38"/>
        <v>2</v>
      </c>
      <c r="CK35" s="209">
        <f t="shared" si="39"/>
        <v>27</v>
      </c>
    </row>
    <row r="36">
      <c r="A36" s="222">
        <f t="shared" si="97"/>
        <v>46081</v>
      </c>
      <c r="B36" s="191">
        <f t="array" ref="B36">INDEX('jiliarena_日报_底稿'!$A$3:$N$31,MATCH($A36,'jiliarena_日报_底稿'!$A$3:$A$31,0),MATCH(B$3,'jiliarena_日报_底稿'!$A$3:$N$3,0))</f>
        <v>717</v>
      </c>
      <c r="C36" s="191">
        <f t="array" ref="C36">INDEX('jiliarena_日报_底稿'!$A$3:$N$31,MATCH($A36,'jiliarena_日报_底稿'!$A$3:$A$31,0),MATCH(C$3,'jiliarena_日报_底稿'!$A$3:$N$3,0))</f>
        <v>231</v>
      </c>
      <c r="D36" s="191">
        <f t="array" ref="D36">INDEX('jiliarena_日报_底稿'!$A$3:$N$31,MATCH($A36,'jiliarena_日报_底稿'!$A$3:$A$31,0),MATCH(D$3,'jiliarena_日报_底稿'!$A$3:$N$3,0))</f>
        <v>3515</v>
      </c>
      <c r="E36" s="192">
        <v>91.0</v>
      </c>
      <c r="F36" s="191">
        <f t="array" ref="F36">INDEX('jiliarena_日报_底稿'!$A$3:$N$31,MATCH($A36,'jiliarena_日报_底稿'!$A$3:$A$31,0),MATCH(F$3,'jiliarena_日报_底稿'!$A$3:$N$3,0))</f>
        <v>515</v>
      </c>
      <c r="G36" s="191">
        <f>SUMIFS('渠道充值成功率_底稿'!$F:$F,'渠道充值成功率_底稿'!$A:$A,A36)</f>
        <v>679</v>
      </c>
      <c r="H36" s="191">
        <f t="array" ref="H36">INDEX('jiliarena_日报_底稿'!$A$3:$N$31,MATCH($A36,'jiliarena_日报_底稿'!$A$3:$A$31,0),MATCH(H$3,'jiliarena_日报_底稿'!$A$3:$N$3,0))</f>
        <v>98</v>
      </c>
      <c r="I36" s="192">
        <v>120.0</v>
      </c>
      <c r="J36" s="191">
        <f t="array" ref="J36">INDEX('jiliarena_日报_底稿'!$A$3:$N$31,MATCH($A36,'jiliarena_日报_底稿'!$A$3:$A$31,0),MATCH(J$3,'jiliarena_日报_底稿'!$A$3:$N$3,0))</f>
        <v>2404</v>
      </c>
      <c r="K36" s="193">
        <f>SUMIFS('渠道充值成功率_底稿'!$J:$J,'渠道充值成功率_底稿'!$A:$A,$A36)</f>
        <v>30310</v>
      </c>
      <c r="L36" s="193">
        <f t="array" ref="L36">INDEX('jiliarena_日报_底稿'!$A$3:$N$31,MATCH($A36,'jiliarena_日报_底稿'!$A$3:$A$31,0),MATCH(L$3,'jiliarena_日报_底稿'!$A$3:$N$3,0))</f>
        <v>103745</v>
      </c>
      <c r="M36" s="193">
        <f t="array" ref="M36">INDEX('jiliarena_日报_底稿'!$P$2:$DS$31,MATCH($A36,'jiliarena_日报_底稿'!$P$2:$P$31,0),MATCH($M$3,'jiliarena_日报_底稿'!$P$3:$DS$3,0))</f>
        <v>68336</v>
      </c>
      <c r="N36" s="194">
        <f t="shared" si="2"/>
        <v>0.3222</v>
      </c>
      <c r="O36" s="195">
        <f t="shared" si="3"/>
        <v>131</v>
      </c>
      <c r="P36" s="194">
        <f t="shared" si="4"/>
        <v>0.292159</v>
      </c>
      <c r="Q36" s="195">
        <f t="shared" si="5"/>
        <v>1.3</v>
      </c>
      <c r="R36" s="196">
        <f t="shared" si="6"/>
        <v>201</v>
      </c>
      <c r="S36" s="195">
        <f t="shared" si="7"/>
        <v>153</v>
      </c>
      <c r="T36" s="195">
        <f t="shared" si="8"/>
        <v>1.2</v>
      </c>
      <c r="U36" s="196">
        <f t="shared" si="9"/>
        <v>697</v>
      </c>
      <c r="V36" s="197">
        <f t="shared" si="10"/>
        <v>35409</v>
      </c>
      <c r="W36" s="198">
        <f t="shared" si="91"/>
        <v>913539.63</v>
      </c>
      <c r="X36" s="198">
        <f t="array" ref="X36">index('jiliarena_日报_底稿'!$P$2:$DS$31,match($A36,'jiliarena_日报_底稿'!$P$2:$P$31,0),match("电子有效投注",'jiliarena_日报_底稿'!$P$3:$DS$3,0))+index('jiliarena_日报_底稿'!$P$2:$DS$31,match($A36,'jiliarena_日报_底稿'!$P$2:$P$31,0),match("真人有效投注",'jiliarena_日报_底稿'!$P$3:$DS$3,0))+index('jiliarena_日报_底稿'!$P$2:$DS$31,match($A36,'jiliarena_日报_底稿'!$P$2:$P$31,0),match("彩票有效投注",'jiliarena_日报_底稿'!$P$3:$DS$3,0))+index('jiliarena_日报_底稿'!$P$2:$DS$31,match($A36,'jiliarena_日报_底稿'!$P$2:$P$31,0),match("棋牌有效投注",'jiliarena_日报_底稿'!$P$3:$DS$3,0))+index('jiliarena_日报_底稿'!$P$2:$DS$31,match($A36,'jiliarena_日报_底稿'!$P$2:$P$31,0),match("捕鱼有效投注",'jiliarena_日报_底稿'!$P$3:$DS$3,0))+index('jiliarena_日报_底稿'!$P$2:$DS$31,match($A36,'jiliarena_日报_底稿'!$P$2:$P$31,0),match("体育有效投注",'jiliarena_日报_底稿'!$P$3:$DS$3,0))+index('jiliarena_日报_底稿'!$P$2:$DS$31,match($A36,'jiliarena_日报_底稿'!$P$2:$P$31,0),match("盘口彩票有效投注",'jiliarena_日报_底稿'!$P$3:$DS$3,0))</f>
        <v>851449.64</v>
      </c>
      <c r="Y36" s="199">
        <f>AB36+AE36+AH36+AK36+AN36+AQ36-AR36-AO36-AL36-AI36-AF36-AC36-0.01</f>
        <v>27029.51</v>
      </c>
      <c r="Z36" s="198">
        <f t="shared" si="93"/>
        <v>886510.11</v>
      </c>
      <c r="AA36" s="194">
        <f t="shared" si="12"/>
        <v>0.029588</v>
      </c>
      <c r="AB36" s="200">
        <f t="array" ref="AB36">INDEX('jiliarena_日报_底稿'!$P$2:$DS$31,MATCH($A36,'jiliarena_日报_底稿'!$P$2:$P$31,0),MATCH(AB$3,'jiliarena_日报_底稿'!$P$3:$DS$3,0))</f>
        <v>1</v>
      </c>
      <c r="AC36" s="200">
        <f t="array" ref="AC36">INDEX('jiliarena_日报_底稿'!$P$2:$DS$31,MATCH($A36,'jiliarena_日报_底稿'!$P$2:$P$31,0),MATCH(AC$3,'jiliarena_日报_底稿'!$P$3:$DS$3,0))</f>
        <v>0</v>
      </c>
      <c r="AD36" s="194">
        <f t="shared" si="14"/>
        <v>1</v>
      </c>
      <c r="AE36" s="200">
        <f t="array" ref="AE36">INDEX('jiliarena_日报_底稿'!$P$2:$DS$31,MATCH($A36,'jiliarena_日报_底稿'!$P$2:$P$31,0),MATCH(AE$3,'jiliarena_日报_底稿'!$P$3:$DS$3,0))</f>
        <v>893340.12</v>
      </c>
      <c r="AF36" s="200">
        <f t="array" ref="AF36">INDEX('jiliarena_日报_底稿'!$P$2:$DS$31,MATCH($A36,'jiliarena_日报_底稿'!$P$2:$P$31,0),MATCH(AF$3,'jiliarena_日报_底稿'!$P$3:$DS$3,0))</f>
        <v>864325.06</v>
      </c>
      <c r="AG36" s="194">
        <f t="shared" si="16"/>
        <v>0.032479</v>
      </c>
      <c r="AH36" s="200">
        <f t="array" ref="AH36">INDEX('jiliarena_日报_底稿'!$P$2:$DS$31,MATCH($A36,'jiliarena_日报_底稿'!$P$2:$P$31,0),MATCH(AH$3,'jiliarena_日报_底稿'!$P$3:$DS$3,0))</f>
        <v>7245.31</v>
      </c>
      <c r="AI36" s="200">
        <f t="array" ref="AI36">INDEX('jiliarena_日报_底稿'!$P$2:$DS$31,MATCH($A36,'jiliarena_日报_底稿'!$P$2:$P$31,0),MATCH(AI$3,'jiliarena_日报_底稿'!$P$3:$DS$3,0))</f>
        <v>8340</v>
      </c>
      <c r="AJ36" s="194">
        <f t="shared" si="18"/>
        <v>-0.151089</v>
      </c>
      <c r="AK36" s="200">
        <f t="array" ref="AK36">INDEX('jiliarena_日报_底稿'!$P$2:$DS$31,MATCH($A36,'jiliarena_日报_底稿'!$P$2:$P$31,0),MATCH(AK$3,'jiliarena_日报_底稿'!$P$3:$DS$3,0))</f>
        <v>12950.2</v>
      </c>
      <c r="AL36" s="200">
        <f t="array" ref="AL36">INDEX('jiliarena_日报_底稿'!$P$2:$DS$31,MATCH($A36,'jiliarena_日报_底稿'!$P$2:$P$31,0),MATCH(AL$3,'jiliarena_日报_底稿'!$P$3:$DS$3,0))</f>
        <v>13845.05</v>
      </c>
      <c r="AM36" s="194">
        <f t="shared" si="20"/>
        <v>-0.069099</v>
      </c>
      <c r="AN36" s="200">
        <f t="array" ref="AN36">INDEX('jiliarena_日报_底稿'!$P$2:$DS$31,MATCH($A36,'jiliarena_日报_底稿'!$P$2:$P$31,0),MATCH(AN$3,'jiliarena_日报_底稿'!$P$3:$DS$3,0))</f>
        <v>0</v>
      </c>
      <c r="AO36" s="200">
        <f t="array" ref="AO36">INDEX('jiliarena_日报_底稿'!$P$2:$DS$31,MATCH($A36,'jiliarena_日报_底稿'!$P$2:$P$31,0),MATCH(AO$3,'jiliarena_日报_底稿'!$P$3:$DS$3,0))</f>
        <v>0</v>
      </c>
      <c r="AP36" s="194" t="str">
        <f t="shared" si="22"/>
        <v>#DIV/0!</v>
      </c>
      <c r="AQ36" s="200">
        <f t="array" ref="AQ36">INDEX('jiliarena_日报_底稿'!$P$2:$DS$31,MATCH($A36,'jiliarena_日报_底稿'!$P$2:$P$31,0),MATCH(AQ$3,'jiliarena_日报_底稿'!$P$3:$DS$3,0))</f>
        <v>3</v>
      </c>
      <c r="AR36" s="200">
        <f t="array" ref="AR36">INDEX('jiliarena_日报_底稿'!$P$2:$DS$31,MATCH($A36,'jiliarena_日报_底稿'!$P$2:$P$31,0),MATCH(AR$3,'jiliarena_日报_底稿'!$P$3:$DS$3,0))</f>
        <v>0</v>
      </c>
      <c r="AS36" s="194">
        <f t="shared" si="24"/>
        <v>1</v>
      </c>
      <c r="AT36" s="201">
        <f>SUMIFS('jiliarena_活动分析数据_底稿'!$K:$K,'jiliarena_活动分析数据_底稿'!$B:$B,$A36,'jiliarena_活动分析数据_底稿'!$L:$L,AT$3)-0.01</f>
        <v>2251.1</v>
      </c>
      <c r="AU36" s="201">
        <f>SUMIFS('jiliarena_活动分析数据_底稿'!$K:$K,'jiliarena_活动分析数据_底稿'!$B:$B,$A36,'jiliarena_活动分析数据_底稿'!$L:$L,AU$3)</f>
        <v>0</v>
      </c>
      <c r="AV36" s="201">
        <f>SUMIFS('jiliarena_活动分析数据_底稿'!$K:$K,'jiliarena_活动分析数据_底稿'!$B:$B,$A36,'jiliarena_活动分析数据_底稿'!$L:$L,AV$3)</f>
        <v>2762.09</v>
      </c>
      <c r="AW36" s="201">
        <f>SUMIFS('jiliarena_活动分析数据_底稿'!$K:$K,'jiliarena_活动分析数据_底稿'!$B:$B,$A36,'jiliarena_活动分析数据_底稿'!$L:$L,AW$3)</f>
        <v>4033</v>
      </c>
      <c r="AX36" s="201">
        <f>SUMIFS('jiliarena_活动分析数据_底稿'!$K:$K,'jiliarena_活动分析数据_底稿'!$B:$B,$A36,'jiliarena_活动分析数据_底稿'!$L:$L,AX$3)</f>
        <v>395</v>
      </c>
      <c r="AY36" s="201">
        <f>SUMIFS('jiliarena_活动分析数据_底稿'!$K:$K,'jiliarena_活动分析数据_底稿'!$B:$B,$A36,'jiliarena_活动分析数据_底稿'!$L:$L,AY$3)</f>
        <v>0</v>
      </c>
      <c r="AZ36" s="201">
        <f>SUMIFS('jiliarena_活动分析数据_底稿'!$K:$K,'jiliarena_活动分析数据_底稿'!$B:$B,$A36,'jiliarena_活动分析数据_底稿'!$L:$L,AZ$3)</f>
        <v>0</v>
      </c>
      <c r="BA36" s="201">
        <f>SUMIFS('jiliarena_活动分析数据_底稿'!$K:$K,'jiliarena_活动分析数据_底稿'!$B:$B,$A36,'jiliarena_活动分析数据_底稿'!$L:$L,BA$3)</f>
        <v>0</v>
      </c>
      <c r="BB36" s="201">
        <f>SUMIFS('jiliarena_活动分析数据_底稿'!$K:$K,'jiliarena_活动分析数据_底稿'!$B:$B,$A36,'jiliarena_活动分析数据_底稿'!$L:$L,BB$3)</f>
        <v>61.05</v>
      </c>
      <c r="BC36" s="201">
        <f>SUMIFS('jiliarena_活动分析数据_底稿'!$K:$K,'jiliarena_活动分析数据_底稿'!$B:$B,$A36,'jiliarena_活动分析数据_底稿'!$L:$L,BC$3)</f>
        <v>299</v>
      </c>
      <c r="BD36" s="201">
        <f>SUMIFS('jiliarena_活动分析数据_底稿'!$K:$K,'jiliarena_活动分析数据_底稿'!$B:$B,$A36,'jiliarena_活动分析数据_底稿'!$L:$L,BD$3)</f>
        <v>0</v>
      </c>
      <c r="BE36" s="201">
        <f>SUMIFS('jiliarena_活动分析数据_底稿'!$K:$K,'jiliarena_活动分析数据_底稿'!$B:$B,$A36,'jiliarena_活动分析数据_底稿'!$L:$L,BE$3)</f>
        <v>0</v>
      </c>
      <c r="BF36" s="201">
        <f>SUMIFS('jiliarena_活动分析数据_底稿'!$K:$K,'jiliarena_活动分析数据_底稿'!$B:$B,$A36,'jiliarena_活动分析数据_底稿'!$L:$L,BF$3)</f>
        <v>0</v>
      </c>
      <c r="BG36" s="201">
        <f>SUMIFS('jiliarena_活动分析数据_底稿'!$K:$K,'jiliarena_活动分析数据_底稿'!$B:$B,$A36,'jiliarena_活动分析数据_底稿'!$L:$L,BG$3)</f>
        <v>0</v>
      </c>
      <c r="BH36" s="201">
        <f>SUMIFS('jiliarena_活动分析数据_底稿'!$K:$K,'jiliarena_活动分析数据_底稿'!$B:$B,$A36,'jiliarena_活动分析数据_底稿'!$L:$L,BH$3)</f>
        <v>0</v>
      </c>
      <c r="BI36" s="201">
        <f>SUMIFS('jiliarena_活动分析数据_底稿'!$K:$K,'jiliarena_活动分析数据_底稿'!$B:$B,$A36,'jiliarena_活动分析数据_底稿'!$L:$L,BI$3)</f>
        <v>0</v>
      </c>
      <c r="BJ36" s="201">
        <f>SUMIFS('jiliarena_活动分析数据_底稿'!$K:$K,'jiliarena_活动分析数据_底稿'!$B:$B,$A36,'jiliarena_活动分析数据_底稿'!$L:$L,BJ$3)</f>
        <v>5353.5</v>
      </c>
      <c r="BK36" s="201">
        <f>SUMIFS('jiliarena_活动分析数据_底稿'!$K:$K,'jiliarena_活动分析数据_底稿'!$B:$B,$A36,'jiliarena_活动分析数据_底稿'!$L:$L,BK$3)</f>
        <v>0</v>
      </c>
      <c r="BL36" s="201">
        <f>SUMIFS('jiliarena_活动分析数据_底稿'!$K:$K,'jiliarena_活动分析数据_底稿'!$B:$B,$A36,'jiliarena_活动分析数据_底稿'!$L:$L,BL$3)</f>
        <v>0</v>
      </c>
      <c r="BM36" s="201">
        <f>SUMIFS('jiliarena_活动分析数据_底稿'!$K:$K,'jiliarena_活动分析数据_底稿'!$B:$B,$A36,'jiliarena_活动分析数据_底稿'!$L:$L,BM$3)</f>
        <v>0</v>
      </c>
      <c r="BN36" s="201">
        <f>SUMIFS('jiliarena_活动分析数据_底稿'!$K:$K,'jiliarena_活动分析数据_底稿'!$B:$B,$A36,'jiliarena_活动分析数据_底稿'!$L:$L,BN$3)</f>
        <v>0</v>
      </c>
      <c r="BO36" s="201">
        <f>SUMIFS('jiliarena_活动分析数据_底稿'!$K:$K,'jiliarena_活动分析数据_底稿'!$B:$B,$A36,'jiliarena_活动分析数据_底稿'!$L:$L,BO$3)</f>
        <v>0</v>
      </c>
      <c r="BP36" s="201">
        <f>SUMIFS('jiliarena_活动分析数据_底稿'!$K:$K,'jiliarena_活动分析数据_底稿'!$B:$B,$A36,'jiliarena_活动分析数据_底稿'!$L:$L,BP$3)</f>
        <v>0</v>
      </c>
      <c r="BQ36" s="198">
        <f t="shared" si="94"/>
        <v>15154.74</v>
      </c>
      <c r="BR36" s="198">
        <f t="shared" si="95"/>
        <v>2251.1</v>
      </c>
      <c r="BS36" s="198">
        <f t="shared" si="96"/>
        <v>61.05</v>
      </c>
      <c r="BT36" s="194">
        <f t="shared" si="26"/>
        <v>0.017799</v>
      </c>
      <c r="BU36" s="194">
        <f t="shared" si="27"/>
        <v>0.146076823</v>
      </c>
      <c r="BV36" s="194">
        <f t="shared" si="28"/>
        <v>0.5606738709</v>
      </c>
      <c r="BW36" s="202">
        <f t="shared" si="29"/>
        <v>11874.77</v>
      </c>
      <c r="BX36" s="203">
        <f t="shared" si="30"/>
        <v>1.27621335</v>
      </c>
      <c r="BY36" s="204">
        <f t="shared" si="31"/>
        <v>2500.2545</v>
      </c>
      <c r="BZ36" s="205">
        <f t="shared" si="32"/>
        <v>136.672</v>
      </c>
      <c r="CA36" s="206">
        <f t="shared" si="33"/>
        <v>2636.9265</v>
      </c>
      <c r="CB36" s="207">
        <f t="shared" si="34"/>
        <v>2433</v>
      </c>
      <c r="CC36" s="203">
        <f t="shared" si="35"/>
        <v>0.2220612694</v>
      </c>
      <c r="CD36" s="198">
        <f t="array" ref="CD36">index('jiliarena_日报_底稿'!$P$3:$DS$31,match(A36,'jiliarena_日报_底稿'!$P$3:$P$31,0),match("综合性分红",'jiliarena_日报_底稿'!$P$3:$DS$3,0))</f>
        <v>0</v>
      </c>
      <c r="CE36" s="208"/>
      <c r="CF36" s="198">
        <f t="array" ref="CF36">INDEX('jiliarena_日报_底稿'!$P$2:$DS$31,MATCH($A36,'jiliarena_日报_底稿'!$P$2:$P$31,0),MATCH(CF$3,'jiliarena_日报_底稿'!$P$3:$DS$3,0))</f>
        <v>0</v>
      </c>
      <c r="CG36" s="198">
        <f t="array" ref="CG36">-INDEX('jiliarena_日报_底稿'!$P$2:$DS$31,MATCH($A36,'jiliarena_日报_底稿'!$P$2:$P$31,0),MATCH(CG$3,'jiliarena_日报_底稿'!$P$3:$DS$3,0))</f>
        <v>0</v>
      </c>
      <c r="CH36" s="198">
        <f t="array" ref="CH36">INDEX('jiliarena_日报_底稿'!$P$2:$DS$31,MATCH($A36,'jiliarena_日报_底稿'!$P$2:$P$31,0),MATCH(CH$3,'jiliarena_日报_底稿'!$P$3:$DS$3,0))</f>
        <v>113632.8738</v>
      </c>
      <c r="CI36" s="202">
        <f t="shared" si="37"/>
        <v>6804.8435</v>
      </c>
      <c r="CJ36" s="209">
        <f t="shared" si="38"/>
        <v>2</v>
      </c>
      <c r="CK36" s="209">
        <f t="shared" si="39"/>
        <v>28</v>
      </c>
    </row>
    <row r="37">
      <c r="A37" s="210" t="s">
        <v>507</v>
      </c>
      <c r="B37" s="211">
        <f t="shared" ref="B37:M37" si="98">SUM(B31:B36)</f>
        <v>3735</v>
      </c>
      <c r="C37" s="211">
        <f t="shared" si="98"/>
        <v>1065</v>
      </c>
      <c r="D37" s="211">
        <f t="shared" si="98"/>
        <v>20517</v>
      </c>
      <c r="E37" s="211">
        <f t="shared" si="98"/>
        <v>267</v>
      </c>
      <c r="F37" s="211">
        <f t="shared" si="98"/>
        <v>2702</v>
      </c>
      <c r="G37" s="211">
        <f t="shared" si="98"/>
        <v>3766</v>
      </c>
      <c r="H37" s="211">
        <f t="shared" si="98"/>
        <v>584</v>
      </c>
      <c r="I37" s="211">
        <f t="shared" si="98"/>
        <v>1163</v>
      </c>
      <c r="J37" s="211">
        <f t="shared" si="98"/>
        <v>14422</v>
      </c>
      <c r="K37" s="212">
        <f t="shared" si="98"/>
        <v>144158</v>
      </c>
      <c r="L37" s="212">
        <f t="shared" si="98"/>
        <v>583845</v>
      </c>
      <c r="M37" s="212">
        <f t="shared" si="98"/>
        <v>453865</v>
      </c>
      <c r="N37" s="213">
        <f t="shared" si="2"/>
        <v>0.2851</v>
      </c>
      <c r="O37" s="214">
        <f t="shared" si="3"/>
        <v>135</v>
      </c>
      <c r="P37" s="213">
        <f t="shared" si="4"/>
        <v>0.246911</v>
      </c>
      <c r="Q37" s="214">
        <f t="shared" si="5"/>
        <v>1.4</v>
      </c>
      <c r="R37" s="214">
        <f t="shared" si="6"/>
        <v>216</v>
      </c>
      <c r="S37" s="214">
        <f t="shared" si="7"/>
        <v>155</v>
      </c>
      <c r="T37" s="214">
        <f t="shared" si="8"/>
        <v>1.1</v>
      </c>
      <c r="U37" s="215">
        <f t="shared" si="9"/>
        <v>777</v>
      </c>
      <c r="V37" s="216">
        <f t="shared" si="10"/>
        <v>129980</v>
      </c>
      <c r="W37" s="217">
        <f t="shared" ref="W37:Z37" si="99">SUM(W31:W36)</f>
        <v>5357517.32</v>
      </c>
      <c r="X37" s="217">
        <f t="shared" si="99"/>
        <v>5031498.075</v>
      </c>
      <c r="Y37" s="217">
        <f t="shared" si="99"/>
        <v>155873.4528</v>
      </c>
      <c r="Z37" s="217">
        <f t="shared" si="99"/>
        <v>5201643.857</v>
      </c>
      <c r="AA37" s="218">
        <f t="shared" si="12"/>
        <v>0.029094</v>
      </c>
      <c r="AB37" s="217">
        <f t="shared" ref="AB37:AC37" si="100">SUM(AB31:AB36)</f>
        <v>62</v>
      </c>
      <c r="AC37" s="217">
        <f t="shared" si="100"/>
        <v>0</v>
      </c>
      <c r="AD37" s="218">
        <f t="shared" si="14"/>
        <v>1</v>
      </c>
      <c r="AE37" s="217">
        <f t="shared" ref="AE37:AF37" si="101">SUM(AE31:AE36)</f>
        <v>5144078.13</v>
      </c>
      <c r="AF37" s="217">
        <f t="shared" si="101"/>
        <v>4991406.697</v>
      </c>
      <c r="AG37" s="218">
        <f t="shared" si="16"/>
        <v>0.029679</v>
      </c>
      <c r="AH37" s="217">
        <f t="shared" ref="AH37:AI37" si="102">SUM(AH31:AH36)</f>
        <v>62093.71</v>
      </c>
      <c r="AI37" s="217">
        <f t="shared" si="102"/>
        <v>59588.54</v>
      </c>
      <c r="AJ37" s="219">
        <f t="shared" si="18"/>
        <v>0.040345</v>
      </c>
      <c r="AK37" s="217">
        <f t="shared" ref="AK37:AL37" si="103">SUM(AK31:AK36)</f>
        <v>147652.38</v>
      </c>
      <c r="AL37" s="217">
        <f t="shared" si="103"/>
        <v>147171.13</v>
      </c>
      <c r="AM37" s="218">
        <f t="shared" si="20"/>
        <v>0.003259</v>
      </c>
      <c r="AN37" s="217">
        <f t="shared" ref="AN37:AO37" si="104">SUM(AN31:AN36)</f>
        <v>3613.1</v>
      </c>
      <c r="AO37" s="217">
        <f t="shared" si="104"/>
        <v>2397.49</v>
      </c>
      <c r="AP37" s="218">
        <f t="shared" si="22"/>
        <v>0.336445</v>
      </c>
      <c r="AQ37" s="217">
        <f t="shared" ref="AQ37:AR37" si="105">SUM(AQ31:AQ36)</f>
        <v>18</v>
      </c>
      <c r="AR37" s="217">
        <f t="shared" si="105"/>
        <v>1080</v>
      </c>
      <c r="AS37" s="218">
        <f t="shared" si="24"/>
        <v>-59</v>
      </c>
      <c r="AT37" s="220">
        <f t="shared" ref="AT37:BS37" si="106">SUM(AT31:AT36)</f>
        <v>19664.55</v>
      </c>
      <c r="AU37" s="220">
        <f t="shared" si="106"/>
        <v>0</v>
      </c>
      <c r="AV37" s="220">
        <f t="shared" si="106"/>
        <v>18917.17</v>
      </c>
      <c r="AW37" s="220">
        <f t="shared" si="106"/>
        <v>24904</v>
      </c>
      <c r="AX37" s="220">
        <f t="shared" si="106"/>
        <v>2727</v>
      </c>
      <c r="AY37" s="220">
        <f t="shared" si="106"/>
        <v>0</v>
      </c>
      <c r="AZ37" s="220">
        <f t="shared" si="106"/>
        <v>0</v>
      </c>
      <c r="BA37" s="220">
        <f t="shared" si="106"/>
        <v>0</v>
      </c>
      <c r="BB37" s="220">
        <f t="shared" si="106"/>
        <v>1575.11</v>
      </c>
      <c r="BC37" s="220">
        <f t="shared" si="106"/>
        <v>1806</v>
      </c>
      <c r="BD37" s="220">
        <f t="shared" si="106"/>
        <v>0</v>
      </c>
      <c r="BE37" s="220">
        <f t="shared" si="106"/>
        <v>0</v>
      </c>
      <c r="BF37" s="220">
        <f t="shared" si="106"/>
        <v>1623</v>
      </c>
      <c r="BG37" s="220">
        <f t="shared" si="106"/>
        <v>0</v>
      </c>
      <c r="BH37" s="220">
        <f t="shared" si="106"/>
        <v>0</v>
      </c>
      <c r="BI37" s="220">
        <f t="shared" si="106"/>
        <v>0</v>
      </c>
      <c r="BJ37" s="220">
        <f t="shared" si="106"/>
        <v>23622</v>
      </c>
      <c r="BK37" s="220">
        <f t="shared" si="106"/>
        <v>0</v>
      </c>
      <c r="BL37" s="220">
        <f t="shared" si="106"/>
        <v>0</v>
      </c>
      <c r="BM37" s="220">
        <f t="shared" si="106"/>
        <v>0</v>
      </c>
      <c r="BN37" s="220">
        <f t="shared" si="106"/>
        <v>0</v>
      </c>
      <c r="BO37" s="220">
        <f t="shared" si="106"/>
        <v>0</v>
      </c>
      <c r="BP37" s="220">
        <f t="shared" si="106"/>
        <v>0</v>
      </c>
      <c r="BQ37" s="220">
        <f t="shared" si="106"/>
        <v>94838.83</v>
      </c>
      <c r="BR37" s="220">
        <f t="shared" si="106"/>
        <v>19664.55</v>
      </c>
      <c r="BS37" s="220">
        <f t="shared" si="106"/>
        <v>1575.11</v>
      </c>
      <c r="BT37" s="213">
        <f t="shared" si="26"/>
        <v>0.018849</v>
      </c>
      <c r="BU37" s="213">
        <f t="shared" si="27"/>
        <v>0.1624383698</v>
      </c>
      <c r="BV37" s="213">
        <f t="shared" si="28"/>
        <v>0.6084347802</v>
      </c>
      <c r="BW37" s="215">
        <f t="shared" si="29"/>
        <v>61034.6228</v>
      </c>
      <c r="BX37" s="213">
        <f t="shared" si="30"/>
        <v>1.553852971</v>
      </c>
      <c r="BY37" s="215">
        <f t="shared" si="31"/>
        <v>14070.6645</v>
      </c>
      <c r="BZ37" s="215">
        <f t="shared" si="32"/>
        <v>907.73</v>
      </c>
      <c r="CA37" s="215">
        <f t="shared" si="33"/>
        <v>14978.3945</v>
      </c>
      <c r="CB37" s="215">
        <f t="shared" si="34"/>
        <v>14029</v>
      </c>
      <c r="CC37" s="221">
        <f t="shared" si="35"/>
        <v>0.2454081604</v>
      </c>
      <c r="CD37" s="220">
        <f t="shared" ref="CD37:CH37" si="107">SUM(CD31:CD36)</f>
        <v>0</v>
      </c>
      <c r="CE37" s="220">
        <f t="shared" si="107"/>
        <v>0</v>
      </c>
      <c r="CF37" s="220">
        <f t="shared" si="107"/>
        <v>0</v>
      </c>
      <c r="CG37" s="220">
        <f t="shared" si="107"/>
        <v>0</v>
      </c>
      <c r="CH37" s="220">
        <f t="shared" si="107"/>
        <v>582340.1004</v>
      </c>
      <c r="CI37" s="215">
        <f t="shared" si="37"/>
        <v>32027.2283</v>
      </c>
      <c r="CJ37" s="146" t="str">
        <f t="shared" si="38"/>
        <v/>
      </c>
      <c r="CK37" s="146" t="str">
        <f t="shared" si="39"/>
        <v/>
      </c>
    </row>
    <row r="38">
      <c r="A38" s="223" t="s">
        <v>508</v>
      </c>
      <c r="B38" s="224">
        <f t="shared" ref="B38:M38" si="108">SUMIFS(B$4:B$38,$CJ$4:$CJ$38,"2")</f>
        <v>44864</v>
      </c>
      <c r="C38" s="224">
        <f t="shared" si="108"/>
        <v>10033</v>
      </c>
      <c r="D38" s="224">
        <f t="shared" si="108"/>
        <v>98637</v>
      </c>
      <c r="E38" s="224">
        <f t="shared" si="108"/>
        <v>2373</v>
      </c>
      <c r="F38" s="224">
        <f t="shared" si="108"/>
        <v>15767</v>
      </c>
      <c r="G38" s="224">
        <f t="shared" si="108"/>
        <v>20994</v>
      </c>
      <c r="H38" s="224">
        <f t="shared" si="108"/>
        <v>3614</v>
      </c>
      <c r="I38" s="224">
        <f t="shared" si="108"/>
        <v>12008</v>
      </c>
      <c r="J38" s="224">
        <f t="shared" si="108"/>
        <v>76258</v>
      </c>
      <c r="K38" s="225">
        <f t="shared" si="108"/>
        <v>1548304</v>
      </c>
      <c r="L38" s="225">
        <f t="shared" si="108"/>
        <v>3357534</v>
      </c>
      <c r="M38" s="225">
        <f t="shared" si="108"/>
        <v>3076957</v>
      </c>
      <c r="N38" s="226">
        <f t="shared" si="2"/>
        <v>0.2236</v>
      </c>
      <c r="O38" s="227">
        <f t="shared" si="3"/>
        <v>154</v>
      </c>
      <c r="P38" s="226">
        <f t="shared" si="4"/>
        <v>0.461143</v>
      </c>
      <c r="Q38" s="227">
        <f t="shared" si="5"/>
        <v>1.3</v>
      </c>
      <c r="R38" s="227">
        <f t="shared" si="6"/>
        <v>213</v>
      </c>
      <c r="S38" s="227">
        <f t="shared" si="7"/>
        <v>160</v>
      </c>
      <c r="T38" s="227">
        <f t="shared" si="8"/>
        <v>1</v>
      </c>
      <c r="U38" s="228">
        <f t="shared" si="9"/>
        <v>851</v>
      </c>
      <c r="V38" s="229">
        <f t="shared" si="10"/>
        <v>280577</v>
      </c>
      <c r="W38" s="230">
        <f t="shared" ref="W38:Z38" si="109">SUMIFS(W$4:W$38,$CJ$4:$CJ$38,"2")</f>
        <v>39837901.9</v>
      </c>
      <c r="X38" s="230">
        <f t="shared" si="109"/>
        <v>36674408.52</v>
      </c>
      <c r="Y38" s="230">
        <f t="shared" si="109"/>
        <v>1150390.44</v>
      </c>
      <c r="Z38" s="230">
        <f t="shared" si="109"/>
        <v>38687511.45</v>
      </c>
      <c r="AA38" s="231">
        <f t="shared" si="12"/>
        <v>0.028877</v>
      </c>
      <c r="AB38" s="230">
        <f t="shared" ref="AB38:AC38" si="110">SUMIFS(AB$4:AB$38,$CJ$4:$CJ$38,"2")</f>
        <v>890</v>
      </c>
      <c r="AC38" s="230">
        <f t="shared" si="110"/>
        <v>707.72</v>
      </c>
      <c r="AD38" s="231">
        <f t="shared" si="14"/>
        <v>0.204809</v>
      </c>
      <c r="AE38" s="230">
        <f t="shared" ref="AE38:AF38" si="111">SUMIFS(AE$4:AE$38,$CJ$4:$CJ$38,"2")</f>
        <v>38520687.26</v>
      </c>
      <c r="AF38" s="230">
        <f t="shared" si="111"/>
        <v>37439433.07</v>
      </c>
      <c r="AG38" s="231">
        <f t="shared" si="16"/>
        <v>0.028069</v>
      </c>
      <c r="AH38" s="230">
        <f t="shared" ref="AH38:AI38" si="112">SUMIFS(AH$4:AH$38,$CJ$4:$CJ$38,"2")</f>
        <v>777395.32</v>
      </c>
      <c r="AI38" s="230">
        <f t="shared" si="112"/>
        <v>730065.9</v>
      </c>
      <c r="AJ38" s="226">
        <f t="shared" si="18"/>
        <v>0.060882</v>
      </c>
      <c r="AK38" s="230">
        <f t="shared" ref="AK38:AL38" si="113">SUMIFS(AK$4:AK$38,$CJ$4:$CJ$38,"2")</f>
        <v>524632.52</v>
      </c>
      <c r="AL38" s="230">
        <f t="shared" si="113"/>
        <v>504801.19</v>
      </c>
      <c r="AM38" s="231">
        <f t="shared" si="20"/>
        <v>0.0378</v>
      </c>
      <c r="AN38" s="230">
        <f t="shared" ref="AN38:AO38" si="114">SUMIFS(AN$4:AN$38,$CJ$4:$CJ$38,"2")</f>
        <v>14147.8</v>
      </c>
      <c r="AO38" s="230">
        <f t="shared" si="114"/>
        <v>11063.57</v>
      </c>
      <c r="AP38" s="231">
        <f t="shared" si="22"/>
        <v>0.218001</v>
      </c>
      <c r="AQ38" s="230">
        <f t="shared" ref="AQ38:AR38" si="115">SUMIFS(AQ$4:AQ$38,$CJ$4:$CJ$38,"2")</f>
        <v>149</v>
      </c>
      <c r="AR38" s="230">
        <f t="shared" si="115"/>
        <v>1440</v>
      </c>
      <c r="AS38" s="231">
        <f t="shared" si="24"/>
        <v>-8.66443</v>
      </c>
      <c r="AT38" s="230">
        <f t="shared" ref="AT38:BS38" si="116">SUMIFS(AT$4:AT$38,$CJ$4:$CJ$38,"2")</f>
        <v>74818.45</v>
      </c>
      <c r="AU38" s="230">
        <f t="shared" si="116"/>
        <v>52245.53</v>
      </c>
      <c r="AV38" s="230">
        <f t="shared" si="116"/>
        <v>81372.53</v>
      </c>
      <c r="AW38" s="230">
        <f t="shared" si="116"/>
        <v>95106</v>
      </c>
      <c r="AX38" s="230">
        <f t="shared" si="116"/>
        <v>15448</v>
      </c>
      <c r="AY38" s="230">
        <f t="shared" si="116"/>
        <v>32</v>
      </c>
      <c r="AZ38" s="230">
        <f t="shared" si="116"/>
        <v>0</v>
      </c>
      <c r="BA38" s="230">
        <f t="shared" si="116"/>
        <v>0</v>
      </c>
      <c r="BB38" s="230">
        <f t="shared" si="116"/>
        <v>34739.84</v>
      </c>
      <c r="BC38" s="230">
        <f t="shared" si="116"/>
        <v>11848</v>
      </c>
      <c r="BD38" s="230">
        <f t="shared" si="116"/>
        <v>0</v>
      </c>
      <c r="BE38" s="230">
        <f t="shared" si="116"/>
        <v>0</v>
      </c>
      <c r="BF38" s="230">
        <f t="shared" si="116"/>
        <v>7438</v>
      </c>
      <c r="BG38" s="230">
        <f t="shared" si="116"/>
        <v>0</v>
      </c>
      <c r="BH38" s="230">
        <f t="shared" si="116"/>
        <v>72788</v>
      </c>
      <c r="BI38" s="230">
        <f t="shared" si="116"/>
        <v>0</v>
      </c>
      <c r="BJ38" s="230">
        <f t="shared" si="116"/>
        <v>947257</v>
      </c>
      <c r="BK38" s="230">
        <f t="shared" si="116"/>
        <v>0</v>
      </c>
      <c r="BL38" s="230">
        <f t="shared" si="116"/>
        <v>159568</v>
      </c>
      <c r="BM38" s="230">
        <f t="shared" si="116"/>
        <v>0</v>
      </c>
      <c r="BN38" s="230">
        <f t="shared" si="116"/>
        <v>0</v>
      </c>
      <c r="BO38" s="230">
        <f t="shared" si="116"/>
        <v>0</v>
      </c>
      <c r="BP38" s="230">
        <f t="shared" si="116"/>
        <v>0</v>
      </c>
      <c r="BQ38" s="230">
        <f t="shared" si="116"/>
        <v>1552661.35</v>
      </c>
      <c r="BR38" s="230">
        <f t="shared" si="116"/>
        <v>74818.45</v>
      </c>
      <c r="BS38" s="230">
        <f t="shared" si="116"/>
        <v>34739.84</v>
      </c>
      <c r="BT38" s="226">
        <f t="shared" si="26"/>
        <v>0.042336</v>
      </c>
      <c r="BU38" s="226">
        <f t="shared" si="27"/>
        <v>0.4624409909</v>
      </c>
      <c r="BV38" s="232">
        <f t="shared" si="28"/>
        <v>1.34968207</v>
      </c>
      <c r="BW38" s="228">
        <f t="shared" si="29"/>
        <v>-402270.9102</v>
      </c>
      <c r="BX38" s="226">
        <f t="shared" si="30"/>
        <v>-3.859740564</v>
      </c>
      <c r="BY38" s="228">
        <f t="shared" si="31"/>
        <v>80916.5694</v>
      </c>
      <c r="BZ38" s="228">
        <f t="shared" si="32"/>
        <v>6153.914</v>
      </c>
      <c r="CA38" s="228">
        <f t="shared" ref="CA38:CB38" si="117">SUMIFS(CA$4:CA$38,$CJ$4:$CJ$38,"2")</f>
        <v>87070.4834</v>
      </c>
      <c r="CB38" s="228">
        <f t="shared" si="117"/>
        <v>103535</v>
      </c>
      <c r="CC38" s="233">
        <f t="shared" si="35"/>
        <v>-0.2164473771</v>
      </c>
      <c r="CD38" s="230">
        <f t="shared" ref="CD38:CH38" si="118">SUMIFS(CD$4:CD$38,$CJ$4:$CJ$38,"2")</f>
        <v>0</v>
      </c>
      <c r="CE38" s="230">
        <f t="shared" si="118"/>
        <v>0</v>
      </c>
      <c r="CF38" s="230">
        <f t="shared" si="118"/>
        <v>0</v>
      </c>
      <c r="CG38" s="230">
        <f t="shared" si="118"/>
        <v>0</v>
      </c>
      <c r="CH38" s="230">
        <f t="shared" si="118"/>
        <v>1492360.593</v>
      </c>
      <c r="CI38" s="228">
        <f t="shared" si="37"/>
        <v>-592876.3936</v>
      </c>
      <c r="CJ38" s="146" t="str">
        <f t="shared" si="38"/>
        <v/>
      </c>
      <c r="CK38" s="146" t="str">
        <f t="shared" si="39"/>
        <v/>
      </c>
    </row>
    <row r="39">
      <c r="A39" s="234" t="s">
        <v>509</v>
      </c>
      <c r="B39" s="235">
        <f t="shared" ref="B39:M39" si="119">AVERAGEIFS(B$4:B$38,$CJ$4:$CJ$38,"2")</f>
        <v>2361.263158</v>
      </c>
      <c r="C39" s="235">
        <f t="shared" si="119"/>
        <v>528.0526316</v>
      </c>
      <c r="D39" s="235">
        <f t="shared" si="119"/>
        <v>5191.421053</v>
      </c>
      <c r="E39" s="235">
        <f t="shared" si="119"/>
        <v>84.75</v>
      </c>
      <c r="F39" s="235">
        <f t="shared" si="119"/>
        <v>829.8421053</v>
      </c>
      <c r="G39" s="235">
        <f t="shared" si="119"/>
        <v>749.7857143</v>
      </c>
      <c r="H39" s="235">
        <f t="shared" si="119"/>
        <v>190.2105263</v>
      </c>
      <c r="I39" s="235">
        <f t="shared" si="119"/>
        <v>428.8571429</v>
      </c>
      <c r="J39" s="235">
        <f t="shared" si="119"/>
        <v>4013.578947</v>
      </c>
      <c r="K39" s="236">
        <f t="shared" si="119"/>
        <v>55296.57143</v>
      </c>
      <c r="L39" s="236">
        <f t="shared" si="119"/>
        <v>176712.3158</v>
      </c>
      <c r="M39" s="236">
        <f t="shared" si="119"/>
        <v>161945.1053</v>
      </c>
      <c r="N39" s="237">
        <f t="shared" si="2"/>
        <v>0.2236</v>
      </c>
      <c r="O39" s="238">
        <f t="shared" si="3"/>
        <v>105</v>
      </c>
      <c r="P39" s="237">
        <f t="shared" si="4"/>
        <v>0.312919</v>
      </c>
      <c r="Q39" s="238">
        <f t="shared" si="5"/>
        <v>0.9</v>
      </c>
      <c r="R39" s="239">
        <f t="shared" si="6"/>
        <v>213</v>
      </c>
      <c r="S39" s="238">
        <f t="shared" si="7"/>
        <v>236</v>
      </c>
      <c r="T39" s="238">
        <f t="shared" si="8"/>
        <v>2.2</v>
      </c>
      <c r="U39" s="239">
        <f t="shared" si="9"/>
        <v>851</v>
      </c>
      <c r="V39" s="240">
        <f t="shared" si="10"/>
        <v>14767.21053</v>
      </c>
      <c r="W39" s="241">
        <f t="shared" ref="W39:Z39" si="120">AVERAGEIFS(W$4:W$38,$CJ$4:$CJ$38,"2")</f>
        <v>1422782.211</v>
      </c>
      <c r="X39" s="241">
        <f t="shared" si="120"/>
        <v>1309800.304</v>
      </c>
      <c r="Y39" s="241">
        <f t="shared" si="120"/>
        <v>41085.37285</v>
      </c>
      <c r="Z39" s="241">
        <f t="shared" si="120"/>
        <v>1381696.838</v>
      </c>
      <c r="AA39" s="242">
        <f t="shared" si="12"/>
        <v>0.028877</v>
      </c>
      <c r="AB39" s="241">
        <f t="shared" ref="AB39:AC39" si="121">AVERAGEIFS(AB$4:AB$38,$CJ$4:$CJ$38,"2")</f>
        <v>46.84210526</v>
      </c>
      <c r="AC39" s="241">
        <f t="shared" si="121"/>
        <v>37.24842105</v>
      </c>
      <c r="AD39" s="242">
        <f t="shared" si="14"/>
        <v>0.204809</v>
      </c>
      <c r="AE39" s="241">
        <f t="shared" ref="AE39:AF39" si="122">AVERAGEIFS(AE$4:AE$38,$CJ$4:$CJ$38,"2")</f>
        <v>2027404.593</v>
      </c>
      <c r="AF39" s="241">
        <f t="shared" si="122"/>
        <v>1970496.477</v>
      </c>
      <c r="AG39" s="242">
        <f t="shared" si="16"/>
        <v>0.028069</v>
      </c>
      <c r="AH39" s="241">
        <f t="shared" ref="AH39:AI39" si="123">AVERAGEIFS(AH$4:AH$38,$CJ$4:$CJ$38,"2")</f>
        <v>40915.54316</v>
      </c>
      <c r="AI39" s="241">
        <f t="shared" si="123"/>
        <v>38424.52105</v>
      </c>
      <c r="AJ39" s="237">
        <f t="shared" si="18"/>
        <v>0.060882</v>
      </c>
      <c r="AK39" s="241">
        <f t="shared" ref="AK39:AL39" si="124">AVERAGEIFS(AK$4:AK$38,$CJ$4:$CJ$38,"2")</f>
        <v>27612.23789</v>
      </c>
      <c r="AL39" s="241">
        <f t="shared" si="124"/>
        <v>26568.48368</v>
      </c>
      <c r="AM39" s="242">
        <f t="shared" si="20"/>
        <v>0.0378</v>
      </c>
      <c r="AN39" s="241">
        <f t="shared" ref="AN39:AO39" si="125">AVERAGEIFS(AN$4:AN$38,$CJ$4:$CJ$38,"2")</f>
        <v>744.6210526</v>
      </c>
      <c r="AO39" s="241">
        <f t="shared" si="125"/>
        <v>582.2931579</v>
      </c>
      <c r="AP39" s="242">
        <f t="shared" si="22"/>
        <v>0.218001</v>
      </c>
      <c r="AQ39" s="241">
        <f t="shared" ref="AQ39:AR39" si="126">AVERAGEIFS(AQ$4:AQ$38,$CJ$4:$CJ$38,"2")</f>
        <v>7.842105263</v>
      </c>
      <c r="AR39" s="241">
        <f t="shared" si="126"/>
        <v>75.78947368</v>
      </c>
      <c r="AS39" s="242">
        <f t="shared" si="24"/>
        <v>-8.66443</v>
      </c>
      <c r="AT39" s="241">
        <f t="shared" ref="AT39:BS39" si="127">AVERAGEIFS(AT$4:AT$38,$CJ$4:$CJ$38,"2")</f>
        <v>2672.0875</v>
      </c>
      <c r="AU39" s="241">
        <f t="shared" si="127"/>
        <v>1865.911786</v>
      </c>
      <c r="AV39" s="241">
        <f t="shared" si="127"/>
        <v>2906.161786</v>
      </c>
      <c r="AW39" s="241">
        <f t="shared" si="127"/>
        <v>3396.642857</v>
      </c>
      <c r="AX39" s="241">
        <f t="shared" si="127"/>
        <v>551.7142857</v>
      </c>
      <c r="AY39" s="241">
        <f t="shared" si="127"/>
        <v>1.142857143</v>
      </c>
      <c r="AZ39" s="241">
        <f t="shared" si="127"/>
        <v>0</v>
      </c>
      <c r="BA39" s="241">
        <f t="shared" si="127"/>
        <v>0</v>
      </c>
      <c r="BB39" s="241">
        <f t="shared" si="127"/>
        <v>1240.708571</v>
      </c>
      <c r="BC39" s="241">
        <f t="shared" si="127"/>
        <v>423.1428571</v>
      </c>
      <c r="BD39" s="241">
        <f t="shared" si="127"/>
        <v>0</v>
      </c>
      <c r="BE39" s="241">
        <f t="shared" si="127"/>
        <v>0</v>
      </c>
      <c r="BF39" s="241">
        <f t="shared" si="127"/>
        <v>265.6428571</v>
      </c>
      <c r="BG39" s="241">
        <f t="shared" si="127"/>
        <v>0</v>
      </c>
      <c r="BH39" s="241">
        <f t="shared" si="127"/>
        <v>2599.571429</v>
      </c>
      <c r="BI39" s="241">
        <f t="shared" si="127"/>
        <v>0</v>
      </c>
      <c r="BJ39" s="241">
        <f t="shared" si="127"/>
        <v>33830.60714</v>
      </c>
      <c r="BK39" s="241">
        <f t="shared" si="127"/>
        <v>0</v>
      </c>
      <c r="BL39" s="241">
        <f t="shared" si="127"/>
        <v>5698.857143</v>
      </c>
      <c r="BM39" s="241">
        <f t="shared" si="127"/>
        <v>0</v>
      </c>
      <c r="BN39" s="241">
        <f t="shared" si="127"/>
        <v>0</v>
      </c>
      <c r="BO39" s="241">
        <f t="shared" si="127"/>
        <v>0</v>
      </c>
      <c r="BP39" s="241">
        <f t="shared" si="127"/>
        <v>0</v>
      </c>
      <c r="BQ39" s="241">
        <f t="shared" si="127"/>
        <v>55452.19107</v>
      </c>
      <c r="BR39" s="241">
        <f t="shared" si="127"/>
        <v>2672.0875</v>
      </c>
      <c r="BS39" s="241">
        <f t="shared" si="127"/>
        <v>1240.708571</v>
      </c>
      <c r="BT39" s="237">
        <f t="shared" si="26"/>
        <v>0.042336</v>
      </c>
      <c r="BU39" s="237">
        <f t="shared" si="27"/>
        <v>0.3137992438</v>
      </c>
      <c r="BV39" s="237">
        <f t="shared" si="28"/>
        <v>1.34968207</v>
      </c>
      <c r="BW39" s="239">
        <f t="shared" si="29"/>
        <v>-14366.81822</v>
      </c>
      <c r="BX39" s="237">
        <f t="shared" si="30"/>
        <v>-3.859740564</v>
      </c>
      <c r="BY39" s="239">
        <f t="shared" si="31"/>
        <v>4258.766811</v>
      </c>
      <c r="BZ39" s="239">
        <f t="shared" si="32"/>
        <v>323.8902105</v>
      </c>
      <c r="CA39" s="239">
        <f t="shared" ref="CA39:CB39" si="128">AVERAGEIFS(CA$4:CA$38,$CJ$4:$CJ$38,"2")</f>
        <v>3109.660121</v>
      </c>
      <c r="CB39" s="239">
        <f t="shared" si="128"/>
        <v>3697.678571</v>
      </c>
      <c r="CC39" s="237">
        <f t="shared" si="35"/>
        <v>-0.2164473771</v>
      </c>
      <c r="CD39" s="241">
        <f t="shared" ref="CD39:CH39" si="129">AVERAGEIFS(CD$4:CD$38,$CJ$4:$CJ$38,"2")</f>
        <v>0</v>
      </c>
      <c r="CE39" s="241" t="str">
        <f t="shared" si="129"/>
        <v>#DIV/0!</v>
      </c>
      <c r="CF39" s="241">
        <f t="shared" si="129"/>
        <v>0</v>
      </c>
      <c r="CG39" s="241">
        <f t="shared" si="129"/>
        <v>0</v>
      </c>
      <c r="CH39" s="241">
        <f t="shared" si="129"/>
        <v>78545.29437</v>
      </c>
      <c r="CI39" s="239">
        <f t="shared" si="37"/>
        <v>-21174.15691</v>
      </c>
      <c r="CJ39" s="243" t="str">
        <f t="shared" si="38"/>
        <v/>
      </c>
      <c r="CK39" s="146" t="str">
        <f t="shared" si="39"/>
        <v/>
      </c>
    </row>
    <row r="40">
      <c r="A40" s="142"/>
      <c r="B40" s="142"/>
      <c r="C40" s="142"/>
      <c r="D40" s="142"/>
      <c r="E40" s="142"/>
      <c r="F40" s="142"/>
      <c r="G40" s="142"/>
      <c r="H40" s="142"/>
      <c r="I40" s="142"/>
      <c r="J40" s="142"/>
      <c r="K40" s="244"/>
      <c r="L40" s="142"/>
      <c r="M40" s="142"/>
      <c r="N40" s="142"/>
      <c r="O40" s="142"/>
      <c r="P40" s="142"/>
      <c r="Q40" s="142"/>
      <c r="R40" s="142"/>
      <c r="S40" s="142"/>
      <c r="T40" s="142"/>
      <c r="U40" s="142"/>
      <c r="V40" s="245"/>
      <c r="W40" s="142"/>
      <c r="X40" s="142"/>
      <c r="Y40" s="145"/>
      <c r="Z40" s="142"/>
      <c r="AA40" s="246"/>
      <c r="AB40" s="142"/>
      <c r="AC40" s="142"/>
      <c r="AD40" s="246"/>
      <c r="AE40" s="142"/>
      <c r="AF40" s="142"/>
      <c r="AG40" s="246"/>
      <c r="AH40" s="142"/>
      <c r="AI40" s="142"/>
      <c r="AJ40" s="247"/>
      <c r="AK40" s="142"/>
      <c r="AL40" s="142"/>
      <c r="AM40" s="246"/>
      <c r="AN40" s="142"/>
      <c r="AO40" s="142"/>
      <c r="AP40" s="246"/>
      <c r="AQ40" s="142"/>
      <c r="AR40" s="142"/>
      <c r="AS40" s="246"/>
      <c r="AT40" s="248"/>
      <c r="AU40" s="248"/>
      <c r="AV40" s="248"/>
      <c r="AW40" s="248"/>
      <c r="AX40" s="248"/>
      <c r="AY40" s="248"/>
      <c r="AZ40" s="248"/>
      <c r="BA40" s="249"/>
      <c r="BB40" s="248"/>
      <c r="BC40" s="248"/>
      <c r="BD40" s="248"/>
      <c r="BE40" s="248"/>
      <c r="BF40" s="248"/>
      <c r="BG40" s="248"/>
      <c r="BH40" s="248"/>
      <c r="BI40" s="248"/>
      <c r="BJ40" s="248"/>
      <c r="BK40" s="248"/>
      <c r="BL40" s="248"/>
      <c r="BM40" s="248"/>
      <c r="BN40" s="248"/>
      <c r="BO40" s="248"/>
      <c r="BP40" s="248"/>
      <c r="BQ40" s="142"/>
      <c r="BR40" s="142"/>
      <c r="BS40" s="142"/>
      <c r="BT40" s="142"/>
      <c r="BU40" s="142"/>
      <c r="BV40" s="142"/>
      <c r="BW40" s="142"/>
      <c r="BX40" s="142"/>
      <c r="BY40" s="145" t="s">
        <v>510</v>
      </c>
      <c r="BZ40" s="142"/>
      <c r="CA40" s="142"/>
      <c r="CB40" s="142"/>
      <c r="CC40" s="142"/>
      <c r="CD40" s="245"/>
      <c r="CE40" s="142"/>
      <c r="CF40" s="142"/>
      <c r="CG40" s="142"/>
      <c r="CH40" s="142"/>
      <c r="CI40" s="142"/>
      <c r="CJ40" s="243"/>
      <c r="CK40" s="146"/>
    </row>
  </sheetData>
  <conditionalFormatting sqref="V1:V40">
    <cfRule type="cellIs" dxfId="0" priority="1" operator="lessThan">
      <formula>0</formula>
    </cfRule>
  </conditionalFormatting>
  <conditionalFormatting sqref="Y1:Y40">
    <cfRule type="cellIs" dxfId="1" priority="2" operator="lessThan">
      <formula>0</formula>
    </cfRule>
  </conditionalFormatting>
  <conditionalFormatting sqref="AA1:AA40 AD1:AD40 AG1:AG40 AM1:AM40 AP1:AP40 AS1:AS40">
    <cfRule type="cellIs" dxfId="1" priority="3" operator="lessThan">
      <formula>0</formula>
    </cfRule>
  </conditionalFormatting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FF"/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0.13"/>
    <col customWidth="1" min="2" max="2" width="52.0"/>
    <col customWidth="1" min="3" max="3" width="19.0"/>
    <col customWidth="1" min="6" max="6" width="13.88"/>
  </cols>
  <sheetData>
    <row r="1">
      <c r="A1" s="250"/>
      <c r="B1" s="250"/>
      <c r="C1" s="250"/>
      <c r="D1" s="250"/>
      <c r="E1" s="250"/>
      <c r="F1" s="250"/>
      <c r="G1" s="250"/>
      <c r="H1" s="250"/>
      <c r="I1" s="250"/>
      <c r="J1" s="250"/>
      <c r="K1" s="250"/>
      <c r="L1" s="250"/>
      <c r="M1" s="250"/>
      <c r="N1" s="250"/>
      <c r="O1" s="250"/>
      <c r="P1" s="250"/>
      <c r="Q1" s="250"/>
    </row>
    <row r="2">
      <c r="A2" s="70" t="str">
        <f>Q2&amp;" 月"&amp;Q3&amp;" 日 jiliarena 活动红利分析"</f>
        <v>2 月20 日 jiliarena 活动红利分析</v>
      </c>
      <c r="B2" s="71"/>
      <c r="C2" s="71"/>
      <c r="D2" s="71"/>
      <c r="E2" s="71"/>
      <c r="F2" s="71"/>
      <c r="G2" s="71"/>
      <c r="H2" s="71"/>
      <c r="I2" s="71"/>
      <c r="J2" s="71"/>
      <c r="K2" s="71"/>
      <c r="L2" s="72"/>
      <c r="M2" s="250"/>
      <c r="N2" s="250" t="s">
        <v>242</v>
      </c>
      <c r="O2" s="251">
        <v>46073.0</v>
      </c>
      <c r="P2" s="250"/>
      <c r="Q2" s="252">
        <f>MONTH(O2)</f>
        <v>2</v>
      </c>
    </row>
    <row r="3">
      <c r="A3" s="73" t="s">
        <v>174</v>
      </c>
      <c r="B3" s="74" t="s">
        <v>175</v>
      </c>
      <c r="C3" s="74" t="s">
        <v>176</v>
      </c>
      <c r="D3" s="74" t="s">
        <v>177</v>
      </c>
      <c r="E3" s="75" t="s">
        <v>178</v>
      </c>
      <c r="F3" s="74" t="s">
        <v>179</v>
      </c>
      <c r="G3" s="76" t="s">
        <v>180</v>
      </c>
      <c r="H3" s="74" t="s">
        <v>181</v>
      </c>
      <c r="I3" s="74" t="s">
        <v>182</v>
      </c>
      <c r="J3" s="74" t="s">
        <v>183</v>
      </c>
      <c r="K3" s="74" t="s">
        <v>184</v>
      </c>
      <c r="L3" s="74" t="s">
        <v>185</v>
      </c>
      <c r="M3" s="253"/>
      <c r="N3" s="253"/>
      <c r="O3" s="253"/>
      <c r="P3" s="250"/>
      <c r="Q3" s="252">
        <f>DAY(O2)</f>
        <v>20</v>
      </c>
    </row>
    <row r="4">
      <c r="A4" s="77">
        <v>1.0</v>
      </c>
      <c r="B4" s="78" t="s">
        <v>187</v>
      </c>
      <c r="C4" s="79" t="s">
        <v>188</v>
      </c>
      <c r="D4" s="80">
        <f t="shared" ref="D4:E4" si="1">SUM(D5:D10)</f>
        <v>534</v>
      </c>
      <c r="E4" s="80">
        <f t="shared" si="1"/>
        <v>534</v>
      </c>
      <c r="F4" s="81"/>
      <c r="G4" s="96"/>
      <c r="H4" s="81">
        <f>SUM(H5:H10)</f>
        <v>4729.36</v>
      </c>
      <c r="I4" s="82">
        <f t="shared" ref="I4:I34" si="2">if(H4=0,"",H4/$H$34)</f>
        <v>0.1907902407</v>
      </c>
      <c r="J4" s="82">
        <f t="shared" ref="J4:J24" si="3">if(H4=0,"",IFERROR(H4/$J$35,""))</f>
        <v>0.003949882854</v>
      </c>
      <c r="K4" s="82">
        <f t="shared" ref="K4:K24" si="4">if(H4=0,"",IFERROR(H4/$F$35,""))</f>
        <v>0.03395869834</v>
      </c>
      <c r="L4" s="82">
        <f t="shared" ref="L4:L24" si="5">if(H4=0,"",IFERROR(H4/$L$35,""))</f>
        <v>0.1226458598</v>
      </c>
      <c r="M4" s="254">
        <f>H4-SUMIFS('jiliarena_活动分析数据_底稿'!$K:$K,'jiliarena_活动分析数据_底稿'!$B:$B,$O$2,'jiliarena_活动分析数据_底稿'!$E:$E,B4)</f>
        <v>0</v>
      </c>
      <c r="N4" s="253"/>
      <c r="O4" s="250"/>
      <c r="P4" s="250"/>
      <c r="Q4" s="250"/>
    </row>
    <row r="5">
      <c r="A5" s="84"/>
      <c r="B5" s="85" t="s">
        <v>189</v>
      </c>
      <c r="C5" s="86" t="s">
        <v>188</v>
      </c>
      <c r="D5" s="87">
        <f>sumifs('jiliarena_活动分析数据_底稿'!F:F,'jiliarena_活动分析数据_底稿'!$C:$C,$B5,'jiliarena_活动分析数据_底稿'!$B:$B,$O$2)</f>
        <v>522</v>
      </c>
      <c r="E5" s="87">
        <f>sumifs('jiliarena_活动分析数据_底稿'!G:G,'jiliarena_活动分析数据_底稿'!$C:$C,$B5,'jiliarena_活动分析数据_底稿'!$B:$B,$O$2)</f>
        <v>522</v>
      </c>
      <c r="F5" s="88"/>
      <c r="G5" s="89"/>
      <c r="H5" s="88">
        <f>sumifs('jiliarena_活动分析数据_底稿'!K:K,'jiliarena_活动分析数据_底稿'!$C:$C,$B5,'jiliarena_活动分析数据_底稿'!$B:$B,$O$2)</f>
        <v>4704.36</v>
      </c>
      <c r="I5" s="90">
        <f t="shared" si="2"/>
        <v>0.1897816992</v>
      </c>
      <c r="J5" s="90">
        <f t="shared" si="3"/>
        <v>0.003929003269</v>
      </c>
      <c r="K5" s="90">
        <f t="shared" si="4"/>
        <v>0.03377918833</v>
      </c>
      <c r="L5" s="90">
        <f t="shared" si="5"/>
        <v>0.1219975381</v>
      </c>
      <c r="M5" s="250"/>
      <c r="N5" s="250"/>
      <c r="O5" s="250"/>
      <c r="P5" s="250"/>
      <c r="Q5" s="250"/>
    </row>
    <row r="6">
      <c r="A6" s="11"/>
      <c r="B6" s="85" t="s">
        <v>190</v>
      </c>
      <c r="C6" s="91"/>
      <c r="D6" s="87">
        <f>sumifs('jiliarena_活动分析数据_底稿'!F:F,'jiliarena_活动分析数据_底稿'!$C:$C,$B6,'jiliarena_活动分析数据_底稿'!$B:$B,$O$2)</f>
        <v>10</v>
      </c>
      <c r="E6" s="87">
        <f>sumifs('jiliarena_活动分析数据_底稿'!G:G,'jiliarena_活动分析数据_底稿'!$C:$C,$B6,'jiliarena_活动分析数据_底稿'!$B:$B,$O$2)</f>
        <v>10</v>
      </c>
      <c r="F6" s="88"/>
      <c r="G6" s="89"/>
      <c r="H6" s="88">
        <f>sumifs('jiliarena_活动分析数据_底稿'!K:K,'jiliarena_活动分析数据_底稿'!$C:$C,$B6,'jiliarena_活动分析数据_底稿'!$B:$B,$O$2)</f>
        <v>23.94</v>
      </c>
      <c r="I6" s="90">
        <f t="shared" si="2"/>
        <v>0.0009657793787</v>
      </c>
      <c r="J6" s="90">
        <f t="shared" si="3"/>
        <v>0.00001999429003</v>
      </c>
      <c r="K6" s="90">
        <f t="shared" si="4"/>
        <v>0.0001718987851</v>
      </c>
      <c r="L6" s="90">
        <f t="shared" si="5"/>
        <v>0.0006208328153</v>
      </c>
      <c r="M6" s="250"/>
      <c r="N6" s="250"/>
      <c r="O6" s="250"/>
      <c r="P6" s="250"/>
      <c r="Q6" s="250"/>
    </row>
    <row r="7">
      <c r="A7" s="11"/>
      <c r="B7" s="85" t="s">
        <v>191</v>
      </c>
      <c r="C7" s="91"/>
      <c r="D7" s="87">
        <f>sumifs('jiliarena_活动分析数据_底稿'!F:F,'jiliarena_活动分析数据_底稿'!$C:$C,$B7,'jiliarena_活动分析数据_底稿'!$B:$B,$O$2)</f>
        <v>2</v>
      </c>
      <c r="E7" s="87">
        <f>sumifs('jiliarena_活动分析数据_底稿'!G:G,'jiliarena_活动分析数据_底稿'!$C:$C,$B7,'jiliarena_活动分析数据_底稿'!$B:$B,$O$2)</f>
        <v>2</v>
      </c>
      <c r="F7" s="88"/>
      <c r="G7" s="89"/>
      <c r="H7" s="88">
        <f>sumifs('jiliarena_活动分析数据_底稿'!K:K,'jiliarena_活动分析数据_底稿'!$C:$C,$B7,'jiliarena_活动分析数据_底稿'!$B:$B,$O$2)</f>
        <v>1.06</v>
      </c>
      <c r="I7" s="90">
        <f t="shared" si="2"/>
        <v>0.0000427621613</v>
      </c>
      <c r="J7" s="90">
        <f t="shared" si="3"/>
        <v>0.0000008852943792</v>
      </c>
      <c r="K7" s="90">
        <f t="shared" si="4"/>
        <v>0.000007611224402</v>
      </c>
      <c r="L7" s="90">
        <f t="shared" si="5"/>
        <v>0.00002748883811</v>
      </c>
      <c r="M7" s="250"/>
      <c r="N7" s="250"/>
      <c r="O7" s="250"/>
      <c r="P7" s="250"/>
      <c r="Q7" s="250"/>
    </row>
    <row r="8">
      <c r="A8" s="11"/>
      <c r="B8" s="85" t="s">
        <v>192</v>
      </c>
      <c r="C8" s="91"/>
      <c r="D8" s="87">
        <f>sumifs('jiliarena_活动分析数据_底稿'!F:F,'jiliarena_活动分析数据_底稿'!$C:$C,$B8,'jiliarena_活动分析数据_底稿'!$B:$B,$O$2)</f>
        <v>0</v>
      </c>
      <c r="E8" s="87">
        <f>sumifs('jiliarena_活动分析数据_底稿'!G:G,'jiliarena_活动分析数据_底稿'!$C:$C,$B8,'jiliarena_活动分析数据_底稿'!$B:$B,$O$2)</f>
        <v>0</v>
      </c>
      <c r="F8" s="88"/>
      <c r="G8" s="89"/>
      <c r="H8" s="88">
        <f>sumifs('jiliarena_活动分析数据_底稿'!K:K,'jiliarena_活动分析数据_底稿'!$C:$C,$B8,'jiliarena_活动分析数据_底稿'!$B:$B,$O$2)</f>
        <v>0</v>
      </c>
      <c r="I8" s="90" t="str">
        <f t="shared" si="2"/>
        <v/>
      </c>
      <c r="J8" s="90" t="str">
        <f t="shared" si="3"/>
        <v/>
      </c>
      <c r="K8" s="90" t="str">
        <f t="shared" si="4"/>
        <v/>
      </c>
      <c r="L8" s="90" t="str">
        <f t="shared" si="5"/>
        <v/>
      </c>
      <c r="M8" s="250"/>
      <c r="N8" s="250"/>
      <c r="O8" s="250"/>
      <c r="P8" s="250"/>
      <c r="Q8" s="250"/>
    </row>
    <row r="9">
      <c r="A9" s="11"/>
      <c r="B9" s="85" t="s">
        <v>193</v>
      </c>
      <c r="C9" s="91"/>
      <c r="D9" s="87">
        <f>sumifs('jiliarena_活动分析数据_底稿'!F:F,'jiliarena_活动分析数据_底稿'!$C:$C,$B9,'jiliarena_活动分析数据_底稿'!$B:$B,$O$2)</f>
        <v>0</v>
      </c>
      <c r="E9" s="87">
        <f>sumifs('jiliarena_活动分析数据_底稿'!G:G,'jiliarena_活动分析数据_底稿'!$C:$C,$B9,'jiliarena_活动分析数据_底稿'!$B:$B,$O$2)</f>
        <v>0</v>
      </c>
      <c r="F9" s="88"/>
      <c r="G9" s="89"/>
      <c r="H9" s="88">
        <f>sumifs('jiliarena_活动分析数据_底稿'!K:K,'jiliarena_活动分析数据_底稿'!$C:$C,$B9,'jiliarena_活动分析数据_底稿'!$B:$B,$O$2)</f>
        <v>0</v>
      </c>
      <c r="I9" s="90" t="str">
        <f t="shared" si="2"/>
        <v/>
      </c>
      <c r="J9" s="90" t="str">
        <f t="shared" si="3"/>
        <v/>
      </c>
      <c r="K9" s="90" t="str">
        <f t="shared" si="4"/>
        <v/>
      </c>
      <c r="L9" s="90" t="str">
        <f t="shared" si="5"/>
        <v/>
      </c>
      <c r="M9" s="250"/>
      <c r="N9" s="250"/>
      <c r="O9" s="250"/>
      <c r="P9" s="250"/>
      <c r="Q9" s="250"/>
    </row>
    <row r="10">
      <c r="A10" s="20"/>
      <c r="B10" s="85" t="s">
        <v>194</v>
      </c>
      <c r="C10" s="92"/>
      <c r="D10" s="87">
        <f>sumifs('jiliarena_活动分析数据_底稿'!F:F,'jiliarena_活动分析数据_底稿'!$C:$C,$B10,'jiliarena_活动分析数据_底稿'!$B:$B,$O$2)</f>
        <v>0</v>
      </c>
      <c r="E10" s="87">
        <f>sumifs('jiliarena_活动分析数据_底稿'!G:G,'jiliarena_活动分析数据_底稿'!$C:$C,$B10,'jiliarena_活动分析数据_底稿'!$B:$B,$O$2)</f>
        <v>0</v>
      </c>
      <c r="F10" s="88"/>
      <c r="G10" s="89"/>
      <c r="H10" s="88">
        <f>sumifs('jiliarena_活动分析数据_底稿'!K:K,'jiliarena_活动分析数据_底稿'!$C:$C,$B10,'jiliarena_活动分析数据_底稿'!$B:$B,$O$2)</f>
        <v>0</v>
      </c>
      <c r="I10" s="90" t="str">
        <f t="shared" si="2"/>
        <v/>
      </c>
      <c r="J10" s="90" t="str">
        <f t="shared" si="3"/>
        <v/>
      </c>
      <c r="K10" s="90" t="str">
        <f t="shared" si="4"/>
        <v/>
      </c>
      <c r="L10" s="90" t="str">
        <f t="shared" si="5"/>
        <v/>
      </c>
      <c r="M10" s="250"/>
      <c r="N10" s="250"/>
      <c r="O10" s="250"/>
      <c r="P10" s="250"/>
      <c r="Q10" s="250"/>
    </row>
    <row r="11">
      <c r="A11" s="77">
        <v>2.0</v>
      </c>
      <c r="B11" s="78" t="s">
        <v>429</v>
      </c>
      <c r="C11" s="97" t="s">
        <v>429</v>
      </c>
      <c r="D11" s="80">
        <f>sumifs('jiliarena_活动分析数据_底稿'!F:F,'jiliarena_活动分析数据_底稿'!$C:$C,$B11,'jiliarena_活动分析数据_底稿'!$B:$B,$O$2)</f>
        <v>0</v>
      </c>
      <c r="E11" s="80">
        <f>sumifs('jiliarena_活动分析数据_底稿'!G:G,'jiliarena_活动分析数据_底稿'!$C:$C,$B11,'jiliarena_活动分析数据_底稿'!$B:$B,$O$2)</f>
        <v>0</v>
      </c>
      <c r="F11" s="81"/>
      <c r="G11" s="96"/>
      <c r="H11" s="81">
        <f>sumifs('jiliarena_活动分析数据_底稿'!K:K,'jiliarena_活动分析数据_底稿'!$C:$C,$B11,'jiliarena_活动分析数据_底稿'!$B:$B,$O$2)</f>
        <v>0</v>
      </c>
      <c r="I11" s="82" t="str">
        <f t="shared" si="2"/>
        <v/>
      </c>
      <c r="J11" s="82" t="str">
        <f t="shared" si="3"/>
        <v/>
      </c>
      <c r="K11" s="82" t="str">
        <f t="shared" si="4"/>
        <v/>
      </c>
      <c r="L11" s="82" t="str">
        <f t="shared" si="5"/>
        <v/>
      </c>
      <c r="M11" s="254">
        <f>H11-SUMIFS('jiliarena_活动分析数据_底稿'!$K:$K,'jiliarena_活动分析数据_底稿'!$B:$B,$O$2,'jiliarena_活动分析数据_底稿'!$E:$E,B11)</f>
        <v>0</v>
      </c>
      <c r="N11" s="250"/>
      <c r="O11" s="250"/>
      <c r="P11" s="250"/>
      <c r="Q11" s="250"/>
    </row>
    <row r="12">
      <c r="A12" s="77">
        <v>3.0</v>
      </c>
      <c r="B12" s="78" t="s">
        <v>197</v>
      </c>
      <c r="C12" s="97" t="s">
        <v>197</v>
      </c>
      <c r="D12" s="80">
        <f t="shared" ref="D12:F12" si="6">SUM(D13:D15)</f>
        <v>240</v>
      </c>
      <c r="E12" s="80">
        <f t="shared" si="6"/>
        <v>220</v>
      </c>
      <c r="F12" s="81">
        <f t="shared" si="6"/>
        <v>36574</v>
      </c>
      <c r="G12" s="96">
        <f t="shared" ref="G12:G15" si="7">ROUND(F12/$F$35,6)</f>
        <v>0.262616</v>
      </c>
      <c r="H12" s="81">
        <f>SUM(H13:H15)</f>
        <v>4921.43</v>
      </c>
      <c r="I12" s="82">
        <f t="shared" si="2"/>
        <v>0.1985386637</v>
      </c>
      <c r="J12" s="82">
        <f t="shared" si="3"/>
        <v>0.004110296525</v>
      </c>
      <c r="K12" s="82">
        <f t="shared" si="4"/>
        <v>0.03533783784</v>
      </c>
      <c r="L12" s="82">
        <f t="shared" si="5"/>
        <v>0.1276267854</v>
      </c>
      <c r="M12" s="254">
        <f>H12-SUMIFS('jiliarena_活动分析数据_底稿'!$K:$K,'jiliarena_活动分析数据_底稿'!$B:$B,$O$2,'jiliarena_活动分析数据_底稿'!$E:$E,B12)</f>
        <v>0</v>
      </c>
      <c r="N12" s="250"/>
      <c r="O12" s="250"/>
      <c r="P12" s="250"/>
      <c r="Q12" s="250"/>
    </row>
    <row r="13">
      <c r="A13" s="98"/>
      <c r="B13" s="85" t="s">
        <v>511</v>
      </c>
      <c r="C13" s="99" t="s">
        <v>512</v>
      </c>
      <c r="D13" s="87">
        <f>sumifs('jiliarena_活动分析数据_底稿'!F:F,'jiliarena_活动分析数据_底稿'!$C:$C,$B13,'jiliarena_活动分析数据_底稿'!$B:$B,$O$2)</f>
        <v>162</v>
      </c>
      <c r="E13" s="87">
        <f>sumifs('jiliarena_活动分析数据_底稿'!G:G,'jiliarena_活动分析数据_底稿'!$C:$C,$B13,'jiliarena_活动分析数据_底稿'!$B:$B,$O$2)</f>
        <v>162</v>
      </c>
      <c r="F13" s="88">
        <f>sumifs('jiliarena_活动分析数据_底稿'!$V:$V,'jiliarena_活动分析数据_底稿'!$T:$T,$O$2,'jiliarena_活动分析数据_底稿'!$U:$U,B13)</f>
        <v>22513</v>
      </c>
      <c r="G13" s="89">
        <f t="shared" si="7"/>
        <v>0.161652</v>
      </c>
      <c r="H13" s="88">
        <f>sumifs('jiliarena_活动分析数据_底稿'!K:K,'jiliarena_活动分析数据_底稿'!$C:$C,$B13,'jiliarena_活动分析数据_底稿'!$B:$B,$O$2)</f>
        <v>4502.6</v>
      </c>
      <c r="I13" s="90">
        <f t="shared" si="2"/>
        <v>0.1816423655</v>
      </c>
      <c r="J13" s="90">
        <f t="shared" si="3"/>
        <v>0.003760496671</v>
      </c>
      <c r="K13" s="90">
        <f t="shared" si="4"/>
        <v>0.03233047075</v>
      </c>
      <c r="L13" s="90">
        <f t="shared" si="5"/>
        <v>0.1167653231</v>
      </c>
      <c r="M13" s="250"/>
      <c r="N13" s="250"/>
      <c r="O13" s="250"/>
      <c r="P13" s="250"/>
      <c r="Q13" s="250"/>
    </row>
    <row r="14">
      <c r="A14" s="11"/>
      <c r="B14" s="85" t="s">
        <v>513</v>
      </c>
      <c r="C14" s="99" t="s">
        <v>514</v>
      </c>
      <c r="D14" s="87">
        <f>sumifs('jiliarena_活动分析数据_底稿'!F:F,'jiliarena_活动分析数据_底稿'!$C:$C,$B14,'jiliarena_活动分析数据_底稿'!$B:$B,$O$2)</f>
        <v>78</v>
      </c>
      <c r="E14" s="87">
        <f>sumifs('jiliarena_活动分析数据_底稿'!G:G,'jiliarena_活动分析数据_底稿'!$C:$C,$B14,'jiliarena_活动分析数据_底稿'!$B:$B,$O$2)</f>
        <v>58</v>
      </c>
      <c r="F14" s="88">
        <f>sumifs('jiliarena_活动分析数据_底稿'!$V:$V,'jiliarena_活动分析数据_底稿'!$T:$T,$O$2,'jiliarena_活动分析数据_底稿'!$U:$U,B14)</f>
        <v>14061</v>
      </c>
      <c r="G14" s="89">
        <f t="shared" si="7"/>
        <v>0.100964</v>
      </c>
      <c r="H14" s="88">
        <f>sumifs('jiliarena_活动分析数据_底稿'!K:K,'jiliarena_活动分析数据_底稿'!$C:$C,$B14,'jiliarena_活动分析数据_底稿'!$B:$B,$O$2)</f>
        <v>418.83</v>
      </c>
      <c r="I14" s="90">
        <f t="shared" si="2"/>
        <v>0.01689629813</v>
      </c>
      <c r="J14" s="90">
        <f t="shared" si="3"/>
        <v>0.0003497998536</v>
      </c>
      <c r="K14" s="90">
        <f t="shared" si="4"/>
        <v>0.003007367091</v>
      </c>
      <c r="L14" s="90">
        <f t="shared" si="5"/>
        <v>0.01086146232</v>
      </c>
      <c r="M14" s="250"/>
      <c r="N14" s="250"/>
      <c r="O14" s="250"/>
      <c r="P14" s="250"/>
      <c r="Q14" s="250"/>
    </row>
    <row r="15">
      <c r="A15" s="20"/>
      <c r="B15" s="85"/>
      <c r="C15" s="99"/>
      <c r="D15" s="87">
        <f>sumifs('jiliarena_活动分析数据_底稿'!F:F,'jiliarena_活动分析数据_底稿'!$C:$C,$B15,'jiliarena_活动分析数据_底稿'!$B:$B,$O$2)</f>
        <v>0</v>
      </c>
      <c r="E15" s="87">
        <f>sumifs('jiliarena_活动分析数据_底稿'!G:G,'jiliarena_活动分析数据_底稿'!$C:$C,$B15,'jiliarena_活动分析数据_底稿'!$B:$B,$O$2)</f>
        <v>0</v>
      </c>
      <c r="F15" s="88">
        <f>sumifs('jiliarena_活动分析数据_底稿'!$V:$V,'jiliarena_活动分析数据_底稿'!$T:$T,$O$2,'jiliarena_活动分析数据_底稿'!$U:$U,B15)</f>
        <v>0</v>
      </c>
      <c r="G15" s="89">
        <f t="shared" si="7"/>
        <v>0</v>
      </c>
      <c r="H15" s="88">
        <f>sumifs('jiliarena_活动分析数据_底稿'!K:K,'jiliarena_活动分析数据_底稿'!$C:$C,$B15,'jiliarena_活动分析数据_底稿'!$B:$B,$O$2)</f>
        <v>0</v>
      </c>
      <c r="I15" s="90" t="str">
        <f t="shared" si="2"/>
        <v/>
      </c>
      <c r="J15" s="90" t="str">
        <f t="shared" si="3"/>
        <v/>
      </c>
      <c r="K15" s="90" t="str">
        <f t="shared" si="4"/>
        <v/>
      </c>
      <c r="L15" s="90" t="str">
        <f t="shared" si="5"/>
        <v/>
      </c>
      <c r="M15" s="250"/>
      <c r="N15" s="250"/>
      <c r="O15" s="250"/>
      <c r="P15" s="250"/>
      <c r="Q15" s="250"/>
    </row>
    <row r="16">
      <c r="A16" s="77">
        <v>4.0</v>
      </c>
      <c r="B16" s="78" t="s">
        <v>209</v>
      </c>
      <c r="C16" s="97"/>
      <c r="D16" s="80">
        <f>sumifs('jiliarena_活动分析数据_底稿'!F:F,'jiliarena_活动分析数据_底稿'!$C:$C,$B16,'jiliarena_活动分析数据_底稿'!$B:$B,$O$2)</f>
        <v>3392</v>
      </c>
      <c r="E16" s="80">
        <f>sumifs('jiliarena_活动分析数据_底稿'!G:G,'jiliarena_活动分析数据_底稿'!$C:$C,$B16,'jiliarena_活动分析数据_底稿'!$B:$B,$O$2)</f>
        <v>3392</v>
      </c>
      <c r="F16" s="81"/>
      <c r="G16" s="96"/>
      <c r="H16" s="81">
        <f>sumifs('jiliarena_活动分析数据_底稿'!K:K,'jiliarena_活动分析数据_底稿'!$C:$C,$B16,'jiliarena_活动分析数据_底稿'!$B:$B,$O$2)</f>
        <v>4989</v>
      </c>
      <c r="I16" s="82">
        <f t="shared" si="2"/>
        <v>0.2012645497</v>
      </c>
      <c r="J16" s="82">
        <f t="shared" si="3"/>
        <v>0.004166729866</v>
      </c>
      <c r="K16" s="82">
        <f t="shared" si="4"/>
        <v>0.03582301749</v>
      </c>
      <c r="L16" s="82">
        <f t="shared" si="5"/>
        <v>0.1293790692</v>
      </c>
      <c r="M16" s="254">
        <f>H16-SUMIFS('jiliarena_活动分析数据_底稿'!$K:$K,'jiliarena_活动分析数据_底稿'!$B:$B,$O$2,'jiliarena_活动分析数据_底稿'!$E:$E,B16)</f>
        <v>0</v>
      </c>
      <c r="N16" s="250"/>
      <c r="O16" s="250"/>
      <c r="P16" s="250"/>
      <c r="Q16" s="250"/>
    </row>
    <row r="17">
      <c r="A17" s="77">
        <v>5.0</v>
      </c>
      <c r="B17" s="78" t="s">
        <v>211</v>
      </c>
      <c r="C17" s="97"/>
      <c r="D17" s="80">
        <f>sumifs('jiliarena_活动分析数据_底稿'!F:F,'jiliarena_活动分析数据_底稿'!$C:$C,$B17,'jiliarena_活动分析数据_底稿'!$B:$B,$O$2)</f>
        <v>323</v>
      </c>
      <c r="E17" s="80">
        <f>sumifs('jiliarena_活动分析数据_底稿'!G:G,'jiliarena_活动分析数据_底稿'!$C:$C,$B17,'jiliarena_活动分析数据_底稿'!$B:$B,$O$2)</f>
        <v>277</v>
      </c>
      <c r="F17" s="81"/>
      <c r="G17" s="96"/>
      <c r="H17" s="81">
        <f>sumifs('jiliarena_活动分析数据_底稿'!K:K,'jiliarena_活动分析数据_底稿'!$C:$C,$B17,'jiliarena_活动分析数据_底稿'!$B:$B,$O$2)</f>
        <v>637</v>
      </c>
      <c r="I17" s="82">
        <f t="shared" si="2"/>
        <v>0.02569763844</v>
      </c>
      <c r="J17" s="82">
        <f t="shared" si="3"/>
        <v>0.0005320118109</v>
      </c>
      <c r="K17" s="82">
        <f t="shared" si="4"/>
        <v>0.004573915042</v>
      </c>
      <c r="L17" s="82">
        <f t="shared" si="5"/>
        <v>0.01651923573</v>
      </c>
      <c r="M17" s="254">
        <f>H17-SUMIFS('jiliarena_活动分析数据_底稿'!$K:$K,'jiliarena_活动分析数据_底稿'!$B:$B,$O$2,'jiliarena_活动分析数据_底稿'!$E:$E,B17)</f>
        <v>0</v>
      </c>
      <c r="N17" s="250"/>
      <c r="O17" s="250"/>
      <c r="P17" s="250"/>
      <c r="Q17" s="250"/>
    </row>
    <row r="18">
      <c r="A18" s="77">
        <v>6.0</v>
      </c>
      <c r="B18" s="94" t="s">
        <v>216</v>
      </c>
      <c r="C18" s="97"/>
      <c r="D18" s="80">
        <f t="shared" ref="D18:E18" si="8">SUM(D19)</f>
        <v>0</v>
      </c>
      <c r="E18" s="80">
        <f t="shared" si="8"/>
        <v>0</v>
      </c>
      <c r="F18" s="81"/>
      <c r="G18" s="96"/>
      <c r="H18" s="81">
        <f>SUM(H19)</f>
        <v>0</v>
      </c>
      <c r="I18" s="82" t="str">
        <f t="shared" si="2"/>
        <v/>
      </c>
      <c r="J18" s="82" t="str">
        <f t="shared" si="3"/>
        <v/>
      </c>
      <c r="K18" s="82" t="str">
        <f t="shared" si="4"/>
        <v/>
      </c>
      <c r="L18" s="82" t="str">
        <f t="shared" si="5"/>
        <v/>
      </c>
      <c r="M18" s="254">
        <f>H18-SUMIFS('jiliarena_活动分析数据_底稿'!$K:$K,'jiliarena_活动分析数据_底稿'!$B:$B,$O$2,'jiliarena_活动分析数据_底稿'!$E:$E,B18)</f>
        <v>0</v>
      </c>
      <c r="N18" s="250"/>
      <c r="O18" s="250"/>
      <c r="P18" s="250"/>
      <c r="Q18" s="250"/>
    </row>
    <row r="19">
      <c r="A19" s="255"/>
      <c r="B19" s="85" t="s">
        <v>515</v>
      </c>
      <c r="C19" s="99" t="s">
        <v>516</v>
      </c>
      <c r="D19" s="87">
        <f>sumifs('jiliarena_活动分析数据_底稿'!F:F,'jiliarena_活动分析数据_底稿'!$E:$E,$B19,'jiliarena_活动分析数据_底稿'!$B:$B,$O$2)</f>
        <v>0</v>
      </c>
      <c r="E19" s="87">
        <f>sumifs('jiliarena_活动分析数据_底稿'!G:G,'jiliarena_活动分析数据_底稿'!$E:$E,$B19,'jiliarena_活动分析数据_底稿'!$B:$B,$O$2)</f>
        <v>0</v>
      </c>
      <c r="F19" s="88">
        <f>sumifs('jiliarena_活动分析数据_底稿'!$V:$V,'jiliarena_活动分析数据_底稿'!$T:$T,$O$2,'jiliarena_活动分析数据_底稿'!$U:$U,B19)</f>
        <v>0</v>
      </c>
      <c r="G19" s="89">
        <f t="shared" ref="G19:G25" si="9">ROUND(F19/$F$35,6)</f>
        <v>0</v>
      </c>
      <c r="H19" s="88">
        <f>sumifs('jiliarena_活动分析数据_底稿'!K:K,'jiliarena_活动分析数据_底稿'!$C:$C,$B19,'jiliarena_活动分析数据_底稿'!$B:$B,$O$2)</f>
        <v>0</v>
      </c>
      <c r="I19" s="90" t="str">
        <f t="shared" si="2"/>
        <v/>
      </c>
      <c r="J19" s="90" t="str">
        <f t="shared" si="3"/>
        <v/>
      </c>
      <c r="K19" s="90" t="str">
        <f t="shared" si="4"/>
        <v/>
      </c>
      <c r="L19" s="90" t="str">
        <f t="shared" si="5"/>
        <v/>
      </c>
      <c r="M19" s="250"/>
      <c r="N19" s="250"/>
      <c r="O19" s="250"/>
      <c r="P19" s="250"/>
      <c r="Q19" s="250"/>
    </row>
    <row r="20">
      <c r="A20" s="77">
        <v>7.0</v>
      </c>
      <c r="B20" s="94" t="s">
        <v>221</v>
      </c>
      <c r="C20" s="95" t="s">
        <v>225</v>
      </c>
      <c r="D20" s="80">
        <f>sumifs('jiliarena_活动分析数据_底稿'!F:F,'jiliarena_活动分析数据_底稿'!$C:$C,$C20,'jiliarena_活动分析数据_底稿'!$B:$B,$O$2)</f>
        <v>105</v>
      </c>
      <c r="E20" s="80">
        <f>sumifs('jiliarena_活动分析数据_底稿'!G:G,'jiliarena_活动分析数据_底稿'!$C:$C,$C20,'jiliarena_活动分析数据_底稿'!$B:$B,$O$2)</f>
        <v>105</v>
      </c>
      <c r="F20" s="81">
        <f>sumifs('jiliarena_活动分析数据_底稿'!$V:$V,'jiliarena_活动分析数据_底稿'!$T:$T,$O$2,'jiliarena_活动分析数据_底稿'!$U:$U,"120% first deposit bonus")+sumifs('jiliarena_活动分析数据_底稿'!$V:$V,'jiliarena_活动分析数据_底稿'!$T:$T,$O$2,'jiliarena_活动分析数据_底稿'!$U:$U,"50% first deposit bonus")</f>
        <v>16207</v>
      </c>
      <c r="G20" s="96">
        <f t="shared" si="9"/>
        <v>0.116373</v>
      </c>
      <c r="H20" s="81">
        <f>sumifs('jiliarena_活动分析数据_底稿'!K:K,'jiliarena_活动分析数据_底稿'!$C:$C,$C20,'jiliarena_活动分析数据_底稿'!$B:$B,$O$2)</f>
        <v>7963.5</v>
      </c>
      <c r="I20" s="82">
        <f t="shared" si="2"/>
        <v>0.3212608222</v>
      </c>
      <c r="J20" s="82">
        <f t="shared" si="3"/>
        <v>0.006650982819</v>
      </c>
      <c r="K20" s="82">
        <f t="shared" si="4"/>
        <v>0.05718111842</v>
      </c>
      <c r="L20" s="82">
        <f t="shared" si="5"/>
        <v>0.2065163795</v>
      </c>
      <c r="M20" s="254">
        <f>H20-SUMIFS('jiliarena_活动分析数据_底稿'!$K:$K,'jiliarena_活动分析数据_底稿'!$B:$B,$O$2,'jiliarena_活动分析数据_底稿'!$E:$E,C20)</f>
        <v>0</v>
      </c>
      <c r="N20" s="250"/>
      <c r="O20" s="250"/>
      <c r="P20" s="250"/>
      <c r="Q20" s="250"/>
    </row>
    <row r="21">
      <c r="A21" s="77">
        <v>8.0</v>
      </c>
      <c r="B21" s="94" t="s">
        <v>222</v>
      </c>
      <c r="C21" s="95" t="s">
        <v>227</v>
      </c>
      <c r="D21" s="80">
        <f>sumifs('jiliarena_活动分析数据_底稿'!F:F,'jiliarena_活动分析数据_底稿'!$C:$C,$C21,'jiliarena_活动分析数据_底稿'!$B:$B,$O$2)</f>
        <v>0</v>
      </c>
      <c r="E21" s="80">
        <f>sumifs('jiliarena_活动分析数据_底稿'!G:G,'jiliarena_活动分析数据_底稿'!$C:$C,$C21,'jiliarena_活动分析数据_底稿'!$B:$B,$O$2)</f>
        <v>0</v>
      </c>
      <c r="F21" s="81">
        <f>sumifs('jiliarena_活动分析数据_底稿'!$V:$V,'jiliarena_活动分析数据_底稿'!$T:$T,$O$2,'jiliarena_活动分析数据_底稿'!$U:$U,"50% second deposit bonus")</f>
        <v>0</v>
      </c>
      <c r="G21" s="96">
        <f t="shared" si="9"/>
        <v>0</v>
      </c>
      <c r="H21" s="81">
        <f>sumifs('jiliarena_活动分析数据_底稿'!K:K,'jiliarena_活动分析数据_底稿'!$C:$C,$C21,'jiliarena_活动分析数据_底稿'!$B:$B,$O$2)</f>
        <v>0</v>
      </c>
      <c r="I21" s="82" t="str">
        <f t="shared" si="2"/>
        <v/>
      </c>
      <c r="J21" s="82" t="str">
        <f t="shared" si="3"/>
        <v/>
      </c>
      <c r="K21" s="82" t="str">
        <f t="shared" si="4"/>
        <v/>
      </c>
      <c r="L21" s="82" t="str">
        <f t="shared" si="5"/>
        <v/>
      </c>
      <c r="M21" s="254">
        <f>H21-SUMIFS('jiliarena_活动分析数据_底稿'!$K:$K,'jiliarena_活动分析数据_底稿'!$B:$B,$O$2,'jiliarena_活动分析数据_底稿'!$E:$E,C21)</f>
        <v>0</v>
      </c>
      <c r="N21" s="250"/>
      <c r="O21" s="250"/>
      <c r="P21" s="250"/>
      <c r="Q21" s="250"/>
    </row>
    <row r="22">
      <c r="A22" s="77">
        <v>9.0</v>
      </c>
      <c r="B22" s="94" t="s">
        <v>223</v>
      </c>
      <c r="C22" s="95" t="s">
        <v>229</v>
      </c>
      <c r="D22" s="80">
        <f>sumifs('jiliarena_活动分析数据_底稿'!F:F,'jiliarena_活动分析数据_底稿'!$C:$C,$C22,'jiliarena_活动分析数据_底稿'!$B:$B,$O$2)</f>
        <v>0</v>
      </c>
      <c r="E22" s="80">
        <f>sumifs('jiliarena_活动分析数据_底稿'!G:G,'jiliarena_活动分析数据_底稿'!$C:$C,$C22,'jiliarena_活动分析数据_底稿'!$B:$B,$O$2)</f>
        <v>0</v>
      </c>
      <c r="F22" s="81">
        <f>sumifs('jiliarena_活动分析数据_底稿'!$V:$V,'jiliarena_活动分析数据_底稿'!$T:$T,$O$2,'jiliarena_活动分析数据_底稿'!$U:$U,B22)</f>
        <v>0</v>
      </c>
      <c r="G22" s="96">
        <f t="shared" si="9"/>
        <v>0</v>
      </c>
      <c r="H22" s="81">
        <f>sumifs('jiliarena_活动分析数据_底稿'!K:K,'jiliarena_活动分析数据_底稿'!$C:$C,$C22,'jiliarena_活动分析数据_底稿'!$B:$B,$O$2)</f>
        <v>0</v>
      </c>
      <c r="I22" s="82" t="str">
        <f t="shared" si="2"/>
        <v/>
      </c>
      <c r="J22" s="82" t="str">
        <f t="shared" si="3"/>
        <v/>
      </c>
      <c r="K22" s="82" t="str">
        <f t="shared" si="4"/>
        <v/>
      </c>
      <c r="L22" s="82" t="str">
        <f t="shared" si="5"/>
        <v/>
      </c>
      <c r="M22" s="254">
        <f>H22-SUMIFS('jiliarena_活动分析数据_底稿'!$K:$K,'jiliarena_活动分析数据_底稿'!$B:$B,$O$2,'jiliarena_活动分析数据_底稿'!$E:$E,C22)</f>
        <v>0</v>
      </c>
      <c r="N22" s="250"/>
      <c r="O22" s="250"/>
      <c r="P22" s="250"/>
      <c r="Q22" s="250"/>
    </row>
    <row r="23">
      <c r="A23" s="77">
        <v>9.0</v>
      </c>
      <c r="B23" s="94" t="s">
        <v>517</v>
      </c>
      <c r="C23" s="95" t="s">
        <v>433</v>
      </c>
      <c r="D23" s="80">
        <f>sumifs('jiliarena_活动分析数据_底稿'!F:F,'jiliarena_活动分析数据_底稿'!$D:$D,$C23,'jiliarena_活动分析数据_底稿'!$B:$B,$O$2)</f>
        <v>0</v>
      </c>
      <c r="E23" s="80">
        <f>sumifs('jiliarena_活动分析数据_底稿'!G:G,'jiliarena_活动分析数据_底稿'!$D:$D,$C23,'jiliarena_活动分析数据_底稿'!$B:$B,$O$2)</f>
        <v>0</v>
      </c>
      <c r="F23" s="81">
        <f>sumifs('jiliarena_活动分析数据_底稿'!$V:$V,'jiliarena_活动分析数据_底稿'!$T:$T,$O$2,'jiliarena_活动分析数据_底稿'!$U:$U,B23)</f>
        <v>0</v>
      </c>
      <c r="G23" s="96">
        <f t="shared" si="9"/>
        <v>0</v>
      </c>
      <c r="H23" s="81">
        <f>sumifs('jiliarena_活动分析数据_底稿'!K:K,'jiliarena_活动分析数据_底稿'!$C:$C,"FOURTH_DEPOSIT",'jiliarena_活动分析数据_底稿'!$B:$B,$O$2)</f>
        <v>0</v>
      </c>
      <c r="I23" s="82" t="str">
        <f t="shared" si="2"/>
        <v/>
      </c>
      <c r="J23" s="82" t="str">
        <f t="shared" si="3"/>
        <v/>
      </c>
      <c r="K23" s="82" t="str">
        <f t="shared" si="4"/>
        <v/>
      </c>
      <c r="L23" s="82" t="str">
        <f t="shared" si="5"/>
        <v/>
      </c>
      <c r="M23" s="250"/>
      <c r="N23" s="250"/>
      <c r="O23" s="250"/>
      <c r="P23" s="250"/>
      <c r="Q23" s="250"/>
    </row>
    <row r="24">
      <c r="A24" s="77">
        <v>9.0</v>
      </c>
      <c r="B24" s="94" t="s">
        <v>518</v>
      </c>
      <c r="C24" s="95" t="s">
        <v>434</v>
      </c>
      <c r="D24" s="80">
        <f>sumifs('jiliarena_活动分析数据_底稿'!F:F,'jiliarena_活动分析数据_底稿'!$C:$C,$C24,'jiliarena_活动分析数据_底稿'!$B:$B,$O$2)</f>
        <v>0</v>
      </c>
      <c r="E24" s="80">
        <f>sumifs('jiliarena_活动分析数据_底稿'!G:G,'jiliarena_活动分析数据_底稿'!$C:$C,$C24,'jiliarena_活动分析数据_底稿'!$B:$B,$O$2)</f>
        <v>0</v>
      </c>
      <c r="F24" s="81">
        <f>sumifs('jiliarena_活动分析数据_底稿'!$V:$V,'jiliarena_活动分析数据_底稿'!$T:$T,$O$2,'jiliarena_活动分析数据_底稿'!$U:$U,B24)</f>
        <v>0</v>
      </c>
      <c r="G24" s="96">
        <f t="shared" si="9"/>
        <v>0</v>
      </c>
      <c r="H24" s="81">
        <f>sumifs('jiliarena_活动分析数据_底稿'!K:K,'jiliarena_活动分析数据_底稿'!$C:$C,C24,'jiliarena_活动分析数据_底稿'!$B:$B,$O$2)</f>
        <v>0</v>
      </c>
      <c r="I24" s="82" t="str">
        <f t="shared" si="2"/>
        <v/>
      </c>
      <c r="J24" s="82" t="str">
        <f t="shared" si="3"/>
        <v/>
      </c>
      <c r="K24" s="82" t="str">
        <f t="shared" si="4"/>
        <v/>
      </c>
      <c r="L24" s="82" t="str">
        <f t="shared" si="5"/>
        <v/>
      </c>
      <c r="M24" s="250"/>
      <c r="N24" s="250"/>
      <c r="O24" s="250"/>
      <c r="P24" s="250"/>
      <c r="Q24" s="250"/>
    </row>
    <row r="25">
      <c r="A25" s="77">
        <v>10.0</v>
      </c>
      <c r="B25" s="78" t="s">
        <v>224</v>
      </c>
      <c r="C25" s="95" t="s">
        <v>224</v>
      </c>
      <c r="D25" s="80">
        <f>sumifs('jiliarena_活动分析数据_底稿'!F:F,'jiliarena_活动分析数据_底稿'!$E:$E,$C25,'jiliarena_活动分析数据_底稿'!$B:$B,$O$2)</f>
        <v>0</v>
      </c>
      <c r="E25" s="80">
        <f>sumifs('jiliarena_活动分析数据_底稿'!G:G,'jiliarena_活动分析数据_底稿'!$E:$E,$C25,'jiliarena_活动分析数据_底稿'!$B:$B,$O$2)</f>
        <v>0</v>
      </c>
      <c r="F25" s="81">
        <f>sumifs('jiliarena_活动分析数据_底稿'!$V:$V,'jiliarena_活动分析数据_底稿'!$T:$T,$O$2,'jiliarena_活动分析数据_底稿'!$U:$U,B25)</f>
        <v>0</v>
      </c>
      <c r="G25" s="96">
        <f t="shared" si="9"/>
        <v>0</v>
      </c>
      <c r="H25" s="81">
        <f>sumifs('jiliarena_活动分析数据_底稿'!K:K,'jiliarena_活动分析数据_底稿'!$E:$E,$B25,'jiliarena_活动分析数据_底稿'!$B:$B,$O$2)</f>
        <v>0</v>
      </c>
      <c r="I25" s="82" t="str">
        <f t="shared" si="2"/>
        <v/>
      </c>
      <c r="J25" s="82">
        <f t="shared" ref="J25:L25" si="10">if(I25=0,"",I25/$H$34)</f>
        <v>0</v>
      </c>
      <c r="K25" s="82" t="str">
        <f t="shared" si="10"/>
        <v/>
      </c>
      <c r="L25" s="82">
        <f t="shared" si="10"/>
        <v>0</v>
      </c>
      <c r="M25" s="254">
        <f>H25-SUMIFS('jiliarena_活动分析数据_底稿'!$K:$K,'jiliarena_活动分析数据_底稿'!$B:$B,$O$2,'jiliarena_活动分析数据_底稿'!$E:$E,B25)</f>
        <v>0</v>
      </c>
      <c r="N25" s="250"/>
      <c r="O25" s="250"/>
      <c r="P25" s="250"/>
      <c r="Q25" s="250"/>
    </row>
    <row r="26">
      <c r="A26" s="77">
        <v>11.0</v>
      </c>
      <c r="B26" s="78" t="s">
        <v>228</v>
      </c>
      <c r="C26" s="97" t="s">
        <v>228</v>
      </c>
      <c r="D26" s="80">
        <f>sumifs('jiliarena_活动分析数据_底稿'!F:F,'jiliarena_活动分析数据_底稿'!$E:$E,$B26,'jiliarena_活动分析数据_底稿'!$B:$B,$O$2)</f>
        <v>0</v>
      </c>
      <c r="E26" s="80">
        <f>sumifs('jiliarena_活动分析数据_底稿'!G:G,'jiliarena_活动分析数据_底稿'!$E:$E,$B26,'jiliarena_活动分析数据_底稿'!$B:$B,$O$2)</f>
        <v>285</v>
      </c>
      <c r="F26" s="81"/>
      <c r="G26" s="96"/>
      <c r="H26" s="81">
        <f>sumifs('jiliarena_活动分析数据_底稿'!K:K,'jiliarena_活动分析数据_底稿'!$E:$E,$B26,'jiliarena_活动分析数据_底稿'!$B:$B,$O$2)</f>
        <v>461</v>
      </c>
      <c r="I26" s="82">
        <f t="shared" si="2"/>
        <v>0.018597506</v>
      </c>
      <c r="J26" s="82">
        <f t="shared" ref="J26:J34" si="11">if(H26=0,"",IFERROR(H26/$J$35,""))</f>
        <v>0.0003850195366</v>
      </c>
      <c r="K26" s="82">
        <f t="shared" ref="K26:K34" si="12">if(H26=0,"",IFERROR(H26/$F$35,""))</f>
        <v>0.003310164575</v>
      </c>
      <c r="L26" s="82">
        <f t="shared" ref="L26:L34" si="13">if(H26=0,"",IFERROR(H26/$L$35,""))</f>
        <v>0.01195505129</v>
      </c>
      <c r="M26" s="254">
        <f>H26-SUMIFS('jiliarena_活动分析数据_底稿'!$K:$K,'jiliarena_活动分析数据_底稿'!$B:$B,$O$2,'jiliarena_活动分析数据_底稿'!$E:$E,B26)</f>
        <v>0</v>
      </c>
      <c r="N26" s="250"/>
      <c r="O26" s="250"/>
      <c r="P26" s="250"/>
      <c r="Q26" s="250"/>
    </row>
    <row r="27">
      <c r="A27" s="77">
        <v>12.0</v>
      </c>
      <c r="B27" s="78" t="s">
        <v>230</v>
      </c>
      <c r="C27" s="97" t="s">
        <v>234</v>
      </c>
      <c r="D27" s="80">
        <f>sumifs('jiliarena_活动分析数据_底稿'!F:F,'jiliarena_活动分析数据_底稿'!$C:$C,$B27,'jiliarena_活动分析数据_底稿'!$B:$B,$O$2)</f>
        <v>160</v>
      </c>
      <c r="E27" s="80">
        <f>sumifs('jiliarena_活动分析数据_底稿'!G:G,'jiliarena_活动分析数据_底稿'!$C:$C,$B27,'jiliarena_活动分析数据_底稿'!$B:$B,$O$2)</f>
        <v>124</v>
      </c>
      <c r="F27" s="81"/>
      <c r="G27" s="96"/>
      <c r="H27" s="81">
        <f>sumifs('jiliarena_活动分析数据_底稿'!K:K,'jiliarena_活动分析数据_底稿'!$C:$C,$B27,'jiliarena_活动分析数据_底稿'!$B:$B,$O$2)</f>
        <v>455.98</v>
      </c>
      <c r="I27" s="82">
        <f t="shared" si="2"/>
        <v>0.01839499086</v>
      </c>
      <c r="J27" s="82">
        <f t="shared" si="11"/>
        <v>0.000380826916</v>
      </c>
      <c r="K27" s="82">
        <f t="shared" si="12"/>
        <v>0.003274118965</v>
      </c>
      <c r="L27" s="82">
        <f t="shared" si="13"/>
        <v>0.0118248683</v>
      </c>
      <c r="M27" s="254">
        <f>H27-SUMIFS('jiliarena_活动分析数据_底稿'!$K:$K,'jiliarena_活动分析数据_底稿'!$B:$B,$O$2,'jiliarena_活动分析数据_底稿'!$E:$E,B27)</f>
        <v>0</v>
      </c>
      <c r="N27" s="250"/>
      <c r="O27" s="250"/>
      <c r="P27" s="250"/>
      <c r="Q27" s="250"/>
    </row>
    <row r="28">
      <c r="A28" s="77">
        <v>13.0</v>
      </c>
      <c r="B28" s="78" t="s">
        <v>231</v>
      </c>
      <c r="C28" s="97" t="s">
        <v>235</v>
      </c>
      <c r="D28" s="80">
        <f>sumifs('jiliarena_活动分析数据_底稿'!F:F,'jiliarena_活动分析数据_底稿'!$E:$E,$B28,'jiliarena_活动分析数据_底稿'!$B:$B,$O$2)</f>
        <v>0</v>
      </c>
      <c r="E28" s="80">
        <f>sumifs('jiliarena_活动分析数据_底稿'!G:G,'jiliarena_活动分析数据_底稿'!$E:$E,$B28,'jiliarena_活动分析数据_底稿'!$B:$B,$O$2)</f>
        <v>0</v>
      </c>
      <c r="F28" s="81"/>
      <c r="G28" s="96"/>
      <c r="H28" s="81">
        <f>sumifs('jiliarena_活动分析数据_底稿'!K:K,'jiliarena_活动分析数据_底稿'!$E:$E,$B28,'jiliarena_活动分析数据_底稿'!$B:$B,$O$2)</f>
        <v>0</v>
      </c>
      <c r="I28" s="82" t="str">
        <f t="shared" si="2"/>
        <v/>
      </c>
      <c r="J28" s="82" t="str">
        <f t="shared" si="11"/>
        <v/>
      </c>
      <c r="K28" s="82" t="str">
        <f t="shared" si="12"/>
        <v/>
      </c>
      <c r="L28" s="82" t="str">
        <f t="shared" si="13"/>
        <v/>
      </c>
      <c r="M28" s="254">
        <f>H28-SUMIFS('jiliarena_活动分析数据_底稿'!$K:$K,'jiliarena_活动分析数据_底稿'!$B:$B,$O$2,'jiliarena_活动分析数据_底稿'!$E:$E,B28)</f>
        <v>0</v>
      </c>
      <c r="N28" s="250"/>
      <c r="O28" s="250"/>
      <c r="P28" s="250"/>
      <c r="Q28" s="250"/>
    </row>
    <row r="29">
      <c r="A29" s="77">
        <v>14.0</v>
      </c>
      <c r="B29" s="78" t="s">
        <v>232</v>
      </c>
      <c r="C29" s="97" t="s">
        <v>236</v>
      </c>
      <c r="D29" s="80">
        <f>sumifs('jiliarena_活动分析数据_底稿'!F:F,'jiliarena_活动分析数据_底稿'!$E:$E,$C29,'jiliarena_活动分析数据_底稿'!$B:$B,$O$2)</f>
        <v>0</v>
      </c>
      <c r="E29" s="80">
        <f>sumifs('jiliarena_活动分析数据_底稿'!G:G,'jiliarena_活动分析数据_底稿'!$E:$E,$C29,'jiliarena_活动分析数据_底稿'!$B:$B,$O$2)</f>
        <v>0</v>
      </c>
      <c r="F29" s="81"/>
      <c r="G29" s="96"/>
      <c r="H29" s="81">
        <f>sumifs('jiliarena_活动分析数据_底稿'!K:K,'jiliarena_活动分析数据_底稿'!$E:$E,$C29,'jiliarena_活动分析数据_底稿'!$B:$B,$O$2)</f>
        <v>0</v>
      </c>
      <c r="I29" s="82" t="str">
        <f t="shared" si="2"/>
        <v/>
      </c>
      <c r="J29" s="82" t="str">
        <f t="shared" si="11"/>
        <v/>
      </c>
      <c r="K29" s="82" t="str">
        <f t="shared" si="12"/>
        <v/>
      </c>
      <c r="L29" s="82" t="str">
        <f t="shared" si="13"/>
        <v/>
      </c>
      <c r="M29" s="254">
        <f>H29-SUMIFS('jiliarena_活动分析数据_底稿'!$K:$K,'jiliarena_活动分析数据_底稿'!$B:$B,$O$2,'jiliarena_活动分析数据_底稿'!$E:$E,C29)</f>
        <v>0</v>
      </c>
      <c r="N29" s="250"/>
      <c r="O29" s="250"/>
      <c r="P29" s="250"/>
      <c r="Q29" s="250"/>
    </row>
    <row r="30">
      <c r="A30" s="93">
        <v>15.0</v>
      </c>
      <c r="B30" s="256" t="s">
        <v>431</v>
      </c>
      <c r="C30" s="97" t="s">
        <v>431</v>
      </c>
      <c r="D30" s="80">
        <f>sumifs('jiliarena_活动分析数据_底稿'!F:F,'jiliarena_活动分析数据_底稿'!$E:$E,$C30,'jiliarena_活动分析数据_底稿'!$B:$B,$O$2)</f>
        <v>0</v>
      </c>
      <c r="E30" s="80">
        <f>sumifs('jiliarena_活动分析数据_底稿'!G:G,'jiliarena_活动分析数据_底稿'!$E:$E,$C30,'jiliarena_活动分析数据_底稿'!$B:$B,$O$2)</f>
        <v>0</v>
      </c>
      <c r="F30" s="81"/>
      <c r="G30" s="96"/>
      <c r="H30" s="81">
        <f>sumifs('jiliarena_活动分析数据_底稿'!K:K,'jiliarena_活动分析数据_底稿'!$E:$E,$C30,'jiliarena_活动分析数据_底稿'!$B:$B,$O$2)</f>
        <v>0</v>
      </c>
      <c r="I30" s="82" t="str">
        <f t="shared" si="2"/>
        <v/>
      </c>
      <c r="J30" s="82" t="str">
        <f t="shared" si="11"/>
        <v/>
      </c>
      <c r="K30" s="82" t="str">
        <f t="shared" si="12"/>
        <v/>
      </c>
      <c r="L30" s="82" t="str">
        <f t="shared" si="13"/>
        <v/>
      </c>
      <c r="M30" s="254"/>
      <c r="N30" s="250"/>
      <c r="O30" s="250"/>
      <c r="P30" s="250"/>
      <c r="Q30" s="250"/>
    </row>
    <row r="31">
      <c r="A31" s="93">
        <v>16.0</v>
      </c>
      <c r="B31" s="94" t="s">
        <v>432</v>
      </c>
      <c r="C31" s="95" t="s">
        <v>432</v>
      </c>
      <c r="D31" s="80">
        <f>sumifs('jiliarena_活动分析数据_底稿'!F:F,'jiliarena_活动分析数据_底稿'!$E:$E,$C31,'jiliarena_活动分析数据_底稿'!$B:$B,$O$2)</f>
        <v>0</v>
      </c>
      <c r="E31" s="80">
        <f>sumifs('jiliarena_活动分析数据_底稿'!G:G,'jiliarena_活动分析数据_底稿'!$E:$E,$C31,'jiliarena_活动分析数据_底稿'!$B:$B,$O$2)</f>
        <v>0</v>
      </c>
      <c r="F31" s="81"/>
      <c r="G31" s="96"/>
      <c r="H31" s="81">
        <f>sumifs('jiliarena_活动分析数据_底稿'!K:K,'jiliarena_活动分析数据_底稿'!$E:$E,$C31,'jiliarena_活动分析数据_底稿'!$B:$B,$O$2)</f>
        <v>0</v>
      </c>
      <c r="I31" s="82" t="str">
        <f t="shared" si="2"/>
        <v/>
      </c>
      <c r="J31" s="82" t="str">
        <f t="shared" si="11"/>
        <v/>
      </c>
      <c r="K31" s="82" t="str">
        <f t="shared" si="12"/>
        <v/>
      </c>
      <c r="L31" s="82" t="str">
        <f t="shared" si="13"/>
        <v/>
      </c>
      <c r="M31" s="254"/>
      <c r="N31" s="250"/>
      <c r="O31" s="250"/>
      <c r="P31" s="250"/>
      <c r="Q31" s="250"/>
    </row>
    <row r="32">
      <c r="A32" s="93">
        <v>17.0</v>
      </c>
      <c r="B32" s="78" t="s">
        <v>226</v>
      </c>
      <c r="C32" s="97" t="s">
        <v>226</v>
      </c>
      <c r="D32" s="80">
        <f>sumifs('jiliarena_活动分析数据_底稿'!F:F,'jiliarena_活动分析数据_底稿'!$E:$E,$C32,'jiliarena_活动分析数据_底稿'!$B:$B,$O$2)</f>
        <v>356</v>
      </c>
      <c r="E32" s="80">
        <f>sumifs('jiliarena_活动分析数据_底稿'!G:G,'jiliarena_活动分析数据_底稿'!$E:$E,$C32,'jiliarena_活动分析数据_底稿'!$B:$B,$O$2)</f>
        <v>230</v>
      </c>
      <c r="F32" s="81"/>
      <c r="G32" s="96"/>
      <c r="H32" s="81">
        <f>sumifs('jiliarena_活动分析数据_底稿'!K:K,'jiliarena_活动分析数据_底稿'!$E:$E,$C32,'jiliarena_活动分析数据_底稿'!$B:$B,$O$2)</f>
        <v>631</v>
      </c>
      <c r="I32" s="82">
        <f t="shared" si="2"/>
        <v>0.02545558847</v>
      </c>
      <c r="J32" s="82">
        <f t="shared" si="11"/>
        <v>0.0005270007106</v>
      </c>
      <c r="K32" s="82">
        <f t="shared" si="12"/>
        <v>0.004530832639</v>
      </c>
      <c r="L32" s="82">
        <f t="shared" si="13"/>
        <v>0.01636363853</v>
      </c>
      <c r="M32" s="254"/>
      <c r="N32" s="250"/>
      <c r="O32" s="250"/>
      <c r="P32" s="250"/>
      <c r="Q32" s="250"/>
    </row>
    <row r="33">
      <c r="A33" s="93">
        <v>19.0</v>
      </c>
      <c r="B33" s="94" t="s">
        <v>233</v>
      </c>
      <c r="C33" s="95" t="s">
        <v>233</v>
      </c>
      <c r="D33" s="80">
        <f>sumifs('jiliarena_活动分析数据_底稿'!F:F,'jiliarena_活动分析数据_底稿'!$E:$E,$C33,'jiliarena_活动分析数据_底稿'!$B:$B,$O$2)</f>
        <v>0</v>
      </c>
      <c r="E33" s="80">
        <f>sumifs('jiliarena_活动分析数据_底稿'!G:G,'jiliarena_活动分析数据_底稿'!$E:$E,$C33,'jiliarena_活动分析数据_底稿'!$B:$B,$O$2)</f>
        <v>0</v>
      </c>
      <c r="F33" s="81"/>
      <c r="G33" s="96"/>
      <c r="H33" s="81">
        <f>sumifs('jiliarena_活动分析数据_底稿'!K:K,'jiliarena_活动分析数据_底稿'!$E:$E,$B33,'jiliarena_活动分析数据_底稿'!$B:$B,$O$2)</f>
        <v>0</v>
      </c>
      <c r="I33" s="82" t="str">
        <f t="shared" si="2"/>
        <v/>
      </c>
      <c r="J33" s="82" t="str">
        <f t="shared" si="11"/>
        <v/>
      </c>
      <c r="K33" s="82" t="str">
        <f t="shared" si="12"/>
        <v/>
      </c>
      <c r="L33" s="82" t="str">
        <f t="shared" si="13"/>
        <v/>
      </c>
      <c r="M33" s="254"/>
      <c r="N33" s="250"/>
      <c r="O33" s="250"/>
      <c r="P33" s="250"/>
      <c r="Q33" s="250"/>
    </row>
    <row r="34">
      <c r="A34" s="105" t="s">
        <v>237</v>
      </c>
      <c r="B34" s="106"/>
      <c r="C34" s="106"/>
      <c r="D34" s="257">
        <f t="shared" ref="D34:G34" si="14">SUM(D4,D11:D12,D16:D18,D20:D25,D26:D33)</f>
        <v>5110</v>
      </c>
      <c r="E34" s="257">
        <f t="shared" si="14"/>
        <v>5167</v>
      </c>
      <c r="F34" s="258">
        <f t="shared" si="14"/>
        <v>52781</v>
      </c>
      <c r="G34" s="110">
        <f t="shared" si="14"/>
        <v>0.378989</v>
      </c>
      <c r="H34" s="259">
        <f>SUM(H4,H11,H12,H16:H18,H20:H33)</f>
        <v>24788.27</v>
      </c>
      <c r="I34" s="110">
        <f t="shared" si="2"/>
        <v>1</v>
      </c>
      <c r="J34" s="110">
        <f t="shared" si="11"/>
        <v>0.02070275104</v>
      </c>
      <c r="K34" s="110">
        <f t="shared" si="12"/>
        <v>0.1779897033</v>
      </c>
      <c r="L34" s="110">
        <f t="shared" si="13"/>
        <v>0.6428308877</v>
      </c>
    </row>
    <row r="35" ht="15.0" customHeight="1">
      <c r="F35" s="63">
        <f>SUMIFS(jiliarena!$L:$L,jiliarena!$A:$A,$O$2)</f>
        <v>139268</v>
      </c>
      <c r="H35" s="63">
        <f t="array" ref="H35">INDEX(jiliarena!3:38,MATCH($O$2,jiliarena!A3:A38,0),MATCH("总优惠",jiliarena!$3:$3,0))</f>
        <v>24788.27</v>
      </c>
      <c r="J35" s="63">
        <f t="array" ref="J35">index(jiliarena!$A$3:$CI$38,match($O$2,jiliarena!$A$3:$A$38,0),match("有效投注",jiliarena!3:3,0))</f>
        <v>1197341.839</v>
      </c>
      <c r="L35" s="63">
        <f t="array" ref="L35">index(jiliarena!$A$3:$CI$38,match($O$2,jiliarena!$A$3:$A$38,0),match("公司输赢",jiliarena!3:3,0))</f>
        <v>38561.106</v>
      </c>
      <c r="N35" s="139"/>
    </row>
    <row r="36" ht="15.0" customHeight="1">
      <c r="H36" s="112">
        <f>H34-H35</f>
        <v>0</v>
      </c>
    </row>
    <row r="37" ht="15.0" customHeight="1"/>
    <row r="38" ht="15.0" customHeight="1">
      <c r="A38" s="70" t="s">
        <v>519</v>
      </c>
      <c r="B38" s="71"/>
      <c r="C38" s="71"/>
      <c r="D38" s="71"/>
      <c r="E38" s="71"/>
      <c r="F38" s="71"/>
      <c r="G38" s="71"/>
      <c r="H38" s="71"/>
      <c r="I38" s="71"/>
      <c r="J38" s="71"/>
      <c r="K38" s="71"/>
      <c r="L38" s="72"/>
    </row>
    <row r="39" ht="15.0" customHeight="1">
      <c r="A39" s="73" t="s">
        <v>174</v>
      </c>
      <c r="B39" s="74" t="s">
        <v>175</v>
      </c>
      <c r="C39" s="74" t="s">
        <v>176</v>
      </c>
      <c r="D39" s="74" t="s">
        <v>177</v>
      </c>
      <c r="E39" s="75" t="s">
        <v>178</v>
      </c>
      <c r="F39" s="74" t="s">
        <v>179</v>
      </c>
      <c r="G39" s="76" t="s">
        <v>180</v>
      </c>
      <c r="H39" s="74" t="s">
        <v>181</v>
      </c>
      <c r="I39" s="74" t="s">
        <v>182</v>
      </c>
      <c r="J39" s="74" t="s">
        <v>183</v>
      </c>
      <c r="K39" s="74" t="s">
        <v>184</v>
      </c>
      <c r="L39" s="74" t="s">
        <v>185</v>
      </c>
    </row>
    <row r="40" ht="15.0" customHeight="1">
      <c r="A40" s="77">
        <v>1.0</v>
      </c>
      <c r="B40" s="78" t="s">
        <v>187</v>
      </c>
      <c r="C40" s="79" t="s">
        <v>188</v>
      </c>
      <c r="D40" s="80">
        <v>534.0</v>
      </c>
      <c r="E40" s="80">
        <v>534.0</v>
      </c>
      <c r="F40" s="81"/>
      <c r="G40" s="96"/>
      <c r="H40" s="81">
        <v>4729.36</v>
      </c>
      <c r="I40" s="82">
        <v>0.19079024070659226</v>
      </c>
      <c r="J40" s="82">
        <v>0.0039498828537971094</v>
      </c>
      <c r="K40" s="82">
        <v>0.03395869833701927</v>
      </c>
      <c r="L40" s="82">
        <v>0.12264585979458115</v>
      </c>
    </row>
    <row r="41" ht="15.0" customHeight="1">
      <c r="A41" s="84"/>
      <c r="B41" s="85" t="s">
        <v>189</v>
      </c>
      <c r="C41" s="86" t="s">
        <v>188</v>
      </c>
      <c r="D41" s="87">
        <v>522.0</v>
      </c>
      <c r="E41" s="87">
        <v>522.0</v>
      </c>
      <c r="F41" s="88"/>
      <c r="G41" s="89"/>
      <c r="H41" s="88">
        <v>4704.36</v>
      </c>
      <c r="I41" s="90">
        <v>0.1897816991665816</v>
      </c>
      <c r="J41" s="90">
        <v>0.003929003269382955</v>
      </c>
      <c r="K41" s="90">
        <v>0.03377918832754114</v>
      </c>
      <c r="L41" s="90">
        <v>0.1219975381411514</v>
      </c>
    </row>
    <row r="42" ht="15.0" customHeight="1">
      <c r="A42" s="11"/>
      <c r="B42" s="85" t="s">
        <v>190</v>
      </c>
      <c r="C42" s="91"/>
      <c r="D42" s="87">
        <v>10.0</v>
      </c>
      <c r="E42" s="87">
        <v>10.0</v>
      </c>
      <c r="F42" s="88"/>
      <c r="G42" s="89"/>
      <c r="H42" s="88">
        <v>23.94</v>
      </c>
      <c r="I42" s="90">
        <v>9.657793787142064E-4</v>
      </c>
      <c r="J42" s="90">
        <v>1.9994290034994758E-5</v>
      </c>
      <c r="K42" s="90">
        <v>1.7189878507625585E-4</v>
      </c>
      <c r="L42" s="90">
        <v>6.2083281532433E-4</v>
      </c>
    </row>
    <row r="43" ht="15.0" customHeight="1">
      <c r="A43" s="20"/>
      <c r="B43" s="85" t="s">
        <v>191</v>
      </c>
      <c r="C43" s="92"/>
      <c r="D43" s="87">
        <v>2.0</v>
      </c>
      <c r="E43" s="87">
        <v>2.0</v>
      </c>
      <c r="F43" s="88"/>
      <c r="G43" s="89"/>
      <c r="H43" s="88">
        <v>1.06</v>
      </c>
      <c r="I43" s="90">
        <v>4.276216129645191E-5</v>
      </c>
      <c r="J43" s="90">
        <v>8.852943791601689E-7</v>
      </c>
      <c r="K43" s="90">
        <v>7.611224401872649E-6</v>
      </c>
      <c r="L43" s="90">
        <v>2.748883810542146E-5</v>
      </c>
    </row>
    <row r="44" ht="15.0" customHeight="1">
      <c r="A44" s="77">
        <v>3.0</v>
      </c>
      <c r="B44" s="78" t="s">
        <v>197</v>
      </c>
      <c r="C44" s="97" t="s">
        <v>197</v>
      </c>
      <c r="D44" s="80">
        <v>240.0</v>
      </c>
      <c r="E44" s="80">
        <v>220.0</v>
      </c>
      <c r="F44" s="81">
        <v>36574.0</v>
      </c>
      <c r="G44" s="96">
        <v>0.262616</v>
      </c>
      <c r="H44" s="81">
        <v>4921.43</v>
      </c>
      <c r="I44" s="82">
        <v>0.19853866365018616</v>
      </c>
      <c r="J44" s="82">
        <v>0.00411029652493418</v>
      </c>
      <c r="K44" s="82">
        <v>0.03533783783783784</v>
      </c>
      <c r="L44" s="82">
        <v>0.12762678539355127</v>
      </c>
    </row>
    <row r="45" ht="15.0" customHeight="1">
      <c r="A45" s="98"/>
      <c r="B45" s="85" t="s">
        <v>511</v>
      </c>
      <c r="C45" s="99" t="s">
        <v>512</v>
      </c>
      <c r="D45" s="87">
        <v>162.0</v>
      </c>
      <c r="E45" s="87">
        <v>162.0</v>
      </c>
      <c r="F45" s="88">
        <v>22513.0</v>
      </c>
      <c r="G45" s="89">
        <v>0.161652</v>
      </c>
      <c r="H45" s="88">
        <v>4502.6</v>
      </c>
      <c r="I45" s="90">
        <v>0.1816423655220796</v>
      </c>
      <c r="J45" s="90">
        <v>0.003760496671326959</v>
      </c>
      <c r="K45" s="90">
        <v>0.03233047074704886</v>
      </c>
      <c r="L45" s="90">
        <v>0.11676532306931195</v>
      </c>
    </row>
    <row r="46" ht="15.0" customHeight="1">
      <c r="A46" s="20"/>
      <c r="B46" s="85" t="s">
        <v>513</v>
      </c>
      <c r="C46" s="99" t="s">
        <v>514</v>
      </c>
      <c r="D46" s="87">
        <v>78.0</v>
      </c>
      <c r="E46" s="87">
        <v>58.0</v>
      </c>
      <c r="F46" s="88">
        <v>14061.0</v>
      </c>
      <c r="G46" s="89">
        <v>0.100964</v>
      </c>
      <c r="H46" s="88">
        <v>418.83</v>
      </c>
      <c r="I46" s="90">
        <v>0.01689629812810656</v>
      </c>
      <c r="J46" s="90">
        <v>3.497998536072203E-4</v>
      </c>
      <c r="K46" s="90">
        <v>0.003007367090788982</v>
      </c>
      <c r="L46" s="90">
        <v>0.01086146232423931</v>
      </c>
    </row>
    <row r="47" ht="15.0" customHeight="1">
      <c r="A47" s="77">
        <v>4.0</v>
      </c>
      <c r="B47" s="78" t="s">
        <v>209</v>
      </c>
      <c r="C47" s="97"/>
      <c r="D47" s="80">
        <v>3392.0</v>
      </c>
      <c r="E47" s="80">
        <v>3392.0</v>
      </c>
      <c r="F47" s="81"/>
      <c r="G47" s="96"/>
      <c r="H47" s="81">
        <v>4989.0</v>
      </c>
      <c r="I47" s="82">
        <v>0.20126454972452695</v>
      </c>
      <c r="J47" s="82">
        <v>0.004166729865688757</v>
      </c>
      <c r="K47" s="82">
        <v>0.035823017491455326</v>
      </c>
      <c r="L47" s="82">
        <v>0.1293790691584412</v>
      </c>
    </row>
    <row r="48" ht="15.0" customHeight="1">
      <c r="A48" s="77">
        <v>5.0</v>
      </c>
      <c r="B48" s="78" t="s">
        <v>211</v>
      </c>
      <c r="C48" s="97"/>
      <c r="D48" s="80">
        <v>323.0</v>
      </c>
      <c r="E48" s="80">
        <v>277.0</v>
      </c>
      <c r="F48" s="81"/>
      <c r="G48" s="96"/>
      <c r="H48" s="81">
        <v>637.0</v>
      </c>
      <c r="I48" s="82">
        <v>0.025697638439471572</v>
      </c>
      <c r="J48" s="82">
        <v>5.320118108726675E-4</v>
      </c>
      <c r="K48" s="82">
        <v>0.004573915041502714</v>
      </c>
      <c r="L48" s="82">
        <v>0.016519235729390066</v>
      </c>
    </row>
    <row r="49" ht="15.0" customHeight="1">
      <c r="A49" s="77">
        <v>7.0</v>
      </c>
      <c r="B49" s="94" t="s">
        <v>221</v>
      </c>
      <c r="C49" s="95" t="s">
        <v>225</v>
      </c>
      <c r="D49" s="80">
        <v>105.0</v>
      </c>
      <c r="E49" s="80">
        <v>105.0</v>
      </c>
      <c r="F49" s="81">
        <v>16207.0</v>
      </c>
      <c r="G49" s="96">
        <v>0.116373</v>
      </c>
      <c r="H49" s="81">
        <v>7963.5</v>
      </c>
      <c r="I49" s="82">
        <v>0.3212608221549951</v>
      </c>
      <c r="J49" s="82">
        <v>0.0066509828192849105</v>
      </c>
      <c r="K49" s="82">
        <v>0.057181118419163054</v>
      </c>
      <c r="L49" s="82">
        <v>0.206516379483513</v>
      </c>
    </row>
    <row r="50" ht="15.0" customHeight="1">
      <c r="A50" s="77">
        <v>11.0</v>
      </c>
      <c r="B50" s="78" t="s">
        <v>228</v>
      </c>
      <c r="C50" s="97" t="s">
        <v>228</v>
      </c>
      <c r="D50" s="80">
        <v>0.0</v>
      </c>
      <c r="E50" s="80">
        <v>285.0</v>
      </c>
      <c r="F50" s="81"/>
      <c r="G50" s="96"/>
      <c r="H50" s="81">
        <v>461.0</v>
      </c>
      <c r="I50" s="82">
        <v>0.018597505997796537</v>
      </c>
      <c r="J50" s="82">
        <v>3.8501953659701683E-4</v>
      </c>
      <c r="K50" s="82">
        <v>0.0033101645747766893</v>
      </c>
      <c r="L50" s="82">
        <v>0.011955051289244616</v>
      </c>
    </row>
    <row r="51" ht="15.0" customHeight="1">
      <c r="A51" s="77">
        <v>12.0</v>
      </c>
      <c r="B51" s="78" t="s">
        <v>230</v>
      </c>
      <c r="C51" s="97" t="s">
        <v>234</v>
      </c>
      <c r="D51" s="80">
        <v>160.0</v>
      </c>
      <c r="E51" s="80">
        <v>124.0</v>
      </c>
      <c r="F51" s="81"/>
      <c r="G51" s="96"/>
      <c r="H51" s="81">
        <v>455.98</v>
      </c>
      <c r="I51" s="82">
        <v>0.018394990856562397</v>
      </c>
      <c r="J51" s="82">
        <v>3.8082691604665456E-4</v>
      </c>
      <c r="K51" s="82">
        <v>0.0032741189648734814</v>
      </c>
      <c r="L51" s="82">
        <v>0.011824868301235922</v>
      </c>
    </row>
    <row r="52" ht="15.0" customHeight="1">
      <c r="A52" s="93">
        <v>17.0</v>
      </c>
      <c r="B52" s="78" t="s">
        <v>226</v>
      </c>
      <c r="C52" s="97" t="s">
        <v>226</v>
      </c>
      <c r="D52" s="80">
        <v>356.0</v>
      </c>
      <c r="E52" s="80">
        <v>230.0</v>
      </c>
      <c r="F52" s="81"/>
      <c r="G52" s="96"/>
      <c r="H52" s="81">
        <v>631.0</v>
      </c>
      <c r="I52" s="82">
        <v>0.025455588469869013</v>
      </c>
      <c r="J52" s="82">
        <v>5.270007106132703E-4</v>
      </c>
      <c r="K52" s="82">
        <v>0.004530832639227963</v>
      </c>
      <c r="L52" s="82">
        <v>0.016363638532566924</v>
      </c>
    </row>
    <row r="53" ht="15.0" customHeight="1">
      <c r="A53" s="105" t="s">
        <v>237</v>
      </c>
      <c r="B53" s="106"/>
      <c r="C53" s="106"/>
      <c r="D53" s="257">
        <v>5110.0</v>
      </c>
      <c r="E53" s="257">
        <v>5167.0</v>
      </c>
      <c r="F53" s="258">
        <v>52781.0</v>
      </c>
      <c r="G53" s="110">
        <v>0.378989</v>
      </c>
      <c r="H53" s="259">
        <v>24788.27</v>
      </c>
      <c r="I53" s="110">
        <v>1.0</v>
      </c>
      <c r="J53" s="110">
        <v>0.020702751037834567</v>
      </c>
      <c r="K53" s="110">
        <v>0.17798970330585634</v>
      </c>
      <c r="L53" s="110">
        <v>0.6428308876825242</v>
      </c>
    </row>
    <row r="54" ht="15.0" customHeight="1">
      <c r="F54" s="63">
        <v>139268.0</v>
      </c>
      <c r="H54" s="63">
        <v>24788.27</v>
      </c>
      <c r="J54" s="63">
        <v>1197341.8390000002</v>
      </c>
      <c r="L54" s="63">
        <v>38561.106000000145</v>
      </c>
    </row>
    <row r="55" ht="15.0" customHeight="1">
      <c r="H55" s="112">
        <v>0.0</v>
      </c>
    </row>
    <row r="56" ht="15.0" customHeight="1">
      <c r="A56" s="70" t="s">
        <v>520</v>
      </c>
      <c r="B56" s="71"/>
      <c r="C56" s="71"/>
      <c r="D56" s="71"/>
      <c r="E56" s="71"/>
      <c r="F56" s="71"/>
      <c r="G56" s="71"/>
      <c r="H56" s="71"/>
      <c r="I56" s="71"/>
      <c r="J56" s="71"/>
      <c r="K56" s="71"/>
      <c r="L56" s="72"/>
    </row>
    <row r="57" ht="15.0" customHeight="1">
      <c r="A57" s="73" t="s">
        <v>174</v>
      </c>
      <c r="B57" s="74" t="s">
        <v>175</v>
      </c>
      <c r="C57" s="74" t="s">
        <v>176</v>
      </c>
      <c r="D57" s="74" t="s">
        <v>177</v>
      </c>
      <c r="E57" s="75" t="s">
        <v>178</v>
      </c>
      <c r="F57" s="74" t="s">
        <v>179</v>
      </c>
      <c r="G57" s="76" t="s">
        <v>180</v>
      </c>
      <c r="H57" s="74" t="s">
        <v>181</v>
      </c>
      <c r="I57" s="74" t="s">
        <v>182</v>
      </c>
      <c r="J57" s="74" t="s">
        <v>183</v>
      </c>
      <c r="K57" s="74" t="s">
        <v>184</v>
      </c>
      <c r="L57" s="74" t="s">
        <v>185</v>
      </c>
    </row>
    <row r="58" ht="15.0" customHeight="1">
      <c r="A58" s="77">
        <v>1.0</v>
      </c>
      <c r="B58" s="78" t="s">
        <v>187</v>
      </c>
      <c r="C58" s="79" t="s">
        <v>188</v>
      </c>
      <c r="D58" s="80">
        <v>491.0</v>
      </c>
      <c r="E58" s="80">
        <v>491.0</v>
      </c>
      <c r="F58" s="81"/>
      <c r="G58" s="96"/>
      <c r="H58" s="81">
        <v>3477.9300000000003</v>
      </c>
      <c r="I58" s="82">
        <v>0.1326034026153669</v>
      </c>
      <c r="J58" s="82">
        <v>0.0025544665761739567</v>
      </c>
      <c r="K58" s="82">
        <v>0.02373673398352455</v>
      </c>
      <c r="L58" s="82">
        <v>0.6656873197219976</v>
      </c>
    </row>
    <row r="59" ht="15.0" customHeight="1">
      <c r="A59" s="84"/>
      <c r="B59" s="85" t="s">
        <v>189</v>
      </c>
      <c r="C59" s="86" t="s">
        <v>188</v>
      </c>
      <c r="D59" s="87">
        <v>485.0</v>
      </c>
      <c r="E59" s="87">
        <v>485.0</v>
      </c>
      <c r="F59" s="88"/>
      <c r="G59" s="89"/>
      <c r="H59" s="88">
        <v>3475.02</v>
      </c>
      <c r="I59" s="90">
        <v>0.13249245273954688</v>
      </c>
      <c r="J59" s="90">
        <v>0.0025523292422607764</v>
      </c>
      <c r="K59" s="90">
        <v>0.02371687334921274</v>
      </c>
      <c r="L59" s="90">
        <v>0.6651303360850667</v>
      </c>
    </row>
    <row r="60" ht="15.0" customHeight="1">
      <c r="A60" s="11"/>
      <c r="B60" s="85" t="s">
        <v>190</v>
      </c>
      <c r="C60" s="91"/>
      <c r="D60" s="87">
        <v>5.0</v>
      </c>
      <c r="E60" s="87">
        <v>5.0</v>
      </c>
      <c r="F60" s="88"/>
      <c r="G60" s="89"/>
      <c r="H60" s="88">
        <v>2.28</v>
      </c>
      <c r="I60" s="90">
        <v>8.692979961156104E-5</v>
      </c>
      <c r="J60" s="90">
        <v>1.6746121381616709E-6</v>
      </c>
      <c r="K60" s="90">
        <v>1.556090935770299E-5</v>
      </c>
      <c r="L60" s="90">
        <v>4.3639955058501873E-4</v>
      </c>
    </row>
    <row r="61" ht="15.0" customHeight="1">
      <c r="A61" s="20"/>
      <c r="B61" s="85" t="s">
        <v>191</v>
      </c>
      <c r="C61" s="92"/>
      <c r="D61" s="87">
        <v>1.0</v>
      </c>
      <c r="E61" s="87">
        <v>1.0</v>
      </c>
      <c r="F61" s="88"/>
      <c r="G61" s="89"/>
      <c r="H61" s="88">
        <v>0.63</v>
      </c>
      <c r="I61" s="90">
        <v>2.402007620845766E-5</v>
      </c>
      <c r="J61" s="90">
        <v>4.6272177501835646E-7</v>
      </c>
      <c r="K61" s="90">
        <v>4.299724954102142E-6</v>
      </c>
      <c r="L61" s="90">
        <v>1.2058408634586046E-4</v>
      </c>
    </row>
    <row r="62" ht="15.0" customHeight="1">
      <c r="A62" s="77">
        <v>3.0</v>
      </c>
      <c r="B62" s="78" t="s">
        <v>197</v>
      </c>
      <c r="C62" s="97" t="s">
        <v>197</v>
      </c>
      <c r="D62" s="80">
        <v>243.0</v>
      </c>
      <c r="E62" s="80">
        <v>217.0</v>
      </c>
      <c r="F62" s="81">
        <v>34911.0</v>
      </c>
      <c r="G62" s="96">
        <v>0.238266</v>
      </c>
      <c r="H62" s="81">
        <v>5021.76</v>
      </c>
      <c r="I62" s="82">
        <v>0.19146517127076879</v>
      </c>
      <c r="J62" s="82">
        <v>0.0036883773030415585</v>
      </c>
      <c r="K62" s="82">
        <v>0.03427331235795552</v>
      </c>
      <c r="L62" s="82">
        <v>0.9611814943622035</v>
      </c>
    </row>
    <row r="63" ht="15.0" customHeight="1">
      <c r="A63" s="98"/>
      <c r="B63" s="85" t="s">
        <v>511</v>
      </c>
      <c r="C63" s="99" t="s">
        <v>512</v>
      </c>
      <c r="D63" s="87">
        <v>164.0</v>
      </c>
      <c r="E63" s="87">
        <v>164.0</v>
      </c>
      <c r="F63" s="88">
        <v>23379.0</v>
      </c>
      <c r="G63" s="89">
        <v>0.159561</v>
      </c>
      <c r="H63" s="88">
        <v>4675.8</v>
      </c>
      <c r="I63" s="90">
        <v>0.17827471799286718</v>
      </c>
      <c r="J63" s="90">
        <v>0.0034342769454457638</v>
      </c>
      <c r="K63" s="90">
        <v>0.031912149111731423</v>
      </c>
      <c r="L63" s="90">
        <v>0.8949636046602767</v>
      </c>
    </row>
    <row r="64" ht="15.0" customHeight="1">
      <c r="A64" s="20"/>
      <c r="B64" s="85" t="s">
        <v>513</v>
      </c>
      <c r="C64" s="99" t="s">
        <v>514</v>
      </c>
      <c r="D64" s="87">
        <v>79.0</v>
      </c>
      <c r="E64" s="87">
        <v>53.0</v>
      </c>
      <c r="F64" s="88">
        <v>11532.0</v>
      </c>
      <c r="G64" s="89">
        <v>0.078705</v>
      </c>
      <c r="H64" s="88">
        <v>345.96</v>
      </c>
      <c r="I64" s="90">
        <v>0.013190453277901604</v>
      </c>
      <c r="J64" s="90">
        <v>2.541003575957946E-4</v>
      </c>
      <c r="K64" s="90">
        <v>0.0023611632462240905</v>
      </c>
      <c r="L64" s="90">
        <v>0.0662178897019268</v>
      </c>
    </row>
    <row r="65" ht="15.0" customHeight="1">
      <c r="A65" s="77">
        <v>4.0</v>
      </c>
      <c r="B65" s="78" t="s">
        <v>209</v>
      </c>
      <c r="C65" s="97"/>
      <c r="D65" s="80">
        <v>3705.0</v>
      </c>
      <c r="E65" s="80">
        <v>3705.0</v>
      </c>
      <c r="F65" s="81"/>
      <c r="G65" s="96"/>
      <c r="H65" s="81">
        <v>5340.0</v>
      </c>
      <c r="I65" s="82">
        <v>0.20359874119549826</v>
      </c>
      <c r="J65" s="82">
        <v>0.003922117902536545</v>
      </c>
      <c r="K65" s="82">
        <v>0.03644528770619911</v>
      </c>
      <c r="L65" s="82">
        <v>1.0220936842649124</v>
      </c>
    </row>
    <row r="66" ht="15.0" customHeight="1">
      <c r="A66" s="77">
        <v>5.0</v>
      </c>
      <c r="B66" s="78" t="s">
        <v>211</v>
      </c>
      <c r="C66" s="97"/>
      <c r="D66" s="80">
        <v>376.0</v>
      </c>
      <c r="E66" s="80">
        <v>320.0</v>
      </c>
      <c r="F66" s="81"/>
      <c r="G66" s="96"/>
      <c r="H66" s="81">
        <v>707.0</v>
      </c>
      <c r="I66" s="82">
        <v>0.026955863300602484</v>
      </c>
      <c r="J66" s="82">
        <v>5.192766586317112E-4</v>
      </c>
      <c r="K66" s="82">
        <v>0.004825246892936849</v>
      </c>
      <c r="L66" s="82">
        <v>0.13532214134368784</v>
      </c>
    </row>
    <row r="67" ht="15.0" customHeight="1">
      <c r="A67" s="77">
        <v>7.0</v>
      </c>
      <c r="B67" s="94" t="s">
        <v>221</v>
      </c>
      <c r="C67" s="95" t="s">
        <v>225</v>
      </c>
      <c r="D67" s="80">
        <v>124.0</v>
      </c>
      <c r="E67" s="80">
        <v>124.0</v>
      </c>
      <c r="F67" s="81">
        <v>20342.0</v>
      </c>
      <c r="G67" s="96">
        <v>0.138833</v>
      </c>
      <c r="H67" s="81">
        <v>10171.0</v>
      </c>
      <c r="I67" s="82">
        <v>0.3877907858987664</v>
      </c>
      <c r="J67" s="82">
        <v>0.007470385990018577</v>
      </c>
      <c r="K67" s="82">
        <v>0.06941667064789347</v>
      </c>
      <c r="L67" s="82">
        <v>1.946763082894836</v>
      </c>
    </row>
    <row r="68" ht="15.0" customHeight="1">
      <c r="A68" s="77">
        <v>11.0</v>
      </c>
      <c r="B68" s="78" t="s">
        <v>228</v>
      </c>
      <c r="C68" s="97" t="s">
        <v>228</v>
      </c>
      <c r="D68" s="80">
        <v>0.0</v>
      </c>
      <c r="E68" s="80">
        <v>305.0</v>
      </c>
      <c r="F68" s="81"/>
      <c r="G68" s="96"/>
      <c r="H68" s="81">
        <v>455.0</v>
      </c>
      <c r="I68" s="82">
        <v>0.01734783281721942</v>
      </c>
      <c r="J68" s="82">
        <v>3.3418794862436857E-4</v>
      </c>
      <c r="K68" s="82">
        <v>0.003105356911295992</v>
      </c>
      <c r="L68" s="82">
        <v>0.08708850680534366</v>
      </c>
    </row>
    <row r="69" ht="15.0" customHeight="1">
      <c r="A69" s="77">
        <v>12.0</v>
      </c>
      <c r="B69" s="78" t="s">
        <v>230</v>
      </c>
      <c r="C69" s="97" t="s">
        <v>234</v>
      </c>
      <c r="D69" s="80">
        <v>190.0</v>
      </c>
      <c r="E69" s="80">
        <v>144.0</v>
      </c>
      <c r="F69" s="81"/>
      <c r="G69" s="96"/>
      <c r="H69" s="81">
        <v>426.37</v>
      </c>
      <c r="I69" s="82">
        <v>0.016256253798412845</v>
      </c>
      <c r="J69" s="82">
        <v>3.1315981462631213E-4</v>
      </c>
      <c r="K69" s="82">
        <v>0.0029099582994929056</v>
      </c>
      <c r="L69" s="82">
        <v>0.08160862999251511</v>
      </c>
    </row>
    <row r="70" ht="15.0" customHeight="1">
      <c r="A70" s="93">
        <v>17.0</v>
      </c>
      <c r="B70" s="78" t="s">
        <v>226</v>
      </c>
      <c r="C70" s="97" t="s">
        <v>226</v>
      </c>
      <c r="D70" s="80">
        <v>381.0</v>
      </c>
      <c r="E70" s="80">
        <v>247.0</v>
      </c>
      <c r="F70" s="81"/>
      <c r="G70" s="96"/>
      <c r="H70" s="81">
        <v>629.0</v>
      </c>
      <c r="I70" s="82">
        <v>0.023981949103364868</v>
      </c>
      <c r="J70" s="82">
        <v>4.619872960103908E-4</v>
      </c>
      <c r="K70" s="82">
        <v>0.0042928999938575355</v>
      </c>
      <c r="L70" s="82">
        <v>0.12039268303420035</v>
      </c>
    </row>
    <row r="71" ht="15.0" customHeight="1">
      <c r="A71" s="105" t="s">
        <v>237</v>
      </c>
      <c r="B71" s="106"/>
      <c r="C71" s="106"/>
      <c r="D71" s="257">
        <v>5510.0</v>
      </c>
      <c r="E71" s="257">
        <v>5553.0</v>
      </c>
      <c r="F71" s="258">
        <v>55253.0</v>
      </c>
      <c r="G71" s="110">
        <v>0.377099</v>
      </c>
      <c r="H71" s="259">
        <v>26228.06</v>
      </c>
      <c r="I71" s="110">
        <v>1.0</v>
      </c>
      <c r="J71" s="110">
        <v>0.01926395948966342</v>
      </c>
      <c r="K71" s="110">
        <v>0.17900546679315593</v>
      </c>
      <c r="L71" s="110">
        <v>5.020137542419697</v>
      </c>
    </row>
    <row r="72" ht="15.0" customHeight="1">
      <c r="F72" s="63">
        <v>146521.0</v>
      </c>
      <c r="H72" s="63">
        <v>26228.06</v>
      </c>
      <c r="J72" s="63">
        <v>1361509.3</v>
      </c>
      <c r="L72" s="63">
        <v>5224.570000000065</v>
      </c>
    </row>
    <row r="73" ht="15.0" customHeight="1">
      <c r="H73" s="112">
        <v>0.0</v>
      </c>
    </row>
    <row r="74" ht="15.0" customHeight="1">
      <c r="A74" s="70" t="s">
        <v>521</v>
      </c>
      <c r="B74" s="71"/>
      <c r="C74" s="71"/>
      <c r="D74" s="71"/>
      <c r="E74" s="71"/>
      <c r="F74" s="71"/>
      <c r="G74" s="71"/>
      <c r="H74" s="71"/>
      <c r="I74" s="71"/>
      <c r="J74" s="71"/>
      <c r="K74" s="71"/>
      <c r="L74" s="72"/>
    </row>
    <row r="75" ht="15.0" customHeight="1">
      <c r="A75" s="73" t="s">
        <v>174</v>
      </c>
      <c r="B75" s="74" t="s">
        <v>175</v>
      </c>
      <c r="C75" s="74" t="s">
        <v>176</v>
      </c>
      <c r="D75" s="74" t="s">
        <v>177</v>
      </c>
      <c r="E75" s="75" t="s">
        <v>178</v>
      </c>
      <c r="F75" s="74" t="s">
        <v>179</v>
      </c>
      <c r="G75" s="76" t="s">
        <v>180</v>
      </c>
      <c r="H75" s="74" t="s">
        <v>181</v>
      </c>
      <c r="I75" s="74" t="s">
        <v>182</v>
      </c>
      <c r="J75" s="74" t="s">
        <v>183</v>
      </c>
      <c r="K75" s="74" t="s">
        <v>184</v>
      </c>
      <c r="L75" s="74" t="s">
        <v>185</v>
      </c>
    </row>
    <row r="76" ht="15.0" customHeight="1">
      <c r="A76" s="77">
        <v>1.0</v>
      </c>
      <c r="B76" s="78" t="s">
        <v>187</v>
      </c>
      <c r="C76" s="79" t="s">
        <v>188</v>
      </c>
      <c r="D76" s="80">
        <v>572.0</v>
      </c>
      <c r="E76" s="80">
        <v>572.0</v>
      </c>
      <c r="F76" s="81"/>
      <c r="G76" s="96"/>
      <c r="H76" s="81">
        <v>4538.84</v>
      </c>
      <c r="I76" s="82">
        <v>0.15241466039614432</v>
      </c>
      <c r="J76" s="82">
        <v>0.004055272661254145</v>
      </c>
      <c r="K76" s="82">
        <v>0.034624374466007565</v>
      </c>
      <c r="L76" s="82">
        <v>0.06472529106195497</v>
      </c>
    </row>
    <row r="77" ht="15.0" customHeight="1">
      <c r="A77" s="84"/>
      <c r="B77" s="85" t="s">
        <v>189</v>
      </c>
      <c r="C77" s="86" t="s">
        <v>188</v>
      </c>
      <c r="D77" s="87">
        <v>564.0</v>
      </c>
      <c r="E77" s="87">
        <v>564.0</v>
      </c>
      <c r="F77" s="88"/>
      <c r="G77" s="89"/>
      <c r="H77" s="88">
        <v>4534.93</v>
      </c>
      <c r="I77" s="90">
        <v>0.15228336224019504</v>
      </c>
      <c r="J77" s="90">
        <v>0.004051779232072789</v>
      </c>
      <c r="K77" s="90">
        <v>0.034594547174417185</v>
      </c>
      <c r="L77" s="90">
        <v>0.0646695332277832</v>
      </c>
    </row>
    <row r="78" ht="15.0" customHeight="1">
      <c r="A78" s="11"/>
      <c r="B78" s="85" t="s">
        <v>190</v>
      </c>
      <c r="C78" s="91"/>
      <c r="D78" s="87">
        <v>7.0</v>
      </c>
      <c r="E78" s="87">
        <v>7.0</v>
      </c>
      <c r="F78" s="88"/>
      <c r="G78" s="89"/>
      <c r="H78" s="88">
        <v>3.74</v>
      </c>
      <c r="I78" s="90">
        <v>1.255895404732442E-4</v>
      </c>
      <c r="J78" s="90">
        <v>3.3415409560791968E-6</v>
      </c>
      <c r="K78" s="90">
        <v>2.8530452825582816E-5</v>
      </c>
      <c r="L78" s="90">
        <v>5.3333580512137817E-5</v>
      </c>
    </row>
    <row r="79" ht="15.0" customHeight="1">
      <c r="A79" s="20"/>
      <c r="B79" s="85" t="s">
        <v>191</v>
      </c>
      <c r="C79" s="92"/>
      <c r="D79" s="87">
        <v>1.0</v>
      </c>
      <c r="E79" s="87">
        <v>1.0</v>
      </c>
      <c r="F79" s="88"/>
      <c r="G79" s="89"/>
      <c r="H79" s="88">
        <v>0.17</v>
      </c>
      <c r="I79" s="90">
        <v>5.708615476056555E-6</v>
      </c>
      <c r="J79" s="90">
        <v>1.5188822527632712E-7</v>
      </c>
      <c r="K79" s="90">
        <v>1.296838764799219E-6</v>
      </c>
      <c r="L79" s="90">
        <v>2.4242536596426278E-6</v>
      </c>
    </row>
    <row r="80" ht="15.0" customHeight="1">
      <c r="A80" s="77">
        <v>3.0</v>
      </c>
      <c r="B80" s="78" t="s">
        <v>197</v>
      </c>
      <c r="C80" s="97" t="s">
        <v>197</v>
      </c>
      <c r="D80" s="80">
        <v>246.0</v>
      </c>
      <c r="E80" s="80">
        <v>238.0</v>
      </c>
      <c r="F80" s="81">
        <v>29351.0</v>
      </c>
      <c r="G80" s="96">
        <v>0.223903</v>
      </c>
      <c r="H80" s="81">
        <v>4820.610000000001</v>
      </c>
      <c r="I80" s="82">
        <v>0.1618765226472529</v>
      </c>
      <c r="J80" s="82">
        <v>0.0043070229273489136</v>
      </c>
      <c r="K80" s="82">
        <v>0.036773846576345665</v>
      </c>
      <c r="L80" s="82">
        <v>0.0687434202012344</v>
      </c>
    </row>
    <row r="81" ht="15.0" customHeight="1">
      <c r="A81" s="98"/>
      <c r="B81" s="85" t="s">
        <v>511</v>
      </c>
      <c r="C81" s="99" t="s">
        <v>512</v>
      </c>
      <c r="D81" s="87">
        <v>188.0</v>
      </c>
      <c r="E81" s="87">
        <v>188.0</v>
      </c>
      <c r="F81" s="88">
        <v>23274.0</v>
      </c>
      <c r="G81" s="89">
        <v>0.177545</v>
      </c>
      <c r="H81" s="88">
        <v>4654.8</v>
      </c>
      <c r="I81" s="90">
        <v>0.1563086077526356</v>
      </c>
      <c r="J81" s="90">
        <v>0.004158878300095573</v>
      </c>
      <c r="K81" s="90">
        <v>0.03550897107286708</v>
      </c>
      <c r="L81" s="90">
        <v>0.06637891726414415</v>
      </c>
    </row>
    <row r="82" ht="15.0" customHeight="1">
      <c r="A82" s="20"/>
      <c r="B82" s="85" t="s">
        <v>513</v>
      </c>
      <c r="C82" s="99" t="s">
        <v>514</v>
      </c>
      <c r="D82" s="87">
        <v>58.0</v>
      </c>
      <c r="E82" s="87">
        <v>50.0</v>
      </c>
      <c r="F82" s="88">
        <v>6077.0</v>
      </c>
      <c r="G82" s="89">
        <v>0.046358</v>
      </c>
      <c r="H82" s="88">
        <v>165.81</v>
      </c>
      <c r="I82" s="90">
        <v>0.005567914894617279</v>
      </c>
      <c r="J82" s="90">
        <v>1.4814462725334E-4</v>
      </c>
      <c r="K82" s="90">
        <v>0.0012648755034785793</v>
      </c>
      <c r="L82" s="90">
        <v>0.0023645029370902597</v>
      </c>
    </row>
    <row r="83" ht="15.0" customHeight="1">
      <c r="A83" s="77">
        <v>4.0</v>
      </c>
      <c r="B83" s="78" t="s">
        <v>209</v>
      </c>
      <c r="C83" s="97"/>
      <c r="D83" s="80">
        <v>3662.0</v>
      </c>
      <c r="E83" s="80">
        <v>3662.0</v>
      </c>
      <c r="F83" s="81"/>
      <c r="G83" s="96"/>
      <c r="H83" s="81">
        <v>6327.0</v>
      </c>
      <c r="I83" s="82">
        <v>0.21246123598241073</v>
      </c>
      <c r="J83" s="82">
        <v>0.005652922360725421</v>
      </c>
      <c r="K83" s="82">
        <v>0.04826528744049799</v>
      </c>
      <c r="L83" s="82">
        <v>0.09022501708564062</v>
      </c>
    </row>
    <row r="84" ht="15.0" customHeight="1">
      <c r="A84" s="77">
        <v>5.0</v>
      </c>
      <c r="B84" s="78" t="s">
        <v>211</v>
      </c>
      <c r="C84" s="97"/>
      <c r="D84" s="80">
        <v>434.0</v>
      </c>
      <c r="E84" s="80">
        <v>369.0</v>
      </c>
      <c r="F84" s="81"/>
      <c r="G84" s="96"/>
      <c r="H84" s="81">
        <v>812.0</v>
      </c>
      <c r="I84" s="82">
        <v>0.027267033920928958</v>
      </c>
      <c r="J84" s="82">
        <v>7.254896407316331E-4</v>
      </c>
      <c r="K84" s="82">
        <v>0.006194312217746857</v>
      </c>
      <c r="L84" s="82">
        <v>0.011579376303704786</v>
      </c>
    </row>
    <row r="85" ht="15.0" customHeight="1">
      <c r="A85" s="77">
        <v>7.0</v>
      </c>
      <c r="B85" s="94" t="s">
        <v>221</v>
      </c>
      <c r="C85" s="95" t="s">
        <v>225</v>
      </c>
      <c r="D85" s="80">
        <v>131.0</v>
      </c>
      <c r="E85" s="80">
        <v>131.0</v>
      </c>
      <c r="F85" s="81">
        <v>23117.0</v>
      </c>
      <c r="G85" s="96">
        <v>0.176347</v>
      </c>
      <c r="H85" s="81">
        <v>11558.5</v>
      </c>
      <c r="I85" s="82">
        <v>0.3881354822352923</v>
      </c>
      <c r="J85" s="82">
        <v>0.010327059128567217</v>
      </c>
      <c r="K85" s="82">
        <v>0.08817359331136336</v>
      </c>
      <c r="L85" s="82">
        <v>0.16482785838223124</v>
      </c>
    </row>
    <row r="86" ht="15.0" customHeight="1">
      <c r="A86" s="77">
        <v>11.0</v>
      </c>
      <c r="B86" s="78" t="s">
        <v>228</v>
      </c>
      <c r="C86" s="97" t="s">
        <v>228</v>
      </c>
      <c r="D86" s="80">
        <v>0.0</v>
      </c>
      <c r="E86" s="80">
        <v>334.0</v>
      </c>
      <c r="F86" s="81"/>
      <c r="G86" s="96"/>
      <c r="H86" s="81">
        <v>506.0</v>
      </c>
      <c r="I86" s="82">
        <v>0.01699152606402716</v>
      </c>
      <c r="J86" s="82">
        <v>4.520908352342442E-4</v>
      </c>
      <c r="K86" s="82">
        <v>0.003860002441108263</v>
      </c>
      <c r="L86" s="82">
        <v>0.007215719716348057</v>
      </c>
    </row>
    <row r="87" ht="15.0" customHeight="1">
      <c r="A87" s="77">
        <v>12.0</v>
      </c>
      <c r="B87" s="78" t="s">
        <v>230</v>
      </c>
      <c r="C87" s="97" t="s">
        <v>234</v>
      </c>
      <c r="D87" s="80">
        <v>200.0</v>
      </c>
      <c r="E87" s="80">
        <v>156.0</v>
      </c>
      <c r="F87" s="81"/>
      <c r="G87" s="96"/>
      <c r="H87" s="81">
        <v>517.6</v>
      </c>
      <c r="I87" s="82">
        <v>0.01738105512004043</v>
      </c>
      <c r="J87" s="82">
        <v>4.6245497295898183E-4</v>
      </c>
      <c r="K87" s="82">
        <v>0.003948492615647504</v>
      </c>
      <c r="L87" s="82">
        <v>0.007381139377829554</v>
      </c>
    </row>
    <row r="88" ht="15.0" customHeight="1">
      <c r="A88" s="93">
        <v>17.0</v>
      </c>
      <c r="B88" s="78" t="s">
        <v>226</v>
      </c>
      <c r="C88" s="97" t="s">
        <v>226</v>
      </c>
      <c r="D88" s="80">
        <v>369.0</v>
      </c>
      <c r="E88" s="80">
        <v>239.0</v>
      </c>
      <c r="F88" s="81"/>
      <c r="G88" s="96"/>
      <c r="H88" s="81">
        <v>699.0</v>
      </c>
      <c r="I88" s="82">
        <v>0.02347248363390313</v>
      </c>
      <c r="J88" s="82">
        <v>6.245286439303097E-4</v>
      </c>
      <c r="K88" s="82">
        <v>0.005332295862321494</v>
      </c>
      <c r="L88" s="82">
        <v>0.009967960635824688</v>
      </c>
    </row>
    <row r="89" ht="15.0" customHeight="1">
      <c r="A89" s="105" t="s">
        <v>237</v>
      </c>
      <c r="B89" s="106"/>
      <c r="C89" s="106"/>
      <c r="D89" s="257">
        <v>5614.0</v>
      </c>
      <c r="E89" s="257">
        <v>5701.0</v>
      </c>
      <c r="F89" s="258">
        <v>52468.0</v>
      </c>
      <c r="G89" s="110">
        <v>0.40025</v>
      </c>
      <c r="H89" s="259">
        <v>29779.550000000003</v>
      </c>
      <c r="I89" s="110">
        <v>1.0</v>
      </c>
      <c r="J89" s="110">
        <v>0.026606841170750867</v>
      </c>
      <c r="K89" s="110">
        <v>0.2271722049310387</v>
      </c>
      <c r="L89" s="110">
        <v>0.42466578276476835</v>
      </c>
    </row>
    <row r="90" ht="15.0" customHeight="1">
      <c r="F90" s="63">
        <v>131088.0</v>
      </c>
      <c r="H90" s="63">
        <v>29779.55</v>
      </c>
      <c r="J90" s="63">
        <v>1119244.1</v>
      </c>
      <c r="L90" s="63">
        <v>70124.67500000005</v>
      </c>
    </row>
    <row r="91" ht="15.0" customHeight="1">
      <c r="H91" s="112">
        <v>3.637978807091713E-12</v>
      </c>
    </row>
    <row r="92" ht="15.0" customHeight="1">
      <c r="A92" s="70" t="s">
        <v>522</v>
      </c>
      <c r="B92" s="71"/>
      <c r="C92" s="71"/>
      <c r="D92" s="71"/>
      <c r="E92" s="71"/>
      <c r="F92" s="71"/>
      <c r="G92" s="71"/>
      <c r="H92" s="71"/>
      <c r="I92" s="71"/>
      <c r="J92" s="71"/>
      <c r="K92" s="71"/>
      <c r="L92" s="72"/>
    </row>
    <row r="93" ht="15.0" customHeight="1">
      <c r="A93" s="73" t="s">
        <v>174</v>
      </c>
      <c r="B93" s="74" t="s">
        <v>175</v>
      </c>
      <c r="C93" s="74" t="s">
        <v>176</v>
      </c>
      <c r="D93" s="74" t="s">
        <v>177</v>
      </c>
      <c r="E93" s="75" t="s">
        <v>178</v>
      </c>
      <c r="F93" s="74" t="s">
        <v>179</v>
      </c>
      <c r="G93" s="76" t="s">
        <v>180</v>
      </c>
      <c r="H93" s="74" t="s">
        <v>181</v>
      </c>
      <c r="I93" s="74" t="s">
        <v>182</v>
      </c>
      <c r="J93" s="74" t="s">
        <v>183</v>
      </c>
      <c r="K93" s="74" t="s">
        <v>184</v>
      </c>
      <c r="L93" s="74" t="s">
        <v>185</v>
      </c>
    </row>
    <row r="94" ht="15.0" customHeight="1">
      <c r="A94" s="77">
        <v>1.0</v>
      </c>
      <c r="B94" s="78" t="s">
        <v>187</v>
      </c>
      <c r="C94" s="79" t="s">
        <v>188</v>
      </c>
      <c r="D94" s="80">
        <v>590.0</v>
      </c>
      <c r="E94" s="80">
        <v>590.0</v>
      </c>
      <c r="F94" s="81"/>
      <c r="G94" s="96"/>
      <c r="H94" s="81">
        <v>4501.7699999999995</v>
      </c>
      <c r="I94" s="82">
        <v>0.1297209589006754</v>
      </c>
      <c r="J94" s="82">
        <v>0.0031838686196551773</v>
      </c>
      <c r="K94" s="82">
        <v>0.02717377132302343</v>
      </c>
      <c r="L94" s="82">
        <v>0.07285756734571261</v>
      </c>
    </row>
    <row r="95" ht="15.0" customHeight="1">
      <c r="A95" s="84"/>
      <c r="B95" s="85" t="s">
        <v>189</v>
      </c>
      <c r="C95" s="86" t="s">
        <v>188</v>
      </c>
      <c r="D95" s="87">
        <v>579.0</v>
      </c>
      <c r="E95" s="87">
        <v>579.0</v>
      </c>
      <c r="F95" s="88"/>
      <c r="G95" s="89"/>
      <c r="H95" s="88">
        <v>4494.99</v>
      </c>
      <c r="I95" s="90">
        <v>0.12952558950122883</v>
      </c>
      <c r="J95" s="90">
        <v>0.003179073477024332</v>
      </c>
      <c r="K95" s="90">
        <v>0.027132845605012494</v>
      </c>
      <c r="L95" s="90">
        <v>0.07274783843761559</v>
      </c>
    </row>
    <row r="96" ht="15.0" customHeight="1">
      <c r="A96" s="20"/>
      <c r="B96" s="85" t="s">
        <v>190</v>
      </c>
      <c r="C96" s="92"/>
      <c r="D96" s="87">
        <v>11.0</v>
      </c>
      <c r="E96" s="87">
        <v>11.0</v>
      </c>
      <c r="F96" s="88"/>
      <c r="G96" s="89"/>
      <c r="H96" s="88">
        <v>6.78</v>
      </c>
      <c r="I96" s="90">
        <v>1.9536939944656866E-4</v>
      </c>
      <c r="J96" s="90">
        <v>4.795142630845668E-6</v>
      </c>
      <c r="K96" s="90">
        <v>4.092571801093767E-5</v>
      </c>
      <c r="L96" s="90">
        <v>1.0972890809702218E-4</v>
      </c>
    </row>
    <row r="97" ht="15.0" customHeight="1">
      <c r="A97" s="77">
        <v>3.0</v>
      </c>
      <c r="B97" s="78" t="s">
        <v>197</v>
      </c>
      <c r="C97" s="97" t="s">
        <v>197</v>
      </c>
      <c r="D97" s="80">
        <v>280.0</v>
      </c>
      <c r="E97" s="80">
        <v>267.0</v>
      </c>
      <c r="F97" s="81">
        <v>37273.0</v>
      </c>
      <c r="G97" s="96">
        <v>0.224989</v>
      </c>
      <c r="H97" s="81">
        <v>5826.400000000001</v>
      </c>
      <c r="I97" s="82">
        <v>0.16789089512322827</v>
      </c>
      <c r="J97" s="82">
        <v>0.004120710770554455</v>
      </c>
      <c r="K97" s="82">
        <v>0.03516955802639045</v>
      </c>
      <c r="L97" s="82">
        <v>0.09429565046260917</v>
      </c>
    </row>
    <row r="98" ht="15.0" customHeight="1">
      <c r="A98" s="98"/>
      <c r="B98" s="85" t="s">
        <v>511</v>
      </c>
      <c r="C98" s="99" t="s">
        <v>512</v>
      </c>
      <c r="D98" s="87">
        <v>202.0</v>
      </c>
      <c r="E98" s="87">
        <v>202.0</v>
      </c>
      <c r="F98" s="88">
        <v>27713.0</v>
      </c>
      <c r="G98" s="89">
        <v>0.167282</v>
      </c>
      <c r="H98" s="88">
        <v>5542.6</v>
      </c>
      <c r="I98" s="90">
        <v>0.15971304327028782</v>
      </c>
      <c r="J98" s="90">
        <v>0.003919993738307552</v>
      </c>
      <c r="K98" s="90">
        <v>0.03345647266186182</v>
      </c>
      <c r="L98" s="90">
        <v>0.08970257315907894</v>
      </c>
    </row>
    <row r="99" ht="15.0" customHeight="1">
      <c r="A99" s="20"/>
      <c r="B99" s="85" t="s">
        <v>513</v>
      </c>
      <c r="C99" s="99" t="s">
        <v>514</v>
      </c>
      <c r="D99" s="87">
        <v>78.0</v>
      </c>
      <c r="E99" s="87">
        <v>65.0</v>
      </c>
      <c r="F99" s="88">
        <v>9560.0</v>
      </c>
      <c r="G99" s="89">
        <v>0.057706</v>
      </c>
      <c r="H99" s="88">
        <v>283.8</v>
      </c>
      <c r="I99" s="90">
        <v>0.00817785185294044</v>
      </c>
      <c r="J99" s="90">
        <v>2.0071703224690276E-4</v>
      </c>
      <c r="K99" s="90">
        <v>0.00171308536452863</v>
      </c>
      <c r="L99" s="90">
        <v>0.004593077303530221</v>
      </c>
    </row>
    <row r="100" ht="15.0" customHeight="1">
      <c r="A100" s="77">
        <v>4.0</v>
      </c>
      <c r="B100" s="78" t="s">
        <v>209</v>
      </c>
      <c r="C100" s="97"/>
      <c r="D100" s="80">
        <v>4281.0</v>
      </c>
      <c r="E100" s="80">
        <v>4281.0</v>
      </c>
      <c r="F100" s="81"/>
      <c r="G100" s="96"/>
      <c r="H100" s="81">
        <v>6387.0</v>
      </c>
      <c r="I100" s="82">
        <v>0.18404489000962151</v>
      </c>
      <c r="J100" s="82">
        <v>0.0045171940978187735</v>
      </c>
      <c r="K100" s="82">
        <v>0.038553475064285976</v>
      </c>
      <c r="L100" s="82">
        <v>0.10336851563653107</v>
      </c>
    </row>
    <row r="101" ht="15.0" customHeight="1">
      <c r="A101" s="77">
        <v>5.0</v>
      </c>
      <c r="B101" s="78" t="s">
        <v>211</v>
      </c>
      <c r="C101" s="97"/>
      <c r="D101" s="80">
        <v>628.0</v>
      </c>
      <c r="E101" s="80">
        <v>536.0</v>
      </c>
      <c r="F101" s="81"/>
      <c r="G101" s="96"/>
      <c r="H101" s="81">
        <v>1104.0</v>
      </c>
      <c r="I101" s="82">
        <v>0.03181236238775985</v>
      </c>
      <c r="J101" s="82">
        <v>7.808019859076133E-4</v>
      </c>
      <c r="K101" s="82">
        <v>0.006664010720365072</v>
      </c>
      <c r="L101" s="82">
        <v>0.017867362026417772</v>
      </c>
    </row>
    <row r="102" ht="15.0" customHeight="1">
      <c r="A102" s="77">
        <v>7.0</v>
      </c>
      <c r="B102" s="94" t="s">
        <v>221</v>
      </c>
      <c r="C102" s="95" t="s">
        <v>225</v>
      </c>
      <c r="D102" s="80">
        <v>175.0</v>
      </c>
      <c r="E102" s="80">
        <v>175.0</v>
      </c>
      <c r="F102" s="81">
        <v>29986.0</v>
      </c>
      <c r="G102" s="96">
        <v>0.181003</v>
      </c>
      <c r="H102" s="81">
        <v>14835.5</v>
      </c>
      <c r="I102" s="82">
        <v>0.42749302735834355</v>
      </c>
      <c r="J102" s="82">
        <v>0.010492380309721374</v>
      </c>
      <c r="K102" s="82">
        <v>0.08955066217570291</v>
      </c>
      <c r="L102" s="82">
        <v>0.24010076933235586</v>
      </c>
    </row>
    <row r="103" ht="15.0" customHeight="1">
      <c r="A103" s="77">
        <v>11.0</v>
      </c>
      <c r="B103" s="78" t="s">
        <v>228</v>
      </c>
      <c r="C103" s="97" t="s">
        <v>228</v>
      </c>
      <c r="D103" s="80">
        <v>0.0</v>
      </c>
      <c r="E103" s="80">
        <v>411.0</v>
      </c>
      <c r="F103" s="81"/>
      <c r="G103" s="96"/>
      <c r="H103" s="81">
        <v>605.0</v>
      </c>
      <c r="I103" s="82">
        <v>0.017433405112857528</v>
      </c>
      <c r="J103" s="82">
        <v>4.278851462627772E-4</v>
      </c>
      <c r="K103" s="82">
        <v>0.0036519261646928156</v>
      </c>
      <c r="L103" s="82">
        <v>0.009791443864114811</v>
      </c>
    </row>
    <row r="104" ht="15.0" customHeight="1">
      <c r="A104" s="77">
        <v>12.0</v>
      </c>
      <c r="B104" s="78" t="s">
        <v>230</v>
      </c>
      <c r="C104" s="97" t="s">
        <v>234</v>
      </c>
      <c r="D104" s="80">
        <v>209.0</v>
      </c>
      <c r="E104" s="80">
        <v>165.0</v>
      </c>
      <c r="F104" s="81"/>
      <c r="G104" s="96"/>
      <c r="H104" s="81">
        <v>544.82</v>
      </c>
      <c r="I104" s="82">
        <v>0.015699285576176922</v>
      </c>
      <c r="J104" s="82">
        <v>3.8532295105270464E-4</v>
      </c>
      <c r="K104" s="82">
        <v>0.003288665145533785</v>
      </c>
      <c r="L104" s="82">
        <v>0.008817478423218235</v>
      </c>
    </row>
    <row r="105" ht="15.0" customHeight="1">
      <c r="A105" s="93">
        <v>17.0</v>
      </c>
      <c r="B105" s="78" t="s">
        <v>226</v>
      </c>
      <c r="C105" s="97" t="s">
        <v>226</v>
      </c>
      <c r="D105" s="80">
        <v>468.0</v>
      </c>
      <c r="E105" s="80">
        <v>309.0</v>
      </c>
      <c r="F105" s="81"/>
      <c r="G105" s="96"/>
      <c r="H105" s="81">
        <v>899.0</v>
      </c>
      <c r="I105" s="82">
        <v>0.02590517553133705</v>
      </c>
      <c r="J105" s="82">
        <v>6.358161099012177E-4</v>
      </c>
      <c r="K105" s="82">
        <v>0.005426581193485688</v>
      </c>
      <c r="L105" s="82">
        <v>0.014549600055932588</v>
      </c>
    </row>
    <row r="106" ht="15.0" customHeight="1">
      <c r="A106" s="105" t="s">
        <v>237</v>
      </c>
      <c r="B106" s="106"/>
      <c r="C106" s="106"/>
      <c r="D106" s="257">
        <v>6631.0</v>
      </c>
      <c r="E106" s="257">
        <v>6734.0</v>
      </c>
      <c r="F106" s="258">
        <v>67259.0</v>
      </c>
      <c r="G106" s="110">
        <v>0.405992</v>
      </c>
      <c r="H106" s="259">
        <v>34703.49</v>
      </c>
      <c r="I106" s="110">
        <v>1.0</v>
      </c>
      <c r="J106" s="110">
        <v>0.02454397999087409</v>
      </c>
      <c r="K106" s="110">
        <v>0.20947864981348013</v>
      </c>
      <c r="L106" s="110">
        <v>0.561648387146892</v>
      </c>
    </row>
    <row r="107" ht="15.0" customHeight="1">
      <c r="F107" s="63">
        <v>165666.0</v>
      </c>
      <c r="H107" s="63">
        <v>34703.49</v>
      </c>
      <c r="J107" s="63">
        <v>1413930.83</v>
      </c>
      <c r="L107" s="63">
        <v>61788.6400000001</v>
      </c>
    </row>
    <row r="108" ht="15.0" customHeight="1">
      <c r="H108" s="112">
        <v>0.0</v>
      </c>
    </row>
    <row r="109" ht="15.0" customHeight="1">
      <c r="A109" s="70" t="s">
        <v>523</v>
      </c>
      <c r="B109" s="71"/>
      <c r="C109" s="71"/>
      <c r="D109" s="71"/>
      <c r="E109" s="71"/>
      <c r="F109" s="71"/>
      <c r="G109" s="71"/>
      <c r="H109" s="71"/>
      <c r="I109" s="71"/>
      <c r="J109" s="71"/>
      <c r="K109" s="71"/>
      <c r="L109" s="72"/>
    </row>
    <row r="110" ht="15.0" customHeight="1">
      <c r="A110" s="73" t="s">
        <v>174</v>
      </c>
      <c r="B110" s="74" t="s">
        <v>175</v>
      </c>
      <c r="C110" s="74" t="s">
        <v>176</v>
      </c>
      <c r="D110" s="74" t="s">
        <v>177</v>
      </c>
      <c r="E110" s="75" t="s">
        <v>178</v>
      </c>
      <c r="F110" s="74" t="s">
        <v>179</v>
      </c>
      <c r="G110" s="76" t="s">
        <v>180</v>
      </c>
      <c r="H110" s="74" t="s">
        <v>181</v>
      </c>
      <c r="I110" s="74" t="s">
        <v>182</v>
      </c>
      <c r="J110" s="74" t="s">
        <v>183</v>
      </c>
      <c r="K110" s="74" t="s">
        <v>184</v>
      </c>
      <c r="L110" s="74" t="s">
        <v>185</v>
      </c>
    </row>
    <row r="111" ht="15.0" customHeight="1">
      <c r="A111" s="77">
        <v>1.0</v>
      </c>
      <c r="B111" s="78" t="s">
        <v>187</v>
      </c>
      <c r="C111" s="79" t="s">
        <v>188</v>
      </c>
      <c r="D111" s="80">
        <v>711.0</v>
      </c>
      <c r="E111" s="80">
        <v>711.0</v>
      </c>
      <c r="F111" s="81"/>
      <c r="G111" s="96"/>
      <c r="H111" s="81">
        <v>4999.59</v>
      </c>
      <c r="I111" s="82">
        <v>0.14600941078619084</v>
      </c>
      <c r="J111" s="82">
        <v>0.003524630120626717</v>
      </c>
      <c r="K111" s="82">
        <v>0.030964115840063422</v>
      </c>
      <c r="L111" s="82">
        <v>0.06827469023793295</v>
      </c>
    </row>
    <row r="112" ht="15.0" customHeight="1">
      <c r="A112" s="84"/>
      <c r="B112" s="85" t="s">
        <v>189</v>
      </c>
      <c r="C112" s="86" t="s">
        <v>188</v>
      </c>
      <c r="D112" s="87">
        <v>700.0</v>
      </c>
      <c r="E112" s="87">
        <v>700.0</v>
      </c>
      <c r="F112" s="88"/>
      <c r="G112" s="89"/>
      <c r="H112" s="88">
        <v>4975.82</v>
      </c>
      <c r="I112" s="90">
        <v>0.14531522512408898</v>
      </c>
      <c r="J112" s="90">
        <v>0.003507872654921069</v>
      </c>
      <c r="K112" s="90">
        <v>0.03081690036169053</v>
      </c>
      <c r="L112" s="90">
        <v>0.06795008574297323</v>
      </c>
    </row>
    <row r="113" ht="15.0" customHeight="1">
      <c r="A113" s="20"/>
      <c r="B113" s="85" t="s">
        <v>190</v>
      </c>
      <c r="C113" s="92"/>
      <c r="D113" s="87">
        <v>11.0</v>
      </c>
      <c r="E113" s="87">
        <v>11.0</v>
      </c>
      <c r="F113" s="88"/>
      <c r="G113" s="89"/>
      <c r="H113" s="88">
        <v>23.77</v>
      </c>
      <c r="I113" s="90">
        <v>6.941856621018436E-4</v>
      </c>
      <c r="J113" s="90">
        <v>1.6757465705647273E-5</v>
      </c>
      <c r="K113" s="90">
        <v>1.4721547837288806E-4</v>
      </c>
      <c r="L113" s="90">
        <v>3.2460449495971995E-4</v>
      </c>
    </row>
    <row r="114" ht="15.0" customHeight="1">
      <c r="A114" s="77">
        <v>3.0</v>
      </c>
      <c r="B114" s="78" t="s">
        <v>197</v>
      </c>
      <c r="C114" s="97" t="s">
        <v>197</v>
      </c>
      <c r="D114" s="80">
        <v>294.0</v>
      </c>
      <c r="E114" s="80">
        <v>278.0</v>
      </c>
      <c r="F114" s="81">
        <v>36311.0</v>
      </c>
      <c r="G114" s="96">
        <v>0.224886</v>
      </c>
      <c r="H114" s="81">
        <v>5425.67</v>
      </c>
      <c r="I114" s="82">
        <v>0.15845276909112788</v>
      </c>
      <c r="J114" s="82">
        <v>0.003825009632105984</v>
      </c>
      <c r="K114" s="82">
        <v>0.03360297032155775</v>
      </c>
      <c r="L114" s="82">
        <v>0.074093263364245</v>
      </c>
    </row>
    <row r="115" ht="15.0" customHeight="1">
      <c r="A115" s="98"/>
      <c r="B115" s="85" t="s">
        <v>511</v>
      </c>
      <c r="C115" s="99" t="s">
        <v>512</v>
      </c>
      <c r="D115" s="87">
        <v>204.0</v>
      </c>
      <c r="E115" s="87">
        <v>204.0</v>
      </c>
      <c r="F115" s="88">
        <v>25567.0</v>
      </c>
      <c r="G115" s="89">
        <v>0.158345</v>
      </c>
      <c r="H115" s="88">
        <v>5113.4</v>
      </c>
      <c r="I115" s="90">
        <v>0.14933314954108398</v>
      </c>
      <c r="J115" s="90">
        <v>0.0036048643306376424</v>
      </c>
      <c r="K115" s="90">
        <v>0.031668978843581226</v>
      </c>
      <c r="L115" s="90">
        <v>0.06982888618119612</v>
      </c>
    </row>
    <row r="116" ht="15.0" customHeight="1">
      <c r="A116" s="20"/>
      <c r="B116" s="85" t="s">
        <v>513</v>
      </c>
      <c r="C116" s="99" t="s">
        <v>514</v>
      </c>
      <c r="D116" s="87">
        <v>90.0</v>
      </c>
      <c r="E116" s="87">
        <v>74.0</v>
      </c>
      <c r="F116" s="88">
        <v>10744.0</v>
      </c>
      <c r="G116" s="89">
        <v>0.066541</v>
      </c>
      <c r="H116" s="88">
        <v>312.27</v>
      </c>
      <c r="I116" s="90">
        <v>0.009119619550043865</v>
      </c>
      <c r="J116" s="90">
        <v>2.2014530146834135E-4</v>
      </c>
      <c r="K116" s="90">
        <v>0.0019339914779765148</v>
      </c>
      <c r="L116" s="90">
        <v>0.004264377183048874</v>
      </c>
    </row>
    <row r="117" ht="15.0" customHeight="1">
      <c r="A117" s="77">
        <v>4.0</v>
      </c>
      <c r="B117" s="78" t="s">
        <v>209</v>
      </c>
      <c r="C117" s="97"/>
      <c r="D117" s="80">
        <v>4155.0</v>
      </c>
      <c r="E117" s="80">
        <v>4155.0</v>
      </c>
      <c r="F117" s="81"/>
      <c r="G117" s="96"/>
      <c r="H117" s="81">
        <v>5998.0</v>
      </c>
      <c r="I117" s="82">
        <v>0.17516725289385182</v>
      </c>
      <c r="J117" s="82">
        <v>0.004228493029132198</v>
      </c>
      <c r="K117" s="82">
        <v>0.0371475994648962</v>
      </c>
      <c r="L117" s="82">
        <v>0.0819090349502903</v>
      </c>
    </row>
    <row r="118" ht="15.0" customHeight="1">
      <c r="A118" s="77">
        <v>5.0</v>
      </c>
      <c r="B118" s="78" t="s">
        <v>211</v>
      </c>
      <c r="C118" s="97"/>
      <c r="D118" s="80">
        <v>784.0</v>
      </c>
      <c r="E118" s="80">
        <v>642.0</v>
      </c>
      <c r="F118" s="81"/>
      <c r="G118" s="96"/>
      <c r="H118" s="81">
        <v>1479.0</v>
      </c>
      <c r="I118" s="82">
        <v>0.043193125546850085</v>
      </c>
      <c r="J118" s="82">
        <v>0.001042671088710657</v>
      </c>
      <c r="K118" s="82">
        <v>0.009159936580290344</v>
      </c>
      <c r="L118" s="82">
        <v>0.020197309551763812</v>
      </c>
    </row>
    <row r="119" ht="15.0" customHeight="1">
      <c r="A119" s="77">
        <v>7.0</v>
      </c>
      <c r="B119" s="94" t="s">
        <v>221</v>
      </c>
      <c r="C119" s="95" t="s">
        <v>225</v>
      </c>
      <c r="D119" s="80">
        <v>185.0</v>
      </c>
      <c r="E119" s="80">
        <v>185.0</v>
      </c>
      <c r="F119" s="81">
        <v>28823.0</v>
      </c>
      <c r="G119" s="96">
        <v>0.17851</v>
      </c>
      <c r="H119" s="81">
        <v>14191.5</v>
      </c>
      <c r="I119" s="82">
        <v>0.41445249573909604</v>
      </c>
      <c r="J119" s="82">
        <v>0.010004778063175991</v>
      </c>
      <c r="K119" s="82">
        <v>0.08789265718674132</v>
      </c>
      <c r="L119" s="82">
        <v>0.19379994489780672</v>
      </c>
    </row>
    <row r="120" ht="15.0" customHeight="1">
      <c r="A120" s="77">
        <v>11.0</v>
      </c>
      <c r="B120" s="78" t="s">
        <v>228</v>
      </c>
      <c r="C120" s="97" t="s">
        <v>228</v>
      </c>
      <c r="D120" s="80">
        <v>0.0</v>
      </c>
      <c r="E120" s="80">
        <v>426.0</v>
      </c>
      <c r="F120" s="81"/>
      <c r="G120" s="96"/>
      <c r="H120" s="81">
        <v>633.0</v>
      </c>
      <c r="I120" s="82">
        <v>0.01848630728272894</v>
      </c>
      <c r="J120" s="82">
        <v>4.462547661621676E-4</v>
      </c>
      <c r="K120" s="82">
        <v>0.003920378536392013</v>
      </c>
      <c r="L120" s="82">
        <v>0.00864428461546078</v>
      </c>
    </row>
    <row r="121" ht="15.0" customHeight="1">
      <c r="A121" s="77">
        <v>12.0</v>
      </c>
      <c r="B121" s="78" t="s">
        <v>230</v>
      </c>
      <c r="C121" s="97" t="s">
        <v>234</v>
      </c>
      <c r="D121" s="80">
        <v>267.0</v>
      </c>
      <c r="E121" s="80">
        <v>189.0</v>
      </c>
      <c r="F121" s="81"/>
      <c r="G121" s="96"/>
      <c r="H121" s="81">
        <v>727.8</v>
      </c>
      <c r="I121" s="82">
        <v>0.02125487273360209</v>
      </c>
      <c r="J121" s="82">
        <v>5.130872335115728E-4</v>
      </c>
      <c r="K121" s="82">
        <v>0.004507506317197641</v>
      </c>
      <c r="L121" s="82">
        <v>0.009938878899103247</v>
      </c>
    </row>
    <row r="122" ht="15.0" customHeight="1">
      <c r="A122" s="93">
        <v>17.0</v>
      </c>
      <c r="B122" s="78" t="s">
        <v>226</v>
      </c>
      <c r="C122" s="97" t="s">
        <v>226</v>
      </c>
      <c r="D122" s="80">
        <v>436.0</v>
      </c>
      <c r="E122" s="80">
        <v>291.0</v>
      </c>
      <c r="F122" s="81"/>
      <c r="G122" s="96"/>
      <c r="H122" s="81">
        <v>787.0</v>
      </c>
      <c r="I122" s="82">
        <v>0.022983765926552414</v>
      </c>
      <c r="J122" s="82">
        <v>5.548222764133111E-4</v>
      </c>
      <c r="K122" s="82">
        <v>0.004874151513650102</v>
      </c>
      <c r="L122" s="82">
        <v>0.010747317523487572</v>
      </c>
    </row>
    <row r="123" ht="15.0" customHeight="1">
      <c r="A123" s="105" t="s">
        <v>237</v>
      </c>
      <c r="B123" s="106"/>
      <c r="C123" s="106"/>
      <c r="D123" s="257">
        <v>6832.0</v>
      </c>
      <c r="E123" s="257">
        <v>6877.0</v>
      </c>
      <c r="F123" s="258">
        <v>65134.0</v>
      </c>
      <c r="G123" s="110">
        <v>0.403396</v>
      </c>
      <c r="H123" s="259">
        <v>34241.56</v>
      </c>
      <c r="I123" s="110">
        <v>1.0</v>
      </c>
      <c r="J123" s="110">
        <v>0.024139746209838598</v>
      </c>
      <c r="K123" s="110">
        <v>0.21206931576078877</v>
      </c>
      <c r="L123" s="110">
        <v>0.46760472404009035</v>
      </c>
    </row>
    <row r="124" ht="15.0" customHeight="1">
      <c r="F124" s="63">
        <v>161464.0</v>
      </c>
      <c r="H124" s="63">
        <v>34241.56</v>
      </c>
      <c r="J124" s="63">
        <v>1418472.245</v>
      </c>
      <c r="L124" s="63">
        <v>73227.57499999995</v>
      </c>
    </row>
    <row r="125" ht="15.0" customHeight="1">
      <c r="H125" s="112">
        <v>0.0</v>
      </c>
    </row>
    <row r="126" ht="15.0" customHeight="1">
      <c r="A126" s="70" t="s">
        <v>524</v>
      </c>
      <c r="B126" s="71"/>
      <c r="C126" s="71"/>
      <c r="D126" s="71"/>
      <c r="E126" s="71"/>
      <c r="F126" s="71"/>
      <c r="G126" s="71"/>
      <c r="H126" s="71"/>
      <c r="I126" s="71"/>
      <c r="J126" s="71"/>
      <c r="K126" s="71"/>
      <c r="L126" s="72"/>
    </row>
    <row r="127" ht="15.0" customHeight="1">
      <c r="A127" s="73" t="s">
        <v>174</v>
      </c>
      <c r="B127" s="74" t="s">
        <v>175</v>
      </c>
      <c r="C127" s="74" t="s">
        <v>176</v>
      </c>
      <c r="D127" s="74" t="s">
        <v>177</v>
      </c>
      <c r="E127" s="75" t="s">
        <v>178</v>
      </c>
      <c r="F127" s="74" t="s">
        <v>179</v>
      </c>
      <c r="G127" s="76" t="s">
        <v>180</v>
      </c>
      <c r="H127" s="74" t="s">
        <v>181</v>
      </c>
      <c r="I127" s="74" t="s">
        <v>182</v>
      </c>
      <c r="J127" s="74" t="s">
        <v>183</v>
      </c>
      <c r="K127" s="74" t="s">
        <v>184</v>
      </c>
      <c r="L127" s="74" t="s">
        <v>185</v>
      </c>
    </row>
    <row r="128" ht="15.0" customHeight="1">
      <c r="A128" s="77">
        <v>1.0</v>
      </c>
      <c r="B128" s="78" t="s">
        <v>187</v>
      </c>
      <c r="C128" s="79" t="s">
        <v>188</v>
      </c>
      <c r="D128" s="80">
        <v>1064.0</v>
      </c>
      <c r="E128" s="80">
        <v>1064.0</v>
      </c>
      <c r="F128" s="81"/>
      <c r="G128" s="96"/>
      <c r="H128" s="81">
        <v>8380.11</v>
      </c>
      <c r="I128" s="82">
        <v>0.1871102804138968</v>
      </c>
      <c r="J128" s="82">
        <v>0.004550311944631164</v>
      </c>
      <c r="K128" s="82">
        <v>0.044824688558086793</v>
      </c>
      <c r="L128" s="82">
        <v>0.14922543134798805</v>
      </c>
    </row>
    <row r="129" ht="15.0" customHeight="1">
      <c r="A129" s="84"/>
      <c r="B129" s="85" t="s">
        <v>189</v>
      </c>
      <c r="C129" s="86" t="s">
        <v>188</v>
      </c>
      <c r="D129" s="87">
        <v>992.0</v>
      </c>
      <c r="E129" s="87">
        <v>992.0</v>
      </c>
      <c r="F129" s="88"/>
      <c r="G129" s="89"/>
      <c r="H129" s="88">
        <v>8040.98</v>
      </c>
      <c r="I129" s="90">
        <v>0.1795382187826336</v>
      </c>
      <c r="J129" s="90">
        <v>0.004366167907168318</v>
      </c>
      <c r="K129" s="90">
        <v>0.0430107032248747</v>
      </c>
      <c r="L129" s="90">
        <v>0.1431865105542224</v>
      </c>
    </row>
    <row r="130" ht="15.0" customHeight="1">
      <c r="A130" s="11"/>
      <c r="B130" s="85" t="s">
        <v>190</v>
      </c>
      <c r="C130" s="91"/>
      <c r="D130" s="87">
        <v>71.0</v>
      </c>
      <c r="E130" s="87">
        <v>71.0</v>
      </c>
      <c r="F130" s="88"/>
      <c r="G130" s="89"/>
      <c r="H130" s="88">
        <v>338.7</v>
      </c>
      <c r="I130" s="90">
        <v>0.00756246063311661</v>
      </c>
      <c r="J130" s="90">
        <v>1.8391055196728621E-4</v>
      </c>
      <c r="K130" s="90">
        <v>0.001811685289885693</v>
      </c>
      <c r="L130" s="90">
        <v>0.006031263742070635</v>
      </c>
    </row>
    <row r="131" ht="15.0" customHeight="1">
      <c r="A131" s="20"/>
      <c r="B131" s="85" t="s">
        <v>191</v>
      </c>
      <c r="C131" s="92"/>
      <c r="D131" s="87">
        <v>1.0</v>
      </c>
      <c r="E131" s="87">
        <v>1.0</v>
      </c>
      <c r="F131" s="88"/>
      <c r="G131" s="89"/>
      <c r="H131" s="88">
        <v>0.43</v>
      </c>
      <c r="I131" s="90">
        <v>9.6009981465608E-6</v>
      </c>
      <c r="J131" s="90">
        <v>2.3348549555929458E-7</v>
      </c>
      <c r="K131" s="90">
        <v>2.3000433263975437E-6</v>
      </c>
      <c r="L131" s="90">
        <v>7.65705169498191E-6</v>
      </c>
    </row>
    <row r="132" ht="15.0" customHeight="1">
      <c r="A132" s="77">
        <v>3.0</v>
      </c>
      <c r="B132" s="78" t="s">
        <v>197</v>
      </c>
      <c r="C132" s="97" t="s">
        <v>197</v>
      </c>
      <c r="D132" s="80">
        <v>359.0</v>
      </c>
      <c r="E132" s="80">
        <v>315.0</v>
      </c>
      <c r="F132" s="81">
        <v>55138.0</v>
      </c>
      <c r="G132" s="96">
        <v>0.29493</v>
      </c>
      <c r="H132" s="81">
        <v>7386.32</v>
      </c>
      <c r="I132" s="82">
        <v>0.1649210340230348</v>
      </c>
      <c r="J132" s="82">
        <v>0.0040106943850221595</v>
      </c>
      <c r="K132" s="82">
        <v>0.039508967494503965</v>
      </c>
      <c r="L132" s="82">
        <v>0.13152891645506692</v>
      </c>
    </row>
    <row r="133" ht="15.0" customHeight="1">
      <c r="A133" s="98"/>
      <c r="B133" s="85" t="s">
        <v>511</v>
      </c>
      <c r="C133" s="99" t="s">
        <v>512</v>
      </c>
      <c r="D133" s="87">
        <v>239.0</v>
      </c>
      <c r="E133" s="87">
        <v>239.0</v>
      </c>
      <c r="F133" s="88">
        <v>33754.0</v>
      </c>
      <c r="G133" s="89">
        <v>0.180548</v>
      </c>
      <c r="H133" s="88">
        <v>6750.8</v>
      </c>
      <c r="I133" s="90">
        <v>0.15073120532047127</v>
      </c>
      <c r="J133" s="90">
        <v>0.003665613682376014</v>
      </c>
      <c r="K133" s="90">
        <v>0.03610961043684777</v>
      </c>
      <c r="L133" s="90">
        <v>0.12021215019182298</v>
      </c>
    </row>
    <row r="134" ht="15.0" customHeight="1">
      <c r="A134" s="20"/>
      <c r="B134" s="85" t="s">
        <v>513</v>
      </c>
      <c r="C134" s="99" t="s">
        <v>514</v>
      </c>
      <c r="D134" s="87">
        <v>120.0</v>
      </c>
      <c r="E134" s="87">
        <v>76.0</v>
      </c>
      <c r="F134" s="88">
        <v>21384.0</v>
      </c>
      <c r="G134" s="89">
        <v>0.114382</v>
      </c>
      <c r="H134" s="88">
        <v>635.52</v>
      </c>
      <c r="I134" s="90">
        <v>0.014189828702563533</v>
      </c>
      <c r="J134" s="90">
        <v>3.450807026461463E-4</v>
      </c>
      <c r="K134" s="90">
        <v>0.0033993570576562023</v>
      </c>
      <c r="L134" s="90">
        <v>0.011316766263243962</v>
      </c>
    </row>
    <row r="135" ht="15.0" customHeight="1">
      <c r="A135" s="77">
        <v>4.0</v>
      </c>
      <c r="B135" s="78" t="s">
        <v>209</v>
      </c>
      <c r="C135" s="97"/>
      <c r="D135" s="80">
        <v>4281.0</v>
      </c>
      <c r="E135" s="80">
        <v>4281.0</v>
      </c>
      <c r="F135" s="81"/>
      <c r="G135" s="96"/>
      <c r="H135" s="81">
        <v>6099.0</v>
      </c>
      <c r="I135" s="82">
        <v>0.1361778783624984</v>
      </c>
      <c r="J135" s="82">
        <v>0.003311693110270088</v>
      </c>
      <c r="K135" s="82">
        <v>0.03262317266906656</v>
      </c>
      <c r="L135" s="82">
        <v>0.10860548438998761</v>
      </c>
    </row>
    <row r="136" ht="15.0" customHeight="1">
      <c r="A136" s="77">
        <v>5.0</v>
      </c>
      <c r="B136" s="78" t="s">
        <v>211</v>
      </c>
      <c r="C136" s="97"/>
      <c r="D136" s="80">
        <v>966.0</v>
      </c>
      <c r="E136" s="80">
        <v>789.0</v>
      </c>
      <c r="F136" s="81"/>
      <c r="G136" s="96"/>
      <c r="H136" s="81">
        <v>1739.0</v>
      </c>
      <c r="I136" s="82">
        <v>0.038828222736905185</v>
      </c>
      <c r="J136" s="82">
        <v>9.442587832037519E-4</v>
      </c>
      <c r="K136" s="82">
        <v>0.009301803126989137</v>
      </c>
      <c r="L136" s="82">
        <v>0.030966541622264053</v>
      </c>
    </row>
    <row r="137" ht="15.0" customHeight="1">
      <c r="A137" s="77">
        <v>7.0</v>
      </c>
      <c r="B137" s="94" t="s">
        <v>221</v>
      </c>
      <c r="C137" s="95" t="s">
        <v>225</v>
      </c>
      <c r="D137" s="80">
        <v>245.0</v>
      </c>
      <c r="E137" s="80">
        <v>245.0</v>
      </c>
      <c r="F137" s="81">
        <v>35483.0</v>
      </c>
      <c r="G137" s="96">
        <v>0.189796</v>
      </c>
      <c r="H137" s="81">
        <v>17731.5</v>
      </c>
      <c r="I137" s="82">
        <v>0.3959072061296344</v>
      </c>
      <c r="J137" s="82">
        <v>0.009628018754673564</v>
      </c>
      <c r="K137" s="82">
        <v>0.09484469358608848</v>
      </c>
      <c r="L137" s="82">
        <v>0.31574653983621337</v>
      </c>
    </row>
    <row r="138" ht="15.0" customHeight="1">
      <c r="A138" s="77">
        <v>11.0</v>
      </c>
      <c r="B138" s="78" t="s">
        <v>228</v>
      </c>
      <c r="C138" s="97" t="s">
        <v>228</v>
      </c>
      <c r="D138" s="80">
        <v>0.0</v>
      </c>
      <c r="E138" s="80">
        <v>516.0</v>
      </c>
      <c r="F138" s="81"/>
      <c r="G138" s="96"/>
      <c r="H138" s="81">
        <v>833.0</v>
      </c>
      <c r="I138" s="82">
        <v>0.018599142921128246</v>
      </c>
      <c r="J138" s="82">
        <v>4.5231027395556373E-4</v>
      </c>
      <c r="K138" s="82">
        <v>0.004455665327649195</v>
      </c>
      <c r="L138" s="82">
        <v>0.014833311771906816</v>
      </c>
    </row>
    <row r="139" ht="15.0" customHeight="1">
      <c r="A139" s="77">
        <v>12.0</v>
      </c>
      <c r="B139" s="78" t="s">
        <v>230</v>
      </c>
      <c r="C139" s="97" t="s">
        <v>234</v>
      </c>
      <c r="D139" s="80">
        <v>361.0</v>
      </c>
      <c r="E139" s="80">
        <v>240.0</v>
      </c>
      <c r="F139" s="81"/>
      <c r="G139" s="96"/>
      <c r="H139" s="81">
        <v>1484.08</v>
      </c>
      <c r="I139" s="82">
        <v>0.03313639378918128</v>
      </c>
      <c r="J139" s="82">
        <v>8.05839893603809E-4</v>
      </c>
      <c r="K139" s="82">
        <v>0.007938251860093178</v>
      </c>
      <c r="L139" s="82">
        <v>0.026427156463927334</v>
      </c>
    </row>
    <row r="140" ht="15.0" customHeight="1">
      <c r="A140" s="93">
        <v>17.0</v>
      </c>
      <c r="B140" s="78" t="s">
        <v>226</v>
      </c>
      <c r="C140" s="97" t="s">
        <v>226</v>
      </c>
      <c r="D140" s="80">
        <v>641.0</v>
      </c>
      <c r="E140" s="80">
        <v>418.0</v>
      </c>
      <c r="F140" s="81"/>
      <c r="G140" s="96"/>
      <c r="H140" s="81">
        <v>1134.0</v>
      </c>
      <c r="I140" s="82">
        <v>0.025319841623720807</v>
      </c>
      <c r="J140" s="82">
        <v>6.1575012084707E-4</v>
      </c>
      <c r="K140" s="82">
        <v>0.0060656956561274756</v>
      </c>
      <c r="L140" s="82">
        <v>0.020193247958394153</v>
      </c>
    </row>
    <row r="141" ht="15.0" customHeight="1">
      <c r="A141" s="105" t="s">
        <v>237</v>
      </c>
      <c r="B141" s="106"/>
      <c r="C141" s="106"/>
      <c r="D141" s="257">
        <v>7917.0</v>
      </c>
      <c r="E141" s="257">
        <v>7868.0</v>
      </c>
      <c r="F141" s="258">
        <v>90621.0</v>
      </c>
      <c r="G141" s="110">
        <v>0.484726</v>
      </c>
      <c r="H141" s="259">
        <v>44787.01</v>
      </c>
      <c r="I141" s="110">
        <v>1.0</v>
      </c>
      <c r="J141" s="110">
        <v>0.02431887726620717</v>
      </c>
      <c r="K141" s="110">
        <v>0.23956293827860478</v>
      </c>
      <c r="L141" s="110">
        <v>0.7975266298457483</v>
      </c>
    </row>
    <row r="142" ht="15.0" customHeight="1">
      <c r="F142" s="63">
        <v>186953.0</v>
      </c>
      <c r="H142" s="63">
        <v>44787.01</v>
      </c>
      <c r="J142" s="63">
        <v>1841656.1549999998</v>
      </c>
      <c r="L142" s="63">
        <v>56157.38499999978</v>
      </c>
    </row>
    <row r="143" ht="15.0" customHeight="1">
      <c r="H143" s="112">
        <v>0.0</v>
      </c>
    </row>
    <row r="144" ht="15.0" customHeight="1">
      <c r="A144" s="70" t="s">
        <v>525</v>
      </c>
      <c r="B144" s="71"/>
      <c r="C144" s="71"/>
      <c r="D144" s="71"/>
      <c r="E144" s="71"/>
      <c r="F144" s="71"/>
      <c r="G144" s="71"/>
      <c r="H144" s="71"/>
      <c r="I144" s="71"/>
      <c r="J144" s="71"/>
      <c r="K144" s="71"/>
      <c r="L144" s="72"/>
    </row>
    <row r="145" ht="15.0" customHeight="1">
      <c r="A145" s="73" t="s">
        <v>174</v>
      </c>
      <c r="B145" s="74" t="s">
        <v>175</v>
      </c>
      <c r="C145" s="74" t="s">
        <v>176</v>
      </c>
      <c r="D145" s="74" t="s">
        <v>177</v>
      </c>
      <c r="E145" s="75" t="s">
        <v>178</v>
      </c>
      <c r="F145" s="74" t="s">
        <v>179</v>
      </c>
      <c r="G145" s="76" t="s">
        <v>180</v>
      </c>
      <c r="H145" s="74" t="s">
        <v>181</v>
      </c>
      <c r="I145" s="74" t="s">
        <v>182</v>
      </c>
      <c r="J145" s="74" t="s">
        <v>183</v>
      </c>
      <c r="K145" s="74" t="s">
        <v>184</v>
      </c>
      <c r="L145" s="74" t="s">
        <v>185</v>
      </c>
    </row>
    <row r="146" ht="15.0" customHeight="1">
      <c r="A146" s="77">
        <v>1.0</v>
      </c>
      <c r="B146" s="78" t="s">
        <v>187</v>
      </c>
      <c r="C146" s="79" t="s">
        <v>188</v>
      </c>
      <c r="D146" s="80">
        <v>1639.0</v>
      </c>
      <c r="E146" s="80">
        <v>1639.0</v>
      </c>
      <c r="F146" s="81"/>
      <c r="G146" s="96"/>
      <c r="H146" s="81">
        <v>10456.46</v>
      </c>
      <c r="I146" s="82">
        <v>0.054776581778399384</v>
      </c>
      <c r="J146" s="82">
        <v>0.0022618547725254453</v>
      </c>
      <c r="K146" s="82">
        <v>0.023658166301266343</v>
      </c>
      <c r="L146" s="82">
        <v>0.0700875684058519</v>
      </c>
    </row>
    <row r="147" ht="15.0" customHeight="1">
      <c r="A147" s="84"/>
      <c r="B147" s="85" t="s">
        <v>189</v>
      </c>
      <c r="C147" s="86" t="s">
        <v>188</v>
      </c>
      <c r="D147" s="87">
        <v>1454.0</v>
      </c>
      <c r="E147" s="87">
        <v>1454.0</v>
      </c>
      <c r="F147" s="88"/>
      <c r="G147" s="89"/>
      <c r="H147" s="88">
        <v>9569.23</v>
      </c>
      <c r="I147" s="90">
        <v>0.05012879212002081</v>
      </c>
      <c r="J147" s="90">
        <v>0.0020699365315693524</v>
      </c>
      <c r="K147" s="90">
        <v>0.021650772318267075</v>
      </c>
      <c r="L147" s="90">
        <v>0.06414064245608267</v>
      </c>
    </row>
    <row r="148" ht="15.0" customHeight="1">
      <c r="A148" s="20"/>
      <c r="B148" s="85" t="s">
        <v>190</v>
      </c>
      <c r="C148" s="92"/>
      <c r="D148" s="87">
        <v>185.0</v>
      </c>
      <c r="E148" s="87">
        <v>185.0</v>
      </c>
      <c r="F148" s="88"/>
      <c r="G148" s="89"/>
      <c r="H148" s="88">
        <v>887.23</v>
      </c>
      <c r="I148" s="90">
        <v>0.00464778965837858</v>
      </c>
      <c r="J148" s="90">
        <v>1.9191824095609328E-4</v>
      </c>
      <c r="K148" s="90">
        <v>0.0020073939829992693</v>
      </c>
      <c r="L148" s="90">
        <v>0.005946925949769232</v>
      </c>
    </row>
    <row r="149" ht="15.0" customHeight="1">
      <c r="A149" s="77">
        <v>3.0</v>
      </c>
      <c r="B149" s="78" t="s">
        <v>197</v>
      </c>
      <c r="C149" s="97" t="s">
        <v>197</v>
      </c>
      <c r="D149" s="80">
        <v>422.0</v>
      </c>
      <c r="E149" s="80">
        <v>398.0</v>
      </c>
      <c r="F149" s="81">
        <v>57374.0</v>
      </c>
      <c r="G149" s="96">
        <v>0.129811</v>
      </c>
      <c r="H149" s="81">
        <v>9068.62</v>
      </c>
      <c r="I149" s="82">
        <v>0.047506326715468554</v>
      </c>
      <c r="J149" s="82">
        <v>0.0019616487250197208</v>
      </c>
      <c r="K149" s="82">
        <v>0.020518121819716233</v>
      </c>
      <c r="L149" s="82">
        <v>0.06078515334985996</v>
      </c>
    </row>
    <row r="150" ht="15.0" customHeight="1">
      <c r="A150" s="98"/>
      <c r="B150" s="85" t="s">
        <v>511</v>
      </c>
      <c r="C150" s="99" t="s">
        <v>512</v>
      </c>
      <c r="D150" s="87">
        <v>316.0</v>
      </c>
      <c r="E150" s="87">
        <v>316.0</v>
      </c>
      <c r="F150" s="88">
        <v>43220.0</v>
      </c>
      <c r="G150" s="89">
        <v>0.097787</v>
      </c>
      <c r="H150" s="88">
        <v>8644.0</v>
      </c>
      <c r="I150" s="90">
        <v>0.04528193794960095</v>
      </c>
      <c r="J150" s="90">
        <v>0.0018697984455264929</v>
      </c>
      <c r="K150" s="90">
        <v>0.019557401788764677</v>
      </c>
      <c r="L150" s="90">
        <v>0.05793901007608539</v>
      </c>
    </row>
    <row r="151" ht="15.0" customHeight="1">
      <c r="A151" s="20"/>
      <c r="B151" s="85" t="s">
        <v>513</v>
      </c>
      <c r="C151" s="99" t="s">
        <v>514</v>
      </c>
      <c r="D151" s="87">
        <v>106.0</v>
      </c>
      <c r="E151" s="87">
        <v>82.0</v>
      </c>
      <c r="F151" s="88">
        <v>14154.0</v>
      </c>
      <c r="G151" s="89">
        <v>0.032024</v>
      </c>
      <c r="H151" s="88">
        <v>424.62</v>
      </c>
      <c r="I151" s="90">
        <v>0.0022243887658676023</v>
      </c>
      <c r="J151" s="90">
        <v>9.18502794932276E-5</v>
      </c>
      <c r="K151" s="90">
        <v>9.607200309515567E-4</v>
      </c>
      <c r="L151" s="90">
        <v>0.0028461432737745696</v>
      </c>
    </row>
    <row r="152" ht="15.0" customHeight="1">
      <c r="A152" s="77">
        <v>4.0</v>
      </c>
      <c r="B152" s="78" t="s">
        <v>209</v>
      </c>
      <c r="C152" s="97"/>
      <c r="D152" s="80">
        <v>5364.0</v>
      </c>
      <c r="E152" s="80">
        <v>5364.0</v>
      </c>
      <c r="F152" s="81"/>
      <c r="G152" s="96"/>
      <c r="H152" s="81">
        <v>6829.0</v>
      </c>
      <c r="I152" s="82">
        <v>0.03577398822973448</v>
      </c>
      <c r="J152" s="82">
        <v>0.0014771926867770038</v>
      </c>
      <c r="K152" s="82">
        <v>0.015450890422891482</v>
      </c>
      <c r="L152" s="82">
        <v>0.04577342663229837</v>
      </c>
    </row>
    <row r="153" ht="15.0" customHeight="1">
      <c r="A153" s="77">
        <v>5.0</v>
      </c>
      <c r="B153" s="78" t="s">
        <v>211</v>
      </c>
      <c r="C153" s="97"/>
      <c r="D153" s="80">
        <v>1397.0</v>
      </c>
      <c r="E153" s="80">
        <v>1087.0</v>
      </c>
      <c r="F153" s="81"/>
      <c r="G153" s="96"/>
      <c r="H153" s="81">
        <v>2656.0</v>
      </c>
      <c r="I153" s="82">
        <v>0.013913561683727454</v>
      </c>
      <c r="J153" s="82">
        <v>5.74523909222393E-4</v>
      </c>
      <c r="K153" s="82">
        <v>0.006009308092429313</v>
      </c>
      <c r="L153" s="82">
        <v>0.017802638912781443</v>
      </c>
    </row>
    <row r="154" ht="15.0" customHeight="1">
      <c r="A154" s="77">
        <v>7.0</v>
      </c>
      <c r="B154" s="94" t="s">
        <v>221</v>
      </c>
      <c r="C154" s="95" t="s">
        <v>225</v>
      </c>
      <c r="D154" s="80">
        <v>769.0</v>
      </c>
      <c r="E154" s="80">
        <v>769.0</v>
      </c>
      <c r="F154" s="81">
        <v>146171.0</v>
      </c>
      <c r="G154" s="96">
        <v>0.330718</v>
      </c>
      <c r="H154" s="81">
        <v>141147.5</v>
      </c>
      <c r="I154" s="82">
        <v>0.7394067950880726</v>
      </c>
      <c r="J154" s="82">
        <v>0.030531857483798084</v>
      </c>
      <c r="K154" s="82">
        <v>0.31935196309343616</v>
      </c>
      <c r="L154" s="82">
        <v>0.9460835752792992</v>
      </c>
    </row>
    <row r="155" ht="15.0" customHeight="1">
      <c r="A155" s="77">
        <v>8.0</v>
      </c>
      <c r="B155" s="94" t="s">
        <v>222</v>
      </c>
      <c r="C155" s="95" t="s">
        <v>227</v>
      </c>
      <c r="D155" s="80">
        <v>188.0</v>
      </c>
      <c r="E155" s="80">
        <v>188.0</v>
      </c>
      <c r="F155" s="81">
        <v>32094.0</v>
      </c>
      <c r="G155" s="96">
        <v>0.072614</v>
      </c>
      <c r="H155" s="81">
        <v>15647.0</v>
      </c>
      <c r="I155" s="82">
        <v>0.08196743210289288</v>
      </c>
      <c r="J155" s="82">
        <v>0.0033846293703323734</v>
      </c>
      <c r="K155" s="82">
        <v>0.035401974293012596</v>
      </c>
      <c r="L155" s="82">
        <v>0.1048787240467964</v>
      </c>
    </row>
    <row r="156" ht="15.0" customHeight="1">
      <c r="A156" s="77">
        <v>11.0</v>
      </c>
      <c r="B156" s="78" t="s">
        <v>228</v>
      </c>
      <c r="C156" s="97" t="s">
        <v>228</v>
      </c>
      <c r="D156" s="80">
        <v>0.0</v>
      </c>
      <c r="E156" s="80">
        <v>906.0</v>
      </c>
      <c r="F156" s="81"/>
      <c r="G156" s="96"/>
      <c r="H156" s="81">
        <v>1367.0</v>
      </c>
      <c r="I156" s="82">
        <v>0.0071610838936955684</v>
      </c>
      <c r="J156" s="82">
        <v>2.956981114107723E-4</v>
      </c>
      <c r="K156" s="82">
        <v>0.0030928931334152374</v>
      </c>
      <c r="L156" s="82">
        <v>0.009162728687414244</v>
      </c>
    </row>
    <row r="157" ht="15.0" customHeight="1">
      <c r="A157" s="77">
        <v>12.0</v>
      </c>
      <c r="B157" s="78" t="s">
        <v>230</v>
      </c>
      <c r="C157" s="97" t="s">
        <v>234</v>
      </c>
      <c r="D157" s="80">
        <v>574.0</v>
      </c>
      <c r="E157" s="80">
        <v>340.0</v>
      </c>
      <c r="F157" s="81"/>
      <c r="G157" s="96"/>
      <c r="H157" s="81">
        <v>3721.31</v>
      </c>
      <c r="I157" s="82">
        <v>0.019494230508008966</v>
      </c>
      <c r="J157" s="82">
        <v>8.049629399956263E-4</v>
      </c>
      <c r="K157" s="82">
        <v>0.00841961532283062</v>
      </c>
      <c r="L157" s="82">
        <v>0.024943199628208852</v>
      </c>
    </row>
    <row r="158" ht="15.0" customHeight="1">
      <c r="A158" s="105" t="s">
        <v>237</v>
      </c>
      <c r="B158" s="106"/>
      <c r="C158" s="106"/>
      <c r="D158" s="257">
        <v>10353.0</v>
      </c>
      <c r="E158" s="257">
        <v>10691.0</v>
      </c>
      <c r="F158" s="258">
        <v>235639.0</v>
      </c>
      <c r="G158" s="110">
        <v>0.533143</v>
      </c>
      <c r="H158" s="259">
        <v>190892.89</v>
      </c>
      <c r="I158" s="110">
        <v>1.0</v>
      </c>
      <c r="J158" s="110">
        <v>0.041292367999081425</v>
      </c>
      <c r="K158" s="110">
        <v>0.431902932478998</v>
      </c>
      <c r="L158" s="110">
        <v>1.2795170149425106</v>
      </c>
    </row>
    <row r="159" ht="15.0" customHeight="1">
      <c r="F159" s="63">
        <v>441981.0</v>
      </c>
      <c r="H159" s="63">
        <v>190892.89</v>
      </c>
      <c r="J159" s="63">
        <v>4622958.17</v>
      </c>
      <c r="L159" s="63">
        <v>149191.36500000115</v>
      </c>
    </row>
    <row r="160" ht="15.0" customHeight="1">
      <c r="H160" s="112">
        <v>0.0</v>
      </c>
    </row>
    <row r="161" ht="15.0" customHeight="1">
      <c r="A161" s="70" t="s">
        <v>526</v>
      </c>
      <c r="B161" s="71"/>
      <c r="C161" s="71"/>
      <c r="D161" s="71"/>
      <c r="E161" s="71"/>
      <c r="F161" s="71"/>
      <c r="G161" s="71"/>
      <c r="H161" s="71"/>
      <c r="I161" s="71"/>
      <c r="J161" s="71"/>
      <c r="K161" s="71"/>
      <c r="L161" s="72"/>
    </row>
    <row r="162" ht="15.0" customHeight="1">
      <c r="A162" s="73" t="s">
        <v>174</v>
      </c>
      <c r="B162" s="74" t="s">
        <v>175</v>
      </c>
      <c r="C162" s="74" t="s">
        <v>176</v>
      </c>
      <c r="D162" s="74" t="s">
        <v>177</v>
      </c>
      <c r="E162" s="75" t="s">
        <v>178</v>
      </c>
      <c r="F162" s="74" t="s">
        <v>179</v>
      </c>
      <c r="G162" s="76" t="s">
        <v>180</v>
      </c>
      <c r="H162" s="74" t="s">
        <v>181</v>
      </c>
      <c r="I162" s="74" t="s">
        <v>182</v>
      </c>
      <c r="J162" s="74" t="s">
        <v>183</v>
      </c>
      <c r="K162" s="74" t="s">
        <v>184</v>
      </c>
      <c r="L162" s="74" t="s">
        <v>185</v>
      </c>
    </row>
    <row r="163" ht="15.0" customHeight="1">
      <c r="A163" s="77">
        <v>1.0</v>
      </c>
      <c r="B163" s="78" t="s">
        <v>187</v>
      </c>
      <c r="C163" s="79" t="s">
        <v>188</v>
      </c>
      <c r="D163" s="80">
        <v>1419.0</v>
      </c>
      <c r="E163" s="80">
        <v>1419.0</v>
      </c>
      <c r="F163" s="81"/>
      <c r="G163" s="96"/>
      <c r="H163" s="81">
        <v>7222.36</v>
      </c>
      <c r="I163" s="82">
        <v>0.018014679710620145</v>
      </c>
      <c r="J163" s="82">
        <v>9.066184320494685E-4</v>
      </c>
      <c r="K163" s="82">
        <v>0.013149111723645737</v>
      </c>
      <c r="L163" s="82">
        <v>0.04210044322293849</v>
      </c>
    </row>
    <row r="164" ht="15.0" customHeight="1">
      <c r="A164" s="84"/>
      <c r="B164" s="85" t="s">
        <v>189</v>
      </c>
      <c r="C164" s="86" t="s">
        <v>188</v>
      </c>
      <c r="D164" s="87">
        <v>1324.0</v>
      </c>
      <c r="E164" s="87">
        <v>1324.0</v>
      </c>
      <c r="F164" s="88"/>
      <c r="G164" s="89"/>
      <c r="H164" s="88">
        <v>6929.0</v>
      </c>
      <c r="I164" s="90">
        <v>0.0172829540087848</v>
      </c>
      <c r="J164" s="90">
        <v>8.697931307316123E-4</v>
      </c>
      <c r="K164" s="90">
        <v>0.01261501713195428</v>
      </c>
      <c r="L164" s="90">
        <v>0.04039039470363438</v>
      </c>
    </row>
    <row r="165" ht="15.0" customHeight="1">
      <c r="A165" s="20"/>
      <c r="B165" s="85" t="s">
        <v>190</v>
      </c>
      <c r="C165" s="92"/>
      <c r="D165" s="87">
        <v>95.0</v>
      </c>
      <c r="E165" s="87">
        <v>95.0</v>
      </c>
      <c r="F165" s="88"/>
      <c r="G165" s="89"/>
      <c r="H165" s="88">
        <v>293.36</v>
      </c>
      <c r="I165" s="90">
        <v>7.317257018353455E-4</v>
      </c>
      <c r="J165" s="90">
        <v>3.6825301317856226E-5</v>
      </c>
      <c r="K165" s="90">
        <v>5.340945916914574E-4</v>
      </c>
      <c r="L165" s="90">
        <v>0.0017100485193041106</v>
      </c>
    </row>
    <row r="166" ht="15.0" customHeight="1">
      <c r="A166" s="77">
        <v>2.0</v>
      </c>
      <c r="B166" s="78" t="s">
        <v>429</v>
      </c>
      <c r="C166" s="97" t="s">
        <v>429</v>
      </c>
      <c r="D166" s="80">
        <v>1017.0</v>
      </c>
      <c r="E166" s="80">
        <v>1017.0</v>
      </c>
      <c r="F166" s="81"/>
      <c r="G166" s="96"/>
      <c r="H166" s="81">
        <v>9902.37</v>
      </c>
      <c r="I166" s="82">
        <v>0.024699409047188675</v>
      </c>
      <c r="J166" s="82">
        <v>0.0012430384476782791</v>
      </c>
      <c r="K166" s="82">
        <v>0.018028368768501966</v>
      </c>
      <c r="L166" s="82">
        <v>0.05772270642248925</v>
      </c>
    </row>
    <row r="167" ht="15.0" customHeight="1">
      <c r="A167" s="77">
        <v>3.0</v>
      </c>
      <c r="B167" s="78" t="s">
        <v>197</v>
      </c>
      <c r="C167" s="97" t="s">
        <v>197</v>
      </c>
      <c r="D167" s="80">
        <v>359.0</v>
      </c>
      <c r="E167" s="80">
        <v>326.0</v>
      </c>
      <c r="F167" s="81">
        <v>47382.0</v>
      </c>
      <c r="G167" s="96">
        <v>0.086264</v>
      </c>
      <c r="H167" s="81">
        <v>6977.4</v>
      </c>
      <c r="I167" s="82">
        <v>0.01740367777469982</v>
      </c>
      <c r="J167" s="82">
        <v>8.758687531197505E-4</v>
      </c>
      <c r="K167" s="82">
        <v>0.01270313472889274</v>
      </c>
      <c r="L167" s="82">
        <v>0.04067252706092344</v>
      </c>
    </row>
    <row r="168" ht="15.0" customHeight="1">
      <c r="A168" s="98"/>
      <c r="B168" s="85" t="s">
        <v>511</v>
      </c>
      <c r="C168" s="99" t="s">
        <v>512</v>
      </c>
      <c r="D168" s="87">
        <v>247.0</v>
      </c>
      <c r="E168" s="87">
        <v>247.0</v>
      </c>
      <c r="F168" s="88">
        <v>32682.0</v>
      </c>
      <c r="G168" s="89">
        <v>0.059501</v>
      </c>
      <c r="H168" s="88">
        <v>6536.4</v>
      </c>
      <c r="I168" s="90">
        <v>0.016303694700969974</v>
      </c>
      <c r="J168" s="90">
        <v>8.205102929303088E-4</v>
      </c>
      <c r="K168" s="90">
        <v>0.01190024505430884</v>
      </c>
      <c r="L168" s="90">
        <v>0.03810185826826898</v>
      </c>
    </row>
    <row r="169" ht="15.0" customHeight="1">
      <c r="A169" s="20"/>
      <c r="B169" s="85" t="s">
        <v>513</v>
      </c>
      <c r="C169" s="99" t="s">
        <v>514</v>
      </c>
      <c r="D169" s="87">
        <v>112.0</v>
      </c>
      <c r="E169" s="87">
        <v>79.0</v>
      </c>
      <c r="F169" s="88">
        <v>14700.0</v>
      </c>
      <c r="G169" s="89">
        <v>0.026763</v>
      </c>
      <c r="H169" s="88">
        <v>441.0</v>
      </c>
      <c r="I169" s="90">
        <v>0.001099983073729845</v>
      </c>
      <c r="J169" s="90">
        <v>5.535846018944162E-5</v>
      </c>
      <c r="K169" s="90">
        <v>8.028896745838993E-4</v>
      </c>
      <c r="L169" s="90">
        <v>0.0025706687926544615</v>
      </c>
    </row>
    <row r="170" ht="15.0" customHeight="1">
      <c r="A170" s="77">
        <v>4.0</v>
      </c>
      <c r="B170" s="78" t="s">
        <v>209</v>
      </c>
      <c r="C170" s="97"/>
      <c r="D170" s="80">
        <v>7624.0</v>
      </c>
      <c r="E170" s="80">
        <v>7624.0</v>
      </c>
      <c r="F170" s="81"/>
      <c r="G170" s="96"/>
      <c r="H170" s="81">
        <v>10388.0</v>
      </c>
      <c r="I170" s="82">
        <v>0.025910712403414127</v>
      </c>
      <c r="J170" s="82">
        <v>0.0013039992844624025</v>
      </c>
      <c r="K170" s="82">
        <v>0.01891251233464296</v>
      </c>
      <c r="L170" s="82">
        <v>0.06055353156030509</v>
      </c>
    </row>
    <row r="171" ht="15.0" customHeight="1">
      <c r="A171" s="77">
        <v>5.0</v>
      </c>
      <c r="B171" s="78" t="s">
        <v>211</v>
      </c>
      <c r="C171" s="97"/>
      <c r="D171" s="80">
        <v>1019.0</v>
      </c>
      <c r="E171" s="80">
        <v>801.0</v>
      </c>
      <c r="F171" s="81"/>
      <c r="G171" s="96"/>
      <c r="H171" s="81">
        <v>1662.0</v>
      </c>
      <c r="I171" s="82">
        <v>0.004145514441131525</v>
      </c>
      <c r="J171" s="82">
        <v>2.0862984316292964E-4</v>
      </c>
      <c r="K171" s="82">
        <v>0.0030258563246223142</v>
      </c>
      <c r="L171" s="82">
        <v>0.009688098715173956</v>
      </c>
    </row>
    <row r="172" ht="15.0" customHeight="1">
      <c r="A172" s="77">
        <v>7.0</v>
      </c>
      <c r="B172" s="94" t="s">
        <v>221</v>
      </c>
      <c r="C172" s="95" t="s">
        <v>225</v>
      </c>
      <c r="D172" s="80">
        <v>1560.0</v>
      </c>
      <c r="E172" s="80">
        <v>1560.0</v>
      </c>
      <c r="F172" s="81">
        <v>276911.0</v>
      </c>
      <c r="G172" s="96">
        <v>0.504147</v>
      </c>
      <c r="H172" s="81">
        <v>324410.4</v>
      </c>
      <c r="I172" s="82">
        <v>0.8091744873966633</v>
      </c>
      <c r="J172" s="82">
        <v>0.040723039032745656</v>
      </c>
      <c r="K172" s="82">
        <v>0.5906253072281918</v>
      </c>
      <c r="L172" s="82">
        <v>1.8910469190307277</v>
      </c>
    </row>
    <row r="173" ht="15.0" customHeight="1">
      <c r="A173" s="77">
        <v>8.0</v>
      </c>
      <c r="B173" s="94" t="s">
        <v>222</v>
      </c>
      <c r="C173" s="95" t="s">
        <v>227</v>
      </c>
      <c r="D173" s="80">
        <v>411.0</v>
      </c>
      <c r="E173" s="80">
        <v>411.0</v>
      </c>
      <c r="F173" s="81">
        <v>57636.0</v>
      </c>
      <c r="G173" s="96">
        <v>0.104933</v>
      </c>
      <c r="H173" s="81">
        <v>28807.5</v>
      </c>
      <c r="I173" s="82">
        <v>0.07185433649993767</v>
      </c>
      <c r="J173" s="82">
        <v>0.0036161878501300214</v>
      </c>
      <c r="K173" s="82">
        <v>0.05244726598769995</v>
      </c>
      <c r="L173" s="82">
        <v>0.1679241298058807</v>
      </c>
    </row>
    <row r="174" ht="15.0" customHeight="1">
      <c r="A174" s="77">
        <v>11.0</v>
      </c>
      <c r="B174" s="78" t="s">
        <v>228</v>
      </c>
      <c r="C174" s="97" t="s">
        <v>228</v>
      </c>
      <c r="D174" s="80">
        <v>0.0</v>
      </c>
      <c r="E174" s="80">
        <v>1369.0</v>
      </c>
      <c r="F174" s="81"/>
      <c r="G174" s="96"/>
      <c r="H174" s="81">
        <v>2051.0</v>
      </c>
      <c r="I174" s="82">
        <v>0.005115794295283247</v>
      </c>
      <c r="J174" s="82">
        <v>2.5746077516676817E-4</v>
      </c>
      <c r="K174" s="82">
        <v>0.003734074200842579</v>
      </c>
      <c r="L174" s="82">
        <v>0.011955650099170748</v>
      </c>
    </row>
    <row r="175" ht="15.0" customHeight="1">
      <c r="A175" s="77">
        <v>12.0</v>
      </c>
      <c r="B175" s="78" t="s">
        <v>230</v>
      </c>
      <c r="C175" s="97" t="s">
        <v>234</v>
      </c>
      <c r="D175" s="80">
        <v>886.0</v>
      </c>
      <c r="E175" s="80">
        <v>482.0</v>
      </c>
      <c r="F175" s="81"/>
      <c r="G175" s="96"/>
      <c r="H175" s="81">
        <v>9494.23</v>
      </c>
      <c r="I175" s="82">
        <v>0.023681388431061465</v>
      </c>
      <c r="J175" s="82">
        <v>0.0011918048831845857</v>
      </c>
      <c r="K175" s="82">
        <v>0.017285304388037853</v>
      </c>
      <c r="L175" s="82">
        <v>0.05534358451538269</v>
      </c>
    </row>
    <row r="176" ht="15.0" customHeight="1">
      <c r="A176" s="105" t="s">
        <v>237</v>
      </c>
      <c r="B176" s="106"/>
      <c r="C176" s="106"/>
      <c r="D176" s="257">
        <v>14295.0</v>
      </c>
      <c r="E176" s="257">
        <v>15009.0</v>
      </c>
      <c r="F176" s="258">
        <v>381929.0</v>
      </c>
      <c r="G176" s="110">
        <v>0.6953440000000001</v>
      </c>
      <c r="H176" s="259">
        <v>400915.26</v>
      </c>
      <c r="I176" s="110">
        <v>1.0</v>
      </c>
      <c r="J176" s="110">
        <v>0.050326647301699855</v>
      </c>
      <c r="K176" s="110">
        <v>0.7299109356850779</v>
      </c>
      <c r="L176" s="110">
        <v>2.337007590432992</v>
      </c>
    </row>
    <row r="177" ht="15.0" customHeight="1">
      <c r="F177" s="63">
        <v>549266.0</v>
      </c>
      <c r="H177" s="63">
        <v>400915.26</v>
      </c>
      <c r="J177" s="63">
        <v>7966262.04</v>
      </c>
      <c r="L177" s="63">
        <v>171550.68799999915</v>
      </c>
    </row>
    <row r="178" ht="15.0" customHeight="1">
      <c r="H178" s="112">
        <v>0.0</v>
      </c>
    </row>
    <row r="179" ht="15.0" customHeight="1">
      <c r="A179" s="70" t="s">
        <v>527</v>
      </c>
      <c r="B179" s="71"/>
      <c r="C179" s="71"/>
      <c r="D179" s="71"/>
      <c r="E179" s="71"/>
      <c r="F179" s="71"/>
      <c r="G179" s="71"/>
      <c r="H179" s="71"/>
      <c r="I179" s="71"/>
      <c r="J179" s="71"/>
      <c r="K179" s="71"/>
      <c r="L179" s="72"/>
    </row>
    <row r="180" ht="15.0" customHeight="1">
      <c r="A180" s="73" t="s">
        <v>174</v>
      </c>
      <c r="B180" s="74" t="s">
        <v>175</v>
      </c>
      <c r="C180" s="74" t="s">
        <v>176</v>
      </c>
      <c r="D180" s="74" t="s">
        <v>177</v>
      </c>
      <c r="E180" s="75" t="s">
        <v>178</v>
      </c>
      <c r="F180" s="74" t="s">
        <v>179</v>
      </c>
      <c r="G180" s="76" t="s">
        <v>180</v>
      </c>
      <c r="H180" s="74" t="s">
        <v>181</v>
      </c>
      <c r="I180" s="74" t="s">
        <v>182</v>
      </c>
      <c r="J180" s="74" t="s">
        <v>183</v>
      </c>
      <c r="K180" s="74" t="s">
        <v>184</v>
      </c>
      <c r="L180" s="74" t="s">
        <v>185</v>
      </c>
    </row>
    <row r="181" ht="15.0" customHeight="1">
      <c r="A181" s="77">
        <v>1.0</v>
      </c>
      <c r="B181" s="78" t="s">
        <v>187</v>
      </c>
      <c r="C181" s="79" t="s">
        <v>188</v>
      </c>
      <c r="D181" s="80">
        <v>108.0</v>
      </c>
      <c r="E181" s="80">
        <v>108.0</v>
      </c>
      <c r="F181" s="81"/>
      <c r="G181" s="96"/>
      <c r="H181" s="81">
        <v>245.67000000000002</v>
      </c>
      <c r="I181" s="82">
        <v>4.149069250291374E-4</v>
      </c>
      <c r="J181" s="82">
        <v>3.0420457548310617E-5</v>
      </c>
      <c r="K181" s="82">
        <v>4.4770162701189645E-4</v>
      </c>
      <c r="L181" s="82">
        <v>9.518856870183529E-4</v>
      </c>
    </row>
    <row r="182" ht="15.0" customHeight="1">
      <c r="A182" s="84"/>
      <c r="B182" s="85" t="s">
        <v>189</v>
      </c>
      <c r="C182" s="86" t="s">
        <v>188</v>
      </c>
      <c r="D182" s="87">
        <v>107.0</v>
      </c>
      <c r="E182" s="87">
        <v>107.0</v>
      </c>
      <c r="F182" s="88"/>
      <c r="G182" s="89"/>
      <c r="H182" s="88">
        <v>239.87</v>
      </c>
      <c r="I182" s="90">
        <v>4.051114263310099E-4</v>
      </c>
      <c r="J182" s="90">
        <v>2.9702263817776965E-5</v>
      </c>
      <c r="K182" s="90">
        <v>4.3713188126895267E-4</v>
      </c>
      <c r="L182" s="90">
        <v>9.294127070667655E-4</v>
      </c>
    </row>
    <row r="183" ht="15.0" customHeight="1">
      <c r="A183" s="20"/>
      <c r="B183" s="85" t="s">
        <v>190</v>
      </c>
      <c r="C183" s="92"/>
      <c r="D183" s="87">
        <v>1.0</v>
      </c>
      <c r="E183" s="87">
        <v>1.0</v>
      </c>
      <c r="F183" s="88"/>
      <c r="G183" s="89"/>
      <c r="H183" s="88">
        <v>5.8</v>
      </c>
      <c r="I183" s="90">
        <v>9.795498698127558E-6</v>
      </c>
      <c r="J183" s="90">
        <v>7.18193730533649E-7</v>
      </c>
      <c r="K183" s="90">
        <v>1.0569745742943783E-5</v>
      </c>
      <c r="L183" s="90">
        <v>2.2472979951587275E-5</v>
      </c>
    </row>
    <row r="184" ht="15.0" customHeight="1">
      <c r="A184" s="77">
        <v>2.0</v>
      </c>
      <c r="B184" s="78" t="s">
        <v>429</v>
      </c>
      <c r="C184" s="97" t="s">
        <v>429</v>
      </c>
      <c r="D184" s="80">
        <v>4058.0</v>
      </c>
      <c r="E184" s="80">
        <v>4058.0</v>
      </c>
      <c r="F184" s="81"/>
      <c r="G184" s="96"/>
      <c r="H184" s="81">
        <v>37773.41</v>
      </c>
      <c r="I184" s="82">
        <v>0.06379472215152387</v>
      </c>
      <c r="J184" s="82">
        <v>0.004677349352220181</v>
      </c>
      <c r="K184" s="82">
        <v>0.06883712750758106</v>
      </c>
      <c r="L184" s="82">
        <v>0.14635880786777353</v>
      </c>
    </row>
    <row r="185" ht="15.0" customHeight="1">
      <c r="A185" s="77">
        <v>3.0</v>
      </c>
      <c r="B185" s="78" t="s">
        <v>197</v>
      </c>
      <c r="C185" s="97" t="s">
        <v>197</v>
      </c>
      <c r="D185" s="80">
        <v>220.0</v>
      </c>
      <c r="E185" s="80">
        <v>207.0</v>
      </c>
      <c r="F185" s="81">
        <v>27862.0</v>
      </c>
      <c r="G185" s="96">
        <v>0.050775</v>
      </c>
      <c r="H185" s="81">
        <v>4285.67</v>
      </c>
      <c r="I185" s="82">
        <v>0.007237978432000747</v>
      </c>
      <c r="J185" s="82">
        <v>5.306795388165765E-4</v>
      </c>
      <c r="K185" s="82">
        <v>0.007810076247958946</v>
      </c>
      <c r="L185" s="82">
        <v>0.01660547861881363</v>
      </c>
    </row>
    <row r="186" ht="15.0" customHeight="1">
      <c r="A186" s="98"/>
      <c r="B186" s="85" t="s">
        <v>511</v>
      </c>
      <c r="C186" s="99" t="s">
        <v>512</v>
      </c>
      <c r="D186" s="87">
        <v>168.0</v>
      </c>
      <c r="E186" s="87">
        <v>168.0</v>
      </c>
      <c r="F186" s="88">
        <v>20293.0</v>
      </c>
      <c r="G186" s="89">
        <v>0.036981</v>
      </c>
      <c r="H186" s="88">
        <v>4058.6</v>
      </c>
      <c r="I186" s="90">
        <v>0.006854484657969053</v>
      </c>
      <c r="J186" s="90">
        <v>5.025622542661842E-4</v>
      </c>
      <c r="K186" s="90">
        <v>0.007396270702122697</v>
      </c>
      <c r="L186" s="90">
        <v>0.015725661453708985</v>
      </c>
    </row>
    <row r="187" ht="15.0" customHeight="1">
      <c r="A187" s="20"/>
      <c r="B187" s="85" t="s">
        <v>513</v>
      </c>
      <c r="C187" s="99" t="s">
        <v>514</v>
      </c>
      <c r="D187" s="87">
        <v>52.0</v>
      </c>
      <c r="E187" s="87">
        <v>39.0</v>
      </c>
      <c r="F187" s="88">
        <v>7569.0</v>
      </c>
      <c r="G187" s="89">
        <v>0.013794</v>
      </c>
      <c r="H187" s="88">
        <v>227.07</v>
      </c>
      <c r="I187" s="90">
        <v>3.834937740316939E-4</v>
      </c>
      <c r="J187" s="90">
        <v>2.811728455039236E-5</v>
      </c>
      <c r="K187" s="90">
        <v>4.1380554583624914E-4</v>
      </c>
      <c r="L187" s="90">
        <v>8.798171651046418E-4</v>
      </c>
    </row>
    <row r="188" ht="15.0" customHeight="1">
      <c r="A188" s="77">
        <v>4.0</v>
      </c>
      <c r="B188" s="78" t="s">
        <v>209</v>
      </c>
      <c r="C188" s="97"/>
      <c r="D188" s="80">
        <v>7460.0</v>
      </c>
      <c r="E188" s="80">
        <v>7460.0</v>
      </c>
      <c r="F188" s="81"/>
      <c r="G188" s="96"/>
      <c r="H188" s="81">
        <v>8052.0</v>
      </c>
      <c r="I188" s="82">
        <v>0.013598854399538464</v>
      </c>
      <c r="J188" s="82">
        <v>9.97051020389128E-4</v>
      </c>
      <c r="K188" s="82">
        <v>0.01467372288313506</v>
      </c>
      <c r="L188" s="82">
        <v>0.031198695615548406</v>
      </c>
    </row>
    <row r="189" ht="15.0" customHeight="1">
      <c r="A189" s="77">
        <v>5.0</v>
      </c>
      <c r="B189" s="78" t="s">
        <v>211</v>
      </c>
      <c r="C189" s="97"/>
      <c r="D189" s="80">
        <v>630.0</v>
      </c>
      <c r="E189" s="80">
        <v>501.0</v>
      </c>
      <c r="F189" s="81"/>
      <c r="G189" s="96"/>
      <c r="H189" s="81">
        <v>902.0</v>
      </c>
      <c r="I189" s="82">
        <v>0.0015233689354674236</v>
      </c>
      <c r="J189" s="82">
        <v>1.1169150774850887E-4</v>
      </c>
      <c r="K189" s="82">
        <v>0.0016437777000233263</v>
      </c>
      <c r="L189" s="82">
        <v>0.0034949358476434006</v>
      </c>
    </row>
    <row r="190" ht="15.0" customHeight="1">
      <c r="A190" s="77">
        <v>7.0</v>
      </c>
      <c r="B190" s="94" t="s">
        <v>221</v>
      </c>
      <c r="C190" s="95" t="s">
        <v>225</v>
      </c>
      <c r="D190" s="80">
        <v>1875.0</v>
      </c>
      <c r="E190" s="80">
        <v>1875.0</v>
      </c>
      <c r="F190" s="81">
        <v>308588.0</v>
      </c>
      <c r="G190" s="96">
        <v>0.562361</v>
      </c>
      <c r="H190" s="81">
        <v>346606.8</v>
      </c>
      <c r="I190" s="82">
        <v>0.5853769755451997</v>
      </c>
      <c r="J190" s="82">
        <v>0.04291910874488455</v>
      </c>
      <c r="K190" s="82">
        <v>0.6316458187543736</v>
      </c>
      <c r="L190" s="82">
        <v>1.3429806323247966</v>
      </c>
    </row>
    <row r="191" ht="15.0" customHeight="1">
      <c r="A191" s="77">
        <v>8.0</v>
      </c>
      <c r="B191" s="94" t="s">
        <v>222</v>
      </c>
      <c r="C191" s="95" t="s">
        <v>227</v>
      </c>
      <c r="D191" s="80">
        <v>341.0</v>
      </c>
      <c r="E191" s="80">
        <v>341.0</v>
      </c>
      <c r="F191" s="81">
        <v>54647.0</v>
      </c>
      <c r="G191" s="96">
        <v>0.099587</v>
      </c>
      <c r="H191" s="81">
        <v>27123.5</v>
      </c>
      <c r="I191" s="82">
        <v>0.045808311885976345</v>
      </c>
      <c r="J191" s="82">
        <v>0.003358608215539557</v>
      </c>
      <c r="K191" s="82">
        <v>0.04942905149288547</v>
      </c>
      <c r="L191" s="82">
        <v>0.10509411581325474</v>
      </c>
    </row>
    <row r="192" ht="15.0" customHeight="1">
      <c r="A192" s="77">
        <v>11.0</v>
      </c>
      <c r="B192" s="78" t="s">
        <v>228</v>
      </c>
      <c r="C192" s="97" t="s">
        <v>228</v>
      </c>
      <c r="D192" s="80">
        <v>0.0</v>
      </c>
      <c r="E192" s="80">
        <v>1442.0</v>
      </c>
      <c r="F192" s="81"/>
      <c r="G192" s="96"/>
      <c r="H192" s="81">
        <v>2161.0</v>
      </c>
      <c r="I192" s="82">
        <v>0.003649667704595457</v>
      </c>
      <c r="J192" s="82">
        <v>2.675890778764165E-4</v>
      </c>
      <c r="K192" s="82">
        <v>0.003938141474224399</v>
      </c>
      <c r="L192" s="82">
        <v>0.008373122357824156</v>
      </c>
    </row>
    <row r="193" ht="15.0" customHeight="1">
      <c r="A193" s="77">
        <v>12.0</v>
      </c>
      <c r="B193" s="78" t="s">
        <v>230</v>
      </c>
      <c r="C193" s="97" t="s">
        <v>234</v>
      </c>
      <c r="D193" s="80">
        <v>1013.0</v>
      </c>
      <c r="E193" s="80">
        <v>569.0</v>
      </c>
      <c r="F193" s="81"/>
      <c r="G193" s="96"/>
      <c r="H193" s="81">
        <v>14630.65</v>
      </c>
      <c r="I193" s="82">
        <v>0.024709398797889647</v>
      </c>
      <c r="J193" s="82">
        <v>0.0018116622592469194</v>
      </c>
      <c r="K193" s="82">
        <v>0.026662456992069046</v>
      </c>
      <c r="L193" s="82">
        <v>0.05668867312563627</v>
      </c>
    </row>
    <row r="194" ht="15.0" customHeight="1">
      <c r="A194" s="93">
        <v>16.0</v>
      </c>
      <c r="B194" s="94" t="s">
        <v>432</v>
      </c>
      <c r="C194" s="95" t="s">
        <v>432</v>
      </c>
      <c r="D194" s="80">
        <v>18791.0</v>
      </c>
      <c r="E194" s="80">
        <v>18791.0</v>
      </c>
      <c r="F194" s="81"/>
      <c r="G194" s="96"/>
      <c r="H194" s="81">
        <v>150328.0</v>
      </c>
      <c r="I194" s="82">
        <v>0.2538858152227792</v>
      </c>
      <c r="J194" s="82">
        <v>0.01861459088339007</v>
      </c>
      <c r="K194" s="82">
        <v>0.2739532306974574</v>
      </c>
      <c r="L194" s="82">
        <v>0.5824686431314159</v>
      </c>
    </row>
    <row r="195" ht="15.0" customHeight="1">
      <c r="A195" s="105" t="s">
        <v>237</v>
      </c>
      <c r="B195" s="106"/>
      <c r="C195" s="106"/>
      <c r="D195" s="257">
        <v>34496.0</v>
      </c>
      <c r="E195" s="257">
        <v>35352.0</v>
      </c>
      <c r="F195" s="258">
        <v>391097.0</v>
      </c>
      <c r="G195" s="110">
        <v>0.712723</v>
      </c>
      <c r="H195" s="259">
        <v>592108.7</v>
      </c>
      <c r="I195" s="110">
        <v>1.0</v>
      </c>
      <c r="J195" s="110">
        <v>0.07331875105766021</v>
      </c>
      <c r="K195" s="110">
        <v>1.0790411053767202</v>
      </c>
      <c r="L195" s="110">
        <v>2.2942149903897247</v>
      </c>
    </row>
    <row r="196" ht="15.0" customHeight="1">
      <c r="F196" s="63">
        <v>548736.0</v>
      </c>
      <c r="H196" s="63">
        <v>592108.7</v>
      </c>
      <c r="J196" s="63">
        <v>8075815.415000001</v>
      </c>
      <c r="L196" s="63">
        <v>258087.71299999952</v>
      </c>
    </row>
    <row r="197" ht="15.0" customHeight="1">
      <c r="H197" s="112">
        <v>0.0</v>
      </c>
    </row>
    <row r="198" ht="15.0" customHeight="1">
      <c r="A198" s="70" t="s">
        <v>528</v>
      </c>
      <c r="B198" s="71"/>
      <c r="C198" s="71"/>
      <c r="D198" s="71"/>
      <c r="E198" s="71"/>
      <c r="F198" s="71"/>
      <c r="G198" s="71"/>
      <c r="H198" s="71"/>
      <c r="I198" s="71"/>
      <c r="J198" s="71"/>
      <c r="K198" s="71"/>
      <c r="L198" s="72"/>
    </row>
    <row r="199" ht="15.0" customHeight="1">
      <c r="A199" s="73" t="s">
        <v>174</v>
      </c>
      <c r="B199" s="74" t="s">
        <v>175</v>
      </c>
      <c r="C199" s="74" t="s">
        <v>176</v>
      </c>
      <c r="D199" s="74" t="s">
        <v>177</v>
      </c>
      <c r="E199" s="75" t="s">
        <v>178</v>
      </c>
      <c r="F199" s="74" t="s">
        <v>179</v>
      </c>
      <c r="G199" s="76" t="s">
        <v>180</v>
      </c>
      <c r="H199" s="74" t="s">
        <v>181</v>
      </c>
      <c r="I199" s="74" t="s">
        <v>182</v>
      </c>
      <c r="J199" s="74" t="s">
        <v>183</v>
      </c>
      <c r="K199" s="74" t="s">
        <v>184</v>
      </c>
      <c r="L199" s="74" t="s">
        <v>185</v>
      </c>
    </row>
    <row r="200" ht="15.0" customHeight="1">
      <c r="A200" s="77">
        <v>2.0</v>
      </c>
      <c r="B200" s="78" t="s">
        <v>429</v>
      </c>
      <c r="C200" s="97" t="s">
        <v>429</v>
      </c>
      <c r="D200" s="80">
        <v>523.0</v>
      </c>
      <c r="E200" s="80">
        <v>523.0</v>
      </c>
      <c r="F200" s="81"/>
      <c r="G200" s="96"/>
      <c r="H200" s="81">
        <v>4569.75</v>
      </c>
      <c r="I200" s="82">
        <v>0.10969668527451476</v>
      </c>
      <c r="J200" s="82">
        <v>0.010742623789153968</v>
      </c>
      <c r="K200" s="82">
        <v>0.09011003095853135</v>
      </c>
      <c r="L200" s="82">
        <v>-1.7707645122477866</v>
      </c>
    </row>
    <row r="201" ht="15.0" customHeight="1">
      <c r="A201" s="77">
        <v>3.0</v>
      </c>
      <c r="B201" s="78" t="s">
        <v>197</v>
      </c>
      <c r="C201" s="97" t="s">
        <v>197</v>
      </c>
      <c r="D201" s="80">
        <v>26.0</v>
      </c>
      <c r="E201" s="80">
        <v>23.0</v>
      </c>
      <c r="F201" s="81">
        <v>9950.0</v>
      </c>
      <c r="G201" s="96">
        <v>0.196202</v>
      </c>
      <c r="H201" s="81">
        <v>400.5</v>
      </c>
      <c r="I201" s="82">
        <v>0.009613988172754126</v>
      </c>
      <c r="J201" s="82">
        <v>9.415002631557883E-4</v>
      </c>
      <c r="K201" s="82">
        <v>0.007897383313943171</v>
      </c>
      <c r="L201" s="82">
        <v>-0.15519255695721615</v>
      </c>
    </row>
    <row r="202" ht="15.0" customHeight="1">
      <c r="A202" s="98"/>
      <c r="B202" s="85" t="s">
        <v>511</v>
      </c>
      <c r="C202" s="99" t="s">
        <v>512</v>
      </c>
      <c r="D202" s="87">
        <v>4.0</v>
      </c>
      <c r="E202" s="87">
        <v>4.0</v>
      </c>
      <c r="F202" s="88">
        <v>600.0</v>
      </c>
      <c r="G202" s="89">
        <v>0.011831</v>
      </c>
      <c r="H202" s="88">
        <v>120.0</v>
      </c>
      <c r="I202" s="90">
        <v>0.002880595707192247</v>
      </c>
      <c r="J202" s="90">
        <v>2.8209745712532986E-4</v>
      </c>
      <c r="K202" s="90">
        <v>0.0023662571727170547</v>
      </c>
      <c r="L202" s="90">
        <v>-0.04649964253399735</v>
      </c>
    </row>
    <row r="203" ht="15.0" customHeight="1">
      <c r="A203" s="20"/>
      <c r="B203" s="85" t="s">
        <v>513</v>
      </c>
      <c r="C203" s="99" t="s">
        <v>514</v>
      </c>
      <c r="D203" s="87">
        <v>22.0</v>
      </c>
      <c r="E203" s="87">
        <v>19.0</v>
      </c>
      <c r="F203" s="88">
        <v>9350.0</v>
      </c>
      <c r="G203" s="89">
        <v>0.184371</v>
      </c>
      <c r="H203" s="88">
        <v>280.5</v>
      </c>
      <c r="I203" s="90">
        <v>0.006733392465561878</v>
      </c>
      <c r="J203" s="90">
        <v>6.594028060304585E-4</v>
      </c>
      <c r="K203" s="90">
        <v>0.005531126141226116</v>
      </c>
      <c r="L203" s="90">
        <v>-0.10869291442321881</v>
      </c>
    </row>
    <row r="204" ht="15.0" customHeight="1">
      <c r="A204" s="77">
        <v>4.0</v>
      </c>
      <c r="B204" s="78" t="s">
        <v>209</v>
      </c>
      <c r="C204" s="97"/>
      <c r="D204" s="80">
        <v>914.0</v>
      </c>
      <c r="E204" s="80">
        <v>914.0</v>
      </c>
      <c r="F204" s="81"/>
      <c r="G204" s="96"/>
      <c r="H204" s="81">
        <v>914.0</v>
      </c>
      <c r="I204" s="82">
        <v>0.021940537303114283</v>
      </c>
      <c r="J204" s="82">
        <v>0.002148642298437929</v>
      </c>
      <c r="K204" s="82">
        <v>0.018022992132194902</v>
      </c>
      <c r="L204" s="82">
        <v>-0.3541722773006131</v>
      </c>
    </row>
    <row r="205" ht="15.0" customHeight="1">
      <c r="A205" s="77">
        <v>5.0</v>
      </c>
      <c r="B205" s="78" t="s">
        <v>211</v>
      </c>
      <c r="C205" s="97"/>
      <c r="D205" s="80">
        <v>2.0</v>
      </c>
      <c r="E205" s="80">
        <v>1.0</v>
      </c>
      <c r="F205" s="81"/>
      <c r="G205" s="96"/>
      <c r="H205" s="81">
        <v>4.0</v>
      </c>
      <c r="I205" s="82">
        <v>9.601985690640823E-5</v>
      </c>
      <c r="J205" s="82">
        <v>9.403248570844327E-6</v>
      </c>
      <c r="K205" s="82">
        <v>7.887523909056849E-5</v>
      </c>
      <c r="L205" s="82">
        <v>-0.0015499880844665782</v>
      </c>
    </row>
    <row r="206" ht="15.0" customHeight="1">
      <c r="A206" s="77">
        <v>6.0</v>
      </c>
      <c r="B206" s="94" t="s">
        <v>216</v>
      </c>
      <c r="C206" s="97"/>
      <c r="D206" s="80">
        <v>0.0</v>
      </c>
      <c r="E206" s="80">
        <v>0.0</v>
      </c>
      <c r="F206" s="81"/>
      <c r="G206" s="96"/>
      <c r="H206" s="81">
        <v>8.0</v>
      </c>
      <c r="I206" s="82">
        <v>1.9203971381281647E-4</v>
      </c>
      <c r="J206" s="82">
        <v>1.8806497141688655E-5</v>
      </c>
      <c r="K206" s="82">
        <v>1.5775047818113698E-4</v>
      </c>
      <c r="L206" s="82">
        <v>-0.0030999761689331565</v>
      </c>
    </row>
    <row r="207" ht="15.0" customHeight="1">
      <c r="A207" s="255"/>
      <c r="B207" s="85" t="s">
        <v>515</v>
      </c>
      <c r="C207" s="99" t="s">
        <v>516</v>
      </c>
      <c r="D207" s="87">
        <v>0.0</v>
      </c>
      <c r="E207" s="87">
        <v>0.0</v>
      </c>
      <c r="F207" s="88"/>
      <c r="G207" s="89"/>
      <c r="H207" s="88">
        <v>8.0</v>
      </c>
      <c r="I207" s="90">
        <v>1.9203971381281647E-4</v>
      </c>
      <c r="J207" s="90">
        <v>1.8806497141688655E-5</v>
      </c>
      <c r="K207" s="90">
        <v>1.5775047818113698E-4</v>
      </c>
      <c r="L207" s="90">
        <v>-0.0030999761689331565</v>
      </c>
    </row>
    <row r="208" ht="15.0" customHeight="1">
      <c r="A208" s="77">
        <v>7.0</v>
      </c>
      <c r="B208" s="94" t="s">
        <v>221</v>
      </c>
      <c r="C208" s="95" t="s">
        <v>225</v>
      </c>
      <c r="D208" s="80">
        <v>175.0</v>
      </c>
      <c r="E208" s="80">
        <v>175.0</v>
      </c>
      <c r="F208" s="81">
        <v>21404.0</v>
      </c>
      <c r="G208" s="96">
        <v>0.422061</v>
      </c>
      <c r="H208" s="81">
        <v>24844.8</v>
      </c>
      <c r="I208" s="82">
        <v>0.5963985352170829</v>
      </c>
      <c r="J208" s="82">
        <v>0.05840545752322829</v>
      </c>
      <c r="K208" s="82">
        <v>0.489909885039339</v>
      </c>
      <c r="L208" s="82">
        <v>-9.62728599023881</v>
      </c>
    </row>
    <row r="209" ht="15.0" customHeight="1">
      <c r="A209" s="77">
        <v>8.0</v>
      </c>
      <c r="B209" s="94" t="s">
        <v>222</v>
      </c>
      <c r="C209" s="95" t="s">
        <v>227</v>
      </c>
      <c r="D209" s="80">
        <v>13.0</v>
      </c>
      <c r="E209" s="80">
        <v>13.0</v>
      </c>
      <c r="F209" s="81">
        <v>2420.0</v>
      </c>
      <c r="G209" s="96">
        <v>0.04772</v>
      </c>
      <c r="H209" s="81">
        <v>1210.0</v>
      </c>
      <c r="I209" s="82">
        <v>0.029046006714188492</v>
      </c>
      <c r="J209" s="82">
        <v>0.0028444826926804093</v>
      </c>
      <c r="K209" s="82">
        <v>0.023859759824896968</v>
      </c>
      <c r="L209" s="82">
        <v>-0.46887139555113994</v>
      </c>
    </row>
    <row r="210" ht="15.0" customHeight="1">
      <c r="A210" s="77">
        <v>11.0</v>
      </c>
      <c r="B210" s="78" t="s">
        <v>228</v>
      </c>
      <c r="C210" s="97" t="s">
        <v>228</v>
      </c>
      <c r="D210" s="80">
        <v>0.0</v>
      </c>
      <c r="E210" s="80">
        <v>115.0</v>
      </c>
      <c r="F210" s="81"/>
      <c r="G210" s="96"/>
      <c r="H210" s="81">
        <v>155.0</v>
      </c>
      <c r="I210" s="82">
        <v>0.0037207694551233193</v>
      </c>
      <c r="J210" s="82">
        <v>3.643758821202177E-4</v>
      </c>
      <c r="K210" s="82">
        <v>0.003056415514759529</v>
      </c>
      <c r="L210" s="82">
        <v>-0.06006203827307991</v>
      </c>
    </row>
    <row r="211" ht="15.0" customHeight="1">
      <c r="A211" s="77">
        <v>12.0</v>
      </c>
      <c r="B211" s="78" t="s">
        <v>230</v>
      </c>
      <c r="C211" s="97" t="s">
        <v>234</v>
      </c>
      <c r="D211" s="80">
        <v>22.0</v>
      </c>
      <c r="E211" s="80">
        <v>17.0</v>
      </c>
      <c r="F211" s="81"/>
      <c r="G211" s="96"/>
      <c r="H211" s="81">
        <v>320.0</v>
      </c>
      <c r="I211" s="82">
        <v>0.007681588552512659</v>
      </c>
      <c r="J211" s="82">
        <v>7.522598856675463E-4</v>
      </c>
      <c r="K211" s="82">
        <v>0.00631001912724548</v>
      </c>
      <c r="L211" s="82">
        <v>-0.12399904675732626</v>
      </c>
    </row>
    <row r="212" ht="15.0" customHeight="1">
      <c r="A212" s="93">
        <v>16.0</v>
      </c>
      <c r="B212" s="94" t="s">
        <v>432</v>
      </c>
      <c r="C212" s="95" t="s">
        <v>432</v>
      </c>
      <c r="D212" s="80">
        <v>1154.0</v>
      </c>
      <c r="E212" s="80">
        <v>1154.0</v>
      </c>
      <c r="F212" s="81"/>
      <c r="G212" s="96"/>
      <c r="H212" s="81">
        <v>9232.0</v>
      </c>
      <c r="I212" s="82">
        <v>0.22161382973999022</v>
      </c>
      <c r="J212" s="82">
        <v>0.02170269770150871</v>
      </c>
      <c r="K212" s="82">
        <v>0.1820440518210321</v>
      </c>
      <c r="L212" s="82">
        <v>-3.5773724989488627</v>
      </c>
    </row>
    <row r="213" ht="15.0" customHeight="1">
      <c r="A213" s="105" t="s">
        <v>237</v>
      </c>
      <c r="B213" s="106"/>
      <c r="C213" s="106"/>
      <c r="D213" s="257">
        <v>2829.0</v>
      </c>
      <c r="E213" s="257">
        <v>2935.0</v>
      </c>
      <c r="F213" s="258">
        <v>33774.0</v>
      </c>
      <c r="G213" s="110">
        <v>0.665983</v>
      </c>
      <c r="H213" s="259">
        <v>41658.05</v>
      </c>
      <c r="I213" s="110">
        <v>1.0</v>
      </c>
      <c r="J213" s="110">
        <v>0.0979302497816654</v>
      </c>
      <c r="K213" s="110">
        <v>0.8214471634492143</v>
      </c>
      <c r="L213" s="110">
        <v>-16.142370280528237</v>
      </c>
    </row>
    <row r="214" ht="15.0" customHeight="1">
      <c r="F214" s="63">
        <v>50713.0</v>
      </c>
      <c r="H214" s="63">
        <v>41658.05</v>
      </c>
      <c r="J214" s="63">
        <v>425384.90499999997</v>
      </c>
      <c r="L214" s="63">
        <v>-2580.6650000000373</v>
      </c>
    </row>
    <row r="215" ht="15.0" customHeight="1">
      <c r="H215" s="112">
        <v>0.0</v>
      </c>
    </row>
    <row r="216">
      <c r="A216" s="70" t="s">
        <v>529</v>
      </c>
      <c r="B216" s="71"/>
      <c r="C216" s="71"/>
      <c r="D216" s="71"/>
      <c r="E216" s="71"/>
      <c r="F216" s="71"/>
      <c r="G216" s="71"/>
      <c r="H216" s="71"/>
      <c r="I216" s="71"/>
      <c r="J216" s="71"/>
      <c r="K216" s="71"/>
      <c r="L216" s="72"/>
      <c r="M216" s="250"/>
      <c r="N216" s="250"/>
      <c r="O216" s="251"/>
      <c r="P216" s="250"/>
      <c r="Q216" s="252"/>
    </row>
    <row r="217">
      <c r="A217" s="73" t="s">
        <v>174</v>
      </c>
      <c r="B217" s="74" t="s">
        <v>175</v>
      </c>
      <c r="C217" s="74" t="s">
        <v>176</v>
      </c>
      <c r="D217" s="74" t="s">
        <v>177</v>
      </c>
      <c r="E217" s="75" t="s">
        <v>178</v>
      </c>
      <c r="F217" s="74" t="s">
        <v>179</v>
      </c>
      <c r="G217" s="76" t="s">
        <v>180</v>
      </c>
      <c r="H217" s="74" t="s">
        <v>181</v>
      </c>
      <c r="I217" s="74" t="s">
        <v>182</v>
      </c>
      <c r="J217" s="74" t="s">
        <v>183</v>
      </c>
      <c r="K217" s="74" t="s">
        <v>184</v>
      </c>
      <c r="L217" s="74" t="s">
        <v>185</v>
      </c>
      <c r="M217" s="253"/>
      <c r="N217" s="253"/>
      <c r="O217" s="253"/>
      <c r="P217" s="250"/>
      <c r="Q217" s="252"/>
    </row>
    <row r="218">
      <c r="A218" s="77">
        <v>6.0</v>
      </c>
      <c r="B218" s="94" t="s">
        <v>216</v>
      </c>
      <c r="C218" s="97"/>
      <c r="D218" s="80">
        <v>0.0</v>
      </c>
      <c r="E218" s="80">
        <v>0.0</v>
      </c>
      <c r="F218" s="81"/>
      <c r="G218" s="96"/>
      <c r="H218" s="81">
        <v>24.0</v>
      </c>
      <c r="I218" s="82">
        <v>0.6153846153846154</v>
      </c>
      <c r="J218" s="82" t="s">
        <v>530</v>
      </c>
      <c r="K218" s="82" t="s">
        <v>530</v>
      </c>
      <c r="L218" s="82" t="s">
        <v>530</v>
      </c>
      <c r="M218" s="254">
        <v>24.0</v>
      </c>
      <c r="N218" s="250"/>
      <c r="O218" s="250"/>
      <c r="P218" s="250"/>
      <c r="Q218" s="250"/>
    </row>
    <row r="219">
      <c r="A219" s="255"/>
      <c r="B219" s="85" t="s">
        <v>515</v>
      </c>
      <c r="C219" s="99" t="s">
        <v>516</v>
      </c>
      <c r="D219" s="87">
        <v>0.0</v>
      </c>
      <c r="E219" s="87">
        <v>0.0</v>
      </c>
      <c r="F219" s="88"/>
      <c r="G219" s="89"/>
      <c r="H219" s="88">
        <v>24.0</v>
      </c>
      <c r="I219" s="90">
        <v>0.6153846153846154</v>
      </c>
      <c r="J219" s="90" t="s">
        <v>530</v>
      </c>
      <c r="K219" s="90" t="s">
        <v>530</v>
      </c>
      <c r="L219" s="90" t="s">
        <v>530</v>
      </c>
      <c r="M219" s="250"/>
      <c r="N219" s="250"/>
      <c r="O219" s="250"/>
      <c r="P219" s="250"/>
      <c r="Q219" s="250"/>
    </row>
    <row r="220">
      <c r="A220" s="77">
        <v>11.0</v>
      </c>
      <c r="B220" s="78" t="s">
        <v>228</v>
      </c>
      <c r="C220" s="97" t="s">
        <v>228</v>
      </c>
      <c r="D220" s="80">
        <v>0.0</v>
      </c>
      <c r="E220" s="80">
        <v>1.0</v>
      </c>
      <c r="F220" s="81"/>
      <c r="G220" s="96"/>
      <c r="H220" s="81">
        <v>7.0</v>
      </c>
      <c r="I220" s="82">
        <v>0.1794871794871795</v>
      </c>
      <c r="J220" s="82" t="s">
        <v>530</v>
      </c>
      <c r="K220" s="82" t="s">
        <v>530</v>
      </c>
      <c r="L220" s="82" t="s">
        <v>530</v>
      </c>
      <c r="M220" s="254">
        <v>0.0</v>
      </c>
      <c r="N220" s="250"/>
      <c r="O220" s="250"/>
      <c r="P220" s="250"/>
      <c r="Q220" s="250"/>
    </row>
    <row r="221">
      <c r="A221" s="93">
        <v>16.0</v>
      </c>
      <c r="B221" s="94" t="s">
        <v>432</v>
      </c>
      <c r="C221" s="95" t="s">
        <v>432</v>
      </c>
      <c r="D221" s="80">
        <v>1.0</v>
      </c>
      <c r="E221" s="80">
        <v>1.0</v>
      </c>
      <c r="F221" s="81"/>
      <c r="G221" s="96"/>
      <c r="H221" s="81">
        <v>8.0</v>
      </c>
      <c r="I221" s="82">
        <v>0.20512820512820512</v>
      </c>
      <c r="J221" s="82" t="s">
        <v>530</v>
      </c>
      <c r="K221" s="82" t="s">
        <v>530</v>
      </c>
      <c r="L221" s="82" t="s">
        <v>530</v>
      </c>
      <c r="M221" s="254"/>
      <c r="N221" s="250"/>
      <c r="O221" s="250"/>
      <c r="P221" s="250"/>
      <c r="Q221" s="250"/>
    </row>
    <row r="222">
      <c r="A222" s="105" t="s">
        <v>237</v>
      </c>
      <c r="B222" s="106"/>
      <c r="C222" s="106"/>
      <c r="D222" s="257">
        <v>1.0</v>
      </c>
      <c r="E222" s="257">
        <v>2.0</v>
      </c>
      <c r="F222" s="258"/>
      <c r="G222" s="110"/>
      <c r="H222" s="259">
        <v>39.0</v>
      </c>
      <c r="I222" s="110">
        <v>1.0</v>
      </c>
      <c r="J222" s="110" t="s">
        <v>530</v>
      </c>
      <c r="K222" s="110" t="s">
        <v>530</v>
      </c>
      <c r="L222" s="110" t="s">
        <v>530</v>
      </c>
    </row>
    <row r="223" ht="15.0" customHeight="1">
      <c r="F223" s="63"/>
      <c r="H223" s="63">
        <v>39.0</v>
      </c>
      <c r="J223" s="63">
        <v>0.0</v>
      </c>
      <c r="L223" s="63">
        <v>0.0</v>
      </c>
      <c r="N223" s="139"/>
    </row>
    <row r="224" ht="15.0" customHeight="1">
      <c r="H224" s="112">
        <v>0.0</v>
      </c>
    </row>
    <row r="225" ht="15.0" customHeight="1"/>
    <row r="226" ht="15.0" customHeight="1"/>
  </sheetData>
  <mergeCells count="43">
    <mergeCell ref="A2:L2"/>
    <mergeCell ref="A5:A10"/>
    <mergeCell ref="C5:C10"/>
    <mergeCell ref="A13:A15"/>
    <mergeCell ref="A38:L38"/>
    <mergeCell ref="A41:A43"/>
    <mergeCell ref="C41:C43"/>
    <mergeCell ref="A92:L92"/>
    <mergeCell ref="A109:L109"/>
    <mergeCell ref="A126:L126"/>
    <mergeCell ref="A144:L144"/>
    <mergeCell ref="A161:L161"/>
    <mergeCell ref="A45:A46"/>
    <mergeCell ref="A56:L56"/>
    <mergeCell ref="A59:A61"/>
    <mergeCell ref="C59:C61"/>
    <mergeCell ref="A63:A64"/>
    <mergeCell ref="A74:L74"/>
    <mergeCell ref="C77:C79"/>
    <mergeCell ref="A77:A79"/>
    <mergeCell ref="A81:A82"/>
    <mergeCell ref="A95:A96"/>
    <mergeCell ref="C95:C96"/>
    <mergeCell ref="A98:A99"/>
    <mergeCell ref="A112:A113"/>
    <mergeCell ref="C112:C113"/>
    <mergeCell ref="A115:A116"/>
    <mergeCell ref="A129:A131"/>
    <mergeCell ref="C129:C131"/>
    <mergeCell ref="A133:A134"/>
    <mergeCell ref="A147:A148"/>
    <mergeCell ref="C147:C148"/>
    <mergeCell ref="A150:A151"/>
    <mergeCell ref="A186:A187"/>
    <mergeCell ref="A202:A203"/>
    <mergeCell ref="A164:A165"/>
    <mergeCell ref="C164:C165"/>
    <mergeCell ref="A168:A169"/>
    <mergeCell ref="A179:L179"/>
    <mergeCell ref="A182:A183"/>
    <mergeCell ref="C182:C183"/>
    <mergeCell ref="A198:L198"/>
    <mergeCell ref="A216:L216"/>
  </mergeCells>
  <dataValidations>
    <dataValidation type="list" allowBlank="1" sqref="O2 O216">
      <formula1>'jiliarena_活动分析数据_底稿'!$B$3:$B$703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FF"/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8.63"/>
    <col customWidth="1" min="2" max="2" width="33.0"/>
    <col customWidth="1" min="7" max="7" width="21.25"/>
    <col customWidth="1" min="8" max="8" width="8.75"/>
    <col customWidth="1" min="9" max="9" width="33.0"/>
    <col customWidth="1" min="10" max="10" width="43.25"/>
  </cols>
  <sheetData>
    <row r="1">
      <c r="H1" s="260"/>
      <c r="I1" s="261" t="s">
        <v>537</v>
      </c>
      <c r="J1" s="262" t="s">
        <v>176</v>
      </c>
      <c r="K1" s="261" t="s">
        <v>538</v>
      </c>
      <c r="L1" s="262" t="s">
        <v>177</v>
      </c>
      <c r="M1" s="262" t="s">
        <v>178</v>
      </c>
      <c r="N1" s="263" t="s">
        <v>539</v>
      </c>
      <c r="O1" s="264" t="s">
        <v>181</v>
      </c>
      <c r="P1" s="264" t="s">
        <v>540</v>
      </c>
      <c r="Q1" s="264" t="s">
        <v>541</v>
      </c>
      <c r="R1" s="264" t="s">
        <v>237</v>
      </c>
      <c r="S1" s="264" t="s">
        <v>542</v>
      </c>
      <c r="T1" s="265"/>
    </row>
    <row r="2">
      <c r="I2" s="267" t="s">
        <v>187</v>
      </c>
      <c r="J2" s="267" t="s">
        <v>187</v>
      </c>
      <c r="K2" s="268">
        <f>sum(K3:K8)</f>
        <v>0</v>
      </c>
      <c r="L2" s="268">
        <f>SUMIFS($C:$C,$A:$A,$I2)</f>
        <v>10115</v>
      </c>
      <c r="M2" s="268">
        <f>SUM(M3:M8)</f>
        <v>10279</v>
      </c>
      <c r="N2" s="269">
        <f t="shared" ref="N2:N31" si="1">M2/$M$76</f>
        <v>0.07633355364</v>
      </c>
      <c r="O2" s="270">
        <f>SUMIFS($E:$E,$A:$A,$I2)</f>
        <v>74818.46</v>
      </c>
      <c r="P2" s="270">
        <f>SUMIFS($G:$G,$A:$A,$I2)</f>
        <v>0</v>
      </c>
      <c r="Q2" s="271">
        <f>SUMIFS($F:$F,$A:$A,$I2)</f>
        <v>0</v>
      </c>
      <c r="R2" s="271">
        <f t="shared" ref="R2:R32" si="2">O2+P2</f>
        <v>74818.46</v>
      </c>
      <c r="S2" s="269">
        <f t="shared" ref="S2:S31" si="3">R2/$R$76</f>
        <v>0.0481872364</v>
      </c>
      <c r="T2" s="63"/>
    </row>
    <row r="3">
      <c r="I3" s="272" t="s">
        <v>530</v>
      </c>
      <c r="J3" s="113" t="s">
        <v>189</v>
      </c>
      <c r="K3" s="273">
        <f t="shared" ref="K3:K8" si="4">sumifs($J$79:$J$88,$I$79:$I$88,J3)</f>
        <v>0</v>
      </c>
      <c r="L3" s="273">
        <f t="shared" ref="L3:L8" si="5">SUMIFS($C:$C,$B:$B,$J3)</f>
        <v>9805</v>
      </c>
      <c r="M3" s="273">
        <f t="shared" ref="M3:M8" si="6">SUMIFS($D:$D,$B:$B,J3)</f>
        <v>9805</v>
      </c>
      <c r="N3" s="274">
        <f t="shared" si="1"/>
        <v>0.07281355127</v>
      </c>
      <c r="O3" s="120">
        <f t="shared" ref="O3:O8" si="7">SUMIFS($E:$E,$B:$B,J3)</f>
        <v>72634.95</v>
      </c>
      <c r="P3" s="120">
        <f t="shared" ref="P3:P8" si="8">SUMIFS($G:$G,$B:$B,J3)</f>
        <v>0</v>
      </c>
      <c r="Q3" s="121">
        <f t="shared" ref="Q3:Q8" si="9">SUMIFS($F:$F,$B:$B,J3)</f>
        <v>0</v>
      </c>
      <c r="R3" s="121">
        <f t="shared" si="2"/>
        <v>72634.95</v>
      </c>
      <c r="S3" s="274">
        <f t="shared" si="3"/>
        <v>0.0467809349</v>
      </c>
      <c r="T3" s="61"/>
    </row>
    <row r="4">
      <c r="I4" s="272" t="s">
        <v>530</v>
      </c>
      <c r="J4" s="113" t="s">
        <v>190</v>
      </c>
      <c r="K4" s="273">
        <f t="shared" si="4"/>
        <v>0</v>
      </c>
      <c r="L4" s="273">
        <f t="shared" si="5"/>
        <v>468</v>
      </c>
      <c r="M4" s="273">
        <f t="shared" si="6"/>
        <v>468</v>
      </c>
      <c r="N4" s="274">
        <f t="shared" si="1"/>
        <v>0.003475445384</v>
      </c>
      <c r="O4" s="120">
        <f t="shared" si="7"/>
        <v>2181.05</v>
      </c>
      <c r="P4" s="120">
        <f t="shared" si="8"/>
        <v>0</v>
      </c>
      <c r="Q4" s="121">
        <f t="shared" si="9"/>
        <v>0</v>
      </c>
      <c r="R4" s="121">
        <f t="shared" si="2"/>
        <v>2181.05</v>
      </c>
      <c r="S4" s="274">
        <f t="shared" si="3"/>
        <v>0.001404717124</v>
      </c>
      <c r="T4" s="61"/>
    </row>
    <row r="5">
      <c r="I5" s="272" t="s">
        <v>530</v>
      </c>
      <c r="J5" s="113" t="s">
        <v>191</v>
      </c>
      <c r="K5" s="273">
        <f t="shared" si="4"/>
        <v>0</v>
      </c>
      <c r="L5" s="273">
        <f t="shared" si="5"/>
        <v>6</v>
      </c>
      <c r="M5" s="273">
        <f t="shared" si="6"/>
        <v>6</v>
      </c>
      <c r="N5" s="274">
        <f t="shared" si="1"/>
        <v>0.00004455699211</v>
      </c>
      <c r="O5" s="120">
        <f t="shared" si="7"/>
        <v>2.46</v>
      </c>
      <c r="P5" s="120">
        <f t="shared" si="8"/>
        <v>0</v>
      </c>
      <c r="Q5" s="121">
        <f t="shared" si="9"/>
        <v>0</v>
      </c>
      <c r="R5" s="121">
        <f t="shared" si="2"/>
        <v>2.46</v>
      </c>
      <c r="S5" s="274">
        <f t="shared" si="3"/>
        <v>0.00000158437639</v>
      </c>
      <c r="T5" s="61"/>
    </row>
    <row r="6">
      <c r="I6" s="272" t="s">
        <v>530</v>
      </c>
      <c r="J6" s="113" t="s">
        <v>192</v>
      </c>
      <c r="K6" s="273">
        <f t="shared" si="4"/>
        <v>0</v>
      </c>
      <c r="L6" s="273">
        <f t="shared" si="5"/>
        <v>0</v>
      </c>
      <c r="M6" s="273">
        <f t="shared" si="6"/>
        <v>0</v>
      </c>
      <c r="N6" s="274">
        <f t="shared" si="1"/>
        <v>0</v>
      </c>
      <c r="O6" s="120">
        <f t="shared" si="7"/>
        <v>0</v>
      </c>
      <c r="P6" s="120">
        <f t="shared" si="8"/>
        <v>0</v>
      </c>
      <c r="Q6" s="121">
        <f t="shared" si="9"/>
        <v>0</v>
      </c>
      <c r="R6" s="121">
        <f t="shared" si="2"/>
        <v>0</v>
      </c>
      <c r="S6" s="274">
        <f t="shared" si="3"/>
        <v>0</v>
      </c>
      <c r="T6" s="61"/>
    </row>
    <row r="7">
      <c r="I7" s="272" t="s">
        <v>530</v>
      </c>
      <c r="J7" s="113" t="s">
        <v>193</v>
      </c>
      <c r="K7" s="273">
        <f t="shared" si="4"/>
        <v>0</v>
      </c>
      <c r="L7" s="273">
        <f t="shared" si="5"/>
        <v>0</v>
      </c>
      <c r="M7" s="273">
        <f t="shared" si="6"/>
        <v>0</v>
      </c>
      <c r="N7" s="274">
        <f t="shared" si="1"/>
        <v>0</v>
      </c>
      <c r="O7" s="120">
        <f t="shared" si="7"/>
        <v>0</v>
      </c>
      <c r="P7" s="120">
        <f t="shared" si="8"/>
        <v>0</v>
      </c>
      <c r="Q7" s="121">
        <f t="shared" si="9"/>
        <v>0</v>
      </c>
      <c r="R7" s="121">
        <f t="shared" si="2"/>
        <v>0</v>
      </c>
      <c r="S7" s="274">
        <f t="shared" si="3"/>
        <v>0</v>
      </c>
      <c r="T7" s="61"/>
    </row>
    <row r="8">
      <c r="I8" s="272"/>
      <c r="J8" s="272" t="s">
        <v>194</v>
      </c>
      <c r="K8" s="273">
        <f t="shared" si="4"/>
        <v>0</v>
      </c>
      <c r="L8" s="273">
        <f t="shared" si="5"/>
        <v>0</v>
      </c>
      <c r="M8" s="273">
        <f t="shared" si="6"/>
        <v>0</v>
      </c>
      <c r="N8" s="274">
        <f t="shared" si="1"/>
        <v>0</v>
      </c>
      <c r="O8" s="120">
        <f t="shared" si="7"/>
        <v>0</v>
      </c>
      <c r="P8" s="120">
        <f t="shared" si="8"/>
        <v>0</v>
      </c>
      <c r="Q8" s="121">
        <f t="shared" si="9"/>
        <v>0</v>
      </c>
      <c r="R8" s="121">
        <f t="shared" si="2"/>
        <v>0</v>
      </c>
      <c r="S8" s="274">
        <f t="shared" si="3"/>
        <v>0</v>
      </c>
    </row>
    <row r="9">
      <c r="I9" s="267" t="s">
        <v>197</v>
      </c>
      <c r="J9" s="267" t="s">
        <v>197</v>
      </c>
      <c r="K9" s="268">
        <f>sum(K10:K32)</f>
        <v>372126</v>
      </c>
      <c r="L9" s="268">
        <f>SUMIFS($C:$C,$A:$A,$I9)</f>
        <v>4044</v>
      </c>
      <c r="M9" s="268">
        <f>SUM(M10:M24)</f>
        <v>3734</v>
      </c>
      <c r="N9" s="269">
        <f t="shared" si="1"/>
        <v>0.02772930142</v>
      </c>
      <c r="O9" s="270">
        <f>SUMIFS($E:$E,$A:$A,$I9)</f>
        <v>81372.53</v>
      </c>
      <c r="P9" s="270">
        <f>SUMIFS($G:$G,$A:$A,$I9)</f>
        <v>0</v>
      </c>
      <c r="Q9" s="271">
        <f>SUMIFS($F:$F,$A:$A,$I9)</f>
        <v>0</v>
      </c>
      <c r="R9" s="271">
        <f t="shared" si="2"/>
        <v>81372.53</v>
      </c>
      <c r="S9" s="269">
        <f t="shared" si="3"/>
        <v>0.05240842085</v>
      </c>
      <c r="T9" s="61"/>
    </row>
    <row r="10">
      <c r="I10" s="272" t="s">
        <v>530</v>
      </c>
      <c r="J10" s="113" t="s">
        <v>511</v>
      </c>
      <c r="K10" s="273">
        <f t="shared" ref="K10:K31" si="10">sumifs($J$79:$J$99,$I$79:$I$99,J10)</f>
        <v>252995</v>
      </c>
      <c r="L10" s="273">
        <f t="shared" ref="L10:L31" si="11">SUMIFS($C:$C,$B:$B,$J10)</f>
        <v>2836</v>
      </c>
      <c r="M10" s="273">
        <f t="shared" ref="M10:M31" si="12">SUMIFS($D:$D,$B:$B,J10)</f>
        <v>2836</v>
      </c>
      <c r="N10" s="274">
        <f t="shared" si="1"/>
        <v>0.02106060494</v>
      </c>
      <c r="O10" s="120">
        <f t="shared" ref="O10:O31" si="13">SUMIFS($E:$E,$B:$B,J10)</f>
        <v>75966.2</v>
      </c>
      <c r="P10" s="120">
        <f t="shared" ref="P10:P31" si="14">SUMIFS($G:$G,$B:$B,J10)</f>
        <v>0</v>
      </c>
      <c r="Q10" s="121">
        <f t="shared" ref="Q10:Q31" si="15">SUMIFS($F:$F,$B:$B,J10)</f>
        <v>0</v>
      </c>
      <c r="R10" s="121">
        <f t="shared" si="2"/>
        <v>75966.2</v>
      </c>
      <c r="S10" s="274">
        <f t="shared" si="3"/>
        <v>0.04892644459</v>
      </c>
      <c r="T10" s="61"/>
    </row>
    <row r="11">
      <c r="I11" s="272" t="s">
        <v>530</v>
      </c>
      <c r="J11" s="113" t="s">
        <v>513</v>
      </c>
      <c r="K11" s="273">
        <f t="shared" si="10"/>
        <v>119131</v>
      </c>
      <c r="L11" s="273">
        <f t="shared" si="11"/>
        <v>1208</v>
      </c>
      <c r="M11" s="273">
        <f t="shared" si="12"/>
        <v>898</v>
      </c>
      <c r="N11" s="274">
        <f t="shared" si="1"/>
        <v>0.006668696485</v>
      </c>
      <c r="O11" s="120">
        <f t="shared" si="13"/>
        <v>5406.33</v>
      </c>
      <c r="P11" s="120">
        <f t="shared" si="14"/>
        <v>0</v>
      </c>
      <c r="Q11" s="121">
        <f t="shared" si="15"/>
        <v>0</v>
      </c>
      <c r="R11" s="121">
        <f t="shared" si="2"/>
        <v>5406.33</v>
      </c>
      <c r="S11" s="274">
        <f t="shared" si="3"/>
        <v>0.003481976263</v>
      </c>
      <c r="T11" s="61"/>
    </row>
    <row r="12">
      <c r="I12" s="272" t="s">
        <v>530</v>
      </c>
      <c r="J12" s="113"/>
      <c r="K12" s="273">
        <f t="shared" si="10"/>
        <v>0</v>
      </c>
      <c r="L12" s="273">
        <f t="shared" si="11"/>
        <v>0</v>
      </c>
      <c r="M12" s="273">
        <f t="shared" si="12"/>
        <v>0</v>
      </c>
      <c r="N12" s="274">
        <f t="shared" si="1"/>
        <v>0</v>
      </c>
      <c r="O12" s="120">
        <f t="shared" si="13"/>
        <v>0</v>
      </c>
      <c r="P12" s="120">
        <f t="shared" si="14"/>
        <v>0</v>
      </c>
      <c r="Q12" s="121">
        <f t="shared" si="15"/>
        <v>0</v>
      </c>
      <c r="R12" s="121">
        <f t="shared" si="2"/>
        <v>0</v>
      </c>
      <c r="S12" s="274">
        <f t="shared" si="3"/>
        <v>0</v>
      </c>
      <c r="T12" s="61"/>
    </row>
    <row r="13">
      <c r="I13" s="272" t="s">
        <v>530</v>
      </c>
      <c r="J13" s="113"/>
      <c r="K13" s="273">
        <f t="shared" si="10"/>
        <v>0</v>
      </c>
      <c r="L13" s="273">
        <f t="shared" si="11"/>
        <v>0</v>
      </c>
      <c r="M13" s="273">
        <f t="shared" si="12"/>
        <v>0</v>
      </c>
      <c r="N13" s="274">
        <f t="shared" si="1"/>
        <v>0</v>
      </c>
      <c r="O13" s="120">
        <f t="shared" si="13"/>
        <v>0</v>
      </c>
      <c r="P13" s="120">
        <f t="shared" si="14"/>
        <v>0</v>
      </c>
      <c r="Q13" s="121">
        <f t="shared" si="15"/>
        <v>0</v>
      </c>
      <c r="R13" s="121">
        <f t="shared" si="2"/>
        <v>0</v>
      </c>
      <c r="S13" s="274">
        <f t="shared" si="3"/>
        <v>0</v>
      </c>
      <c r="T13" s="61"/>
    </row>
    <row r="14">
      <c r="I14" s="272"/>
      <c r="J14" s="113"/>
      <c r="K14" s="273">
        <f t="shared" si="10"/>
        <v>0</v>
      </c>
      <c r="L14" s="273">
        <f t="shared" si="11"/>
        <v>0</v>
      </c>
      <c r="M14" s="273">
        <f t="shared" si="12"/>
        <v>0</v>
      </c>
      <c r="N14" s="274">
        <f t="shared" si="1"/>
        <v>0</v>
      </c>
      <c r="O14" s="120">
        <f t="shared" si="13"/>
        <v>0</v>
      </c>
      <c r="P14" s="120">
        <f t="shared" si="14"/>
        <v>0</v>
      </c>
      <c r="Q14" s="121">
        <f t="shared" si="15"/>
        <v>0</v>
      </c>
      <c r="R14" s="121">
        <f t="shared" si="2"/>
        <v>0</v>
      </c>
      <c r="S14" s="274">
        <f t="shared" si="3"/>
        <v>0</v>
      </c>
      <c r="T14" s="61"/>
    </row>
    <row r="15">
      <c r="I15" s="272"/>
      <c r="J15" s="113"/>
      <c r="K15" s="273">
        <f t="shared" si="10"/>
        <v>0</v>
      </c>
      <c r="L15" s="273">
        <f t="shared" si="11"/>
        <v>0</v>
      </c>
      <c r="M15" s="273">
        <f t="shared" si="12"/>
        <v>0</v>
      </c>
      <c r="N15" s="274">
        <f t="shared" si="1"/>
        <v>0</v>
      </c>
      <c r="O15" s="120">
        <f t="shared" si="13"/>
        <v>0</v>
      </c>
      <c r="P15" s="120">
        <f t="shared" si="14"/>
        <v>0</v>
      </c>
      <c r="Q15" s="121">
        <f t="shared" si="15"/>
        <v>0</v>
      </c>
      <c r="R15" s="121">
        <f t="shared" si="2"/>
        <v>0</v>
      </c>
      <c r="S15" s="274">
        <f t="shared" si="3"/>
        <v>0</v>
      </c>
      <c r="T15" s="61"/>
    </row>
    <row r="16">
      <c r="I16" s="272"/>
      <c r="J16" s="113"/>
      <c r="K16" s="273">
        <f t="shared" si="10"/>
        <v>0</v>
      </c>
      <c r="L16" s="273">
        <f t="shared" si="11"/>
        <v>0</v>
      </c>
      <c r="M16" s="273">
        <f t="shared" si="12"/>
        <v>0</v>
      </c>
      <c r="N16" s="274">
        <f t="shared" si="1"/>
        <v>0</v>
      </c>
      <c r="O16" s="120">
        <f t="shared" si="13"/>
        <v>0</v>
      </c>
      <c r="P16" s="120">
        <f t="shared" si="14"/>
        <v>0</v>
      </c>
      <c r="Q16" s="121">
        <f t="shared" si="15"/>
        <v>0</v>
      </c>
      <c r="R16" s="121">
        <f t="shared" si="2"/>
        <v>0</v>
      </c>
      <c r="S16" s="274">
        <f t="shared" si="3"/>
        <v>0</v>
      </c>
      <c r="T16" s="61"/>
    </row>
    <row r="17">
      <c r="I17" s="272"/>
      <c r="J17" s="113"/>
      <c r="K17" s="273">
        <f t="shared" si="10"/>
        <v>0</v>
      </c>
      <c r="L17" s="273">
        <f t="shared" si="11"/>
        <v>0</v>
      </c>
      <c r="M17" s="273">
        <f t="shared" si="12"/>
        <v>0</v>
      </c>
      <c r="N17" s="274">
        <f t="shared" si="1"/>
        <v>0</v>
      </c>
      <c r="O17" s="120">
        <f t="shared" si="13"/>
        <v>0</v>
      </c>
      <c r="P17" s="120">
        <f t="shared" si="14"/>
        <v>0</v>
      </c>
      <c r="Q17" s="121">
        <f t="shared" si="15"/>
        <v>0</v>
      </c>
      <c r="R17" s="121">
        <f t="shared" si="2"/>
        <v>0</v>
      </c>
      <c r="S17" s="274">
        <f t="shared" si="3"/>
        <v>0</v>
      </c>
      <c r="T17" s="61"/>
    </row>
    <row r="18">
      <c r="I18" s="272"/>
      <c r="J18" s="113"/>
      <c r="K18" s="273">
        <f t="shared" si="10"/>
        <v>0</v>
      </c>
      <c r="L18" s="273">
        <f t="shared" si="11"/>
        <v>0</v>
      </c>
      <c r="M18" s="273">
        <f t="shared" si="12"/>
        <v>0</v>
      </c>
      <c r="N18" s="274">
        <f t="shared" si="1"/>
        <v>0</v>
      </c>
      <c r="O18" s="120">
        <f t="shared" si="13"/>
        <v>0</v>
      </c>
      <c r="P18" s="120">
        <f t="shared" si="14"/>
        <v>0</v>
      </c>
      <c r="Q18" s="121">
        <f t="shared" si="15"/>
        <v>0</v>
      </c>
      <c r="R18" s="121">
        <f t="shared" si="2"/>
        <v>0</v>
      </c>
      <c r="S18" s="274">
        <f t="shared" si="3"/>
        <v>0</v>
      </c>
      <c r="T18" s="61"/>
    </row>
    <row r="19">
      <c r="I19" s="272"/>
      <c r="J19" s="113"/>
      <c r="K19" s="273">
        <f t="shared" si="10"/>
        <v>0</v>
      </c>
      <c r="L19" s="273">
        <f t="shared" si="11"/>
        <v>0</v>
      </c>
      <c r="M19" s="273">
        <f t="shared" si="12"/>
        <v>0</v>
      </c>
      <c r="N19" s="274">
        <f t="shared" si="1"/>
        <v>0</v>
      </c>
      <c r="O19" s="120">
        <f t="shared" si="13"/>
        <v>0</v>
      </c>
      <c r="P19" s="120">
        <f t="shared" si="14"/>
        <v>0</v>
      </c>
      <c r="Q19" s="121">
        <f t="shared" si="15"/>
        <v>0</v>
      </c>
      <c r="R19" s="121">
        <f t="shared" si="2"/>
        <v>0</v>
      </c>
      <c r="S19" s="274">
        <f t="shared" si="3"/>
        <v>0</v>
      </c>
      <c r="T19" s="61"/>
    </row>
    <row r="20">
      <c r="I20" s="272"/>
      <c r="J20" s="113"/>
      <c r="K20" s="273">
        <f t="shared" si="10"/>
        <v>0</v>
      </c>
      <c r="L20" s="273">
        <f t="shared" si="11"/>
        <v>0</v>
      </c>
      <c r="M20" s="273">
        <f t="shared" si="12"/>
        <v>0</v>
      </c>
      <c r="N20" s="274">
        <f t="shared" si="1"/>
        <v>0</v>
      </c>
      <c r="O20" s="120">
        <f t="shared" si="13"/>
        <v>0</v>
      </c>
      <c r="P20" s="120">
        <f t="shared" si="14"/>
        <v>0</v>
      </c>
      <c r="Q20" s="121">
        <f t="shared" si="15"/>
        <v>0</v>
      </c>
      <c r="R20" s="121">
        <f t="shared" si="2"/>
        <v>0</v>
      </c>
      <c r="S20" s="274">
        <f t="shared" si="3"/>
        <v>0</v>
      </c>
      <c r="T20" s="61"/>
    </row>
    <row r="21">
      <c r="I21" s="272"/>
      <c r="J21" s="113"/>
      <c r="K21" s="273">
        <f t="shared" si="10"/>
        <v>0</v>
      </c>
      <c r="L21" s="273">
        <f t="shared" si="11"/>
        <v>0</v>
      </c>
      <c r="M21" s="273">
        <f t="shared" si="12"/>
        <v>0</v>
      </c>
      <c r="N21" s="274">
        <f t="shared" si="1"/>
        <v>0</v>
      </c>
      <c r="O21" s="120">
        <f t="shared" si="13"/>
        <v>0</v>
      </c>
      <c r="P21" s="120">
        <f t="shared" si="14"/>
        <v>0</v>
      </c>
      <c r="Q21" s="121">
        <f t="shared" si="15"/>
        <v>0</v>
      </c>
      <c r="R21" s="121">
        <f t="shared" si="2"/>
        <v>0</v>
      </c>
      <c r="S21" s="274">
        <f t="shared" si="3"/>
        <v>0</v>
      </c>
      <c r="T21" s="61"/>
    </row>
    <row r="22">
      <c r="I22" s="272" t="s">
        <v>530</v>
      </c>
      <c r="J22" s="272"/>
      <c r="K22" s="273">
        <f t="shared" si="10"/>
        <v>0</v>
      </c>
      <c r="L22" s="273">
        <f t="shared" si="11"/>
        <v>0</v>
      </c>
      <c r="M22" s="273">
        <f t="shared" si="12"/>
        <v>0</v>
      </c>
      <c r="N22" s="274">
        <f t="shared" si="1"/>
        <v>0</v>
      </c>
      <c r="O22" s="120">
        <f t="shared" si="13"/>
        <v>0</v>
      </c>
      <c r="P22" s="120">
        <f t="shared" si="14"/>
        <v>0</v>
      </c>
      <c r="Q22" s="121">
        <f t="shared" si="15"/>
        <v>0</v>
      </c>
      <c r="R22" s="121">
        <f t="shared" si="2"/>
        <v>0</v>
      </c>
      <c r="S22" s="274">
        <f t="shared" si="3"/>
        <v>0</v>
      </c>
      <c r="T22" s="61"/>
    </row>
    <row r="23">
      <c r="I23" s="272" t="s">
        <v>530</v>
      </c>
      <c r="J23" s="113"/>
      <c r="K23" s="273">
        <f t="shared" si="10"/>
        <v>0</v>
      </c>
      <c r="L23" s="273">
        <f t="shared" si="11"/>
        <v>0</v>
      </c>
      <c r="M23" s="273">
        <f t="shared" si="12"/>
        <v>0</v>
      </c>
      <c r="N23" s="274">
        <f t="shared" si="1"/>
        <v>0</v>
      </c>
      <c r="O23" s="120">
        <f t="shared" si="13"/>
        <v>0</v>
      </c>
      <c r="P23" s="120">
        <f t="shared" si="14"/>
        <v>0</v>
      </c>
      <c r="Q23" s="121">
        <f t="shared" si="15"/>
        <v>0</v>
      </c>
      <c r="R23" s="121">
        <f t="shared" si="2"/>
        <v>0</v>
      </c>
      <c r="S23" s="274">
        <f t="shared" si="3"/>
        <v>0</v>
      </c>
      <c r="T23" s="61"/>
    </row>
    <row r="24">
      <c r="I24" s="272" t="s">
        <v>530</v>
      </c>
      <c r="J24" s="113"/>
      <c r="K24" s="273">
        <f t="shared" si="10"/>
        <v>0</v>
      </c>
      <c r="L24" s="273">
        <f t="shared" si="11"/>
        <v>0</v>
      </c>
      <c r="M24" s="273">
        <f t="shared" si="12"/>
        <v>0</v>
      </c>
      <c r="N24" s="274">
        <f t="shared" si="1"/>
        <v>0</v>
      </c>
      <c r="O24" s="120">
        <f t="shared" si="13"/>
        <v>0</v>
      </c>
      <c r="P24" s="120">
        <f t="shared" si="14"/>
        <v>0</v>
      </c>
      <c r="Q24" s="121">
        <f t="shared" si="15"/>
        <v>0</v>
      </c>
      <c r="R24" s="121">
        <f t="shared" si="2"/>
        <v>0</v>
      </c>
      <c r="S24" s="274">
        <f t="shared" si="3"/>
        <v>0</v>
      </c>
      <c r="T24" s="61"/>
    </row>
    <row r="25">
      <c r="I25" s="272"/>
      <c r="J25" s="113"/>
      <c r="K25" s="273">
        <f t="shared" si="10"/>
        <v>0</v>
      </c>
      <c r="L25" s="273">
        <f t="shared" si="11"/>
        <v>0</v>
      </c>
      <c r="M25" s="273">
        <f t="shared" si="12"/>
        <v>0</v>
      </c>
      <c r="N25" s="274">
        <f t="shared" si="1"/>
        <v>0</v>
      </c>
      <c r="O25" s="120">
        <f t="shared" si="13"/>
        <v>0</v>
      </c>
      <c r="P25" s="120">
        <f t="shared" si="14"/>
        <v>0</v>
      </c>
      <c r="Q25" s="121">
        <f t="shared" si="15"/>
        <v>0</v>
      </c>
      <c r="R25" s="121">
        <f t="shared" si="2"/>
        <v>0</v>
      </c>
      <c r="S25" s="274">
        <f t="shared" si="3"/>
        <v>0</v>
      </c>
      <c r="T25" s="61"/>
    </row>
    <row r="26">
      <c r="I26" s="272"/>
      <c r="J26" s="113"/>
      <c r="K26" s="273">
        <f t="shared" si="10"/>
        <v>0</v>
      </c>
      <c r="L26" s="273">
        <f t="shared" si="11"/>
        <v>0</v>
      </c>
      <c r="M26" s="273">
        <f t="shared" si="12"/>
        <v>0</v>
      </c>
      <c r="N26" s="274">
        <f t="shared" si="1"/>
        <v>0</v>
      </c>
      <c r="O26" s="120">
        <f t="shared" si="13"/>
        <v>0</v>
      </c>
      <c r="P26" s="120">
        <f t="shared" si="14"/>
        <v>0</v>
      </c>
      <c r="Q26" s="121">
        <f t="shared" si="15"/>
        <v>0</v>
      </c>
      <c r="R26" s="121">
        <f t="shared" si="2"/>
        <v>0</v>
      </c>
      <c r="S26" s="274">
        <f t="shared" si="3"/>
        <v>0</v>
      </c>
      <c r="T26" s="61"/>
    </row>
    <row r="27">
      <c r="I27" s="272"/>
      <c r="J27" s="113"/>
      <c r="K27" s="273">
        <f t="shared" si="10"/>
        <v>0</v>
      </c>
      <c r="L27" s="273">
        <f t="shared" si="11"/>
        <v>0</v>
      </c>
      <c r="M27" s="273">
        <f t="shared" si="12"/>
        <v>0</v>
      </c>
      <c r="N27" s="274">
        <f t="shared" si="1"/>
        <v>0</v>
      </c>
      <c r="O27" s="120">
        <f t="shared" si="13"/>
        <v>0</v>
      </c>
      <c r="P27" s="120">
        <f t="shared" si="14"/>
        <v>0</v>
      </c>
      <c r="Q27" s="121">
        <f t="shared" si="15"/>
        <v>0</v>
      </c>
      <c r="R27" s="121">
        <f t="shared" si="2"/>
        <v>0</v>
      </c>
      <c r="S27" s="274">
        <f t="shared" si="3"/>
        <v>0</v>
      </c>
      <c r="T27" s="61"/>
    </row>
    <row r="28">
      <c r="I28" s="272"/>
      <c r="J28" s="113"/>
      <c r="K28" s="273">
        <f t="shared" si="10"/>
        <v>0</v>
      </c>
      <c r="L28" s="273">
        <f t="shared" si="11"/>
        <v>0</v>
      </c>
      <c r="M28" s="273">
        <f t="shared" si="12"/>
        <v>0</v>
      </c>
      <c r="N28" s="274">
        <f t="shared" si="1"/>
        <v>0</v>
      </c>
      <c r="O28" s="120">
        <f t="shared" si="13"/>
        <v>0</v>
      </c>
      <c r="P28" s="120">
        <f t="shared" si="14"/>
        <v>0</v>
      </c>
      <c r="Q28" s="121">
        <f t="shared" si="15"/>
        <v>0</v>
      </c>
      <c r="R28" s="121">
        <f t="shared" si="2"/>
        <v>0</v>
      </c>
      <c r="S28" s="274">
        <f t="shared" si="3"/>
        <v>0</v>
      </c>
      <c r="T28" s="61"/>
    </row>
    <row r="29">
      <c r="I29" s="272"/>
      <c r="J29" s="272"/>
      <c r="K29" s="273">
        <f t="shared" si="10"/>
        <v>0</v>
      </c>
      <c r="L29" s="273">
        <f t="shared" si="11"/>
        <v>0</v>
      </c>
      <c r="M29" s="273">
        <f t="shared" si="12"/>
        <v>0</v>
      </c>
      <c r="N29" s="274">
        <f t="shared" si="1"/>
        <v>0</v>
      </c>
      <c r="O29" s="120">
        <f t="shared" si="13"/>
        <v>0</v>
      </c>
      <c r="P29" s="120">
        <f t="shared" si="14"/>
        <v>0</v>
      </c>
      <c r="Q29" s="121">
        <f t="shared" si="15"/>
        <v>0</v>
      </c>
      <c r="R29" s="121">
        <f t="shared" si="2"/>
        <v>0</v>
      </c>
      <c r="S29" s="274">
        <f t="shared" si="3"/>
        <v>0</v>
      </c>
      <c r="T29" s="61"/>
    </row>
    <row r="30">
      <c r="I30" s="272"/>
      <c r="J30" s="113"/>
      <c r="K30" s="273">
        <f t="shared" si="10"/>
        <v>0</v>
      </c>
      <c r="L30" s="273">
        <f t="shared" si="11"/>
        <v>0</v>
      </c>
      <c r="M30" s="273">
        <f t="shared" si="12"/>
        <v>0</v>
      </c>
      <c r="N30" s="274">
        <f t="shared" si="1"/>
        <v>0</v>
      </c>
      <c r="O30" s="120">
        <f t="shared" si="13"/>
        <v>0</v>
      </c>
      <c r="P30" s="120">
        <f t="shared" si="14"/>
        <v>0</v>
      </c>
      <c r="Q30" s="121">
        <f t="shared" si="15"/>
        <v>0</v>
      </c>
      <c r="R30" s="121">
        <f t="shared" si="2"/>
        <v>0</v>
      </c>
      <c r="S30" s="274">
        <f t="shared" si="3"/>
        <v>0</v>
      </c>
      <c r="T30" s="61"/>
    </row>
    <row r="31">
      <c r="I31" s="272"/>
      <c r="J31" s="113"/>
      <c r="K31" s="273">
        <f t="shared" si="10"/>
        <v>0</v>
      </c>
      <c r="L31" s="273">
        <f t="shared" si="11"/>
        <v>0</v>
      </c>
      <c r="M31" s="273">
        <f t="shared" si="12"/>
        <v>0</v>
      </c>
      <c r="N31" s="274">
        <f t="shared" si="1"/>
        <v>0</v>
      </c>
      <c r="O31" s="120">
        <f t="shared" si="13"/>
        <v>0</v>
      </c>
      <c r="P31" s="120">
        <f t="shared" si="14"/>
        <v>0</v>
      </c>
      <c r="Q31" s="121">
        <f t="shared" si="15"/>
        <v>0</v>
      </c>
      <c r="R31" s="121">
        <f t="shared" si="2"/>
        <v>0</v>
      </c>
      <c r="S31" s="274">
        <f t="shared" si="3"/>
        <v>0</v>
      </c>
      <c r="T31" s="61"/>
    </row>
    <row r="32">
      <c r="I32" s="272"/>
      <c r="J32" s="272"/>
      <c r="K32" s="273">
        <f>sumifs($J$79:$J$93,$I$79:$I$93,J32)</f>
        <v>0</v>
      </c>
      <c r="L32" s="272"/>
      <c r="M32" s="272"/>
      <c r="N32" s="272"/>
      <c r="O32" s="272"/>
      <c r="P32" s="272"/>
      <c r="Q32" s="272"/>
      <c r="R32" s="121">
        <f t="shared" si="2"/>
        <v>0</v>
      </c>
      <c r="S32" s="272"/>
    </row>
    <row r="33">
      <c r="I33" s="267" t="s">
        <v>209</v>
      </c>
      <c r="J33" s="267" t="s">
        <v>209</v>
      </c>
      <c r="K33" s="268">
        <f>K34</f>
        <v>0</v>
      </c>
      <c r="L33" s="268">
        <f>SUMIFS($C:$C,$A:$A,$I33)</f>
        <v>67552</v>
      </c>
      <c r="M33" s="268">
        <f>SUMIFS($D:$D,$A:$A,$I33)</f>
        <v>67552</v>
      </c>
      <c r="N33" s="269">
        <f t="shared" ref="N33:N74" si="16">M33/$M$76</f>
        <v>0.5016523218</v>
      </c>
      <c r="O33" s="270">
        <f>SUMIFS($E:$E,$A:$A,$I33)</f>
        <v>95106</v>
      </c>
      <c r="P33" s="270">
        <f>SUMIFS($G:$G,$A:$A,$I33)</f>
        <v>0</v>
      </c>
      <c r="Q33" s="271">
        <f>SUMIFS($F:$F,$A:$A,$I33)</f>
        <v>0</v>
      </c>
      <c r="R33" s="271">
        <f>O33+Q33</f>
        <v>95106</v>
      </c>
      <c r="S33" s="269">
        <f>R33/$R$76</f>
        <v>0.06125353696</v>
      </c>
      <c r="T33" s="61"/>
    </row>
    <row r="34">
      <c r="I34" s="272" t="s">
        <v>530</v>
      </c>
      <c r="J34" s="113"/>
      <c r="K34" s="273">
        <f t="shared" ref="K34:K35" si="17">sumifs($J$79:$J$88,$I$79:$I$88,J34)</f>
        <v>0</v>
      </c>
      <c r="L34" s="273">
        <f t="shared" ref="L34:L35" si="18">SUMIFS($C:$C,$B:$B,$J34)</f>
        <v>0</v>
      </c>
      <c r="M34" s="273">
        <f t="shared" ref="M34:M35" si="19">SUMIFS($D:$D,$B:$B,J34)</f>
        <v>0</v>
      </c>
      <c r="N34" s="274">
        <f t="shared" si="16"/>
        <v>0</v>
      </c>
      <c r="O34" s="120">
        <f t="shared" ref="O34:O35" si="20">SUMIFS($E:$E,$B:$B,J34)</f>
        <v>0</v>
      </c>
      <c r="P34" s="120">
        <f t="shared" ref="P34:P35" si="21">SUMIFS($G:$G,$B:$B,J34)</f>
        <v>0</v>
      </c>
      <c r="Q34" s="121">
        <f t="shared" ref="Q34:Q35" si="22">SUMIFS($F:$F,$B:$B,J34)</f>
        <v>0</v>
      </c>
      <c r="R34" s="121">
        <f t="shared" ref="R34:R35" si="23">O34+P34+Q34</f>
        <v>0</v>
      </c>
      <c r="S34" s="274">
        <f t="shared" ref="S34:S35" si="24">R34/$R$77</f>
        <v>0</v>
      </c>
      <c r="T34" s="63"/>
    </row>
    <row r="35">
      <c r="I35" s="272"/>
      <c r="J35" s="272"/>
      <c r="K35" s="273">
        <f t="shared" si="17"/>
        <v>0</v>
      </c>
      <c r="L35" s="273">
        <f t="shared" si="18"/>
        <v>0</v>
      </c>
      <c r="M35" s="273">
        <f t="shared" si="19"/>
        <v>0</v>
      </c>
      <c r="N35" s="274">
        <f t="shared" si="16"/>
        <v>0</v>
      </c>
      <c r="O35" s="120">
        <f t="shared" si="20"/>
        <v>0</v>
      </c>
      <c r="P35" s="120">
        <f t="shared" si="21"/>
        <v>0</v>
      </c>
      <c r="Q35" s="121">
        <f t="shared" si="22"/>
        <v>0</v>
      </c>
      <c r="R35" s="121">
        <f t="shared" si="23"/>
        <v>0</v>
      </c>
      <c r="S35" s="274">
        <f t="shared" si="24"/>
        <v>0</v>
      </c>
      <c r="T35" s="61"/>
    </row>
    <row r="36">
      <c r="I36" s="267" t="s">
        <v>211</v>
      </c>
      <c r="J36" s="267" t="s">
        <v>211</v>
      </c>
      <c r="K36" s="268">
        <f>K37</f>
        <v>0</v>
      </c>
      <c r="L36" s="268">
        <f>SUMIFS($C:$C,$A:$A,$I36)</f>
        <v>8205</v>
      </c>
      <c r="M36" s="268">
        <f>SUMIFS($D:$D,$A:$A,$I36)</f>
        <v>6758</v>
      </c>
      <c r="N36" s="269">
        <f t="shared" si="16"/>
        <v>0.05018602544</v>
      </c>
      <c r="O36" s="270">
        <f>SUMIFS($E:$E,$A:$A,$I36)</f>
        <v>15448</v>
      </c>
      <c r="P36" s="270">
        <f>SUMIFS($G:$G,$A:$A,$I36)</f>
        <v>0</v>
      </c>
      <c r="Q36" s="271">
        <f>SUMIFS($F:$F,$A:$A,$I36)</f>
        <v>0</v>
      </c>
      <c r="R36" s="271">
        <f t="shared" ref="R36:R37" si="25">O36+P36</f>
        <v>15448</v>
      </c>
      <c r="S36" s="269">
        <f>R36/$R$76</f>
        <v>0.009949368483</v>
      </c>
      <c r="T36" s="61"/>
    </row>
    <row r="37">
      <c r="I37" s="272" t="s">
        <v>530</v>
      </c>
      <c r="J37" s="113"/>
      <c r="K37" s="273">
        <f>sumifs($J$79:$J$88,$I$79:$I$88,J37)</f>
        <v>0</v>
      </c>
      <c r="L37" s="273">
        <f>SUMIFS($C:$C,$B:$B,$J37)</f>
        <v>0</v>
      </c>
      <c r="M37" s="273">
        <f>SUMIFS($D:$D,$B:$B,J37)</f>
        <v>0</v>
      </c>
      <c r="N37" s="274">
        <f t="shared" si="16"/>
        <v>0</v>
      </c>
      <c r="O37" s="120">
        <f>SUMIFS($E:$E,$B:$B,J37)</f>
        <v>0</v>
      </c>
      <c r="P37" s="120">
        <f>SUMIFS($G:$G,$B:$B,J37)</f>
        <v>0</v>
      </c>
      <c r="Q37" s="121">
        <f>SUMIFS($F:$F,$B:$B,J37)</f>
        <v>0</v>
      </c>
      <c r="R37" s="121">
        <f t="shared" si="25"/>
        <v>0</v>
      </c>
      <c r="S37" s="274">
        <f t="shared" ref="S37:S56" si="26">R37/$R$77</f>
        <v>0</v>
      </c>
      <c r="T37" s="63"/>
    </row>
    <row r="38">
      <c r="I38" s="267" t="s">
        <v>216</v>
      </c>
      <c r="J38" s="267" t="s">
        <v>216</v>
      </c>
      <c r="K38" s="268">
        <f>sum(K39:K48)</f>
        <v>0</v>
      </c>
      <c r="L38" s="268">
        <f>SUMIFS($C:$C,$A:$A,$I38)</f>
        <v>4</v>
      </c>
      <c r="M38" s="268">
        <f>SUM(M39:M48)</f>
        <v>4</v>
      </c>
      <c r="N38" s="269">
        <f t="shared" si="16"/>
        <v>0.0000297046614</v>
      </c>
      <c r="O38" s="270">
        <f>SUMIFS($E:$E,$A:$A,$I38)</f>
        <v>0</v>
      </c>
      <c r="P38" s="270">
        <f>SUMIFS($G:$G,$A:$A,$I38)</f>
        <v>4</v>
      </c>
      <c r="Q38" s="271">
        <f>SUM(Q39:Q53)</f>
        <v>32</v>
      </c>
      <c r="R38" s="271">
        <f>Q38</f>
        <v>32</v>
      </c>
      <c r="S38" s="269">
        <f t="shared" si="26"/>
        <v>0.00002060977431</v>
      </c>
      <c r="T38" s="61"/>
    </row>
    <row r="39">
      <c r="I39" s="272"/>
      <c r="J39" s="113" t="s">
        <v>515</v>
      </c>
      <c r="K39" s="273">
        <f t="shared" ref="K39:K50" si="27">sumifs($J$79:$J$93,$I$79:$I$93,J39)</f>
        <v>0</v>
      </c>
      <c r="L39" s="273">
        <f t="shared" ref="L39:L56" si="28">SUMIFS($C:$C,$B:$B,$J39)</f>
        <v>4</v>
      </c>
      <c r="M39" s="273">
        <f t="shared" ref="M39:M56" si="29">SUMIFS($D:$D,$B:$B,J39)</f>
        <v>4</v>
      </c>
      <c r="N39" s="274">
        <f t="shared" si="16"/>
        <v>0.0000297046614</v>
      </c>
      <c r="O39" s="120">
        <f t="shared" ref="O39:O56" si="30">SUMIFS($E:$E,$B:$B,J39)</f>
        <v>0</v>
      </c>
      <c r="P39" s="120">
        <f t="shared" ref="P39:P56" si="31">SUMIFS($G:$G,$B:$B,J39)</f>
        <v>4</v>
      </c>
      <c r="Q39" s="121">
        <f t="shared" ref="Q39:Q56" si="32">SUMIFS($F:$F,$B:$B,J39)</f>
        <v>32</v>
      </c>
      <c r="R39" s="121">
        <f t="shared" ref="R39:R56" si="33">O39+P39+Q39</f>
        <v>36</v>
      </c>
      <c r="S39" s="274">
        <f t="shared" si="26"/>
        <v>0.0000231859961</v>
      </c>
      <c r="T39" s="61"/>
    </row>
    <row r="40">
      <c r="I40" s="272"/>
      <c r="J40" s="113"/>
      <c r="K40" s="273">
        <f t="shared" si="27"/>
        <v>0</v>
      </c>
      <c r="L40" s="273">
        <f t="shared" si="28"/>
        <v>0</v>
      </c>
      <c r="M40" s="273">
        <f t="shared" si="29"/>
        <v>0</v>
      </c>
      <c r="N40" s="274">
        <f t="shared" si="16"/>
        <v>0</v>
      </c>
      <c r="O40" s="120">
        <f t="shared" si="30"/>
        <v>0</v>
      </c>
      <c r="P40" s="120">
        <f t="shared" si="31"/>
        <v>0</v>
      </c>
      <c r="Q40" s="121">
        <f t="shared" si="32"/>
        <v>0</v>
      </c>
      <c r="R40" s="121">
        <f t="shared" si="33"/>
        <v>0</v>
      </c>
      <c r="S40" s="274">
        <f t="shared" si="26"/>
        <v>0</v>
      </c>
      <c r="T40" s="61"/>
    </row>
    <row r="41">
      <c r="I41" s="272"/>
      <c r="J41" s="113"/>
      <c r="K41" s="273">
        <f t="shared" si="27"/>
        <v>0</v>
      </c>
      <c r="L41" s="273">
        <f t="shared" si="28"/>
        <v>0</v>
      </c>
      <c r="M41" s="273">
        <f t="shared" si="29"/>
        <v>0</v>
      </c>
      <c r="N41" s="274">
        <f t="shared" si="16"/>
        <v>0</v>
      </c>
      <c r="O41" s="120">
        <f t="shared" si="30"/>
        <v>0</v>
      </c>
      <c r="P41" s="120">
        <f t="shared" si="31"/>
        <v>0</v>
      </c>
      <c r="Q41" s="121">
        <f t="shared" si="32"/>
        <v>0</v>
      </c>
      <c r="R41" s="121">
        <f t="shared" si="33"/>
        <v>0</v>
      </c>
      <c r="S41" s="274">
        <f t="shared" si="26"/>
        <v>0</v>
      </c>
      <c r="T41" s="61"/>
    </row>
    <row r="42">
      <c r="I42" s="272"/>
      <c r="J42" s="113"/>
      <c r="K42" s="273">
        <f t="shared" si="27"/>
        <v>0</v>
      </c>
      <c r="L42" s="273">
        <f t="shared" si="28"/>
        <v>0</v>
      </c>
      <c r="M42" s="273">
        <f t="shared" si="29"/>
        <v>0</v>
      </c>
      <c r="N42" s="274">
        <f t="shared" si="16"/>
        <v>0</v>
      </c>
      <c r="O42" s="120">
        <f t="shared" si="30"/>
        <v>0</v>
      </c>
      <c r="P42" s="120">
        <f t="shared" si="31"/>
        <v>0</v>
      </c>
      <c r="Q42" s="121">
        <f t="shared" si="32"/>
        <v>0</v>
      </c>
      <c r="R42" s="121">
        <f t="shared" si="33"/>
        <v>0</v>
      </c>
      <c r="S42" s="274">
        <f t="shared" si="26"/>
        <v>0</v>
      </c>
      <c r="T42" s="61"/>
    </row>
    <row r="43">
      <c r="I43" s="272"/>
      <c r="J43" s="113"/>
      <c r="K43" s="273">
        <f t="shared" si="27"/>
        <v>0</v>
      </c>
      <c r="L43" s="273">
        <f t="shared" si="28"/>
        <v>0</v>
      </c>
      <c r="M43" s="273">
        <f t="shared" si="29"/>
        <v>0</v>
      </c>
      <c r="N43" s="274">
        <f t="shared" si="16"/>
        <v>0</v>
      </c>
      <c r="O43" s="120">
        <f t="shared" si="30"/>
        <v>0</v>
      </c>
      <c r="P43" s="120">
        <f t="shared" si="31"/>
        <v>0</v>
      </c>
      <c r="Q43" s="121">
        <f t="shared" si="32"/>
        <v>0</v>
      </c>
      <c r="R43" s="121">
        <f t="shared" si="33"/>
        <v>0</v>
      </c>
      <c r="S43" s="274">
        <f t="shared" si="26"/>
        <v>0</v>
      </c>
      <c r="T43" s="61"/>
    </row>
    <row r="44">
      <c r="I44" s="272"/>
      <c r="J44" s="113"/>
      <c r="K44" s="273">
        <f t="shared" si="27"/>
        <v>0</v>
      </c>
      <c r="L44" s="273">
        <f t="shared" si="28"/>
        <v>0</v>
      </c>
      <c r="M44" s="273">
        <f t="shared" si="29"/>
        <v>0</v>
      </c>
      <c r="N44" s="274">
        <f t="shared" si="16"/>
        <v>0</v>
      </c>
      <c r="O44" s="120">
        <f t="shared" si="30"/>
        <v>0</v>
      </c>
      <c r="P44" s="120">
        <f t="shared" si="31"/>
        <v>0</v>
      </c>
      <c r="Q44" s="121">
        <f t="shared" si="32"/>
        <v>0</v>
      </c>
      <c r="R44" s="121">
        <f t="shared" si="33"/>
        <v>0</v>
      </c>
      <c r="S44" s="274">
        <f t="shared" si="26"/>
        <v>0</v>
      </c>
      <c r="T44" s="61"/>
    </row>
    <row r="45">
      <c r="I45" s="272"/>
      <c r="J45" s="113"/>
      <c r="K45" s="273">
        <f t="shared" si="27"/>
        <v>0</v>
      </c>
      <c r="L45" s="273">
        <f t="shared" si="28"/>
        <v>0</v>
      </c>
      <c r="M45" s="273">
        <f t="shared" si="29"/>
        <v>0</v>
      </c>
      <c r="N45" s="274">
        <f t="shared" si="16"/>
        <v>0</v>
      </c>
      <c r="O45" s="120">
        <f t="shared" si="30"/>
        <v>0</v>
      </c>
      <c r="P45" s="120">
        <f t="shared" si="31"/>
        <v>0</v>
      </c>
      <c r="Q45" s="121">
        <f t="shared" si="32"/>
        <v>0</v>
      </c>
      <c r="R45" s="121">
        <f t="shared" si="33"/>
        <v>0</v>
      </c>
      <c r="S45" s="274">
        <f t="shared" si="26"/>
        <v>0</v>
      </c>
      <c r="T45" s="61"/>
    </row>
    <row r="46">
      <c r="I46" s="272" t="s">
        <v>530</v>
      </c>
      <c r="J46" s="113"/>
      <c r="K46" s="273">
        <f t="shared" si="27"/>
        <v>0</v>
      </c>
      <c r="L46" s="273">
        <f t="shared" si="28"/>
        <v>0</v>
      </c>
      <c r="M46" s="273">
        <f t="shared" si="29"/>
        <v>0</v>
      </c>
      <c r="N46" s="274">
        <f t="shared" si="16"/>
        <v>0</v>
      </c>
      <c r="O46" s="120">
        <f t="shared" si="30"/>
        <v>0</v>
      </c>
      <c r="P46" s="120">
        <f t="shared" si="31"/>
        <v>0</v>
      </c>
      <c r="Q46" s="121">
        <f t="shared" si="32"/>
        <v>0</v>
      </c>
      <c r="R46" s="121">
        <f t="shared" si="33"/>
        <v>0</v>
      </c>
      <c r="S46" s="274">
        <f t="shared" si="26"/>
        <v>0</v>
      </c>
      <c r="T46" s="61"/>
    </row>
    <row r="47">
      <c r="I47" s="272" t="s">
        <v>530</v>
      </c>
      <c r="J47" s="113"/>
      <c r="K47" s="273">
        <f t="shared" si="27"/>
        <v>0</v>
      </c>
      <c r="L47" s="273">
        <f t="shared" si="28"/>
        <v>0</v>
      </c>
      <c r="M47" s="273">
        <f t="shared" si="29"/>
        <v>0</v>
      </c>
      <c r="N47" s="274">
        <f t="shared" si="16"/>
        <v>0</v>
      </c>
      <c r="O47" s="120">
        <f t="shared" si="30"/>
        <v>0</v>
      </c>
      <c r="P47" s="120">
        <f t="shared" si="31"/>
        <v>0</v>
      </c>
      <c r="Q47" s="121">
        <f t="shared" si="32"/>
        <v>0</v>
      </c>
      <c r="R47" s="121">
        <f t="shared" si="33"/>
        <v>0</v>
      </c>
      <c r="S47" s="274">
        <f t="shared" si="26"/>
        <v>0</v>
      </c>
      <c r="T47" s="61"/>
    </row>
    <row r="48">
      <c r="I48" s="272"/>
      <c r="J48" s="113"/>
      <c r="K48" s="273">
        <f t="shared" si="27"/>
        <v>0</v>
      </c>
      <c r="L48" s="273">
        <f t="shared" si="28"/>
        <v>0</v>
      </c>
      <c r="M48" s="273">
        <f t="shared" si="29"/>
        <v>0</v>
      </c>
      <c r="N48" s="274">
        <f t="shared" si="16"/>
        <v>0</v>
      </c>
      <c r="O48" s="120">
        <f t="shared" si="30"/>
        <v>0</v>
      </c>
      <c r="P48" s="120">
        <f t="shared" si="31"/>
        <v>0</v>
      </c>
      <c r="Q48" s="121">
        <f t="shared" si="32"/>
        <v>0</v>
      </c>
      <c r="R48" s="121">
        <f t="shared" si="33"/>
        <v>0</v>
      </c>
      <c r="S48" s="274">
        <f t="shared" si="26"/>
        <v>0</v>
      </c>
      <c r="T48" s="61"/>
    </row>
    <row r="49">
      <c r="I49" s="272"/>
      <c r="J49" s="113"/>
      <c r="K49" s="273">
        <f t="shared" si="27"/>
        <v>0</v>
      </c>
      <c r="L49" s="273">
        <f t="shared" si="28"/>
        <v>0</v>
      </c>
      <c r="M49" s="273">
        <f t="shared" si="29"/>
        <v>0</v>
      </c>
      <c r="N49" s="274">
        <f t="shared" si="16"/>
        <v>0</v>
      </c>
      <c r="O49" s="120">
        <f t="shared" si="30"/>
        <v>0</v>
      </c>
      <c r="P49" s="120">
        <f t="shared" si="31"/>
        <v>0</v>
      </c>
      <c r="Q49" s="121">
        <f t="shared" si="32"/>
        <v>0</v>
      </c>
      <c r="R49" s="121">
        <f t="shared" si="33"/>
        <v>0</v>
      </c>
      <c r="S49" s="274">
        <f t="shared" si="26"/>
        <v>0</v>
      </c>
      <c r="T49" s="61"/>
    </row>
    <row r="50">
      <c r="I50" s="272"/>
      <c r="J50" s="113"/>
      <c r="K50" s="273">
        <f t="shared" si="27"/>
        <v>0</v>
      </c>
      <c r="L50" s="273">
        <f t="shared" si="28"/>
        <v>0</v>
      </c>
      <c r="M50" s="273">
        <f t="shared" si="29"/>
        <v>0</v>
      </c>
      <c r="N50" s="274">
        <f t="shared" si="16"/>
        <v>0</v>
      </c>
      <c r="O50" s="120">
        <f t="shared" si="30"/>
        <v>0</v>
      </c>
      <c r="P50" s="120">
        <f t="shared" si="31"/>
        <v>0</v>
      </c>
      <c r="Q50" s="121">
        <f t="shared" si="32"/>
        <v>0</v>
      </c>
      <c r="R50" s="121">
        <f t="shared" si="33"/>
        <v>0</v>
      </c>
      <c r="S50" s="274">
        <f t="shared" si="26"/>
        <v>0</v>
      </c>
      <c r="T50" s="61"/>
    </row>
    <row r="51">
      <c r="I51" s="272"/>
      <c r="J51" s="113"/>
      <c r="K51" s="273">
        <f t="shared" ref="K51:K56" si="34">sumifs($J$79:$J$88,$I$79:$I$88,J51)</f>
        <v>0</v>
      </c>
      <c r="L51" s="273">
        <f t="shared" si="28"/>
        <v>0</v>
      </c>
      <c r="M51" s="273">
        <f t="shared" si="29"/>
        <v>0</v>
      </c>
      <c r="N51" s="274">
        <f t="shared" si="16"/>
        <v>0</v>
      </c>
      <c r="O51" s="120">
        <f t="shared" si="30"/>
        <v>0</v>
      </c>
      <c r="P51" s="120">
        <f t="shared" si="31"/>
        <v>0</v>
      </c>
      <c r="Q51" s="121">
        <f t="shared" si="32"/>
        <v>0</v>
      </c>
      <c r="R51" s="121">
        <f t="shared" si="33"/>
        <v>0</v>
      </c>
      <c r="S51" s="274">
        <f t="shared" si="26"/>
        <v>0</v>
      </c>
      <c r="T51" s="61"/>
    </row>
    <row r="52">
      <c r="I52" s="272"/>
      <c r="J52" s="113"/>
      <c r="K52" s="273">
        <f t="shared" si="34"/>
        <v>0</v>
      </c>
      <c r="L52" s="273">
        <f t="shared" si="28"/>
        <v>0</v>
      </c>
      <c r="M52" s="273">
        <f t="shared" si="29"/>
        <v>0</v>
      </c>
      <c r="N52" s="274">
        <f t="shared" si="16"/>
        <v>0</v>
      </c>
      <c r="O52" s="120">
        <f t="shared" si="30"/>
        <v>0</v>
      </c>
      <c r="P52" s="120">
        <f t="shared" si="31"/>
        <v>0</v>
      </c>
      <c r="Q52" s="121">
        <f t="shared" si="32"/>
        <v>0</v>
      </c>
      <c r="R52" s="121">
        <f t="shared" si="33"/>
        <v>0</v>
      </c>
      <c r="S52" s="274">
        <f t="shared" si="26"/>
        <v>0</v>
      </c>
      <c r="T52" s="61"/>
    </row>
    <row r="53">
      <c r="I53" s="272"/>
      <c r="J53" s="113"/>
      <c r="K53" s="273">
        <f t="shared" si="34"/>
        <v>0</v>
      </c>
      <c r="L53" s="273">
        <f t="shared" si="28"/>
        <v>0</v>
      </c>
      <c r="M53" s="273">
        <f t="shared" si="29"/>
        <v>0</v>
      </c>
      <c r="N53" s="274">
        <f t="shared" si="16"/>
        <v>0</v>
      </c>
      <c r="O53" s="120">
        <f t="shared" si="30"/>
        <v>0</v>
      </c>
      <c r="P53" s="120">
        <f t="shared" si="31"/>
        <v>0</v>
      </c>
      <c r="Q53" s="121">
        <f t="shared" si="32"/>
        <v>0</v>
      </c>
      <c r="R53" s="121">
        <f t="shared" si="33"/>
        <v>0</v>
      </c>
      <c r="S53" s="274">
        <f t="shared" si="26"/>
        <v>0</v>
      </c>
      <c r="T53" s="61"/>
    </row>
    <row r="54">
      <c r="I54" s="272"/>
      <c r="J54" s="113"/>
      <c r="K54" s="273">
        <f t="shared" si="34"/>
        <v>0</v>
      </c>
      <c r="L54" s="273">
        <f t="shared" si="28"/>
        <v>0</v>
      </c>
      <c r="M54" s="273">
        <f t="shared" si="29"/>
        <v>0</v>
      </c>
      <c r="N54" s="274">
        <f t="shared" si="16"/>
        <v>0</v>
      </c>
      <c r="O54" s="120">
        <f t="shared" si="30"/>
        <v>0</v>
      </c>
      <c r="P54" s="120">
        <f t="shared" si="31"/>
        <v>0</v>
      </c>
      <c r="Q54" s="121">
        <f t="shared" si="32"/>
        <v>0</v>
      </c>
      <c r="R54" s="121">
        <f t="shared" si="33"/>
        <v>0</v>
      </c>
      <c r="S54" s="274">
        <f t="shared" si="26"/>
        <v>0</v>
      </c>
      <c r="T54" s="61"/>
    </row>
    <row r="55">
      <c r="I55" s="272"/>
      <c r="J55" s="113"/>
      <c r="K55" s="273">
        <f t="shared" si="34"/>
        <v>0</v>
      </c>
      <c r="L55" s="273">
        <f t="shared" si="28"/>
        <v>0</v>
      </c>
      <c r="M55" s="273">
        <f t="shared" si="29"/>
        <v>0</v>
      </c>
      <c r="N55" s="274">
        <f t="shared" si="16"/>
        <v>0</v>
      </c>
      <c r="O55" s="120">
        <f t="shared" si="30"/>
        <v>0</v>
      </c>
      <c r="P55" s="120">
        <f t="shared" si="31"/>
        <v>0</v>
      </c>
      <c r="Q55" s="121">
        <f t="shared" si="32"/>
        <v>0</v>
      </c>
      <c r="R55" s="121">
        <f t="shared" si="33"/>
        <v>0</v>
      </c>
      <c r="S55" s="274">
        <f t="shared" si="26"/>
        <v>0</v>
      </c>
      <c r="T55" s="61"/>
    </row>
    <row r="56">
      <c r="I56" s="272"/>
      <c r="J56" s="113"/>
      <c r="K56" s="273">
        <f t="shared" si="34"/>
        <v>0</v>
      </c>
      <c r="L56" s="273">
        <f t="shared" si="28"/>
        <v>0</v>
      </c>
      <c r="M56" s="273">
        <f t="shared" si="29"/>
        <v>0</v>
      </c>
      <c r="N56" s="274">
        <f t="shared" si="16"/>
        <v>0</v>
      </c>
      <c r="O56" s="120">
        <f t="shared" si="30"/>
        <v>0</v>
      </c>
      <c r="P56" s="120">
        <f t="shared" si="31"/>
        <v>0</v>
      </c>
      <c r="Q56" s="121">
        <f t="shared" si="32"/>
        <v>0</v>
      </c>
      <c r="R56" s="121">
        <f t="shared" si="33"/>
        <v>0</v>
      </c>
      <c r="S56" s="274">
        <f t="shared" si="26"/>
        <v>0</v>
      </c>
      <c r="T56" s="61"/>
    </row>
    <row r="57">
      <c r="I57" s="275" t="s">
        <v>233</v>
      </c>
      <c r="J57" s="267" t="s">
        <v>233</v>
      </c>
      <c r="K57" s="268">
        <f>K58</f>
        <v>0</v>
      </c>
      <c r="L57" s="268">
        <f>SUMIFS($C:$C,$A:$A,$I57)</f>
        <v>0</v>
      </c>
      <c r="M57" s="268">
        <f>SUMIFS($D:$D,$A:$A,$I57)</f>
        <v>0</v>
      </c>
      <c r="N57" s="269">
        <f t="shared" si="16"/>
        <v>0</v>
      </c>
      <c r="O57" s="270">
        <f>SUMIFS($E:$E,$A:$A,$I57)</f>
        <v>0</v>
      </c>
      <c r="P57" s="270">
        <f>SUMIFS($G:$G,$A:$A,$I57)</f>
        <v>0</v>
      </c>
      <c r="Q57" s="271">
        <f>SUMIFS($F:$F,$A:$A,$I57)</f>
        <v>0</v>
      </c>
      <c r="R57" s="271">
        <f t="shared" ref="R57:R66" si="35">O57+P57</f>
        <v>0</v>
      </c>
      <c r="S57" s="269">
        <f t="shared" ref="S57:S74" si="36">R57/$R$76</f>
        <v>0</v>
      </c>
      <c r="T57" s="61"/>
    </row>
    <row r="58">
      <c r="I58" s="272" t="s">
        <v>530</v>
      </c>
      <c r="J58" s="113" t="s">
        <v>553</v>
      </c>
      <c r="K58" s="273">
        <f>sumifs($J$79:$J$99,$I$79:$I$99,J58)</f>
        <v>0</v>
      </c>
      <c r="L58" s="273">
        <f>SUMIFS($C:$C,$B:$B,$J58)</f>
        <v>0</v>
      </c>
      <c r="M58" s="273">
        <f>SUMIFS($D:$D,$B:$B,J58)</f>
        <v>0</v>
      </c>
      <c r="N58" s="274">
        <f t="shared" si="16"/>
        <v>0</v>
      </c>
      <c r="O58" s="120">
        <f>SUMIFS($E:$E,$B:$B,J58)</f>
        <v>0</v>
      </c>
      <c r="P58" s="120">
        <f>SUMIFS($G:$G,$B:$B,J58)</f>
        <v>0</v>
      </c>
      <c r="Q58" s="121">
        <f>SUMIFS($F:$F,$B:$B,J58)</f>
        <v>0</v>
      </c>
      <c r="R58" s="121">
        <f t="shared" si="35"/>
        <v>0</v>
      </c>
      <c r="S58" s="274">
        <f t="shared" si="36"/>
        <v>0</v>
      </c>
      <c r="T58" s="61"/>
    </row>
    <row r="59">
      <c r="I59" s="267" t="s">
        <v>225</v>
      </c>
      <c r="J59" s="267" t="s">
        <v>225</v>
      </c>
      <c r="K59" s="268">
        <f>sumifs($J$79:$J$95,$I$79:$I$95,"120% first deposit bonus")+sumifs($J$79:$J$95,$I$79:$I$95,"50% first deposit bonus")</f>
        <v>907032</v>
      </c>
      <c r="L59" s="268">
        <f t="shared" ref="L59:L60" si="37">SUMIFS($C:$C,$A:$A,$I59)</f>
        <v>5860</v>
      </c>
      <c r="M59" s="268">
        <f t="shared" ref="M59:M60" si="38">SUMIFS($D:$D,$A:$A,$I59)</f>
        <v>5860</v>
      </c>
      <c r="N59" s="269">
        <f t="shared" si="16"/>
        <v>0.04351732896</v>
      </c>
      <c r="O59" s="270">
        <f t="shared" ref="O59:O60" si="39">SUMIFS($E:$E,$A:$A,$I59)</f>
        <v>947257</v>
      </c>
      <c r="P59" s="270">
        <f t="shared" ref="P59:P60" si="40">SUMIFS($G:$G,$A:$A,$I59)</f>
        <v>0</v>
      </c>
      <c r="Q59" s="271">
        <f t="shared" ref="Q59:Q60" si="41">SUMIFS($F:$F,$A:$A,$I59)</f>
        <v>0</v>
      </c>
      <c r="R59" s="271">
        <f t="shared" si="35"/>
        <v>947257</v>
      </c>
      <c r="S59" s="269">
        <f t="shared" si="36"/>
        <v>0.6100860267</v>
      </c>
      <c r="T59" s="61"/>
    </row>
    <row r="60">
      <c r="I60" s="267" t="s">
        <v>227</v>
      </c>
      <c r="J60" s="267" t="s">
        <v>227</v>
      </c>
      <c r="K60" s="268">
        <f>K61</f>
        <v>146797</v>
      </c>
      <c r="L60" s="268">
        <f t="shared" si="37"/>
        <v>953</v>
      </c>
      <c r="M60" s="268">
        <f t="shared" si="38"/>
        <v>953</v>
      </c>
      <c r="N60" s="269">
        <f t="shared" si="16"/>
        <v>0.00707713558</v>
      </c>
      <c r="O60" s="270">
        <f t="shared" si="39"/>
        <v>72788</v>
      </c>
      <c r="P60" s="270">
        <f t="shared" si="40"/>
        <v>0</v>
      </c>
      <c r="Q60" s="271">
        <f t="shared" si="41"/>
        <v>0</v>
      </c>
      <c r="R60" s="271">
        <f t="shared" si="35"/>
        <v>72788</v>
      </c>
      <c r="S60" s="269">
        <f t="shared" si="36"/>
        <v>0.04687950758</v>
      </c>
      <c r="T60" s="61"/>
    </row>
    <row r="61">
      <c r="I61" s="272" t="s">
        <v>530</v>
      </c>
      <c r="J61" s="113" t="s">
        <v>545</v>
      </c>
      <c r="K61" s="273">
        <f>sumifs($J$79:$J$98,$I$79:$I$98,J61)</f>
        <v>146797</v>
      </c>
      <c r="L61" s="273">
        <f>SUMIFS($C:$C,$B:$B,$J61)</f>
        <v>953</v>
      </c>
      <c r="M61" s="273">
        <f>SUMIFS($D:$D,$B:$B,J61)</f>
        <v>953</v>
      </c>
      <c r="N61" s="274">
        <f t="shared" si="16"/>
        <v>0.00707713558</v>
      </c>
      <c r="O61" s="120">
        <f>SUMIFS($E:$E,$B:$B,J61)</f>
        <v>72788</v>
      </c>
      <c r="P61" s="120">
        <f>SUMIFS($G:$G,$B:$B,J61)</f>
        <v>0</v>
      </c>
      <c r="Q61" s="121">
        <f>SUMIFS($F:$F,$B:$B,J61)</f>
        <v>0</v>
      </c>
      <c r="R61" s="121">
        <f t="shared" si="35"/>
        <v>72788</v>
      </c>
      <c r="S61" s="274">
        <f t="shared" si="36"/>
        <v>0.04687950758</v>
      </c>
      <c r="T61" s="61"/>
    </row>
    <row r="62">
      <c r="I62" s="267" t="s">
        <v>229</v>
      </c>
      <c r="J62" s="267" t="s">
        <v>229</v>
      </c>
      <c r="K62" s="268">
        <f>K63</f>
        <v>0</v>
      </c>
      <c r="L62" s="268">
        <f>SUMIFS($C:$C,$A:$A,$I62)</f>
        <v>0</v>
      </c>
      <c r="M62" s="268">
        <f>SUMIFS($D:$D,$A:$A,$I62)</f>
        <v>0</v>
      </c>
      <c r="N62" s="269">
        <f t="shared" si="16"/>
        <v>0</v>
      </c>
      <c r="O62" s="270">
        <f>SUMIFS($E:$E,$A:$A,$I62)</f>
        <v>0</v>
      </c>
      <c r="P62" s="270">
        <f>SUMIFS($G:$G,$A:$A,$I62)</f>
        <v>0</v>
      </c>
      <c r="Q62" s="271">
        <f>SUMIFS($F:$F,$A:$A,$I62)</f>
        <v>0</v>
      </c>
      <c r="R62" s="271">
        <f t="shared" si="35"/>
        <v>0</v>
      </c>
      <c r="S62" s="269">
        <f t="shared" si="36"/>
        <v>0</v>
      </c>
      <c r="T62" s="61"/>
    </row>
    <row r="63">
      <c r="I63" s="272" t="s">
        <v>530</v>
      </c>
      <c r="J63" s="272" t="s">
        <v>223</v>
      </c>
      <c r="K63" s="273">
        <f>sumifs($J$79:$J$99,$I$79:$I$99,J63)</f>
        <v>0</v>
      </c>
      <c r="L63" s="273">
        <f>SUMIFS($C:$C,$B:$B,$J63)</f>
        <v>0</v>
      </c>
      <c r="M63" s="273">
        <f>SUMIFS($D:$D,$B:$B,J63)</f>
        <v>0</v>
      </c>
      <c r="N63" s="274">
        <f t="shared" si="16"/>
        <v>0</v>
      </c>
      <c r="O63" s="120">
        <f>SUMIFS($E:$E,$B:$B,J63)</f>
        <v>0</v>
      </c>
      <c r="P63" s="120">
        <f>SUMIFS($G:$G,$B:$B,J63)</f>
        <v>0</v>
      </c>
      <c r="Q63" s="121">
        <f>SUMIFS($F:$F,$B:$B,J63)</f>
        <v>0</v>
      </c>
      <c r="R63" s="121">
        <f t="shared" si="35"/>
        <v>0</v>
      </c>
      <c r="S63" s="274">
        <f t="shared" si="36"/>
        <v>0</v>
      </c>
      <c r="T63" s="61"/>
    </row>
    <row r="64">
      <c r="I64" s="275" t="s">
        <v>433</v>
      </c>
      <c r="J64" s="267" t="s">
        <v>554</v>
      </c>
      <c r="K64" s="268">
        <f>sumifs($J$79:$J$88,$I$79:$I$88,"NEW MEMBER 4TH DEPOSIT BONUS")</f>
        <v>0</v>
      </c>
      <c r="L64" s="268">
        <f t="shared" ref="L64:L65" si="42">SUMIFS($C:$C,$A:$A,$I64)</f>
        <v>0</v>
      </c>
      <c r="M64" s="268">
        <f t="shared" ref="M64:M65" si="43">SUMIFS($D:$D,$A:$A,$I64)</f>
        <v>0</v>
      </c>
      <c r="N64" s="269">
        <f t="shared" si="16"/>
        <v>0</v>
      </c>
      <c r="O64" s="270">
        <f t="shared" ref="O64:O65" si="44">SUMIFS($E:$E,$A:$A,$I64)</f>
        <v>0</v>
      </c>
      <c r="P64" s="270">
        <f t="shared" ref="P64:P65" si="45">SUMIFS($G:$G,$A:$A,$I64)</f>
        <v>0</v>
      </c>
      <c r="Q64" s="271">
        <f t="shared" ref="Q64:Q65" si="46">SUMIFS($F:$F,$A:$A,$I64)</f>
        <v>0</v>
      </c>
      <c r="R64" s="271">
        <f t="shared" si="35"/>
        <v>0</v>
      </c>
      <c r="S64" s="269">
        <f t="shared" si="36"/>
        <v>0</v>
      </c>
      <c r="T64" s="61"/>
    </row>
    <row r="65">
      <c r="I65" s="275" t="s">
        <v>434</v>
      </c>
      <c r="J65" s="267" t="s">
        <v>434</v>
      </c>
      <c r="K65" s="268">
        <f>K66</f>
        <v>0</v>
      </c>
      <c r="L65" s="268">
        <f t="shared" si="42"/>
        <v>0</v>
      </c>
      <c r="M65" s="268">
        <f t="shared" si="43"/>
        <v>0</v>
      </c>
      <c r="N65" s="269">
        <f t="shared" si="16"/>
        <v>0</v>
      </c>
      <c r="O65" s="270">
        <f t="shared" si="44"/>
        <v>0</v>
      </c>
      <c r="P65" s="270">
        <f t="shared" si="45"/>
        <v>0</v>
      </c>
      <c r="Q65" s="271">
        <f t="shared" si="46"/>
        <v>0</v>
      </c>
      <c r="R65" s="271">
        <f t="shared" si="35"/>
        <v>0</v>
      </c>
      <c r="S65" s="269">
        <f t="shared" si="36"/>
        <v>0</v>
      </c>
    </row>
    <row r="66">
      <c r="I66" s="272" t="s">
        <v>530</v>
      </c>
      <c r="J66" s="113" t="s">
        <v>518</v>
      </c>
      <c r="K66" s="273">
        <f t="shared" ref="K66:K74" si="47">sumifs($J$79:$J$88,$I$79:$I$88,J66)</f>
        <v>0</v>
      </c>
      <c r="L66" s="273">
        <f>SUMIFS($C:$C,$B:$B,$J66)</f>
        <v>0</v>
      </c>
      <c r="M66" s="273">
        <f>SUMIFS($D:$D,$B:$B,J66)</f>
        <v>0</v>
      </c>
      <c r="N66" s="274">
        <f t="shared" si="16"/>
        <v>0</v>
      </c>
      <c r="O66" s="120">
        <f>SUMIFS($E:$E,$B:$B,J66)</f>
        <v>0</v>
      </c>
      <c r="P66" s="120">
        <f>SUMIFS($G:$G,$B:$B,J66)</f>
        <v>0</v>
      </c>
      <c r="Q66" s="121">
        <f>SUMIFS($F:$F,$B:$B,J66)</f>
        <v>0</v>
      </c>
      <c r="R66" s="121">
        <f t="shared" si="35"/>
        <v>0</v>
      </c>
      <c r="S66" s="274">
        <f t="shared" si="36"/>
        <v>0</v>
      </c>
    </row>
    <row r="67">
      <c r="I67" s="267" t="s">
        <v>224</v>
      </c>
      <c r="J67" s="267" t="s">
        <v>224</v>
      </c>
      <c r="K67" s="268">
        <f t="shared" si="47"/>
        <v>0</v>
      </c>
      <c r="L67" s="268">
        <f t="shared" ref="L67:L74" si="48">SUMIFS($C:$C,$A:$A,$I67)</f>
        <v>0</v>
      </c>
      <c r="M67" s="268">
        <f t="shared" ref="M67:M74" si="49">SUMIFS($D:$D,$A:$A,$I67)</f>
        <v>0</v>
      </c>
      <c r="N67" s="269">
        <f t="shared" si="16"/>
        <v>0</v>
      </c>
      <c r="O67" s="270">
        <f t="shared" ref="O67:O74" si="50">SUMIFS($E:$E,$A:$A,$I67)</f>
        <v>0</v>
      </c>
      <c r="P67" s="270">
        <f t="shared" ref="P67:P74" si="51">SUMIFS($G:$G,$A:$A,$I67)</f>
        <v>0</v>
      </c>
      <c r="Q67" s="271">
        <f t="shared" ref="Q67:Q74" si="52">SUMIFS($F:$F,$A:$A,$I67)</f>
        <v>0</v>
      </c>
      <c r="R67" s="271">
        <f>O67</f>
        <v>0</v>
      </c>
      <c r="S67" s="269">
        <f t="shared" si="36"/>
        <v>0</v>
      </c>
    </row>
    <row r="68">
      <c r="I68" s="275" t="s">
        <v>230</v>
      </c>
      <c r="J68" s="267" t="s">
        <v>230</v>
      </c>
      <c r="K68" s="268">
        <f t="shared" si="47"/>
        <v>0</v>
      </c>
      <c r="L68" s="268">
        <f t="shared" si="48"/>
        <v>5057</v>
      </c>
      <c r="M68" s="268">
        <f t="shared" si="49"/>
        <v>3337</v>
      </c>
      <c r="N68" s="269">
        <f t="shared" si="16"/>
        <v>0.02478111378</v>
      </c>
      <c r="O68" s="270">
        <f t="shared" si="50"/>
        <v>34739.84</v>
      </c>
      <c r="P68" s="270">
        <f t="shared" si="51"/>
        <v>0</v>
      </c>
      <c r="Q68" s="271">
        <f t="shared" si="52"/>
        <v>0</v>
      </c>
      <c r="R68" s="271">
        <f>O68+P68</f>
        <v>34739.84</v>
      </c>
      <c r="S68" s="269">
        <f t="shared" si="36"/>
        <v>0.02237438304</v>
      </c>
    </row>
    <row r="69">
      <c r="I69" s="275" t="s">
        <v>228</v>
      </c>
      <c r="J69" s="267" t="s">
        <v>228</v>
      </c>
      <c r="K69" s="268">
        <f t="shared" si="47"/>
        <v>0</v>
      </c>
      <c r="L69" s="268">
        <f t="shared" si="48"/>
        <v>0</v>
      </c>
      <c r="M69" s="268">
        <f t="shared" si="49"/>
        <v>7810</v>
      </c>
      <c r="N69" s="269">
        <f t="shared" si="16"/>
        <v>0.05799835139</v>
      </c>
      <c r="O69" s="270">
        <f t="shared" si="50"/>
        <v>0</v>
      </c>
      <c r="P69" s="270">
        <f t="shared" si="51"/>
        <v>8539</v>
      </c>
      <c r="Q69" s="271">
        <f t="shared" si="52"/>
        <v>11848</v>
      </c>
      <c r="R69" s="271">
        <f t="shared" ref="R69:R70" si="53">O69+Q69</f>
        <v>11848</v>
      </c>
      <c r="S69" s="269">
        <f t="shared" si="36"/>
        <v>0.007630768888</v>
      </c>
    </row>
    <row r="70">
      <c r="I70" s="267" t="s">
        <v>226</v>
      </c>
      <c r="J70" s="267" t="s">
        <v>226</v>
      </c>
      <c r="K70" s="268">
        <f t="shared" si="47"/>
        <v>0</v>
      </c>
      <c r="L70" s="268">
        <f t="shared" si="48"/>
        <v>4291</v>
      </c>
      <c r="M70" s="268">
        <f t="shared" si="49"/>
        <v>2828</v>
      </c>
      <c r="N70" s="269">
        <f t="shared" si="16"/>
        <v>0.02100119561</v>
      </c>
      <c r="O70" s="270">
        <f t="shared" si="50"/>
        <v>0</v>
      </c>
      <c r="P70" s="270">
        <f t="shared" si="51"/>
        <v>2587</v>
      </c>
      <c r="Q70" s="271">
        <f t="shared" si="52"/>
        <v>7438</v>
      </c>
      <c r="R70" s="271">
        <f t="shared" si="53"/>
        <v>7438</v>
      </c>
      <c r="S70" s="269">
        <f t="shared" si="36"/>
        <v>0.004790484385</v>
      </c>
    </row>
    <row r="71">
      <c r="I71" s="275" t="s">
        <v>236</v>
      </c>
      <c r="J71" s="267" t="s">
        <v>413</v>
      </c>
      <c r="K71" s="268">
        <f t="shared" si="47"/>
        <v>0</v>
      </c>
      <c r="L71" s="268">
        <f t="shared" si="48"/>
        <v>0</v>
      </c>
      <c r="M71" s="268">
        <f t="shared" si="49"/>
        <v>0</v>
      </c>
      <c r="N71" s="269">
        <f t="shared" si="16"/>
        <v>0</v>
      </c>
      <c r="O71" s="270">
        <f t="shared" si="50"/>
        <v>0</v>
      </c>
      <c r="P71" s="270">
        <f t="shared" si="51"/>
        <v>0</v>
      </c>
      <c r="Q71" s="271">
        <f t="shared" si="52"/>
        <v>0</v>
      </c>
      <c r="R71" s="271">
        <f>O71+P71</f>
        <v>0</v>
      </c>
      <c r="S71" s="269">
        <f t="shared" si="36"/>
        <v>0</v>
      </c>
    </row>
    <row r="72">
      <c r="I72" s="267" t="s">
        <v>429</v>
      </c>
      <c r="J72" s="267" t="s">
        <v>429</v>
      </c>
      <c r="K72" s="268">
        <f t="shared" si="47"/>
        <v>0</v>
      </c>
      <c r="L72" s="268">
        <f t="shared" si="48"/>
        <v>5598</v>
      </c>
      <c r="M72" s="268">
        <f t="shared" si="49"/>
        <v>5598</v>
      </c>
      <c r="N72" s="269">
        <f t="shared" si="16"/>
        <v>0.04157167363</v>
      </c>
      <c r="O72" s="270">
        <f t="shared" si="50"/>
        <v>0</v>
      </c>
      <c r="P72" s="270">
        <f t="shared" si="51"/>
        <v>5131</v>
      </c>
      <c r="Q72" s="271">
        <f t="shared" si="52"/>
        <v>52245.53</v>
      </c>
      <c r="R72" s="271">
        <f>Q72</f>
        <v>52245.53</v>
      </c>
      <c r="S72" s="269">
        <f t="shared" si="36"/>
        <v>0.03364901797</v>
      </c>
    </row>
    <row r="73">
      <c r="I73" s="267" t="s">
        <v>432</v>
      </c>
      <c r="J73" s="267" t="s">
        <v>432</v>
      </c>
      <c r="K73" s="268">
        <f t="shared" si="47"/>
        <v>0</v>
      </c>
      <c r="L73" s="268">
        <f t="shared" si="48"/>
        <v>19946</v>
      </c>
      <c r="M73" s="268">
        <f t="shared" si="49"/>
        <v>19946</v>
      </c>
      <c r="N73" s="269">
        <f t="shared" si="16"/>
        <v>0.1481222941</v>
      </c>
      <c r="O73" s="270">
        <f t="shared" si="50"/>
        <v>159568</v>
      </c>
      <c r="P73" s="270">
        <f t="shared" si="51"/>
        <v>0</v>
      </c>
      <c r="Q73" s="271">
        <f t="shared" si="52"/>
        <v>0</v>
      </c>
      <c r="R73" s="271">
        <f>O73+Q73</f>
        <v>159568</v>
      </c>
      <c r="S73" s="269">
        <f t="shared" si="36"/>
        <v>0.1027706389</v>
      </c>
    </row>
    <row r="74">
      <c r="I74" s="267" t="s">
        <v>431</v>
      </c>
      <c r="J74" s="275" t="s">
        <v>431</v>
      </c>
      <c r="K74" s="268">
        <f t="shared" si="47"/>
        <v>0</v>
      </c>
      <c r="L74" s="268">
        <f t="shared" si="48"/>
        <v>0</v>
      </c>
      <c r="M74" s="268">
        <f t="shared" si="49"/>
        <v>0</v>
      </c>
      <c r="N74" s="269">
        <f t="shared" si="16"/>
        <v>0</v>
      </c>
      <c r="O74" s="270">
        <f t="shared" si="50"/>
        <v>0</v>
      </c>
      <c r="P74" s="270">
        <f t="shared" si="51"/>
        <v>0</v>
      </c>
      <c r="Q74" s="271">
        <f t="shared" si="52"/>
        <v>0</v>
      </c>
      <c r="R74" s="271">
        <f>O74+P74</f>
        <v>0</v>
      </c>
      <c r="S74" s="269">
        <f t="shared" si="36"/>
        <v>0</v>
      </c>
    </row>
    <row r="76">
      <c r="K76" s="63">
        <f t="shared" ref="K76:L76" si="54">SUM(K2,K9,K33,K36,K38,K53,K58:K59,K61,K63:K64,K66:K73)</f>
        <v>1425955</v>
      </c>
      <c r="L76" s="63">
        <f t="shared" si="54"/>
        <v>131625</v>
      </c>
      <c r="M76" s="59">
        <f t="shared" ref="M76:N76" si="55">SUM(M2,M64,M9,M33,M36,M38,M53,M59,M61,M66:M73)</f>
        <v>134659</v>
      </c>
      <c r="N76" s="61">
        <f t="shared" si="55"/>
        <v>1</v>
      </c>
      <c r="O76" s="63">
        <f>SUM(O2,O9,O33,O36,O38,O57,O59:O60,O62,O64:O65,O67:O74)</f>
        <v>1481097.83</v>
      </c>
      <c r="P76" s="63">
        <f t="shared" ref="P76:Q76" si="56">SUM(P2,P64,P9,P33,P36,P38,P53,P59,P61,P66:P73)</f>
        <v>16261</v>
      </c>
      <c r="Q76" s="63">
        <f t="shared" si="56"/>
        <v>71563.53</v>
      </c>
      <c r="R76" s="63">
        <f>SUM(R2,R9,R33,R36,R38,R57,R59,R60,R62,R64:R65,R67:R74)</f>
        <v>1552661.36</v>
      </c>
      <c r="S76" s="61">
        <f>SUM(S2,S9,S33,S36,S38,S53,S58:S59,S61,S63:S64,S66:S73)</f>
        <v>1</v>
      </c>
    </row>
    <row r="77">
      <c r="K77" s="63">
        <f>J86</f>
        <v>1425955</v>
      </c>
      <c r="O77" s="139"/>
      <c r="R77" s="139">
        <f>jiliarena!BQ38</f>
        <v>1552661.35</v>
      </c>
    </row>
    <row r="78">
      <c r="K78" s="63">
        <f>K76-K77</f>
        <v>0</v>
      </c>
      <c r="R78" s="63">
        <f>R76-R77</f>
        <v>0.009999999544</v>
      </c>
    </row>
    <row r="79"/>
    <row r="80"/>
    <row r="81"/>
    <row r="82"/>
    <row r="83"/>
    <row r="84"/>
    <row r="85"/>
    <row r="86"/>
  </sheetData>
  <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FF"/>
    <outlinePr summaryBelow="0" summaryRight="0"/>
  </sheetPr>
  <sheetViews>
    <sheetView showGridLines="0" workbookViewId="0">
      <pane xSplit="2.0" ySplit="2.0" topLeftCell="C3" activePane="bottomRight" state="frozen"/>
      <selection activeCell="C1" sqref="C1" pane="topRight"/>
      <selection activeCell="A3" sqref="A3" pane="bottomLeft"/>
      <selection activeCell="C3" sqref="C3" pane="bottomRight"/>
    </sheetView>
  </sheetViews>
  <sheetFormatPr customHeight="1" defaultColWidth="12.63" defaultRowHeight="15.75"/>
  <cols>
    <col customWidth="1" min="1" max="1" width="2.63"/>
    <col customWidth="1" min="2" max="2" width="6.38"/>
    <col customWidth="1" min="3" max="3" width="55.88"/>
    <col customWidth="1" min="4" max="4" width="24.88"/>
    <col customWidth="1" min="5" max="5" width="14.0"/>
    <col customWidth="1" min="6" max="6" width="9.88"/>
    <col customWidth="1" min="7" max="7" width="10.75"/>
    <col customWidth="1" min="8" max="8" width="12.25"/>
    <col customWidth="1" min="9" max="9" width="14.0"/>
    <col customWidth="1" min="10" max="10" width="11.88"/>
    <col customWidth="1" min="11" max="11" width="14.0"/>
    <col customWidth="1" min="18" max="18" width="23.0"/>
    <col customWidth="1" min="19" max="19" width="3.0"/>
    <col customWidth="1" min="20" max="20" width="9.63"/>
    <col customWidth="1" min="21" max="21" width="42.5"/>
  </cols>
  <sheetData>
    <row r="1">
      <c r="A1" s="253"/>
      <c r="B1" s="253" t="s">
        <v>275</v>
      </c>
      <c r="C1" s="250"/>
      <c r="D1" s="253" t="s">
        <v>424</v>
      </c>
      <c r="E1" s="253" t="s">
        <v>424</v>
      </c>
      <c r="F1" s="250"/>
      <c r="G1" s="250"/>
      <c r="H1" s="254"/>
      <c r="I1" s="254"/>
      <c r="J1" s="254"/>
      <c r="K1" s="276" t="s">
        <v>424</v>
      </c>
      <c r="L1" s="250"/>
      <c r="M1" s="250"/>
      <c r="N1" s="250"/>
      <c r="O1" s="250"/>
      <c r="P1" s="250"/>
    </row>
    <row r="2">
      <c r="A2" s="277"/>
      <c r="B2" s="278" t="s">
        <v>242</v>
      </c>
      <c r="C2" s="279" t="s">
        <v>176</v>
      </c>
      <c r="D2" s="279" t="s">
        <v>176</v>
      </c>
      <c r="E2" s="279" t="s">
        <v>531</v>
      </c>
      <c r="F2" s="279" t="s">
        <v>177</v>
      </c>
      <c r="G2" s="279" t="s">
        <v>178</v>
      </c>
      <c r="H2" s="280" t="s">
        <v>181</v>
      </c>
      <c r="I2" s="280" t="s">
        <v>540</v>
      </c>
      <c r="J2" s="280" t="s">
        <v>541</v>
      </c>
      <c r="K2" s="280" t="s">
        <v>556</v>
      </c>
      <c r="L2" s="250"/>
      <c r="M2" s="281" t="s">
        <v>557</v>
      </c>
      <c r="N2" s="281" t="s">
        <v>558</v>
      </c>
      <c r="O2" s="282" t="s">
        <v>176</v>
      </c>
      <c r="P2" s="282" t="s">
        <v>531</v>
      </c>
      <c r="Q2" s="102" t="s">
        <v>537</v>
      </c>
      <c r="R2" s="102" t="s">
        <v>537</v>
      </c>
      <c r="T2" s="283" t="s">
        <v>242</v>
      </c>
      <c r="U2" s="283" t="s">
        <v>176</v>
      </c>
      <c r="V2" s="283" t="s">
        <v>559</v>
      </c>
    </row>
    <row r="3">
      <c r="A3" s="284"/>
      <c r="B3" s="285">
        <v>46063.0</v>
      </c>
      <c r="C3" s="101" t="s">
        <v>228</v>
      </c>
      <c r="D3" s="286" t="str">
        <f t="shared" ref="D3:D413" si="1">IFERROR(vlookup(C3,$Q$3:$R$30,2,0),"")</f>
        <v>登录任务</v>
      </c>
      <c r="E3" s="286" t="str">
        <f t="shared" ref="E3:E413" si="2">IFERROR(vlookup(D3,$O$2:$P$30,2,0),"")</f>
        <v>登录任务</v>
      </c>
      <c r="F3" s="287">
        <v>0.0</v>
      </c>
      <c r="G3" s="288">
        <v>1.0</v>
      </c>
      <c r="H3" s="289">
        <v>0.0</v>
      </c>
      <c r="I3" s="289">
        <v>7.0</v>
      </c>
      <c r="J3" s="289">
        <v>3.0</v>
      </c>
      <c r="K3" s="290">
        <f t="shared" ref="K3:K8" si="3">H3+I3</f>
        <v>7</v>
      </c>
      <c r="L3" s="291" t="str">
        <f t="shared" ref="L3:L8" si="4">IFERROR(VLOOKUP(C3,$M$3:$N$30,2,0),"")</f>
        <v>登录任务</v>
      </c>
      <c r="M3" s="292" t="s">
        <v>187</v>
      </c>
      <c r="N3" s="292" t="s">
        <v>187</v>
      </c>
      <c r="O3" s="282" t="s">
        <v>404</v>
      </c>
      <c r="P3" s="282" t="s">
        <v>187</v>
      </c>
      <c r="Q3" s="293" t="s">
        <v>187</v>
      </c>
      <c r="R3" s="293" t="s">
        <v>404</v>
      </c>
      <c r="T3" s="294">
        <v>46064.0</v>
      </c>
      <c r="U3" s="295" t="s">
        <v>543</v>
      </c>
      <c r="V3" s="296">
        <v>21404.0</v>
      </c>
    </row>
    <row r="4">
      <c r="A4" s="284"/>
      <c r="B4" s="285">
        <v>46063.0</v>
      </c>
      <c r="C4" s="101" t="s">
        <v>547</v>
      </c>
      <c r="D4" s="297" t="str">
        <f t="shared" si="1"/>
        <v/>
      </c>
      <c r="E4" s="297" t="str">
        <f t="shared" si="2"/>
        <v/>
      </c>
      <c r="F4" s="287">
        <v>0.0</v>
      </c>
      <c r="G4" s="288">
        <v>1.0</v>
      </c>
      <c r="H4" s="289">
        <v>0.0</v>
      </c>
      <c r="I4" s="289">
        <v>7.0</v>
      </c>
      <c r="J4" s="289">
        <v>3.0</v>
      </c>
      <c r="K4" s="298">
        <f t="shared" si="3"/>
        <v>7</v>
      </c>
      <c r="L4" s="253" t="str">
        <f t="shared" si="4"/>
        <v/>
      </c>
      <c r="M4" s="292" t="s">
        <v>429</v>
      </c>
      <c r="N4" s="292" t="s">
        <v>429</v>
      </c>
      <c r="O4" s="282" t="s">
        <v>405</v>
      </c>
      <c r="P4" s="282" t="s">
        <v>429</v>
      </c>
      <c r="Q4" s="293" t="s">
        <v>429</v>
      </c>
      <c r="R4" s="293" t="s">
        <v>405</v>
      </c>
      <c r="T4" s="294">
        <v>46064.0</v>
      </c>
      <c r="U4" s="295" t="s">
        <v>511</v>
      </c>
      <c r="V4" s="296">
        <v>600.0</v>
      </c>
    </row>
    <row r="5">
      <c r="A5" s="284"/>
      <c r="B5" s="285">
        <v>46063.0</v>
      </c>
      <c r="C5" s="101" t="s">
        <v>216</v>
      </c>
      <c r="D5" s="297" t="str">
        <f t="shared" si="1"/>
        <v>MANUAL</v>
      </c>
      <c r="E5" s="297" t="str">
        <f t="shared" si="2"/>
        <v>手动红利</v>
      </c>
      <c r="F5" s="287">
        <v>3.0</v>
      </c>
      <c r="G5" s="288">
        <v>3.0</v>
      </c>
      <c r="H5" s="289">
        <v>0.0</v>
      </c>
      <c r="I5" s="289">
        <v>24.0</v>
      </c>
      <c r="J5" s="289">
        <v>3.0</v>
      </c>
      <c r="K5" s="298">
        <f t="shared" si="3"/>
        <v>24</v>
      </c>
      <c r="L5" s="253" t="str">
        <f t="shared" si="4"/>
        <v>手动红利</v>
      </c>
      <c r="M5" s="292" t="s">
        <v>197</v>
      </c>
      <c r="N5" s="292" t="s">
        <v>197</v>
      </c>
      <c r="O5" s="282" t="s">
        <v>406</v>
      </c>
      <c r="P5" s="282" t="s">
        <v>197</v>
      </c>
      <c r="Q5" s="293" t="s">
        <v>197</v>
      </c>
      <c r="R5" s="293" t="s">
        <v>406</v>
      </c>
      <c r="T5" s="294">
        <v>46064.0</v>
      </c>
      <c r="U5" s="295" t="s">
        <v>513</v>
      </c>
      <c r="V5" s="296">
        <v>9350.0</v>
      </c>
    </row>
    <row r="6">
      <c r="A6" s="284"/>
      <c r="B6" s="285">
        <v>46063.0</v>
      </c>
      <c r="C6" s="101" t="s">
        <v>515</v>
      </c>
      <c r="D6" s="297" t="str">
        <f t="shared" si="1"/>
        <v/>
      </c>
      <c r="E6" s="297" t="str">
        <f t="shared" si="2"/>
        <v/>
      </c>
      <c r="F6" s="287">
        <v>3.0</v>
      </c>
      <c r="G6" s="288">
        <v>3.0</v>
      </c>
      <c r="H6" s="289">
        <v>0.0</v>
      </c>
      <c r="I6" s="289">
        <v>24.0</v>
      </c>
      <c r="J6" s="289">
        <v>3.0</v>
      </c>
      <c r="K6" s="298">
        <f t="shared" si="3"/>
        <v>24</v>
      </c>
      <c r="L6" s="253" t="str">
        <f t="shared" si="4"/>
        <v/>
      </c>
      <c r="M6" s="292" t="s">
        <v>209</v>
      </c>
      <c r="N6" s="292" t="s">
        <v>209</v>
      </c>
      <c r="O6" s="282" t="s">
        <v>407</v>
      </c>
      <c r="P6" s="282" t="s">
        <v>209</v>
      </c>
      <c r="Q6" s="293" t="s">
        <v>209</v>
      </c>
      <c r="R6" s="293" t="s">
        <v>407</v>
      </c>
      <c r="T6" s="294">
        <v>46064.0</v>
      </c>
      <c r="U6" s="295" t="s">
        <v>545</v>
      </c>
      <c r="V6" s="296">
        <v>2420.0</v>
      </c>
    </row>
    <row r="7">
      <c r="A7" s="284"/>
      <c r="B7" s="285">
        <v>46063.0</v>
      </c>
      <c r="C7" s="101" t="s">
        <v>432</v>
      </c>
      <c r="D7" s="297" t="str">
        <f t="shared" si="1"/>
        <v>注册奖励</v>
      </c>
      <c r="E7" s="297" t="str">
        <f t="shared" si="2"/>
        <v>注册奖励</v>
      </c>
      <c r="F7" s="287">
        <v>1.0</v>
      </c>
      <c r="G7" s="288">
        <v>1.0</v>
      </c>
      <c r="H7" s="289">
        <v>8.0</v>
      </c>
      <c r="I7" s="289">
        <v>0.0</v>
      </c>
      <c r="J7" s="289">
        <v>0.0</v>
      </c>
      <c r="K7" s="298">
        <f t="shared" si="3"/>
        <v>8</v>
      </c>
      <c r="L7" s="253" t="str">
        <f t="shared" si="4"/>
        <v>注册奖励</v>
      </c>
      <c r="M7" s="292" t="s">
        <v>197</v>
      </c>
      <c r="N7" s="292" t="s">
        <v>197</v>
      </c>
      <c r="O7" s="282" t="s">
        <v>408</v>
      </c>
      <c r="P7" s="282" t="s">
        <v>211</v>
      </c>
      <c r="Q7" s="293" t="s">
        <v>211</v>
      </c>
      <c r="R7" s="293" t="s">
        <v>408</v>
      </c>
      <c r="T7" s="294">
        <v>46065.0</v>
      </c>
      <c r="U7" s="295" t="s">
        <v>543</v>
      </c>
      <c r="V7" s="296">
        <v>308588.0</v>
      </c>
    </row>
    <row r="8">
      <c r="A8" s="284"/>
      <c r="B8" s="285">
        <v>46063.0</v>
      </c>
      <c r="C8" s="101" t="s">
        <v>551</v>
      </c>
      <c r="D8" s="297" t="str">
        <f t="shared" si="1"/>
        <v/>
      </c>
      <c r="E8" s="297" t="str">
        <f t="shared" si="2"/>
        <v/>
      </c>
      <c r="F8" s="287">
        <v>1.0</v>
      </c>
      <c r="G8" s="288">
        <v>1.0</v>
      </c>
      <c r="H8" s="289">
        <v>8.0</v>
      </c>
      <c r="I8" s="289">
        <v>0.0</v>
      </c>
      <c r="J8" s="289">
        <v>0.0</v>
      </c>
      <c r="K8" s="298">
        <f t="shared" si="3"/>
        <v>8</v>
      </c>
      <c r="L8" s="253" t="str">
        <f t="shared" si="4"/>
        <v/>
      </c>
      <c r="M8" s="292" t="s">
        <v>209</v>
      </c>
      <c r="N8" s="292" t="s">
        <v>209</v>
      </c>
      <c r="O8" s="282" t="s">
        <v>409</v>
      </c>
      <c r="P8" s="282" t="s">
        <v>216</v>
      </c>
      <c r="Q8" s="293" t="s">
        <v>216</v>
      </c>
      <c r="R8" s="293" t="s">
        <v>409</v>
      </c>
      <c r="T8" s="294">
        <v>46065.0</v>
      </c>
      <c r="U8" s="295" t="s">
        <v>511</v>
      </c>
      <c r="V8" s="296">
        <v>20293.0</v>
      </c>
    </row>
    <row r="9">
      <c r="A9" s="284"/>
      <c r="B9" s="299"/>
      <c r="C9" s="300"/>
      <c r="D9" s="301" t="str">
        <f t="shared" si="1"/>
        <v/>
      </c>
      <c r="E9" s="301" t="str">
        <f t="shared" si="2"/>
        <v/>
      </c>
      <c r="F9" s="302">
        <f t="shared" ref="F9:K9" si="5">SUM(F3,F5,F7)</f>
        <v>4</v>
      </c>
      <c r="G9" s="302">
        <f t="shared" si="5"/>
        <v>5</v>
      </c>
      <c r="H9" s="303">
        <f t="shared" si="5"/>
        <v>8</v>
      </c>
      <c r="I9" s="303">
        <f t="shared" si="5"/>
        <v>31</v>
      </c>
      <c r="J9" s="303">
        <f t="shared" si="5"/>
        <v>6</v>
      </c>
      <c r="K9" s="303">
        <f t="shared" si="5"/>
        <v>39</v>
      </c>
      <c r="L9" s="253">
        <v>39.0</v>
      </c>
      <c r="M9" s="292" t="s">
        <v>211</v>
      </c>
      <c r="N9" s="292" t="s">
        <v>211</v>
      </c>
      <c r="O9" s="282" t="s">
        <v>417</v>
      </c>
      <c r="P9" s="281" t="s">
        <v>229</v>
      </c>
      <c r="Q9" s="293" t="s">
        <v>229</v>
      </c>
      <c r="R9" s="293" t="s">
        <v>417</v>
      </c>
      <c r="T9" s="294">
        <v>46065.0</v>
      </c>
      <c r="U9" s="295" t="s">
        <v>513</v>
      </c>
      <c r="V9" s="296">
        <v>7569.0</v>
      </c>
    </row>
    <row r="10">
      <c r="A10" s="284"/>
      <c r="B10" s="285">
        <v>46064.0</v>
      </c>
      <c r="C10" s="101" t="s">
        <v>429</v>
      </c>
      <c r="D10" s="297" t="str">
        <f t="shared" si="1"/>
        <v>APP_DOWNLOAD</v>
      </c>
      <c r="E10" s="297" t="str">
        <f t="shared" si="2"/>
        <v>APP下载</v>
      </c>
      <c r="F10" s="287">
        <v>523.0</v>
      </c>
      <c r="G10" s="288">
        <v>523.0</v>
      </c>
      <c r="H10" s="289">
        <v>0.0</v>
      </c>
      <c r="I10" s="289">
        <v>4569.75</v>
      </c>
      <c r="J10" s="289">
        <v>448.0</v>
      </c>
      <c r="K10" s="298">
        <f t="shared" ref="K10:K31" si="6">H10+I10</f>
        <v>4569.75</v>
      </c>
      <c r="L10" s="253" t="str">
        <f t="shared" ref="L10:L31" si="7">IFERROR(VLOOKUP(C10,$M$3:$N$30,2,0),"")</f>
        <v>APP下载</v>
      </c>
      <c r="M10" s="292" t="s">
        <v>216</v>
      </c>
      <c r="N10" s="292" t="s">
        <v>216</v>
      </c>
      <c r="O10" s="282" t="s">
        <v>416</v>
      </c>
      <c r="P10" s="282" t="s">
        <v>227</v>
      </c>
      <c r="Q10" s="293" t="s">
        <v>227</v>
      </c>
      <c r="R10" s="293" t="s">
        <v>416</v>
      </c>
      <c r="T10" s="294">
        <v>46065.0</v>
      </c>
      <c r="U10" s="295" t="s">
        <v>545</v>
      </c>
      <c r="V10" s="296">
        <v>54647.0</v>
      </c>
    </row>
    <row r="11">
      <c r="A11" s="284"/>
      <c r="B11" s="285">
        <v>46064.0</v>
      </c>
      <c r="C11" s="101" t="s">
        <v>548</v>
      </c>
      <c r="D11" s="297" t="str">
        <f t="shared" si="1"/>
        <v/>
      </c>
      <c r="E11" s="297" t="str">
        <f t="shared" si="2"/>
        <v/>
      </c>
      <c r="F11" s="287">
        <v>523.0</v>
      </c>
      <c r="G11" s="288">
        <v>523.0</v>
      </c>
      <c r="H11" s="289">
        <v>0.0</v>
      </c>
      <c r="I11" s="289">
        <v>4569.75</v>
      </c>
      <c r="J11" s="289">
        <v>448.0</v>
      </c>
      <c r="K11" s="298">
        <f t="shared" si="6"/>
        <v>4569.75</v>
      </c>
      <c r="L11" s="253" t="str">
        <f t="shared" si="7"/>
        <v/>
      </c>
      <c r="M11" s="292" t="s">
        <v>431</v>
      </c>
      <c r="N11" s="292" t="s">
        <v>431</v>
      </c>
      <c r="O11" s="282" t="s">
        <v>415</v>
      </c>
      <c r="P11" s="281" t="s">
        <v>431</v>
      </c>
      <c r="Q11" s="293" t="s">
        <v>225</v>
      </c>
      <c r="R11" s="293" t="s">
        <v>418</v>
      </c>
      <c r="T11" s="294">
        <v>46066.0</v>
      </c>
      <c r="U11" s="295" t="s">
        <v>543</v>
      </c>
      <c r="V11" s="296">
        <v>276911.0</v>
      </c>
    </row>
    <row r="12">
      <c r="A12" s="284"/>
      <c r="B12" s="285">
        <v>46064.0</v>
      </c>
      <c r="C12" s="101" t="s">
        <v>197</v>
      </c>
      <c r="D12" s="297" t="str">
        <f t="shared" si="1"/>
        <v>DEPOSIT</v>
      </c>
      <c r="E12" s="297" t="str">
        <f t="shared" si="2"/>
        <v>笔笔存送</v>
      </c>
      <c r="F12" s="287">
        <v>26.0</v>
      </c>
      <c r="G12" s="288">
        <v>22.0</v>
      </c>
      <c r="H12" s="289">
        <v>400.5</v>
      </c>
      <c r="I12" s="289">
        <v>0.0</v>
      </c>
      <c r="J12" s="289">
        <v>0.0</v>
      </c>
      <c r="K12" s="298">
        <f t="shared" si="6"/>
        <v>400.5</v>
      </c>
      <c r="L12" s="253" t="str">
        <f t="shared" si="7"/>
        <v>笔笔存送</v>
      </c>
      <c r="M12" s="292" t="s">
        <v>227</v>
      </c>
      <c r="N12" s="292" t="s">
        <v>227</v>
      </c>
      <c r="O12" s="282" t="s">
        <v>418</v>
      </c>
      <c r="P12" s="282" t="s">
        <v>225</v>
      </c>
      <c r="Q12" s="293" t="s">
        <v>224</v>
      </c>
      <c r="R12" s="293" t="s">
        <v>410</v>
      </c>
      <c r="T12" s="294">
        <v>46066.0</v>
      </c>
      <c r="U12" s="304" t="s">
        <v>511</v>
      </c>
      <c r="V12" s="305">
        <v>32682.0</v>
      </c>
    </row>
    <row r="13">
      <c r="A13" s="284"/>
      <c r="B13" s="285">
        <v>46064.0</v>
      </c>
      <c r="C13" s="101" t="s">
        <v>511</v>
      </c>
      <c r="D13" s="297" t="str">
        <f t="shared" si="1"/>
        <v/>
      </c>
      <c r="E13" s="297" t="str">
        <f t="shared" si="2"/>
        <v/>
      </c>
      <c r="F13" s="287">
        <v>4.0</v>
      </c>
      <c r="G13" s="288">
        <v>4.0</v>
      </c>
      <c r="H13" s="289">
        <v>120.0</v>
      </c>
      <c r="I13" s="289">
        <v>0.0</v>
      </c>
      <c r="J13" s="289">
        <v>0.0</v>
      </c>
      <c r="K13" s="298">
        <f t="shared" si="6"/>
        <v>120</v>
      </c>
      <c r="L13" s="253" t="str">
        <f t="shared" si="7"/>
        <v/>
      </c>
      <c r="M13" s="292" t="s">
        <v>229</v>
      </c>
      <c r="N13" s="292" t="s">
        <v>229</v>
      </c>
      <c r="O13" s="282" t="s">
        <v>410</v>
      </c>
      <c r="P13" s="282" t="s">
        <v>224</v>
      </c>
      <c r="Q13" s="293" t="s">
        <v>411</v>
      </c>
      <c r="R13" s="293" t="s">
        <v>411</v>
      </c>
      <c r="T13" s="294">
        <v>46066.0</v>
      </c>
      <c r="U13" s="304" t="s">
        <v>513</v>
      </c>
      <c r="V13" s="305">
        <v>14700.0</v>
      </c>
    </row>
    <row r="14">
      <c r="A14" s="284"/>
      <c r="B14" s="285">
        <v>46064.0</v>
      </c>
      <c r="C14" s="101" t="s">
        <v>513</v>
      </c>
      <c r="D14" s="297" t="str">
        <f t="shared" si="1"/>
        <v/>
      </c>
      <c r="E14" s="297" t="str">
        <f t="shared" si="2"/>
        <v/>
      </c>
      <c r="F14" s="287">
        <v>22.0</v>
      </c>
      <c r="G14" s="288">
        <v>19.0</v>
      </c>
      <c r="H14" s="289">
        <v>280.5</v>
      </c>
      <c r="I14" s="289">
        <v>0.0</v>
      </c>
      <c r="J14" s="289">
        <v>0.0</v>
      </c>
      <c r="K14" s="298">
        <f t="shared" si="6"/>
        <v>280.5</v>
      </c>
      <c r="L14" s="253" t="str">
        <f t="shared" si="7"/>
        <v/>
      </c>
      <c r="M14" s="292" t="s">
        <v>225</v>
      </c>
      <c r="N14" s="292" t="s">
        <v>225</v>
      </c>
      <c r="O14" s="282" t="s">
        <v>411</v>
      </c>
      <c r="P14" s="282" t="s">
        <v>228</v>
      </c>
      <c r="Q14" s="293" t="s">
        <v>230</v>
      </c>
      <c r="R14" s="293" t="s">
        <v>230</v>
      </c>
      <c r="T14" s="294">
        <v>46066.0</v>
      </c>
      <c r="U14" s="304" t="s">
        <v>545</v>
      </c>
      <c r="V14" s="305">
        <v>57636.0</v>
      </c>
    </row>
    <row r="15">
      <c r="A15" s="284"/>
      <c r="B15" s="285">
        <v>46064.0</v>
      </c>
      <c r="C15" s="101" t="s">
        <v>225</v>
      </c>
      <c r="D15" s="297" t="str">
        <f t="shared" si="1"/>
        <v>FIRST_DEPOSIT</v>
      </c>
      <c r="E15" s="297" t="str">
        <f t="shared" si="2"/>
        <v>首存</v>
      </c>
      <c r="F15" s="287">
        <v>175.0</v>
      </c>
      <c r="G15" s="288">
        <v>175.0</v>
      </c>
      <c r="H15" s="289">
        <v>24844.8</v>
      </c>
      <c r="I15" s="289">
        <v>0.0</v>
      </c>
      <c r="J15" s="289">
        <v>0.0</v>
      </c>
      <c r="K15" s="298">
        <f t="shared" si="6"/>
        <v>24844.8</v>
      </c>
      <c r="L15" s="253" t="str">
        <f t="shared" si="7"/>
        <v>首存</v>
      </c>
      <c r="M15" s="292" t="s">
        <v>410</v>
      </c>
      <c r="N15" s="111" t="s">
        <v>224</v>
      </c>
      <c r="O15" s="282" t="s">
        <v>230</v>
      </c>
      <c r="P15" s="282" t="s">
        <v>230</v>
      </c>
      <c r="Q15" s="293" t="s">
        <v>412</v>
      </c>
      <c r="R15" s="293" t="s">
        <v>412</v>
      </c>
      <c r="T15" s="294">
        <v>46067.0</v>
      </c>
      <c r="U15" s="304" t="s">
        <v>543</v>
      </c>
      <c r="V15" s="305">
        <v>105920.0</v>
      </c>
    </row>
    <row r="16">
      <c r="A16" s="284"/>
      <c r="B16" s="285">
        <v>46064.0</v>
      </c>
      <c r="C16" s="101" t="s">
        <v>543</v>
      </c>
      <c r="D16" s="297" t="str">
        <f t="shared" si="1"/>
        <v/>
      </c>
      <c r="E16" s="297" t="str">
        <f t="shared" si="2"/>
        <v/>
      </c>
      <c r="F16" s="287">
        <v>175.0</v>
      </c>
      <c r="G16" s="288">
        <v>175.0</v>
      </c>
      <c r="H16" s="289">
        <v>24844.8</v>
      </c>
      <c r="I16" s="289">
        <v>0.0</v>
      </c>
      <c r="J16" s="289">
        <v>0.0</v>
      </c>
      <c r="K16" s="298">
        <f t="shared" si="6"/>
        <v>24844.8</v>
      </c>
      <c r="L16" s="253" t="str">
        <f t="shared" si="7"/>
        <v/>
      </c>
      <c r="M16" s="292" t="s">
        <v>411</v>
      </c>
      <c r="N16" s="102" t="s">
        <v>211</v>
      </c>
      <c r="O16" s="282" t="s">
        <v>412</v>
      </c>
      <c r="P16" s="282" t="s">
        <v>231</v>
      </c>
      <c r="Q16" s="293" t="s">
        <v>413</v>
      </c>
      <c r="R16" s="293" t="s">
        <v>413</v>
      </c>
      <c r="T16" s="294">
        <v>46067.0</v>
      </c>
      <c r="U16" s="304" t="s">
        <v>511</v>
      </c>
      <c r="V16" s="305">
        <v>43220.0</v>
      </c>
    </row>
    <row r="17">
      <c r="A17" s="284"/>
      <c r="B17" s="285">
        <v>46064.0</v>
      </c>
      <c r="C17" s="101" t="s">
        <v>209</v>
      </c>
      <c r="D17" s="297" t="str">
        <f t="shared" si="1"/>
        <v>LOGIN</v>
      </c>
      <c r="E17" s="297" t="str">
        <f t="shared" si="2"/>
        <v>签到奖励</v>
      </c>
      <c r="F17" s="287">
        <v>914.0</v>
      </c>
      <c r="G17" s="288">
        <v>914.0</v>
      </c>
      <c r="H17" s="289">
        <v>914.0</v>
      </c>
      <c r="I17" s="289">
        <v>0.0</v>
      </c>
      <c r="J17" s="289">
        <v>0.0</v>
      </c>
      <c r="K17" s="298">
        <f t="shared" si="6"/>
        <v>914</v>
      </c>
      <c r="L17" s="253" t="str">
        <f t="shared" si="7"/>
        <v>签到奖励</v>
      </c>
      <c r="M17" s="292" t="s">
        <v>230</v>
      </c>
      <c r="N17" s="292" t="s">
        <v>230</v>
      </c>
      <c r="O17" s="282" t="s">
        <v>413</v>
      </c>
      <c r="P17" s="282" t="s">
        <v>236</v>
      </c>
      <c r="Q17" s="293" t="s">
        <v>431</v>
      </c>
      <c r="R17" s="293" t="s">
        <v>431</v>
      </c>
      <c r="T17" s="294">
        <v>46067.0</v>
      </c>
      <c r="U17" s="295" t="s">
        <v>513</v>
      </c>
      <c r="V17" s="305">
        <v>14154.0</v>
      </c>
    </row>
    <row r="18">
      <c r="A18" s="284"/>
      <c r="B18" s="285">
        <v>46064.0</v>
      </c>
      <c r="C18" s="101" t="s">
        <v>549</v>
      </c>
      <c r="D18" s="297" t="str">
        <f t="shared" si="1"/>
        <v/>
      </c>
      <c r="E18" s="297" t="str">
        <f t="shared" si="2"/>
        <v/>
      </c>
      <c r="F18" s="287">
        <v>914.0</v>
      </c>
      <c r="G18" s="288">
        <v>914.0</v>
      </c>
      <c r="H18" s="289">
        <v>914.0</v>
      </c>
      <c r="I18" s="289">
        <v>0.0</v>
      </c>
      <c r="J18" s="289">
        <v>0.0</v>
      </c>
      <c r="K18" s="298">
        <f t="shared" si="6"/>
        <v>914</v>
      </c>
      <c r="L18" s="253" t="str">
        <f t="shared" si="7"/>
        <v/>
      </c>
      <c r="M18" s="292" t="s">
        <v>412</v>
      </c>
      <c r="N18" s="111" t="s">
        <v>231</v>
      </c>
      <c r="O18" s="281" t="s">
        <v>414</v>
      </c>
      <c r="P18" s="281" t="s">
        <v>226</v>
      </c>
      <c r="Q18" s="306" t="s">
        <v>224</v>
      </c>
      <c r="R18" s="293" t="s">
        <v>224</v>
      </c>
      <c r="T18" s="294">
        <v>46067.0</v>
      </c>
      <c r="U18" s="295" t="s">
        <v>544</v>
      </c>
      <c r="V18" s="305">
        <v>40251.0</v>
      </c>
    </row>
    <row r="19">
      <c r="A19" s="284"/>
      <c r="B19" s="285">
        <v>46064.0</v>
      </c>
      <c r="C19" s="101" t="s">
        <v>228</v>
      </c>
      <c r="D19" s="297" t="str">
        <f t="shared" si="1"/>
        <v>登录任务</v>
      </c>
      <c r="E19" s="297" t="str">
        <f t="shared" si="2"/>
        <v>登录任务</v>
      </c>
      <c r="F19" s="287">
        <v>0.0</v>
      </c>
      <c r="G19" s="288">
        <v>115.0</v>
      </c>
      <c r="H19" s="289">
        <v>0.0</v>
      </c>
      <c r="I19" s="289">
        <v>155.0</v>
      </c>
      <c r="J19" s="289">
        <v>118.0</v>
      </c>
      <c r="K19" s="298">
        <f t="shared" si="6"/>
        <v>155</v>
      </c>
      <c r="L19" s="253" t="str">
        <f t="shared" si="7"/>
        <v>登录任务</v>
      </c>
      <c r="M19" s="292" t="s">
        <v>413</v>
      </c>
      <c r="N19" s="111" t="s">
        <v>236</v>
      </c>
      <c r="O19" s="281" t="s">
        <v>431</v>
      </c>
      <c r="P19" s="281" t="s">
        <v>431</v>
      </c>
      <c r="Q19" s="292" t="s">
        <v>410</v>
      </c>
      <c r="R19" s="293" t="s">
        <v>224</v>
      </c>
      <c r="T19" s="294">
        <v>46067.0</v>
      </c>
      <c r="U19" s="295" t="s">
        <v>545</v>
      </c>
      <c r="V19" s="305">
        <v>32094.0</v>
      </c>
    </row>
    <row r="20">
      <c r="A20" s="284"/>
      <c r="B20" s="285">
        <v>46064.0</v>
      </c>
      <c r="C20" s="101" t="s">
        <v>547</v>
      </c>
      <c r="D20" s="297" t="str">
        <f t="shared" si="1"/>
        <v/>
      </c>
      <c r="E20" s="297" t="str">
        <f t="shared" si="2"/>
        <v/>
      </c>
      <c r="F20" s="287">
        <v>0.0</v>
      </c>
      <c r="G20" s="288">
        <v>115.0</v>
      </c>
      <c r="H20" s="289">
        <v>0.0</v>
      </c>
      <c r="I20" s="289">
        <v>155.0</v>
      </c>
      <c r="J20" s="289">
        <v>118.0</v>
      </c>
      <c r="K20" s="298">
        <f t="shared" si="6"/>
        <v>155</v>
      </c>
      <c r="L20" s="253" t="str">
        <f t="shared" si="7"/>
        <v/>
      </c>
      <c r="M20" s="282" t="s">
        <v>224</v>
      </c>
      <c r="N20" s="282" t="s">
        <v>224</v>
      </c>
      <c r="O20" s="293" t="s">
        <v>224</v>
      </c>
      <c r="P20" s="293" t="s">
        <v>224</v>
      </c>
      <c r="Q20" s="292" t="s">
        <v>432</v>
      </c>
      <c r="R20" s="293" t="s">
        <v>432</v>
      </c>
      <c r="T20" s="294">
        <v>46068.0</v>
      </c>
      <c r="U20" s="304" t="s">
        <v>511</v>
      </c>
      <c r="V20" s="305">
        <v>33754.0</v>
      </c>
    </row>
    <row r="21">
      <c r="A21" s="284"/>
      <c r="B21" s="285">
        <v>46064.0</v>
      </c>
      <c r="C21" s="101" t="s">
        <v>216</v>
      </c>
      <c r="D21" s="297" t="str">
        <f t="shared" si="1"/>
        <v>MANUAL</v>
      </c>
      <c r="E21" s="297" t="str">
        <f t="shared" si="2"/>
        <v>手动红利</v>
      </c>
      <c r="F21" s="287">
        <v>1.0</v>
      </c>
      <c r="G21" s="288">
        <v>1.0</v>
      </c>
      <c r="H21" s="289">
        <v>0.0</v>
      </c>
      <c r="I21" s="289">
        <v>8.0</v>
      </c>
      <c r="J21" s="289">
        <v>1.0</v>
      </c>
      <c r="K21" s="298">
        <f t="shared" si="6"/>
        <v>8</v>
      </c>
      <c r="L21" s="253" t="str">
        <f t="shared" si="7"/>
        <v>手动红利</v>
      </c>
      <c r="M21" s="281" t="s">
        <v>432</v>
      </c>
      <c r="N21" s="281" t="s">
        <v>432</v>
      </c>
      <c r="O21" s="281" t="s">
        <v>432</v>
      </c>
      <c r="P21" s="281" t="s">
        <v>432</v>
      </c>
      <c r="Q21" s="281" t="s">
        <v>414</v>
      </c>
      <c r="R21" s="281" t="s">
        <v>226</v>
      </c>
      <c r="T21" s="294">
        <v>46068.0</v>
      </c>
      <c r="U21" s="304" t="s">
        <v>513</v>
      </c>
      <c r="V21" s="305">
        <v>21384.0</v>
      </c>
    </row>
    <row r="22">
      <c r="A22" s="284"/>
      <c r="B22" s="285">
        <v>46064.0</v>
      </c>
      <c r="C22" s="101" t="s">
        <v>515</v>
      </c>
      <c r="D22" s="297" t="str">
        <f t="shared" si="1"/>
        <v/>
      </c>
      <c r="E22" s="297" t="str">
        <f t="shared" si="2"/>
        <v/>
      </c>
      <c r="F22" s="287">
        <v>1.0</v>
      </c>
      <c r="G22" s="288">
        <v>1.0</v>
      </c>
      <c r="H22" s="289">
        <v>0.0</v>
      </c>
      <c r="I22" s="289">
        <v>8.0</v>
      </c>
      <c r="J22" s="289">
        <v>1.0</v>
      </c>
      <c r="K22" s="298">
        <f t="shared" si="6"/>
        <v>8</v>
      </c>
      <c r="L22" s="253" t="str">
        <f t="shared" si="7"/>
        <v/>
      </c>
      <c r="M22" s="281" t="s">
        <v>414</v>
      </c>
      <c r="N22" s="282" t="s">
        <v>226</v>
      </c>
      <c r="O22" s="281" t="s">
        <v>226</v>
      </c>
      <c r="P22" s="281" t="s">
        <v>226</v>
      </c>
      <c r="Q22" s="102" t="s">
        <v>233</v>
      </c>
      <c r="R22" s="102" t="s">
        <v>233</v>
      </c>
      <c r="T22" s="294">
        <v>46068.0</v>
      </c>
      <c r="U22" s="304" t="s">
        <v>544</v>
      </c>
      <c r="V22" s="305">
        <v>35483.0</v>
      </c>
    </row>
    <row r="23">
      <c r="A23" s="284"/>
      <c r="B23" s="285">
        <v>46064.0</v>
      </c>
      <c r="C23" s="101" t="s">
        <v>432</v>
      </c>
      <c r="D23" s="297" t="str">
        <f t="shared" si="1"/>
        <v>注册奖励</v>
      </c>
      <c r="E23" s="297" t="str">
        <f t="shared" si="2"/>
        <v>注册奖励</v>
      </c>
      <c r="F23" s="287">
        <v>1154.0</v>
      </c>
      <c r="G23" s="288">
        <v>1154.0</v>
      </c>
      <c r="H23" s="289">
        <v>9232.0</v>
      </c>
      <c r="I23" s="289">
        <v>0.0</v>
      </c>
      <c r="J23" s="289">
        <v>0.0</v>
      </c>
      <c r="K23" s="298">
        <f t="shared" si="6"/>
        <v>9232</v>
      </c>
      <c r="L23" s="253" t="str">
        <f t="shared" si="7"/>
        <v>注册奖励</v>
      </c>
      <c r="M23" s="281" t="s">
        <v>233</v>
      </c>
      <c r="N23" s="281" t="s">
        <v>233</v>
      </c>
      <c r="O23" s="281" t="s">
        <v>233</v>
      </c>
      <c r="P23" s="281" t="s">
        <v>233</v>
      </c>
      <c r="Q23" s="102" t="s">
        <v>554</v>
      </c>
      <c r="R23" s="102" t="s">
        <v>433</v>
      </c>
      <c r="T23" s="294">
        <v>46069.0</v>
      </c>
      <c r="U23" s="304" t="s">
        <v>511</v>
      </c>
      <c r="V23" s="305">
        <v>25567.0</v>
      </c>
    </row>
    <row r="24">
      <c r="A24" s="284"/>
      <c r="B24" s="285">
        <v>46064.0</v>
      </c>
      <c r="C24" s="101" t="s">
        <v>551</v>
      </c>
      <c r="D24" s="297" t="str">
        <f t="shared" si="1"/>
        <v/>
      </c>
      <c r="E24" s="297" t="str">
        <f t="shared" si="2"/>
        <v/>
      </c>
      <c r="F24" s="287">
        <v>1154.0</v>
      </c>
      <c r="G24" s="288">
        <v>1154.0</v>
      </c>
      <c r="H24" s="289">
        <v>9232.0</v>
      </c>
      <c r="I24" s="289">
        <v>0.0</v>
      </c>
      <c r="J24" s="289">
        <v>0.0</v>
      </c>
      <c r="K24" s="298">
        <f t="shared" si="6"/>
        <v>9232</v>
      </c>
      <c r="L24" s="253" t="str">
        <f t="shared" si="7"/>
        <v/>
      </c>
      <c r="M24" s="102" t="s">
        <v>554</v>
      </c>
      <c r="N24" s="102" t="s">
        <v>433</v>
      </c>
      <c r="O24" s="102" t="s">
        <v>433</v>
      </c>
      <c r="P24" s="102" t="s">
        <v>433</v>
      </c>
      <c r="Q24" s="102" t="s">
        <v>434</v>
      </c>
      <c r="R24" s="102" t="s">
        <v>434</v>
      </c>
      <c r="T24" s="294">
        <v>46069.0</v>
      </c>
      <c r="U24" s="295" t="s">
        <v>513</v>
      </c>
      <c r="V24" s="305">
        <v>10744.0</v>
      </c>
    </row>
    <row r="25">
      <c r="A25" s="284"/>
      <c r="B25" s="285">
        <v>46064.0</v>
      </c>
      <c r="C25" s="101" t="s">
        <v>230</v>
      </c>
      <c r="D25" s="297" t="str">
        <f t="shared" si="1"/>
        <v>邀请返佣</v>
      </c>
      <c r="E25" s="297" t="str">
        <f t="shared" si="2"/>
        <v>邀请返佣</v>
      </c>
      <c r="F25" s="287">
        <v>22.0</v>
      </c>
      <c r="G25" s="288">
        <v>17.0</v>
      </c>
      <c r="H25" s="289">
        <v>320.0</v>
      </c>
      <c r="I25" s="289">
        <v>0.0</v>
      </c>
      <c r="J25" s="289">
        <v>0.0</v>
      </c>
      <c r="K25" s="298">
        <f t="shared" si="6"/>
        <v>320</v>
      </c>
      <c r="L25" s="253" t="str">
        <f t="shared" si="7"/>
        <v>邀请返佣</v>
      </c>
      <c r="M25" s="102" t="s">
        <v>434</v>
      </c>
      <c r="N25" s="102" t="s">
        <v>434</v>
      </c>
      <c r="O25" s="102" t="s">
        <v>434</v>
      </c>
      <c r="P25" s="102" t="s">
        <v>434</v>
      </c>
      <c r="Q25" s="282" t="s">
        <v>418</v>
      </c>
      <c r="R25" s="282" t="s">
        <v>225</v>
      </c>
      <c r="T25" s="294">
        <v>46069.0</v>
      </c>
      <c r="U25" s="304" t="s">
        <v>544</v>
      </c>
      <c r="V25" s="305">
        <v>28823.0</v>
      </c>
    </row>
    <row r="26">
      <c r="A26" s="284"/>
      <c r="B26" s="285">
        <v>46064.0</v>
      </c>
      <c r="C26" s="101" t="s">
        <v>386</v>
      </c>
      <c r="D26" s="297" t="str">
        <f t="shared" si="1"/>
        <v/>
      </c>
      <c r="E26" s="297" t="str">
        <f t="shared" si="2"/>
        <v/>
      </c>
      <c r="F26" s="287">
        <v>2.0</v>
      </c>
      <c r="G26" s="288">
        <v>1.0</v>
      </c>
      <c r="H26" s="289">
        <v>20.0</v>
      </c>
      <c r="I26" s="289">
        <v>0.0</v>
      </c>
      <c r="J26" s="289">
        <v>0.0</v>
      </c>
      <c r="K26" s="298">
        <f t="shared" si="6"/>
        <v>20</v>
      </c>
      <c r="L26" s="253" t="str">
        <f t="shared" si="7"/>
        <v/>
      </c>
      <c r="M26" s="102" t="s">
        <v>228</v>
      </c>
      <c r="N26" s="102" t="s">
        <v>228</v>
      </c>
      <c r="O26" s="292" t="s">
        <v>225</v>
      </c>
      <c r="P26" s="292" t="s">
        <v>225</v>
      </c>
      <c r="Q26" s="102" t="s">
        <v>228</v>
      </c>
      <c r="R26" s="102" t="s">
        <v>228</v>
      </c>
      <c r="T26" s="294">
        <v>46070.0</v>
      </c>
      <c r="U26" s="304" t="s">
        <v>511</v>
      </c>
      <c r="V26" s="305">
        <v>27713.0</v>
      </c>
    </row>
    <row r="27">
      <c r="A27" s="284"/>
      <c r="B27" s="285">
        <v>46064.0</v>
      </c>
      <c r="C27" s="101" t="s">
        <v>385</v>
      </c>
      <c r="D27" s="297" t="str">
        <f t="shared" si="1"/>
        <v/>
      </c>
      <c r="E27" s="297" t="str">
        <f t="shared" si="2"/>
        <v/>
      </c>
      <c r="F27" s="287">
        <v>20.0</v>
      </c>
      <c r="G27" s="288">
        <v>17.0</v>
      </c>
      <c r="H27" s="289">
        <v>300.0</v>
      </c>
      <c r="I27" s="289">
        <v>0.0</v>
      </c>
      <c r="J27" s="289">
        <v>0.0</v>
      </c>
      <c r="K27" s="298">
        <f t="shared" si="6"/>
        <v>300</v>
      </c>
      <c r="L27" s="253" t="str">
        <f t="shared" si="7"/>
        <v/>
      </c>
      <c r="M27" s="102" t="s">
        <v>226</v>
      </c>
      <c r="N27" s="102" t="s">
        <v>226</v>
      </c>
      <c r="O27" s="102" t="s">
        <v>228</v>
      </c>
      <c r="P27" s="102" t="s">
        <v>228</v>
      </c>
      <c r="Q27" s="282" t="s">
        <v>415</v>
      </c>
      <c r="R27" s="281" t="s">
        <v>431</v>
      </c>
      <c r="T27" s="294">
        <v>46070.0</v>
      </c>
      <c r="U27" s="304" t="s">
        <v>513</v>
      </c>
      <c r="V27" s="305">
        <v>9560.0</v>
      </c>
    </row>
    <row r="28">
      <c r="A28" s="284"/>
      <c r="B28" s="285">
        <v>46064.0</v>
      </c>
      <c r="C28" s="101" t="s">
        <v>227</v>
      </c>
      <c r="D28" s="297" t="str">
        <f t="shared" si="1"/>
        <v>SECOND_DEPOSIT</v>
      </c>
      <c r="E28" s="297" t="str">
        <f t="shared" si="2"/>
        <v>二次存送</v>
      </c>
      <c r="F28" s="287">
        <v>13.0</v>
      </c>
      <c r="G28" s="288">
        <v>13.0</v>
      </c>
      <c r="H28" s="289">
        <v>1210.0</v>
      </c>
      <c r="I28" s="289">
        <v>0.0</v>
      </c>
      <c r="J28" s="289">
        <v>0.0</v>
      </c>
      <c r="K28" s="298">
        <f t="shared" si="6"/>
        <v>1210</v>
      </c>
      <c r="L28" s="253" t="str">
        <f t="shared" si="7"/>
        <v>二次存送</v>
      </c>
      <c r="M28" s="102" t="s">
        <v>231</v>
      </c>
      <c r="N28" s="102" t="s">
        <v>231</v>
      </c>
      <c r="O28" s="102" t="s">
        <v>226</v>
      </c>
      <c r="P28" s="102" t="s">
        <v>226</v>
      </c>
      <c r="Q28" s="102" t="s">
        <v>226</v>
      </c>
      <c r="R28" s="102" t="s">
        <v>226</v>
      </c>
      <c r="T28" s="294">
        <v>46070.0</v>
      </c>
      <c r="U28" s="304" t="s">
        <v>544</v>
      </c>
      <c r="V28" s="305">
        <v>29986.0</v>
      </c>
    </row>
    <row r="29">
      <c r="A29" s="284"/>
      <c r="B29" s="285">
        <v>46064.0</v>
      </c>
      <c r="C29" s="101" t="s">
        <v>545</v>
      </c>
      <c r="D29" s="297" t="str">
        <f t="shared" si="1"/>
        <v/>
      </c>
      <c r="E29" s="297" t="str">
        <f t="shared" si="2"/>
        <v/>
      </c>
      <c r="F29" s="287">
        <v>13.0</v>
      </c>
      <c r="G29" s="288">
        <v>13.0</v>
      </c>
      <c r="H29" s="289">
        <v>1210.0</v>
      </c>
      <c r="I29" s="289">
        <v>0.0</v>
      </c>
      <c r="J29" s="289">
        <v>0.0</v>
      </c>
      <c r="K29" s="298">
        <f t="shared" si="6"/>
        <v>1210</v>
      </c>
      <c r="L29" s="253" t="str">
        <f t="shared" si="7"/>
        <v/>
      </c>
      <c r="M29" s="102" t="s">
        <v>560</v>
      </c>
      <c r="N29" s="102" t="s">
        <v>560</v>
      </c>
      <c r="O29" s="102" t="s">
        <v>231</v>
      </c>
      <c r="P29" s="102" t="s">
        <v>231</v>
      </c>
      <c r="Q29" s="102" t="s">
        <v>231</v>
      </c>
      <c r="R29" s="102" t="s">
        <v>231</v>
      </c>
      <c r="T29" s="294">
        <v>46071.0</v>
      </c>
      <c r="U29" s="304" t="s">
        <v>511</v>
      </c>
      <c r="V29" s="305">
        <v>23274.0</v>
      </c>
    </row>
    <row r="30">
      <c r="A30" s="284"/>
      <c r="B30" s="285">
        <v>46064.0</v>
      </c>
      <c r="C30" s="101" t="s">
        <v>211</v>
      </c>
      <c r="D30" s="297" t="str">
        <f t="shared" si="1"/>
        <v>UPGRADE_BONUS</v>
      </c>
      <c r="E30" s="297" t="str">
        <f t="shared" si="2"/>
        <v>升级奖励</v>
      </c>
      <c r="F30" s="287">
        <v>2.0</v>
      </c>
      <c r="G30" s="288">
        <v>1.0</v>
      </c>
      <c r="H30" s="289">
        <v>4.0</v>
      </c>
      <c r="I30" s="289">
        <v>0.0</v>
      </c>
      <c r="J30" s="289">
        <v>0.0</v>
      </c>
      <c r="K30" s="298">
        <f t="shared" si="6"/>
        <v>4</v>
      </c>
      <c r="L30" s="253" t="str">
        <f t="shared" si="7"/>
        <v>升级奖励</v>
      </c>
      <c r="M30" s="111"/>
      <c r="N30" s="111"/>
      <c r="O30" s="102" t="s">
        <v>560</v>
      </c>
      <c r="P30" s="102" t="s">
        <v>560</v>
      </c>
      <c r="Q30" s="102" t="s">
        <v>560</v>
      </c>
      <c r="R30" s="102" t="s">
        <v>560</v>
      </c>
      <c r="T30" s="294">
        <v>46071.0</v>
      </c>
      <c r="U30" s="304" t="s">
        <v>513</v>
      </c>
      <c r="V30" s="305">
        <v>6077.0</v>
      </c>
    </row>
    <row r="31">
      <c r="A31" s="284"/>
      <c r="B31" s="285">
        <v>46064.0</v>
      </c>
      <c r="C31" s="101" t="s">
        <v>550</v>
      </c>
      <c r="D31" s="297" t="str">
        <f t="shared" si="1"/>
        <v/>
      </c>
      <c r="E31" s="297" t="str">
        <f t="shared" si="2"/>
        <v/>
      </c>
      <c r="F31" s="287">
        <v>2.0</v>
      </c>
      <c r="G31" s="288">
        <v>1.0</v>
      </c>
      <c r="H31" s="289">
        <v>4.0</v>
      </c>
      <c r="I31" s="289">
        <v>0.0</v>
      </c>
      <c r="J31" s="289">
        <v>0.0</v>
      </c>
      <c r="K31" s="298">
        <f t="shared" si="6"/>
        <v>4</v>
      </c>
      <c r="L31" s="253" t="str">
        <f t="shared" si="7"/>
        <v/>
      </c>
      <c r="T31" s="294">
        <v>46071.0</v>
      </c>
      <c r="U31" s="295" t="s">
        <v>544</v>
      </c>
      <c r="V31" s="305">
        <v>23117.0</v>
      </c>
    </row>
    <row r="32">
      <c r="A32" s="284"/>
      <c r="B32" s="299"/>
      <c r="C32" s="300"/>
      <c r="D32" s="301" t="str">
        <f t="shared" si="1"/>
        <v/>
      </c>
      <c r="E32" s="301" t="str">
        <f t="shared" si="2"/>
        <v/>
      </c>
      <c r="F32" s="302">
        <f t="shared" ref="F32:K32" si="8">SUM(F10,F12,F15,F17,F19,F21,F23,F25,F28,F30)</f>
        <v>2830</v>
      </c>
      <c r="G32" s="302">
        <f t="shared" si="8"/>
        <v>2935</v>
      </c>
      <c r="H32" s="303">
        <f t="shared" si="8"/>
        <v>36925.3</v>
      </c>
      <c r="I32" s="303">
        <f t="shared" si="8"/>
        <v>4732.75</v>
      </c>
      <c r="J32" s="303">
        <f t="shared" si="8"/>
        <v>567</v>
      </c>
      <c r="K32" s="303">
        <f t="shared" si="8"/>
        <v>41658.05</v>
      </c>
      <c r="L32" s="307">
        <v>41658.05</v>
      </c>
      <c r="T32" s="294">
        <v>46072.0</v>
      </c>
      <c r="U32" s="304" t="s">
        <v>511</v>
      </c>
      <c r="V32" s="305">
        <v>23379.0</v>
      </c>
    </row>
    <row r="33">
      <c r="A33" s="284"/>
      <c r="B33" s="285">
        <v>46065.0</v>
      </c>
      <c r="C33" s="101" t="s">
        <v>187</v>
      </c>
      <c r="D33" s="297" t="str">
        <f t="shared" si="1"/>
        <v>GAME_REBATE</v>
      </c>
      <c r="E33" s="297" t="str">
        <f t="shared" si="2"/>
        <v>玩家返水</v>
      </c>
      <c r="F33" s="287">
        <v>108.0</v>
      </c>
      <c r="G33" s="288">
        <v>108.0</v>
      </c>
      <c r="H33" s="289">
        <v>245.67</v>
      </c>
      <c r="I33" s="289">
        <v>0.0</v>
      </c>
      <c r="J33" s="289">
        <v>0.0</v>
      </c>
      <c r="K33" s="298">
        <f t="shared" ref="K33:K57" si="9">H33+I33</f>
        <v>245.67</v>
      </c>
      <c r="L33" s="253" t="str">
        <f t="shared" ref="L33:L57" si="10">IFERROR(VLOOKUP(C33,$M$3:$N$30,2,0),"")</f>
        <v>玩家返水</v>
      </c>
      <c r="T33" s="294">
        <v>46072.0</v>
      </c>
      <c r="U33" s="304" t="s">
        <v>513</v>
      </c>
      <c r="V33" s="305">
        <v>11532.0</v>
      </c>
    </row>
    <row r="34">
      <c r="A34" s="284"/>
      <c r="B34" s="285">
        <v>46065.0</v>
      </c>
      <c r="C34" s="101" t="s">
        <v>189</v>
      </c>
      <c r="D34" s="297" t="str">
        <f t="shared" si="1"/>
        <v/>
      </c>
      <c r="E34" s="297" t="str">
        <f t="shared" si="2"/>
        <v/>
      </c>
      <c r="F34" s="287">
        <v>107.0</v>
      </c>
      <c r="G34" s="288">
        <v>107.0</v>
      </c>
      <c r="H34" s="289">
        <v>239.87</v>
      </c>
      <c r="I34" s="289">
        <v>0.0</v>
      </c>
      <c r="J34" s="289">
        <v>0.0</v>
      </c>
      <c r="K34" s="298">
        <f t="shared" si="9"/>
        <v>239.87</v>
      </c>
      <c r="L34" s="253" t="str">
        <f t="shared" si="10"/>
        <v/>
      </c>
      <c r="T34" s="294">
        <v>46072.0</v>
      </c>
      <c r="U34" s="304" t="s">
        <v>544</v>
      </c>
      <c r="V34" s="305">
        <v>20342.0</v>
      </c>
    </row>
    <row r="35">
      <c r="A35" s="284"/>
      <c r="B35" s="285">
        <v>46065.0</v>
      </c>
      <c r="C35" s="101" t="s">
        <v>190</v>
      </c>
      <c r="D35" s="297" t="str">
        <f t="shared" si="1"/>
        <v/>
      </c>
      <c r="E35" s="297" t="str">
        <f t="shared" si="2"/>
        <v/>
      </c>
      <c r="F35" s="287">
        <v>1.0</v>
      </c>
      <c r="G35" s="288">
        <v>1.0</v>
      </c>
      <c r="H35" s="289">
        <v>5.8</v>
      </c>
      <c r="I35" s="289">
        <v>0.0</v>
      </c>
      <c r="J35" s="289">
        <v>0.0</v>
      </c>
      <c r="K35" s="298">
        <f t="shared" si="9"/>
        <v>5.8</v>
      </c>
      <c r="L35" s="253" t="str">
        <f t="shared" si="10"/>
        <v/>
      </c>
      <c r="T35" s="294">
        <v>46073.0</v>
      </c>
      <c r="U35" s="304" t="s">
        <v>511</v>
      </c>
      <c r="V35" s="305">
        <v>22513.0</v>
      </c>
    </row>
    <row r="36">
      <c r="A36" s="284"/>
      <c r="B36" s="285">
        <v>46065.0</v>
      </c>
      <c r="C36" s="101" t="s">
        <v>429</v>
      </c>
      <c r="D36" s="297" t="str">
        <f t="shared" si="1"/>
        <v>APP_DOWNLOAD</v>
      </c>
      <c r="E36" s="297" t="str">
        <f t="shared" si="2"/>
        <v>APP下载</v>
      </c>
      <c r="F36" s="287">
        <v>4058.0</v>
      </c>
      <c r="G36" s="288">
        <v>4058.0</v>
      </c>
      <c r="H36" s="289">
        <v>0.0</v>
      </c>
      <c r="I36" s="289">
        <v>37773.41</v>
      </c>
      <c r="J36" s="289">
        <v>3718.0</v>
      </c>
      <c r="K36" s="298">
        <f t="shared" si="9"/>
        <v>37773.41</v>
      </c>
      <c r="L36" s="253" t="str">
        <f t="shared" si="10"/>
        <v>APP下载</v>
      </c>
      <c r="T36" s="294">
        <v>46073.0</v>
      </c>
      <c r="U36" s="304" t="s">
        <v>513</v>
      </c>
      <c r="V36" s="305">
        <v>14061.0</v>
      </c>
    </row>
    <row r="37">
      <c r="A37" s="284"/>
      <c r="B37" s="285">
        <v>46065.0</v>
      </c>
      <c r="C37" s="101" t="s">
        <v>548</v>
      </c>
      <c r="D37" s="297" t="str">
        <f t="shared" si="1"/>
        <v/>
      </c>
      <c r="E37" s="297" t="str">
        <f t="shared" si="2"/>
        <v/>
      </c>
      <c r="F37" s="287">
        <v>4058.0</v>
      </c>
      <c r="G37" s="287">
        <v>4058.0</v>
      </c>
      <c r="H37" s="289">
        <v>0.0</v>
      </c>
      <c r="I37" s="289">
        <v>37773.41</v>
      </c>
      <c r="J37" s="289">
        <v>3718.0</v>
      </c>
      <c r="K37" s="298">
        <f t="shared" si="9"/>
        <v>37773.41</v>
      </c>
      <c r="L37" s="253" t="str">
        <f t="shared" si="10"/>
        <v/>
      </c>
      <c r="M37" s="139"/>
      <c r="T37" s="294">
        <v>46073.0</v>
      </c>
      <c r="U37" s="304" t="s">
        <v>544</v>
      </c>
      <c r="V37" s="305">
        <v>16207.0</v>
      </c>
    </row>
    <row r="38">
      <c r="A38" s="284"/>
      <c r="B38" s="285">
        <v>46065.0</v>
      </c>
      <c r="C38" s="101" t="s">
        <v>197</v>
      </c>
      <c r="D38" s="297" t="str">
        <f t="shared" si="1"/>
        <v>DEPOSIT</v>
      </c>
      <c r="E38" s="297" t="str">
        <f t="shared" si="2"/>
        <v>笔笔存送</v>
      </c>
      <c r="F38" s="287">
        <v>220.0</v>
      </c>
      <c r="G38" s="288">
        <v>187.0</v>
      </c>
      <c r="H38" s="289">
        <v>4285.67</v>
      </c>
      <c r="I38" s="289">
        <v>0.0</v>
      </c>
      <c r="J38" s="289">
        <v>0.0</v>
      </c>
      <c r="K38" s="298">
        <f t="shared" si="9"/>
        <v>4285.67</v>
      </c>
      <c r="L38" s="253" t="str">
        <f t="shared" si="10"/>
        <v>笔笔存送</v>
      </c>
      <c r="T38" s="294"/>
      <c r="U38" s="295"/>
      <c r="V38" s="305"/>
    </row>
    <row r="39">
      <c r="A39" s="284"/>
      <c r="B39" s="285">
        <v>46065.0</v>
      </c>
      <c r="C39" s="101" t="s">
        <v>511</v>
      </c>
      <c r="D39" s="297" t="str">
        <f t="shared" si="1"/>
        <v/>
      </c>
      <c r="E39" s="297" t="str">
        <f t="shared" si="2"/>
        <v/>
      </c>
      <c r="F39" s="287">
        <v>168.0</v>
      </c>
      <c r="G39" s="288">
        <v>168.0</v>
      </c>
      <c r="H39" s="289">
        <v>4058.6</v>
      </c>
      <c r="I39" s="289">
        <v>0.0</v>
      </c>
      <c r="J39" s="289">
        <v>0.0</v>
      </c>
      <c r="K39" s="298">
        <f t="shared" si="9"/>
        <v>4058.6</v>
      </c>
      <c r="L39" s="253" t="str">
        <f t="shared" si="10"/>
        <v/>
      </c>
      <c r="T39" s="294"/>
      <c r="U39" s="304"/>
      <c r="V39" s="305"/>
    </row>
    <row r="40">
      <c r="A40" s="284"/>
      <c r="B40" s="285">
        <v>46065.0</v>
      </c>
      <c r="C40" s="101" t="s">
        <v>513</v>
      </c>
      <c r="D40" s="297" t="str">
        <f t="shared" si="1"/>
        <v/>
      </c>
      <c r="E40" s="297" t="str">
        <f t="shared" si="2"/>
        <v/>
      </c>
      <c r="F40" s="287">
        <v>52.0</v>
      </c>
      <c r="G40" s="288">
        <v>39.0</v>
      </c>
      <c r="H40" s="289">
        <v>227.07</v>
      </c>
      <c r="I40" s="289">
        <v>0.0</v>
      </c>
      <c r="J40" s="289">
        <v>0.0</v>
      </c>
      <c r="K40" s="298">
        <f t="shared" si="9"/>
        <v>227.07</v>
      </c>
      <c r="L40" s="253" t="str">
        <f t="shared" si="10"/>
        <v/>
      </c>
      <c r="T40" s="294"/>
      <c r="U40" s="304"/>
      <c r="V40" s="305"/>
    </row>
    <row r="41">
      <c r="A41" s="284"/>
      <c r="B41" s="285">
        <v>46065.0</v>
      </c>
      <c r="C41" s="101" t="s">
        <v>225</v>
      </c>
      <c r="D41" s="297" t="str">
        <f t="shared" si="1"/>
        <v>FIRST_DEPOSIT</v>
      </c>
      <c r="E41" s="297" t="str">
        <f t="shared" si="2"/>
        <v>首存</v>
      </c>
      <c r="F41" s="287">
        <v>1875.0</v>
      </c>
      <c r="G41" s="287">
        <v>1875.0</v>
      </c>
      <c r="H41" s="289">
        <v>346606.8</v>
      </c>
      <c r="I41" s="289">
        <v>0.0</v>
      </c>
      <c r="J41" s="289">
        <v>0.0</v>
      </c>
      <c r="K41" s="298">
        <f t="shared" si="9"/>
        <v>346606.8</v>
      </c>
      <c r="L41" s="253" t="str">
        <f t="shared" si="10"/>
        <v>首存</v>
      </c>
      <c r="M41" s="139"/>
      <c r="T41" s="294"/>
      <c r="U41" s="304"/>
      <c r="V41" s="305"/>
    </row>
    <row r="42">
      <c r="A42" s="284"/>
      <c r="B42" s="285">
        <v>46065.0</v>
      </c>
      <c r="C42" s="101" t="s">
        <v>543</v>
      </c>
      <c r="D42" s="297" t="str">
        <f t="shared" si="1"/>
        <v/>
      </c>
      <c r="E42" s="297" t="str">
        <f t="shared" si="2"/>
        <v/>
      </c>
      <c r="F42" s="308">
        <v>1875.0</v>
      </c>
      <c r="G42" s="308">
        <v>1875.0</v>
      </c>
      <c r="H42" s="308">
        <v>346606.8</v>
      </c>
      <c r="I42" s="308">
        <v>0.0</v>
      </c>
      <c r="J42" s="308">
        <v>0.0</v>
      </c>
      <c r="K42" s="298">
        <f t="shared" si="9"/>
        <v>346606.8</v>
      </c>
      <c r="L42" s="253" t="str">
        <f t="shared" si="10"/>
        <v/>
      </c>
      <c r="M42" s="139"/>
      <c r="T42" s="294"/>
      <c r="U42" s="304"/>
      <c r="V42" s="305"/>
    </row>
    <row r="43">
      <c r="A43" s="284"/>
      <c r="B43" s="285">
        <v>46065.0</v>
      </c>
      <c r="C43" s="101" t="s">
        <v>209</v>
      </c>
      <c r="D43" s="297" t="str">
        <f t="shared" si="1"/>
        <v>LOGIN</v>
      </c>
      <c r="E43" s="297" t="str">
        <f t="shared" si="2"/>
        <v>签到奖励</v>
      </c>
      <c r="F43" s="287">
        <v>7460.0</v>
      </c>
      <c r="G43" s="288">
        <v>7460.0</v>
      </c>
      <c r="H43" s="289">
        <v>8052.0</v>
      </c>
      <c r="I43" s="289">
        <v>0.0</v>
      </c>
      <c r="J43" s="289">
        <v>0.0</v>
      </c>
      <c r="K43" s="298">
        <f t="shared" si="9"/>
        <v>8052</v>
      </c>
      <c r="L43" s="253" t="str">
        <f t="shared" si="10"/>
        <v>签到奖励</v>
      </c>
      <c r="M43" s="139"/>
      <c r="T43" s="294"/>
      <c r="U43" s="304"/>
      <c r="V43" s="305"/>
    </row>
    <row r="44">
      <c r="A44" s="284"/>
      <c r="B44" s="285">
        <v>46065.0</v>
      </c>
      <c r="C44" s="101" t="s">
        <v>549</v>
      </c>
      <c r="D44" s="297" t="str">
        <f t="shared" si="1"/>
        <v/>
      </c>
      <c r="E44" s="297" t="str">
        <f t="shared" si="2"/>
        <v/>
      </c>
      <c r="F44" s="287">
        <v>7460.0</v>
      </c>
      <c r="G44" s="288">
        <v>7460.0</v>
      </c>
      <c r="H44" s="289">
        <v>8052.0</v>
      </c>
      <c r="I44" s="289">
        <v>0.0</v>
      </c>
      <c r="J44" s="289">
        <v>0.0</v>
      </c>
      <c r="K44" s="298">
        <f t="shared" si="9"/>
        <v>8052</v>
      </c>
      <c r="L44" s="253" t="str">
        <f t="shared" si="10"/>
        <v/>
      </c>
      <c r="T44" s="294"/>
      <c r="U44" s="304"/>
      <c r="V44" s="305"/>
    </row>
    <row r="45">
      <c r="A45" s="309"/>
      <c r="B45" s="285">
        <v>46065.0</v>
      </c>
      <c r="C45" s="101" t="s">
        <v>228</v>
      </c>
      <c r="D45" s="297" t="str">
        <f t="shared" si="1"/>
        <v>登录任务</v>
      </c>
      <c r="E45" s="297" t="str">
        <f t="shared" si="2"/>
        <v>登录任务</v>
      </c>
      <c r="F45" s="289">
        <v>0.0</v>
      </c>
      <c r="G45" s="289">
        <v>1442.0</v>
      </c>
      <c r="H45" s="289">
        <v>0.0</v>
      </c>
      <c r="I45" s="289">
        <v>2161.0</v>
      </c>
      <c r="J45" s="289">
        <v>1566.0</v>
      </c>
      <c r="K45" s="298">
        <f t="shared" si="9"/>
        <v>2161</v>
      </c>
      <c r="L45" s="253" t="str">
        <f t="shared" si="10"/>
        <v>登录任务</v>
      </c>
      <c r="M45" s="139"/>
      <c r="T45" s="294"/>
      <c r="U45" s="295"/>
      <c r="V45" s="305"/>
    </row>
    <row r="46">
      <c r="A46" s="309"/>
      <c r="B46" s="285">
        <v>46065.0</v>
      </c>
      <c r="C46" s="101" t="s">
        <v>547</v>
      </c>
      <c r="D46" s="297" t="str">
        <f t="shared" si="1"/>
        <v/>
      </c>
      <c r="E46" s="297" t="str">
        <f t="shared" si="2"/>
        <v/>
      </c>
      <c r="F46" s="287">
        <v>0.0</v>
      </c>
      <c r="G46" s="288">
        <v>1442.0</v>
      </c>
      <c r="H46" s="289">
        <v>0.0</v>
      </c>
      <c r="I46" s="289">
        <v>2161.0</v>
      </c>
      <c r="J46" s="289">
        <v>1566.0</v>
      </c>
      <c r="K46" s="298">
        <f t="shared" si="9"/>
        <v>2161</v>
      </c>
      <c r="L46" s="253" t="str">
        <f t="shared" si="10"/>
        <v/>
      </c>
      <c r="T46" s="294"/>
      <c r="U46" s="304"/>
      <c r="V46" s="305"/>
    </row>
    <row r="47">
      <c r="A47" s="309"/>
      <c r="B47" s="285">
        <v>46065.0</v>
      </c>
      <c r="C47" s="101" t="s">
        <v>432</v>
      </c>
      <c r="D47" s="297" t="str">
        <f t="shared" si="1"/>
        <v>注册奖励</v>
      </c>
      <c r="E47" s="297" t="str">
        <f t="shared" si="2"/>
        <v>注册奖励</v>
      </c>
      <c r="F47" s="289">
        <v>18791.0</v>
      </c>
      <c r="G47" s="289">
        <v>18791.0</v>
      </c>
      <c r="H47" s="289">
        <v>150328.0</v>
      </c>
      <c r="I47" s="289">
        <v>0.0</v>
      </c>
      <c r="J47" s="289">
        <v>0.0</v>
      </c>
      <c r="K47" s="298">
        <f t="shared" si="9"/>
        <v>150328</v>
      </c>
      <c r="L47" s="253" t="str">
        <f t="shared" si="10"/>
        <v>注册奖励</v>
      </c>
      <c r="M47" s="139"/>
      <c r="T47" s="294"/>
      <c r="U47" s="304"/>
      <c r="V47" s="305"/>
    </row>
    <row r="48">
      <c r="A48" s="309"/>
      <c r="B48" s="285">
        <v>46065.0</v>
      </c>
      <c r="C48" s="101" t="s">
        <v>551</v>
      </c>
      <c r="D48" s="297" t="str">
        <f t="shared" si="1"/>
        <v/>
      </c>
      <c r="E48" s="297" t="str">
        <f t="shared" si="2"/>
        <v/>
      </c>
      <c r="F48" s="287">
        <v>18791.0</v>
      </c>
      <c r="G48" s="288">
        <v>18791.0</v>
      </c>
      <c r="H48" s="289">
        <v>150328.0</v>
      </c>
      <c r="I48" s="289">
        <v>0.0</v>
      </c>
      <c r="J48" s="289">
        <v>0.0</v>
      </c>
      <c r="K48" s="298">
        <f t="shared" si="9"/>
        <v>150328</v>
      </c>
      <c r="L48" s="253" t="str">
        <f t="shared" si="10"/>
        <v/>
      </c>
      <c r="T48" s="294"/>
      <c r="U48" s="304"/>
      <c r="V48" s="305"/>
    </row>
    <row r="49">
      <c r="A49" s="309"/>
      <c r="B49" s="285">
        <v>46065.0</v>
      </c>
      <c r="C49" s="101" t="s">
        <v>230</v>
      </c>
      <c r="D49" s="297" t="str">
        <f t="shared" si="1"/>
        <v>邀请返佣</v>
      </c>
      <c r="E49" s="297" t="str">
        <f t="shared" si="2"/>
        <v>邀请返佣</v>
      </c>
      <c r="F49" s="289">
        <v>1013.0</v>
      </c>
      <c r="G49" s="289">
        <v>569.0</v>
      </c>
      <c r="H49" s="289">
        <v>14630.65</v>
      </c>
      <c r="I49" s="289">
        <v>0.0</v>
      </c>
      <c r="J49" s="289">
        <v>0.0</v>
      </c>
      <c r="K49" s="298">
        <f t="shared" si="9"/>
        <v>14630.65</v>
      </c>
      <c r="L49" s="253" t="str">
        <f t="shared" si="10"/>
        <v>邀请返佣</v>
      </c>
      <c r="M49" s="139"/>
      <c r="T49" s="294"/>
      <c r="U49" s="304"/>
      <c r="V49" s="305"/>
    </row>
    <row r="50">
      <c r="A50" s="309"/>
      <c r="B50" s="285">
        <v>46065.0</v>
      </c>
      <c r="C50" s="101" t="s">
        <v>386</v>
      </c>
      <c r="D50" s="297" t="str">
        <f t="shared" si="1"/>
        <v/>
      </c>
      <c r="E50" s="297" t="str">
        <f t="shared" si="2"/>
        <v/>
      </c>
      <c r="F50" s="287">
        <v>123.0</v>
      </c>
      <c r="G50" s="288">
        <v>71.0</v>
      </c>
      <c r="H50" s="289">
        <v>1585.0</v>
      </c>
      <c r="I50" s="289">
        <v>0.0</v>
      </c>
      <c r="J50" s="289">
        <v>0.0</v>
      </c>
      <c r="K50" s="298">
        <f t="shared" si="9"/>
        <v>1585</v>
      </c>
      <c r="L50" s="253" t="str">
        <f t="shared" si="10"/>
        <v/>
      </c>
      <c r="T50" s="294"/>
      <c r="U50" s="304"/>
      <c r="V50" s="305"/>
    </row>
    <row r="51">
      <c r="A51" s="309"/>
      <c r="B51" s="285">
        <v>46065.0</v>
      </c>
      <c r="C51" s="101" t="s">
        <v>387</v>
      </c>
      <c r="D51" s="297" t="str">
        <f t="shared" si="1"/>
        <v/>
      </c>
      <c r="E51" s="297" t="str">
        <f t="shared" si="2"/>
        <v/>
      </c>
      <c r="F51" s="287">
        <v>11.0</v>
      </c>
      <c r="G51" s="288">
        <v>11.0</v>
      </c>
      <c r="H51" s="289">
        <v>2.2</v>
      </c>
      <c r="I51" s="289">
        <v>0.0</v>
      </c>
      <c r="J51" s="289">
        <v>0.0</v>
      </c>
      <c r="K51" s="298">
        <f t="shared" si="9"/>
        <v>2.2</v>
      </c>
      <c r="L51" s="253" t="str">
        <f t="shared" si="10"/>
        <v/>
      </c>
      <c r="T51" s="294"/>
      <c r="U51" s="304"/>
      <c r="V51" s="305"/>
    </row>
    <row r="52">
      <c r="A52" s="309"/>
      <c r="B52" s="285">
        <v>46065.0</v>
      </c>
      <c r="C52" s="101" t="s">
        <v>385</v>
      </c>
      <c r="D52" s="297" t="str">
        <f t="shared" si="1"/>
        <v/>
      </c>
      <c r="E52" s="297" t="str">
        <f t="shared" si="2"/>
        <v/>
      </c>
      <c r="F52" s="287">
        <v>868.0</v>
      </c>
      <c r="G52" s="288">
        <v>567.0</v>
      </c>
      <c r="H52" s="289">
        <v>13020.0</v>
      </c>
      <c r="I52" s="289">
        <v>0.0</v>
      </c>
      <c r="J52" s="289">
        <v>0.0</v>
      </c>
      <c r="K52" s="298">
        <f t="shared" si="9"/>
        <v>13020</v>
      </c>
      <c r="L52" s="253" t="str">
        <f t="shared" si="10"/>
        <v/>
      </c>
      <c r="T52" s="294"/>
      <c r="U52" s="295"/>
      <c r="V52" s="305"/>
    </row>
    <row r="53">
      <c r="A53" s="309"/>
      <c r="B53" s="285">
        <v>46065.0</v>
      </c>
      <c r="C53" s="101" t="s">
        <v>546</v>
      </c>
      <c r="D53" s="297" t="str">
        <f t="shared" si="1"/>
        <v/>
      </c>
      <c r="E53" s="297" t="str">
        <f t="shared" si="2"/>
        <v/>
      </c>
      <c r="F53" s="287">
        <v>11.0</v>
      </c>
      <c r="G53" s="288">
        <v>11.0</v>
      </c>
      <c r="H53" s="289">
        <v>23.45</v>
      </c>
      <c r="I53" s="289">
        <v>0.0</v>
      </c>
      <c r="J53" s="289">
        <v>0.0</v>
      </c>
      <c r="K53" s="298">
        <f t="shared" si="9"/>
        <v>23.45</v>
      </c>
      <c r="L53" s="253" t="str">
        <f t="shared" si="10"/>
        <v/>
      </c>
      <c r="T53" s="294"/>
      <c r="U53" s="304"/>
      <c r="V53" s="305"/>
    </row>
    <row r="54">
      <c r="A54" s="309"/>
      <c r="B54" s="285">
        <v>46065.0</v>
      </c>
      <c r="C54" s="101" t="s">
        <v>227</v>
      </c>
      <c r="D54" s="297" t="str">
        <f t="shared" si="1"/>
        <v>SECOND_DEPOSIT</v>
      </c>
      <c r="E54" s="297" t="str">
        <f t="shared" si="2"/>
        <v>二次存送</v>
      </c>
      <c r="F54" s="287">
        <v>341.0</v>
      </c>
      <c r="G54" s="287">
        <v>341.0</v>
      </c>
      <c r="H54" s="287">
        <v>27123.5</v>
      </c>
      <c r="I54" s="287">
        <v>0.0</v>
      </c>
      <c r="J54" s="287">
        <v>0.0</v>
      </c>
      <c r="K54" s="289">
        <f t="shared" si="9"/>
        <v>27123.5</v>
      </c>
      <c r="L54" s="253" t="str">
        <f t="shared" si="10"/>
        <v>二次存送</v>
      </c>
      <c r="M54" s="139"/>
      <c r="T54" s="294"/>
      <c r="U54" s="304"/>
      <c r="V54" s="305"/>
    </row>
    <row r="55">
      <c r="A55" s="309"/>
      <c r="B55" s="285">
        <v>46065.0</v>
      </c>
      <c r="C55" s="101" t="s">
        <v>545</v>
      </c>
      <c r="D55" s="297" t="str">
        <f t="shared" si="1"/>
        <v/>
      </c>
      <c r="E55" s="297" t="str">
        <f t="shared" si="2"/>
        <v/>
      </c>
      <c r="F55" s="287">
        <v>341.0</v>
      </c>
      <c r="G55" s="288">
        <v>341.0</v>
      </c>
      <c r="H55" s="289">
        <v>27123.5</v>
      </c>
      <c r="I55" s="289">
        <v>0.0</v>
      </c>
      <c r="J55" s="289">
        <v>0.0</v>
      </c>
      <c r="K55" s="298">
        <f t="shared" si="9"/>
        <v>27123.5</v>
      </c>
      <c r="L55" s="253" t="str">
        <f t="shared" si="10"/>
        <v/>
      </c>
      <c r="T55" s="294"/>
      <c r="U55" s="304"/>
      <c r="V55" s="305"/>
    </row>
    <row r="56">
      <c r="A56" s="309"/>
      <c r="B56" s="285">
        <v>46065.0</v>
      </c>
      <c r="C56" s="101" t="s">
        <v>211</v>
      </c>
      <c r="D56" s="297" t="str">
        <f t="shared" si="1"/>
        <v>UPGRADE_BONUS</v>
      </c>
      <c r="E56" s="297" t="str">
        <f t="shared" si="2"/>
        <v>升级奖励</v>
      </c>
      <c r="F56" s="287">
        <v>630.0</v>
      </c>
      <c r="G56" s="288">
        <v>501.0</v>
      </c>
      <c r="H56" s="289">
        <v>902.0</v>
      </c>
      <c r="I56" s="289">
        <v>0.0</v>
      </c>
      <c r="J56" s="289">
        <v>0.0</v>
      </c>
      <c r="K56" s="298">
        <f t="shared" si="9"/>
        <v>902</v>
      </c>
      <c r="L56" s="253" t="str">
        <f t="shared" si="10"/>
        <v>升级奖励</v>
      </c>
      <c r="T56" s="294"/>
      <c r="U56" s="304"/>
      <c r="V56" s="305"/>
    </row>
    <row r="57">
      <c r="A57" s="309"/>
      <c r="B57" s="285">
        <v>46065.0</v>
      </c>
      <c r="C57" s="101" t="s">
        <v>550</v>
      </c>
      <c r="D57" s="297" t="str">
        <f t="shared" si="1"/>
        <v/>
      </c>
      <c r="E57" s="297" t="str">
        <f t="shared" si="2"/>
        <v/>
      </c>
      <c r="F57" s="287">
        <v>630.0</v>
      </c>
      <c r="G57" s="288">
        <v>501.0</v>
      </c>
      <c r="H57" s="289">
        <v>902.0</v>
      </c>
      <c r="I57" s="289">
        <v>0.0</v>
      </c>
      <c r="J57" s="289">
        <v>0.0</v>
      </c>
      <c r="K57" s="298">
        <f t="shared" si="9"/>
        <v>902</v>
      </c>
      <c r="L57" s="253" t="str">
        <f t="shared" si="10"/>
        <v/>
      </c>
      <c r="T57" s="294"/>
      <c r="U57" s="304"/>
      <c r="V57" s="305"/>
    </row>
    <row r="58">
      <c r="A58" s="309"/>
      <c r="B58" s="299"/>
      <c r="C58" s="300"/>
      <c r="D58" s="301" t="str">
        <f t="shared" si="1"/>
        <v/>
      </c>
      <c r="E58" s="301" t="str">
        <f t="shared" si="2"/>
        <v/>
      </c>
      <c r="F58" s="302">
        <f t="shared" ref="F58:K58" si="11">SUM(F33,F36,F38,F41,F43,F45,F47,F49,F54,F56)</f>
        <v>34496</v>
      </c>
      <c r="G58" s="302">
        <f t="shared" si="11"/>
        <v>35332</v>
      </c>
      <c r="H58" s="303">
        <f t="shared" si="11"/>
        <v>552174.29</v>
      </c>
      <c r="I58" s="303">
        <f t="shared" si="11"/>
        <v>39934.41</v>
      </c>
      <c r="J58" s="303">
        <f t="shared" si="11"/>
        <v>5284</v>
      </c>
      <c r="K58" s="303">
        <f t="shared" si="11"/>
        <v>592108.7</v>
      </c>
      <c r="L58" s="307">
        <v>592108.69</v>
      </c>
      <c r="T58" s="294"/>
      <c r="U58" s="304"/>
      <c r="V58" s="305"/>
    </row>
    <row r="59">
      <c r="A59" s="309"/>
      <c r="B59" s="285">
        <v>46066.0</v>
      </c>
      <c r="C59" s="101" t="s">
        <v>187</v>
      </c>
      <c r="D59" s="297" t="str">
        <f t="shared" si="1"/>
        <v>GAME_REBATE</v>
      </c>
      <c r="E59" s="297" t="str">
        <f t="shared" si="2"/>
        <v>玩家返水</v>
      </c>
      <c r="F59" s="287">
        <v>1396.0</v>
      </c>
      <c r="G59" s="288">
        <v>1396.0</v>
      </c>
      <c r="H59" s="289">
        <v>7222.36</v>
      </c>
      <c r="I59" s="289">
        <v>0.0</v>
      </c>
      <c r="J59" s="289">
        <v>0.0</v>
      </c>
      <c r="K59" s="298">
        <f t="shared" ref="K59:K81" si="12">H59+I59</f>
        <v>7222.36</v>
      </c>
      <c r="L59" s="253" t="str">
        <f t="shared" ref="L59:L81" si="13">IFERROR(VLOOKUP(C59,$M$3:$N$30,2,0),"")</f>
        <v>玩家返水</v>
      </c>
      <c r="T59" s="294"/>
      <c r="U59" s="304"/>
      <c r="V59" s="305"/>
    </row>
    <row r="60">
      <c r="A60" s="309"/>
      <c r="B60" s="285">
        <v>46066.0</v>
      </c>
      <c r="C60" s="101" t="s">
        <v>189</v>
      </c>
      <c r="D60" s="297" t="str">
        <f t="shared" si="1"/>
        <v/>
      </c>
      <c r="E60" s="297" t="str">
        <f t="shared" si="2"/>
        <v/>
      </c>
      <c r="F60" s="287">
        <v>1324.0</v>
      </c>
      <c r="G60" s="288">
        <v>1324.0</v>
      </c>
      <c r="H60" s="289">
        <v>6929.0</v>
      </c>
      <c r="I60" s="289">
        <v>0.0</v>
      </c>
      <c r="J60" s="289">
        <v>0.0</v>
      </c>
      <c r="K60" s="298">
        <f t="shared" si="12"/>
        <v>6929</v>
      </c>
      <c r="L60" s="253" t="str">
        <f t="shared" si="13"/>
        <v/>
      </c>
      <c r="T60" s="294"/>
      <c r="U60" s="304"/>
      <c r="V60" s="305"/>
    </row>
    <row r="61">
      <c r="A61" s="309"/>
      <c r="B61" s="285">
        <v>46066.0</v>
      </c>
      <c r="C61" s="101" t="s">
        <v>190</v>
      </c>
      <c r="D61" s="297" t="str">
        <f t="shared" si="1"/>
        <v/>
      </c>
      <c r="E61" s="297" t="str">
        <f t="shared" si="2"/>
        <v/>
      </c>
      <c r="F61" s="287">
        <v>95.0</v>
      </c>
      <c r="G61" s="288">
        <v>95.0</v>
      </c>
      <c r="H61" s="289">
        <v>293.36</v>
      </c>
      <c r="I61" s="289">
        <v>0.0</v>
      </c>
      <c r="J61" s="289">
        <v>0.0</v>
      </c>
      <c r="K61" s="298">
        <f t="shared" si="12"/>
        <v>293.36</v>
      </c>
      <c r="L61" s="253" t="str">
        <f t="shared" si="13"/>
        <v/>
      </c>
      <c r="T61" s="294"/>
      <c r="U61" s="304"/>
      <c r="V61" s="305"/>
    </row>
    <row r="62">
      <c r="A62" s="309"/>
      <c r="B62" s="285">
        <v>46066.0</v>
      </c>
      <c r="C62" s="101" t="s">
        <v>429</v>
      </c>
      <c r="D62" s="297" t="str">
        <f t="shared" si="1"/>
        <v>APP_DOWNLOAD</v>
      </c>
      <c r="E62" s="297" t="str">
        <f t="shared" si="2"/>
        <v>APP下载</v>
      </c>
      <c r="F62" s="287">
        <v>1017.0</v>
      </c>
      <c r="G62" s="288">
        <v>1017.0</v>
      </c>
      <c r="H62" s="289">
        <v>0.0</v>
      </c>
      <c r="I62" s="289">
        <v>9902.37</v>
      </c>
      <c r="J62" s="289">
        <v>965.0</v>
      </c>
      <c r="K62" s="298">
        <f t="shared" si="12"/>
        <v>9902.37</v>
      </c>
      <c r="L62" s="253" t="str">
        <f t="shared" si="13"/>
        <v>APP下载</v>
      </c>
      <c r="T62" s="294"/>
      <c r="U62" s="304"/>
      <c r="V62" s="305"/>
    </row>
    <row r="63">
      <c r="A63" s="309"/>
      <c r="B63" s="285">
        <v>46066.0</v>
      </c>
      <c r="C63" s="101" t="s">
        <v>548</v>
      </c>
      <c r="D63" s="297" t="str">
        <f t="shared" si="1"/>
        <v/>
      </c>
      <c r="E63" s="297" t="str">
        <f t="shared" si="2"/>
        <v/>
      </c>
      <c r="F63" s="287">
        <v>1017.0</v>
      </c>
      <c r="G63" s="288">
        <v>1017.0</v>
      </c>
      <c r="H63" s="289">
        <v>0.0</v>
      </c>
      <c r="I63" s="289">
        <v>9902.37</v>
      </c>
      <c r="J63" s="289">
        <v>965.0</v>
      </c>
      <c r="K63" s="298">
        <f t="shared" si="12"/>
        <v>9902.37</v>
      </c>
      <c r="L63" s="253" t="str">
        <f t="shared" si="13"/>
        <v/>
      </c>
      <c r="T63" s="294"/>
      <c r="U63" s="304"/>
      <c r="V63" s="305"/>
    </row>
    <row r="64">
      <c r="A64" s="309"/>
      <c r="B64" s="285">
        <v>46066.0</v>
      </c>
      <c r="C64" s="101" t="s">
        <v>197</v>
      </c>
      <c r="D64" s="297" t="str">
        <f t="shared" si="1"/>
        <v>DEPOSIT</v>
      </c>
      <c r="E64" s="297" t="str">
        <f t="shared" si="2"/>
        <v>笔笔存送</v>
      </c>
      <c r="F64" s="287">
        <v>359.0</v>
      </c>
      <c r="G64" s="288">
        <v>278.0</v>
      </c>
      <c r="H64" s="289">
        <v>6977.4</v>
      </c>
      <c r="I64" s="289">
        <v>0.0</v>
      </c>
      <c r="J64" s="289">
        <v>0.0</v>
      </c>
      <c r="K64" s="298">
        <f t="shared" si="12"/>
        <v>6977.4</v>
      </c>
      <c r="L64" s="253" t="str">
        <f t="shared" si="13"/>
        <v>笔笔存送</v>
      </c>
      <c r="T64" s="294"/>
      <c r="U64" s="304"/>
      <c r="V64" s="305"/>
    </row>
    <row r="65">
      <c r="A65" s="309"/>
      <c r="B65" s="285">
        <v>46066.0</v>
      </c>
      <c r="C65" s="101" t="s">
        <v>511</v>
      </c>
      <c r="D65" s="297" t="str">
        <f t="shared" si="1"/>
        <v/>
      </c>
      <c r="E65" s="297" t="str">
        <f t="shared" si="2"/>
        <v/>
      </c>
      <c r="F65" s="287">
        <v>247.0</v>
      </c>
      <c r="G65" s="288">
        <v>247.0</v>
      </c>
      <c r="H65" s="289">
        <v>6536.4</v>
      </c>
      <c r="I65" s="289">
        <v>0.0</v>
      </c>
      <c r="J65" s="289">
        <v>0.0</v>
      </c>
      <c r="K65" s="298">
        <f t="shared" si="12"/>
        <v>6536.4</v>
      </c>
      <c r="L65" s="253" t="str">
        <f t="shared" si="13"/>
        <v/>
      </c>
      <c r="T65" s="294"/>
      <c r="U65" s="304"/>
      <c r="V65" s="305"/>
    </row>
    <row r="66">
      <c r="A66" s="309"/>
      <c r="B66" s="285">
        <v>46066.0</v>
      </c>
      <c r="C66" s="101" t="s">
        <v>513</v>
      </c>
      <c r="D66" s="297" t="str">
        <f t="shared" si="1"/>
        <v/>
      </c>
      <c r="E66" s="297" t="str">
        <f t="shared" si="2"/>
        <v/>
      </c>
      <c r="F66" s="287">
        <v>112.0</v>
      </c>
      <c r="G66" s="288">
        <v>79.0</v>
      </c>
      <c r="H66" s="289">
        <v>441.0</v>
      </c>
      <c r="I66" s="289">
        <v>0.0</v>
      </c>
      <c r="J66" s="289">
        <v>0.0</v>
      </c>
      <c r="K66" s="298">
        <f t="shared" si="12"/>
        <v>441</v>
      </c>
      <c r="L66" s="253" t="str">
        <f t="shared" si="13"/>
        <v/>
      </c>
      <c r="T66" s="294"/>
      <c r="U66" s="304"/>
      <c r="V66" s="305"/>
    </row>
    <row r="67">
      <c r="A67" s="309"/>
      <c r="B67" s="285">
        <v>46066.0</v>
      </c>
      <c r="C67" s="101" t="s">
        <v>225</v>
      </c>
      <c r="D67" s="297" t="str">
        <f t="shared" si="1"/>
        <v>FIRST_DEPOSIT</v>
      </c>
      <c r="E67" s="297" t="str">
        <f t="shared" si="2"/>
        <v>首存</v>
      </c>
      <c r="F67" s="287">
        <v>1560.0</v>
      </c>
      <c r="G67" s="288">
        <v>1560.0</v>
      </c>
      <c r="H67" s="289">
        <v>324410.4</v>
      </c>
      <c r="I67" s="289">
        <v>0.0</v>
      </c>
      <c r="J67" s="289">
        <v>0.0</v>
      </c>
      <c r="K67" s="298">
        <f t="shared" si="12"/>
        <v>324410.4</v>
      </c>
      <c r="L67" s="253" t="str">
        <f t="shared" si="13"/>
        <v>首存</v>
      </c>
      <c r="T67" s="294"/>
      <c r="U67" s="304"/>
      <c r="V67" s="305"/>
    </row>
    <row r="68">
      <c r="A68" s="309"/>
      <c r="B68" s="285">
        <v>46066.0</v>
      </c>
      <c r="C68" s="101" t="s">
        <v>543</v>
      </c>
      <c r="D68" s="297" t="str">
        <f t="shared" si="1"/>
        <v/>
      </c>
      <c r="E68" s="297" t="str">
        <f t="shared" si="2"/>
        <v/>
      </c>
      <c r="F68" s="287">
        <v>1560.0</v>
      </c>
      <c r="G68" s="288">
        <v>1560.0</v>
      </c>
      <c r="H68" s="289">
        <v>324410.4</v>
      </c>
      <c r="I68" s="289">
        <v>0.0</v>
      </c>
      <c r="J68" s="289">
        <v>0.0</v>
      </c>
      <c r="K68" s="298">
        <f t="shared" si="12"/>
        <v>324410.4</v>
      </c>
      <c r="L68" s="253" t="str">
        <f t="shared" si="13"/>
        <v/>
      </c>
      <c r="T68" s="294"/>
      <c r="U68" s="304"/>
      <c r="V68" s="305"/>
    </row>
    <row r="69">
      <c r="A69" s="309"/>
      <c r="B69" s="285">
        <v>46066.0</v>
      </c>
      <c r="C69" s="101" t="s">
        <v>209</v>
      </c>
      <c r="D69" s="297" t="str">
        <f t="shared" si="1"/>
        <v>LOGIN</v>
      </c>
      <c r="E69" s="297" t="str">
        <f t="shared" si="2"/>
        <v>签到奖励</v>
      </c>
      <c r="F69" s="287">
        <v>7624.0</v>
      </c>
      <c r="G69" s="288">
        <v>7624.0</v>
      </c>
      <c r="H69" s="289">
        <v>10388.0</v>
      </c>
      <c r="I69" s="289">
        <v>0.0</v>
      </c>
      <c r="J69" s="289">
        <v>0.0</v>
      </c>
      <c r="K69" s="298">
        <f t="shared" si="12"/>
        <v>10388</v>
      </c>
      <c r="L69" s="253" t="str">
        <f t="shared" si="13"/>
        <v>签到奖励</v>
      </c>
      <c r="T69" s="294"/>
      <c r="U69" s="304"/>
      <c r="V69" s="305"/>
    </row>
    <row r="70">
      <c r="A70" s="309"/>
      <c r="B70" s="285">
        <v>46066.0</v>
      </c>
      <c r="C70" s="101" t="s">
        <v>549</v>
      </c>
      <c r="D70" s="297" t="str">
        <f t="shared" si="1"/>
        <v/>
      </c>
      <c r="E70" s="297" t="str">
        <f t="shared" si="2"/>
        <v/>
      </c>
      <c r="F70" s="287">
        <v>7624.0</v>
      </c>
      <c r="G70" s="288">
        <v>7624.0</v>
      </c>
      <c r="H70" s="289">
        <v>10388.0</v>
      </c>
      <c r="I70" s="289">
        <v>0.0</v>
      </c>
      <c r="J70" s="289">
        <v>0.0</v>
      </c>
      <c r="K70" s="298">
        <f t="shared" si="12"/>
        <v>10388</v>
      </c>
      <c r="L70" s="253" t="str">
        <f t="shared" si="13"/>
        <v/>
      </c>
      <c r="T70" s="294"/>
      <c r="U70" s="304"/>
      <c r="V70" s="305"/>
    </row>
    <row r="71">
      <c r="A71" s="309"/>
      <c r="B71" s="285">
        <v>46066.0</v>
      </c>
      <c r="C71" s="101" t="s">
        <v>228</v>
      </c>
      <c r="D71" s="297" t="str">
        <f t="shared" si="1"/>
        <v>登录任务</v>
      </c>
      <c r="E71" s="297" t="str">
        <f t="shared" si="2"/>
        <v>登录任务</v>
      </c>
      <c r="F71" s="287">
        <v>0.0</v>
      </c>
      <c r="G71" s="288">
        <v>1369.0</v>
      </c>
      <c r="H71" s="289">
        <v>0.0</v>
      </c>
      <c r="I71" s="289">
        <v>2051.0</v>
      </c>
      <c r="J71" s="289">
        <v>1481.0</v>
      </c>
      <c r="K71" s="298">
        <f t="shared" si="12"/>
        <v>2051</v>
      </c>
      <c r="L71" s="253" t="str">
        <f t="shared" si="13"/>
        <v>登录任务</v>
      </c>
      <c r="T71" s="294"/>
      <c r="U71" s="304"/>
      <c r="V71" s="305"/>
    </row>
    <row r="72">
      <c r="A72" s="309"/>
      <c r="B72" s="285">
        <v>46066.0</v>
      </c>
      <c r="C72" s="101" t="s">
        <v>547</v>
      </c>
      <c r="D72" s="297" t="str">
        <f t="shared" si="1"/>
        <v/>
      </c>
      <c r="E72" s="297" t="str">
        <f t="shared" si="2"/>
        <v/>
      </c>
      <c r="F72" s="287">
        <v>0.0</v>
      </c>
      <c r="G72" s="288">
        <v>1369.0</v>
      </c>
      <c r="H72" s="289">
        <v>0.0</v>
      </c>
      <c r="I72" s="289">
        <v>2051.0</v>
      </c>
      <c r="J72" s="289">
        <v>1481.0</v>
      </c>
      <c r="K72" s="298">
        <f t="shared" si="12"/>
        <v>2051</v>
      </c>
      <c r="L72" s="253" t="str">
        <f t="shared" si="13"/>
        <v/>
      </c>
      <c r="T72" s="294"/>
      <c r="U72" s="304"/>
      <c r="V72" s="305"/>
    </row>
    <row r="73">
      <c r="A73" s="309"/>
      <c r="B73" s="285">
        <v>46066.0</v>
      </c>
      <c r="C73" s="101" t="s">
        <v>230</v>
      </c>
      <c r="D73" s="297" t="str">
        <f t="shared" si="1"/>
        <v>邀请返佣</v>
      </c>
      <c r="E73" s="297" t="str">
        <f t="shared" si="2"/>
        <v>邀请返佣</v>
      </c>
      <c r="F73" s="287">
        <v>886.0</v>
      </c>
      <c r="G73" s="288">
        <v>482.0</v>
      </c>
      <c r="H73" s="289">
        <v>9494.23</v>
      </c>
      <c r="I73" s="289">
        <v>0.0</v>
      </c>
      <c r="J73" s="289">
        <v>0.0</v>
      </c>
      <c r="K73" s="298">
        <f t="shared" si="12"/>
        <v>9494.23</v>
      </c>
      <c r="L73" s="253" t="str">
        <f t="shared" si="13"/>
        <v>邀请返佣</v>
      </c>
      <c r="T73" s="294"/>
      <c r="U73" s="304"/>
      <c r="V73" s="305"/>
    </row>
    <row r="74">
      <c r="A74" s="309"/>
      <c r="B74" s="285">
        <v>46066.0</v>
      </c>
      <c r="C74" s="101" t="s">
        <v>386</v>
      </c>
      <c r="D74" s="297" t="str">
        <f t="shared" si="1"/>
        <v/>
      </c>
      <c r="E74" s="297" t="str">
        <f t="shared" si="2"/>
        <v/>
      </c>
      <c r="F74" s="287">
        <v>75.0</v>
      </c>
      <c r="G74" s="288">
        <v>58.0</v>
      </c>
      <c r="H74" s="289">
        <v>1185.0</v>
      </c>
      <c r="I74" s="289">
        <v>0.0</v>
      </c>
      <c r="J74" s="289">
        <v>0.0</v>
      </c>
      <c r="K74" s="298">
        <f t="shared" si="12"/>
        <v>1185</v>
      </c>
      <c r="L74" s="253" t="str">
        <f t="shared" si="13"/>
        <v/>
      </c>
      <c r="T74" s="294"/>
      <c r="U74" s="304"/>
      <c r="V74" s="305"/>
    </row>
    <row r="75">
      <c r="A75" s="309"/>
      <c r="B75" s="285">
        <v>46066.0</v>
      </c>
      <c r="C75" s="101" t="s">
        <v>387</v>
      </c>
      <c r="D75" s="297" t="str">
        <f t="shared" si="1"/>
        <v/>
      </c>
      <c r="E75" s="297" t="str">
        <f t="shared" si="2"/>
        <v/>
      </c>
      <c r="F75" s="287">
        <v>177.0</v>
      </c>
      <c r="G75" s="287">
        <v>177.0</v>
      </c>
      <c r="H75" s="289">
        <v>95.5</v>
      </c>
      <c r="I75" s="289">
        <v>0.0</v>
      </c>
      <c r="J75" s="289">
        <v>0.0</v>
      </c>
      <c r="K75" s="289">
        <f t="shared" si="12"/>
        <v>95.5</v>
      </c>
      <c r="L75" s="253" t="str">
        <f t="shared" si="13"/>
        <v/>
      </c>
      <c r="M75" s="139"/>
      <c r="T75" s="294"/>
      <c r="U75" s="304"/>
      <c r="V75" s="305"/>
    </row>
    <row r="76">
      <c r="A76" s="310"/>
      <c r="B76" s="285">
        <v>46066.0</v>
      </c>
      <c r="C76" s="101" t="s">
        <v>385</v>
      </c>
      <c r="D76" s="297" t="str">
        <f t="shared" si="1"/>
        <v/>
      </c>
      <c r="E76" s="297" t="str">
        <f t="shared" si="2"/>
        <v/>
      </c>
      <c r="F76" s="287">
        <v>458.0</v>
      </c>
      <c r="G76" s="288">
        <v>355.0</v>
      </c>
      <c r="H76" s="289">
        <v>6870.0</v>
      </c>
      <c r="I76" s="289">
        <v>0.0</v>
      </c>
      <c r="J76" s="289">
        <v>0.0</v>
      </c>
      <c r="K76" s="298">
        <f t="shared" si="12"/>
        <v>6870</v>
      </c>
      <c r="L76" s="253" t="str">
        <f t="shared" si="13"/>
        <v/>
      </c>
      <c r="T76" s="294"/>
      <c r="U76" s="304"/>
      <c r="V76" s="305"/>
    </row>
    <row r="77">
      <c r="A77" s="309"/>
      <c r="B77" s="285">
        <v>46066.0</v>
      </c>
      <c r="C77" s="101" t="s">
        <v>546</v>
      </c>
      <c r="D77" s="297" t="str">
        <f t="shared" si="1"/>
        <v/>
      </c>
      <c r="E77" s="297" t="str">
        <f t="shared" si="2"/>
        <v/>
      </c>
      <c r="F77" s="287">
        <v>176.0</v>
      </c>
      <c r="G77" s="288">
        <v>176.0</v>
      </c>
      <c r="H77" s="289">
        <v>1343.73</v>
      </c>
      <c r="I77" s="289">
        <v>0.0</v>
      </c>
      <c r="J77" s="289">
        <v>0.0</v>
      </c>
      <c r="K77" s="298">
        <f t="shared" si="12"/>
        <v>1343.73</v>
      </c>
      <c r="L77" s="253" t="str">
        <f t="shared" si="13"/>
        <v/>
      </c>
      <c r="T77" s="294"/>
      <c r="U77" s="304"/>
      <c r="V77" s="305"/>
    </row>
    <row r="78">
      <c r="A78" s="309"/>
      <c r="B78" s="285">
        <v>46066.0</v>
      </c>
      <c r="C78" s="101" t="s">
        <v>227</v>
      </c>
      <c r="D78" s="297" t="str">
        <f t="shared" si="1"/>
        <v>SECOND_DEPOSIT</v>
      </c>
      <c r="E78" s="297" t="str">
        <f t="shared" si="2"/>
        <v>二次存送</v>
      </c>
      <c r="F78" s="287">
        <v>411.0</v>
      </c>
      <c r="G78" s="288">
        <v>411.0</v>
      </c>
      <c r="H78" s="289">
        <v>28807.5</v>
      </c>
      <c r="I78" s="289">
        <v>0.0</v>
      </c>
      <c r="J78" s="289">
        <v>0.0</v>
      </c>
      <c r="K78" s="298">
        <f t="shared" si="12"/>
        <v>28807.5</v>
      </c>
      <c r="L78" s="253" t="str">
        <f t="shared" si="13"/>
        <v>二次存送</v>
      </c>
      <c r="T78" s="294"/>
      <c r="U78" s="304"/>
      <c r="V78" s="305"/>
    </row>
    <row r="79">
      <c r="A79" s="309"/>
      <c r="B79" s="285">
        <v>46066.0</v>
      </c>
      <c r="C79" s="101" t="s">
        <v>545</v>
      </c>
      <c r="D79" s="297" t="str">
        <f t="shared" si="1"/>
        <v/>
      </c>
      <c r="E79" s="297" t="str">
        <f t="shared" si="2"/>
        <v/>
      </c>
      <c r="F79" s="289">
        <v>411.0</v>
      </c>
      <c r="G79" s="289">
        <v>411.0</v>
      </c>
      <c r="H79" s="289">
        <v>28807.5</v>
      </c>
      <c r="I79" s="289">
        <v>0.0</v>
      </c>
      <c r="J79" s="289">
        <v>0.0</v>
      </c>
      <c r="K79" s="289">
        <f t="shared" si="12"/>
        <v>28807.5</v>
      </c>
      <c r="L79" s="253" t="str">
        <f t="shared" si="13"/>
        <v/>
      </c>
      <c r="M79" s="139"/>
      <c r="T79" s="294"/>
      <c r="U79" s="304"/>
      <c r="V79" s="305"/>
    </row>
    <row r="80">
      <c r="A80" s="309"/>
      <c r="B80" s="285">
        <v>46066.0</v>
      </c>
      <c r="C80" s="101" t="s">
        <v>211</v>
      </c>
      <c r="D80" s="297" t="str">
        <f t="shared" si="1"/>
        <v>UPGRADE_BONUS</v>
      </c>
      <c r="E80" s="297" t="str">
        <f t="shared" si="2"/>
        <v>升级奖励</v>
      </c>
      <c r="F80" s="287">
        <v>1019.0</v>
      </c>
      <c r="G80" s="288">
        <v>801.0</v>
      </c>
      <c r="H80" s="289">
        <v>1662.0</v>
      </c>
      <c r="I80" s="289">
        <v>0.0</v>
      </c>
      <c r="J80" s="289">
        <v>0.0</v>
      </c>
      <c r="K80" s="298">
        <f t="shared" si="12"/>
        <v>1662</v>
      </c>
      <c r="L80" s="253" t="str">
        <f t="shared" si="13"/>
        <v>升级奖励</v>
      </c>
      <c r="T80" s="294"/>
      <c r="U80" s="304"/>
      <c r="V80" s="305"/>
    </row>
    <row r="81">
      <c r="A81" s="309"/>
      <c r="B81" s="285">
        <v>46066.0</v>
      </c>
      <c r="C81" s="101" t="s">
        <v>550</v>
      </c>
      <c r="D81" s="297" t="str">
        <f t="shared" si="1"/>
        <v/>
      </c>
      <c r="E81" s="297" t="str">
        <f t="shared" si="2"/>
        <v/>
      </c>
      <c r="F81" s="287">
        <v>1019.0</v>
      </c>
      <c r="G81" s="288">
        <v>801.0</v>
      </c>
      <c r="H81" s="289">
        <v>1662.0</v>
      </c>
      <c r="I81" s="289">
        <v>0.0</v>
      </c>
      <c r="J81" s="289">
        <v>0.0</v>
      </c>
      <c r="K81" s="298">
        <f t="shared" si="12"/>
        <v>1662</v>
      </c>
      <c r="L81" s="253" t="str">
        <f t="shared" si="13"/>
        <v/>
      </c>
      <c r="T81" s="294"/>
      <c r="U81" s="304"/>
      <c r="V81" s="305"/>
    </row>
    <row r="82">
      <c r="A82" s="309"/>
      <c r="B82" s="299"/>
      <c r="C82" s="300"/>
      <c r="D82" s="301" t="str">
        <f t="shared" si="1"/>
        <v/>
      </c>
      <c r="E82" s="301" t="str">
        <f t="shared" si="2"/>
        <v/>
      </c>
      <c r="F82" s="302">
        <f t="shared" ref="F82:K82" si="14">SUM(F59,F62,F64,F67,F69,F71,F73,F78,F80)</f>
        <v>14272</v>
      </c>
      <c r="G82" s="302">
        <f t="shared" si="14"/>
        <v>14938</v>
      </c>
      <c r="H82" s="303">
        <f t="shared" si="14"/>
        <v>388961.89</v>
      </c>
      <c r="I82" s="303">
        <f t="shared" si="14"/>
        <v>11953.37</v>
      </c>
      <c r="J82" s="303">
        <f t="shared" si="14"/>
        <v>2446</v>
      </c>
      <c r="K82" s="303">
        <f t="shared" si="14"/>
        <v>400915.26</v>
      </c>
      <c r="L82" s="307">
        <v>400915.25</v>
      </c>
      <c r="M82" s="139">
        <f>K82-L82</f>
        <v>0.01000000001</v>
      </c>
      <c r="T82" s="294"/>
      <c r="U82" s="304"/>
      <c r="V82" s="305"/>
    </row>
    <row r="83">
      <c r="A83" s="309"/>
      <c r="B83" s="285">
        <v>46067.0</v>
      </c>
      <c r="C83" s="101" t="s">
        <v>187</v>
      </c>
      <c r="D83" s="297" t="str">
        <f t="shared" si="1"/>
        <v>GAME_REBATE</v>
      </c>
      <c r="E83" s="297" t="str">
        <f t="shared" si="2"/>
        <v>玩家返水</v>
      </c>
      <c r="F83" s="287">
        <v>1606.0</v>
      </c>
      <c r="G83" s="288">
        <v>1606.0</v>
      </c>
      <c r="H83" s="289">
        <v>10456.46</v>
      </c>
      <c r="I83" s="289">
        <v>0.0</v>
      </c>
      <c r="J83" s="289">
        <v>0.0</v>
      </c>
      <c r="K83" s="298">
        <f t="shared" ref="K83:K103" si="15">H83+I83</f>
        <v>10456.46</v>
      </c>
      <c r="L83" s="253" t="str">
        <f t="shared" ref="L83:L103" si="16">IFERROR(VLOOKUP(C83,$M$3:$N$30,2,0),"")</f>
        <v>玩家返水</v>
      </c>
      <c r="T83" s="294"/>
      <c r="U83" s="304"/>
      <c r="V83" s="305"/>
    </row>
    <row r="84">
      <c r="A84" s="309"/>
      <c r="B84" s="285">
        <v>46067.0</v>
      </c>
      <c r="C84" s="101" t="s">
        <v>189</v>
      </c>
      <c r="D84" s="297" t="str">
        <f t="shared" si="1"/>
        <v/>
      </c>
      <c r="E84" s="297" t="str">
        <f t="shared" si="2"/>
        <v/>
      </c>
      <c r="F84" s="287">
        <v>1454.0</v>
      </c>
      <c r="G84" s="288">
        <v>1454.0</v>
      </c>
      <c r="H84" s="289">
        <v>9569.23</v>
      </c>
      <c r="I84" s="289">
        <v>0.0</v>
      </c>
      <c r="J84" s="289">
        <v>0.0</v>
      </c>
      <c r="K84" s="298">
        <f t="shared" si="15"/>
        <v>9569.23</v>
      </c>
      <c r="L84" s="253" t="str">
        <f t="shared" si="16"/>
        <v/>
      </c>
      <c r="T84" s="294"/>
      <c r="U84" s="304"/>
      <c r="V84" s="305"/>
    </row>
    <row r="85">
      <c r="A85" s="309"/>
      <c r="B85" s="285">
        <v>46067.0</v>
      </c>
      <c r="C85" s="101" t="s">
        <v>190</v>
      </c>
      <c r="D85" s="297" t="str">
        <f t="shared" si="1"/>
        <v/>
      </c>
      <c r="E85" s="297" t="str">
        <f t="shared" si="2"/>
        <v/>
      </c>
      <c r="F85" s="287">
        <v>185.0</v>
      </c>
      <c r="G85" s="288">
        <v>185.0</v>
      </c>
      <c r="H85" s="289">
        <v>887.23</v>
      </c>
      <c r="I85" s="289">
        <v>0.0</v>
      </c>
      <c r="J85" s="289">
        <v>0.0</v>
      </c>
      <c r="K85" s="298">
        <f t="shared" si="15"/>
        <v>887.23</v>
      </c>
      <c r="L85" s="253" t="str">
        <f t="shared" si="16"/>
        <v/>
      </c>
      <c r="T85" s="294"/>
      <c r="U85" s="304"/>
      <c r="V85" s="305"/>
    </row>
    <row r="86">
      <c r="A86" s="309"/>
      <c r="B86" s="285">
        <v>46067.0</v>
      </c>
      <c r="C86" s="101" t="s">
        <v>197</v>
      </c>
      <c r="D86" s="297" t="str">
        <f t="shared" si="1"/>
        <v>DEPOSIT</v>
      </c>
      <c r="E86" s="297" t="str">
        <f t="shared" si="2"/>
        <v>笔笔存送</v>
      </c>
      <c r="F86" s="287">
        <v>422.0</v>
      </c>
      <c r="G86" s="288">
        <v>348.0</v>
      </c>
      <c r="H86" s="289">
        <v>9068.62</v>
      </c>
      <c r="I86" s="289">
        <v>0.0</v>
      </c>
      <c r="J86" s="289">
        <v>0.0</v>
      </c>
      <c r="K86" s="298">
        <f t="shared" si="15"/>
        <v>9068.62</v>
      </c>
      <c r="L86" s="253" t="str">
        <f t="shared" si="16"/>
        <v>笔笔存送</v>
      </c>
      <c r="T86" s="294"/>
      <c r="U86" s="304"/>
      <c r="V86" s="305"/>
    </row>
    <row r="87">
      <c r="A87" s="309"/>
      <c r="B87" s="285">
        <v>46067.0</v>
      </c>
      <c r="C87" s="101" t="s">
        <v>511</v>
      </c>
      <c r="D87" s="297" t="str">
        <f t="shared" si="1"/>
        <v/>
      </c>
      <c r="E87" s="297" t="str">
        <f t="shared" si="2"/>
        <v/>
      </c>
      <c r="F87" s="287">
        <v>316.0</v>
      </c>
      <c r="G87" s="288">
        <v>316.0</v>
      </c>
      <c r="H87" s="289">
        <v>8644.0</v>
      </c>
      <c r="I87" s="289">
        <v>0.0</v>
      </c>
      <c r="J87" s="289">
        <v>0.0</v>
      </c>
      <c r="K87" s="298">
        <f t="shared" si="15"/>
        <v>8644</v>
      </c>
      <c r="L87" s="253" t="str">
        <f t="shared" si="16"/>
        <v/>
      </c>
      <c r="T87" s="294"/>
      <c r="U87" s="304"/>
      <c r="V87" s="305"/>
    </row>
    <row r="88">
      <c r="A88" s="309"/>
      <c r="B88" s="285">
        <v>46067.0</v>
      </c>
      <c r="C88" s="101" t="s">
        <v>513</v>
      </c>
      <c r="D88" s="297" t="str">
        <f t="shared" si="1"/>
        <v/>
      </c>
      <c r="E88" s="297" t="str">
        <f t="shared" si="2"/>
        <v/>
      </c>
      <c r="F88" s="287">
        <v>106.0</v>
      </c>
      <c r="G88" s="288">
        <v>82.0</v>
      </c>
      <c r="H88" s="289">
        <v>424.62</v>
      </c>
      <c r="I88" s="289">
        <v>0.0</v>
      </c>
      <c r="J88" s="289">
        <v>0.0</v>
      </c>
      <c r="K88" s="298">
        <f t="shared" si="15"/>
        <v>424.62</v>
      </c>
      <c r="L88" s="253" t="str">
        <f t="shared" si="16"/>
        <v/>
      </c>
      <c r="T88" s="294"/>
      <c r="U88" s="304"/>
      <c r="V88" s="305"/>
    </row>
    <row r="89">
      <c r="A89" s="309"/>
      <c r="B89" s="285">
        <v>46067.0</v>
      </c>
      <c r="C89" s="101" t="s">
        <v>225</v>
      </c>
      <c r="D89" s="297" t="str">
        <f t="shared" si="1"/>
        <v>FIRST_DEPOSIT</v>
      </c>
      <c r="E89" s="297" t="str">
        <f t="shared" si="2"/>
        <v>首存</v>
      </c>
      <c r="F89" s="287">
        <v>769.0</v>
      </c>
      <c r="G89" s="288">
        <v>769.0</v>
      </c>
      <c r="H89" s="289">
        <v>141147.5</v>
      </c>
      <c r="I89" s="289">
        <v>0.0</v>
      </c>
      <c r="J89" s="289">
        <v>0.0</v>
      </c>
      <c r="K89" s="298">
        <f t="shared" si="15"/>
        <v>141147.5</v>
      </c>
      <c r="L89" s="253" t="str">
        <f t="shared" si="16"/>
        <v>首存</v>
      </c>
      <c r="T89" s="294"/>
      <c r="U89" s="304"/>
      <c r="V89" s="305"/>
    </row>
    <row r="90">
      <c r="A90" s="309"/>
      <c r="B90" s="285">
        <v>46067.0</v>
      </c>
      <c r="C90" s="101" t="s">
        <v>544</v>
      </c>
      <c r="D90" s="297" t="str">
        <f t="shared" si="1"/>
        <v/>
      </c>
      <c r="E90" s="297" t="str">
        <f t="shared" si="2"/>
        <v/>
      </c>
      <c r="F90" s="287">
        <v>769.0</v>
      </c>
      <c r="G90" s="288">
        <v>769.0</v>
      </c>
      <c r="H90" s="289">
        <v>141147.5</v>
      </c>
      <c r="I90" s="289">
        <v>0.0</v>
      </c>
      <c r="J90" s="289">
        <v>0.0</v>
      </c>
      <c r="K90" s="298">
        <f t="shared" si="15"/>
        <v>141147.5</v>
      </c>
      <c r="L90" s="253" t="str">
        <f t="shared" si="16"/>
        <v/>
      </c>
      <c r="T90" s="294"/>
      <c r="U90" s="304"/>
      <c r="V90" s="305"/>
    </row>
    <row r="91">
      <c r="A91" s="309"/>
      <c r="B91" s="285">
        <v>46067.0</v>
      </c>
      <c r="C91" s="101" t="s">
        <v>209</v>
      </c>
      <c r="D91" s="297" t="str">
        <f t="shared" si="1"/>
        <v>LOGIN</v>
      </c>
      <c r="E91" s="297" t="str">
        <f t="shared" si="2"/>
        <v>签到奖励</v>
      </c>
      <c r="F91" s="287">
        <v>5364.0</v>
      </c>
      <c r="G91" s="288">
        <v>5364.0</v>
      </c>
      <c r="H91" s="289">
        <v>6829.0</v>
      </c>
      <c r="I91" s="289">
        <v>0.0</v>
      </c>
      <c r="J91" s="289">
        <v>0.0</v>
      </c>
      <c r="K91" s="298">
        <f t="shared" si="15"/>
        <v>6829</v>
      </c>
      <c r="L91" s="253" t="str">
        <f t="shared" si="16"/>
        <v>签到奖励</v>
      </c>
      <c r="T91" s="294"/>
      <c r="U91" s="304"/>
      <c r="V91" s="305"/>
    </row>
    <row r="92">
      <c r="A92" s="309"/>
      <c r="B92" s="285">
        <v>46067.0</v>
      </c>
      <c r="C92" s="101" t="s">
        <v>549</v>
      </c>
      <c r="D92" s="297" t="str">
        <f t="shared" si="1"/>
        <v/>
      </c>
      <c r="E92" s="297" t="str">
        <f t="shared" si="2"/>
        <v/>
      </c>
      <c r="F92" s="287">
        <v>5364.0</v>
      </c>
      <c r="G92" s="288">
        <v>5364.0</v>
      </c>
      <c r="H92" s="289">
        <v>6829.0</v>
      </c>
      <c r="I92" s="289">
        <v>0.0</v>
      </c>
      <c r="J92" s="289">
        <v>0.0</v>
      </c>
      <c r="K92" s="298">
        <f t="shared" si="15"/>
        <v>6829</v>
      </c>
      <c r="L92" s="253" t="str">
        <f t="shared" si="16"/>
        <v/>
      </c>
      <c r="T92" s="294"/>
      <c r="U92" s="304"/>
      <c r="V92" s="305"/>
    </row>
    <row r="93">
      <c r="A93" s="309"/>
      <c r="B93" s="285">
        <v>46067.0</v>
      </c>
      <c r="C93" s="101" t="s">
        <v>228</v>
      </c>
      <c r="D93" s="297" t="str">
        <f t="shared" si="1"/>
        <v>登录任务</v>
      </c>
      <c r="E93" s="297" t="str">
        <f t="shared" si="2"/>
        <v>登录任务</v>
      </c>
      <c r="F93" s="287">
        <v>0.0</v>
      </c>
      <c r="G93" s="288">
        <v>906.0</v>
      </c>
      <c r="H93" s="289">
        <v>0.0</v>
      </c>
      <c r="I93" s="289">
        <v>1367.0</v>
      </c>
      <c r="J93" s="289">
        <v>989.0</v>
      </c>
      <c r="K93" s="298">
        <f t="shared" si="15"/>
        <v>1367</v>
      </c>
      <c r="L93" s="253" t="str">
        <f t="shared" si="16"/>
        <v>登录任务</v>
      </c>
      <c r="T93" s="294"/>
      <c r="U93" s="304"/>
      <c r="V93" s="305"/>
    </row>
    <row r="94">
      <c r="A94" s="309"/>
      <c r="B94" s="285">
        <v>46067.0</v>
      </c>
      <c r="C94" s="101" t="s">
        <v>547</v>
      </c>
      <c r="D94" s="297" t="str">
        <f t="shared" si="1"/>
        <v/>
      </c>
      <c r="E94" s="297" t="str">
        <f t="shared" si="2"/>
        <v/>
      </c>
      <c r="F94" s="287">
        <v>0.0</v>
      </c>
      <c r="G94" s="288">
        <v>906.0</v>
      </c>
      <c r="H94" s="289">
        <v>0.0</v>
      </c>
      <c r="I94" s="289">
        <v>1367.0</v>
      </c>
      <c r="J94" s="289">
        <v>989.0</v>
      </c>
      <c r="K94" s="298">
        <f t="shared" si="15"/>
        <v>1367</v>
      </c>
      <c r="L94" s="253" t="str">
        <f t="shared" si="16"/>
        <v/>
      </c>
      <c r="T94" s="294"/>
      <c r="U94" s="304"/>
      <c r="V94" s="305"/>
    </row>
    <row r="95">
      <c r="A95" s="309"/>
      <c r="B95" s="285">
        <v>46067.0</v>
      </c>
      <c r="C95" s="101" t="s">
        <v>230</v>
      </c>
      <c r="D95" s="297" t="str">
        <f t="shared" si="1"/>
        <v>邀请返佣</v>
      </c>
      <c r="E95" s="297" t="str">
        <f t="shared" si="2"/>
        <v>邀请返佣</v>
      </c>
      <c r="F95" s="287">
        <v>574.0</v>
      </c>
      <c r="G95" s="288">
        <v>340.0</v>
      </c>
      <c r="H95" s="289">
        <v>3721.31</v>
      </c>
      <c r="I95" s="289">
        <v>0.0</v>
      </c>
      <c r="J95" s="289">
        <v>0.0</v>
      </c>
      <c r="K95" s="298">
        <f t="shared" si="15"/>
        <v>3721.31</v>
      </c>
      <c r="L95" s="253" t="str">
        <f t="shared" si="16"/>
        <v>邀请返佣</v>
      </c>
      <c r="T95" s="294"/>
      <c r="U95" s="304"/>
      <c r="V95" s="305"/>
    </row>
    <row r="96">
      <c r="A96" s="309"/>
      <c r="B96" s="285">
        <v>46067.0</v>
      </c>
      <c r="C96" s="101" t="s">
        <v>386</v>
      </c>
      <c r="D96" s="297" t="str">
        <f t="shared" si="1"/>
        <v/>
      </c>
      <c r="E96" s="297" t="str">
        <f t="shared" si="2"/>
        <v/>
      </c>
      <c r="F96" s="287">
        <v>26.0</v>
      </c>
      <c r="G96" s="288">
        <v>26.0</v>
      </c>
      <c r="H96" s="289">
        <v>390.0</v>
      </c>
      <c r="I96" s="289">
        <v>0.0</v>
      </c>
      <c r="J96" s="289">
        <v>0.0</v>
      </c>
      <c r="K96" s="298">
        <f t="shared" si="15"/>
        <v>390</v>
      </c>
      <c r="L96" s="253" t="str">
        <f t="shared" si="16"/>
        <v/>
      </c>
      <c r="T96" s="294"/>
      <c r="U96" s="304"/>
      <c r="V96" s="305"/>
    </row>
    <row r="97">
      <c r="A97" s="309"/>
      <c r="B97" s="285">
        <v>46067.0</v>
      </c>
      <c r="C97" s="101" t="s">
        <v>387</v>
      </c>
      <c r="D97" s="297" t="str">
        <f t="shared" si="1"/>
        <v/>
      </c>
      <c r="E97" s="297" t="str">
        <f t="shared" si="2"/>
        <v/>
      </c>
      <c r="F97" s="287">
        <v>169.0</v>
      </c>
      <c r="G97" s="288">
        <v>169.0</v>
      </c>
      <c r="H97" s="289">
        <v>58.33</v>
      </c>
      <c r="I97" s="289">
        <v>0.0</v>
      </c>
      <c r="J97" s="289">
        <v>0.0</v>
      </c>
      <c r="K97" s="298">
        <f t="shared" si="15"/>
        <v>58.33</v>
      </c>
      <c r="L97" s="253" t="str">
        <f t="shared" si="16"/>
        <v/>
      </c>
      <c r="T97" s="294"/>
      <c r="U97" s="304"/>
      <c r="V97" s="305"/>
    </row>
    <row r="98">
      <c r="A98" s="309"/>
      <c r="B98" s="285">
        <v>46067.0</v>
      </c>
      <c r="C98" s="101" t="s">
        <v>385</v>
      </c>
      <c r="D98" s="297" t="str">
        <f t="shared" si="1"/>
        <v/>
      </c>
      <c r="E98" s="297" t="str">
        <f t="shared" si="2"/>
        <v/>
      </c>
      <c r="F98" s="287">
        <v>148.0</v>
      </c>
      <c r="G98" s="288">
        <v>131.0</v>
      </c>
      <c r="H98" s="289">
        <v>2220.0</v>
      </c>
      <c r="I98" s="289">
        <v>0.0</v>
      </c>
      <c r="J98" s="289">
        <v>0.0</v>
      </c>
      <c r="K98" s="298">
        <f t="shared" si="15"/>
        <v>2220</v>
      </c>
      <c r="L98" s="253" t="str">
        <f t="shared" si="16"/>
        <v/>
      </c>
      <c r="T98" s="294"/>
      <c r="U98" s="304"/>
      <c r="V98" s="305"/>
    </row>
    <row r="99">
      <c r="A99" s="309"/>
      <c r="B99" s="285">
        <v>46067.0</v>
      </c>
      <c r="C99" s="101" t="s">
        <v>546</v>
      </c>
      <c r="D99" s="297" t="str">
        <f t="shared" si="1"/>
        <v/>
      </c>
      <c r="E99" s="297" t="str">
        <f t="shared" si="2"/>
        <v/>
      </c>
      <c r="F99" s="287">
        <v>231.0</v>
      </c>
      <c r="G99" s="288">
        <v>231.0</v>
      </c>
      <c r="H99" s="289">
        <v>1052.98</v>
      </c>
      <c r="I99" s="289">
        <v>0.0</v>
      </c>
      <c r="J99" s="289">
        <v>0.0</v>
      </c>
      <c r="K99" s="298">
        <f t="shared" si="15"/>
        <v>1052.98</v>
      </c>
      <c r="L99" s="253" t="str">
        <f t="shared" si="16"/>
        <v/>
      </c>
      <c r="T99" s="294"/>
      <c r="U99" s="304"/>
      <c r="V99" s="305"/>
    </row>
    <row r="100">
      <c r="A100" s="309"/>
      <c r="B100" s="285">
        <v>46067.0</v>
      </c>
      <c r="C100" s="101" t="s">
        <v>227</v>
      </c>
      <c r="D100" s="297" t="str">
        <f t="shared" si="1"/>
        <v>SECOND_DEPOSIT</v>
      </c>
      <c r="E100" s="297" t="str">
        <f t="shared" si="2"/>
        <v>二次存送</v>
      </c>
      <c r="F100" s="287">
        <v>188.0</v>
      </c>
      <c r="G100" s="288">
        <v>188.0</v>
      </c>
      <c r="H100" s="289">
        <v>15647.0</v>
      </c>
      <c r="I100" s="289">
        <v>0.0</v>
      </c>
      <c r="J100" s="289">
        <v>0.0</v>
      </c>
      <c r="K100" s="298">
        <f t="shared" si="15"/>
        <v>15647</v>
      </c>
      <c r="L100" s="253" t="str">
        <f t="shared" si="16"/>
        <v>二次存送</v>
      </c>
      <c r="T100" s="294"/>
      <c r="U100" s="304"/>
      <c r="V100" s="305"/>
    </row>
    <row r="101">
      <c r="A101" s="309"/>
      <c r="B101" s="285">
        <v>46067.0</v>
      </c>
      <c r="C101" s="101" t="s">
        <v>545</v>
      </c>
      <c r="D101" s="297" t="str">
        <f t="shared" si="1"/>
        <v/>
      </c>
      <c r="E101" s="297" t="str">
        <f t="shared" si="2"/>
        <v/>
      </c>
      <c r="F101" s="287">
        <v>188.0</v>
      </c>
      <c r="G101" s="288">
        <v>188.0</v>
      </c>
      <c r="H101" s="289">
        <v>15647.0</v>
      </c>
      <c r="I101" s="289">
        <v>0.0</v>
      </c>
      <c r="J101" s="289">
        <v>0.0</v>
      </c>
      <c r="K101" s="298">
        <f t="shared" si="15"/>
        <v>15647</v>
      </c>
      <c r="L101" s="253" t="str">
        <f t="shared" si="16"/>
        <v/>
      </c>
      <c r="T101" s="294"/>
      <c r="U101" s="304"/>
      <c r="V101" s="305"/>
    </row>
    <row r="102">
      <c r="A102" s="309"/>
      <c r="B102" s="285">
        <v>46067.0</v>
      </c>
      <c r="C102" s="101" t="s">
        <v>211</v>
      </c>
      <c r="D102" s="297" t="str">
        <f t="shared" si="1"/>
        <v>UPGRADE_BONUS</v>
      </c>
      <c r="E102" s="297" t="str">
        <f t="shared" si="2"/>
        <v>升级奖励</v>
      </c>
      <c r="F102" s="287">
        <v>1397.0</v>
      </c>
      <c r="G102" s="288">
        <v>1087.0</v>
      </c>
      <c r="H102" s="289">
        <v>2656.0</v>
      </c>
      <c r="I102" s="289">
        <v>0.0</v>
      </c>
      <c r="J102" s="289">
        <v>0.0</v>
      </c>
      <c r="K102" s="298">
        <f t="shared" si="15"/>
        <v>2656</v>
      </c>
      <c r="L102" s="253" t="str">
        <f t="shared" si="16"/>
        <v>升级奖励</v>
      </c>
      <c r="T102" s="294"/>
      <c r="U102" s="304"/>
      <c r="V102" s="305"/>
    </row>
    <row r="103">
      <c r="A103" s="309"/>
      <c r="B103" s="285">
        <v>46067.0</v>
      </c>
      <c r="C103" s="101" t="s">
        <v>550</v>
      </c>
      <c r="D103" s="297" t="str">
        <f t="shared" si="1"/>
        <v/>
      </c>
      <c r="E103" s="297" t="str">
        <f t="shared" si="2"/>
        <v/>
      </c>
      <c r="F103" s="287">
        <v>1397.0</v>
      </c>
      <c r="G103" s="287">
        <v>1087.0</v>
      </c>
      <c r="H103" s="287">
        <v>2656.0</v>
      </c>
      <c r="I103" s="287">
        <v>0.0</v>
      </c>
      <c r="J103" s="287">
        <v>0.0</v>
      </c>
      <c r="K103" s="289">
        <f t="shared" si="15"/>
        <v>2656</v>
      </c>
      <c r="L103" s="253" t="str">
        <f t="shared" si="16"/>
        <v/>
      </c>
      <c r="M103" s="139"/>
      <c r="T103" s="294"/>
      <c r="U103" s="304"/>
      <c r="V103" s="305"/>
    </row>
    <row r="104">
      <c r="A104" s="309"/>
      <c r="B104" s="299"/>
      <c r="C104" s="300"/>
      <c r="D104" s="301" t="str">
        <f t="shared" si="1"/>
        <v/>
      </c>
      <c r="E104" s="301" t="str">
        <f t="shared" si="2"/>
        <v/>
      </c>
      <c r="F104" s="302">
        <f t="shared" ref="F104:K104" si="17">SUM(F83,F86,F89,F91,F93,F95,F100,F102)</f>
        <v>10320</v>
      </c>
      <c r="G104" s="302">
        <f t="shared" si="17"/>
        <v>10608</v>
      </c>
      <c r="H104" s="303">
        <f t="shared" si="17"/>
        <v>189525.89</v>
      </c>
      <c r="I104" s="303">
        <f t="shared" si="17"/>
        <v>1367</v>
      </c>
      <c r="J104" s="303">
        <f t="shared" si="17"/>
        <v>989</v>
      </c>
      <c r="K104" s="303">
        <f t="shared" si="17"/>
        <v>190892.89</v>
      </c>
      <c r="L104" s="307">
        <v>190892.89</v>
      </c>
      <c r="M104" s="112">
        <f>K104-L104</f>
        <v>0</v>
      </c>
      <c r="T104" s="294"/>
      <c r="U104" s="304"/>
      <c r="V104" s="305"/>
    </row>
    <row r="105">
      <c r="A105" s="309"/>
      <c r="B105" s="285">
        <v>46068.0</v>
      </c>
      <c r="C105" s="101" t="s">
        <v>187</v>
      </c>
      <c r="D105" s="297" t="str">
        <f t="shared" si="1"/>
        <v>GAME_REBATE</v>
      </c>
      <c r="E105" s="297" t="str">
        <f t="shared" si="2"/>
        <v>玩家返水</v>
      </c>
      <c r="F105" s="287">
        <v>1042.0</v>
      </c>
      <c r="G105" s="288">
        <v>1042.0</v>
      </c>
      <c r="H105" s="289">
        <v>8380.11</v>
      </c>
      <c r="I105" s="289">
        <v>0.0</v>
      </c>
      <c r="J105" s="289">
        <v>0.0</v>
      </c>
      <c r="K105" s="298">
        <f t="shared" ref="K105:K126" si="18">H105+I105</f>
        <v>8380.11</v>
      </c>
      <c r="L105" s="253" t="str">
        <f t="shared" ref="L105:L126" si="19">IFERROR(VLOOKUP(C105,$M$3:$N$30,2,0),"")</f>
        <v>玩家返水</v>
      </c>
      <c r="T105" s="294"/>
      <c r="U105" s="304"/>
      <c r="V105" s="305"/>
    </row>
    <row r="106">
      <c r="A106" s="309"/>
      <c r="B106" s="285">
        <v>46068.0</v>
      </c>
      <c r="C106" s="101" t="s">
        <v>189</v>
      </c>
      <c r="D106" s="297" t="str">
        <f t="shared" si="1"/>
        <v/>
      </c>
      <c r="E106" s="297" t="str">
        <f t="shared" si="2"/>
        <v/>
      </c>
      <c r="F106" s="287">
        <v>992.0</v>
      </c>
      <c r="G106" s="288">
        <v>992.0</v>
      </c>
      <c r="H106" s="289">
        <v>8040.98</v>
      </c>
      <c r="I106" s="289">
        <v>0.0</v>
      </c>
      <c r="J106" s="289">
        <v>0.0</v>
      </c>
      <c r="K106" s="298">
        <f t="shared" si="18"/>
        <v>8040.98</v>
      </c>
      <c r="L106" s="253" t="str">
        <f t="shared" si="19"/>
        <v/>
      </c>
      <c r="T106" s="294"/>
      <c r="U106" s="304"/>
      <c r="V106" s="305"/>
    </row>
    <row r="107">
      <c r="A107" s="309"/>
      <c r="B107" s="285">
        <v>46068.0</v>
      </c>
      <c r="C107" s="101" t="s">
        <v>190</v>
      </c>
      <c r="D107" s="297" t="str">
        <f t="shared" si="1"/>
        <v/>
      </c>
      <c r="E107" s="297" t="str">
        <f t="shared" si="2"/>
        <v/>
      </c>
      <c r="F107" s="287">
        <v>71.0</v>
      </c>
      <c r="G107" s="288">
        <v>71.0</v>
      </c>
      <c r="H107" s="289">
        <v>338.7</v>
      </c>
      <c r="I107" s="289">
        <v>0.0</v>
      </c>
      <c r="J107" s="289">
        <v>0.0</v>
      </c>
      <c r="K107" s="298">
        <f t="shared" si="18"/>
        <v>338.7</v>
      </c>
      <c r="L107" s="253" t="str">
        <f t="shared" si="19"/>
        <v/>
      </c>
      <c r="T107" s="294"/>
      <c r="U107" s="304"/>
      <c r="V107" s="305"/>
    </row>
    <row r="108">
      <c r="A108" s="309"/>
      <c r="B108" s="285">
        <v>46068.0</v>
      </c>
      <c r="C108" s="101" t="s">
        <v>191</v>
      </c>
      <c r="D108" s="297" t="str">
        <f t="shared" si="1"/>
        <v/>
      </c>
      <c r="E108" s="297" t="str">
        <f t="shared" si="2"/>
        <v/>
      </c>
      <c r="F108" s="287">
        <v>1.0</v>
      </c>
      <c r="G108" s="288">
        <v>1.0</v>
      </c>
      <c r="H108" s="289">
        <v>0.43</v>
      </c>
      <c r="I108" s="289">
        <v>0.0</v>
      </c>
      <c r="J108" s="289">
        <v>0.0</v>
      </c>
      <c r="K108" s="298">
        <f t="shared" si="18"/>
        <v>0.43</v>
      </c>
      <c r="L108" s="253" t="str">
        <f t="shared" si="19"/>
        <v/>
      </c>
      <c r="T108" s="294"/>
      <c r="U108" s="304"/>
      <c r="V108" s="305"/>
    </row>
    <row r="109">
      <c r="A109" s="309"/>
      <c r="B109" s="285">
        <v>46068.0</v>
      </c>
      <c r="C109" s="101" t="s">
        <v>197</v>
      </c>
      <c r="D109" s="297" t="str">
        <f t="shared" si="1"/>
        <v>DEPOSIT</v>
      </c>
      <c r="E109" s="297" t="str">
        <f t="shared" si="2"/>
        <v>笔笔存送</v>
      </c>
      <c r="F109" s="287">
        <v>359.0</v>
      </c>
      <c r="G109" s="288">
        <v>277.0</v>
      </c>
      <c r="H109" s="289">
        <v>7386.32</v>
      </c>
      <c r="I109" s="289">
        <v>0.0</v>
      </c>
      <c r="J109" s="289">
        <v>0.0</v>
      </c>
      <c r="K109" s="298">
        <f t="shared" si="18"/>
        <v>7386.32</v>
      </c>
      <c r="L109" s="253" t="str">
        <f t="shared" si="19"/>
        <v>笔笔存送</v>
      </c>
      <c r="T109" s="294"/>
      <c r="U109" s="304"/>
      <c r="V109" s="305"/>
    </row>
    <row r="110">
      <c r="A110" s="309"/>
      <c r="B110" s="285">
        <v>46068.0</v>
      </c>
      <c r="C110" s="101" t="s">
        <v>511</v>
      </c>
      <c r="D110" s="297" t="str">
        <f t="shared" si="1"/>
        <v/>
      </c>
      <c r="E110" s="297" t="str">
        <f t="shared" si="2"/>
        <v/>
      </c>
      <c r="F110" s="287">
        <v>239.0</v>
      </c>
      <c r="G110" s="288">
        <v>239.0</v>
      </c>
      <c r="H110" s="289">
        <v>6750.8</v>
      </c>
      <c r="I110" s="289">
        <v>0.0</v>
      </c>
      <c r="J110" s="289">
        <v>0.0</v>
      </c>
      <c r="K110" s="298">
        <f t="shared" si="18"/>
        <v>6750.8</v>
      </c>
      <c r="L110" s="253" t="str">
        <f t="shared" si="19"/>
        <v/>
      </c>
      <c r="T110" s="294"/>
      <c r="U110" s="304"/>
      <c r="V110" s="305"/>
    </row>
    <row r="111">
      <c r="A111" s="310"/>
      <c r="B111" s="285">
        <v>46068.0</v>
      </c>
      <c r="C111" s="101" t="s">
        <v>513</v>
      </c>
      <c r="D111" s="297" t="str">
        <f t="shared" si="1"/>
        <v/>
      </c>
      <c r="E111" s="297" t="str">
        <f t="shared" si="2"/>
        <v/>
      </c>
      <c r="F111" s="287">
        <v>120.0</v>
      </c>
      <c r="G111" s="288">
        <v>76.0</v>
      </c>
      <c r="H111" s="289">
        <v>635.52</v>
      </c>
      <c r="I111" s="289">
        <v>0.0</v>
      </c>
      <c r="J111" s="289">
        <v>0.0</v>
      </c>
      <c r="K111" s="298">
        <f t="shared" si="18"/>
        <v>635.52</v>
      </c>
      <c r="L111" s="253" t="str">
        <f t="shared" si="19"/>
        <v/>
      </c>
      <c r="T111" s="294"/>
      <c r="U111" s="304"/>
      <c r="V111" s="305"/>
    </row>
    <row r="112">
      <c r="A112" s="311"/>
      <c r="B112" s="285">
        <v>46068.0</v>
      </c>
      <c r="C112" s="101" t="s">
        <v>225</v>
      </c>
      <c r="D112" s="297" t="str">
        <f t="shared" si="1"/>
        <v>FIRST_DEPOSIT</v>
      </c>
      <c r="E112" s="297" t="str">
        <f t="shared" si="2"/>
        <v>首存</v>
      </c>
      <c r="F112" s="287">
        <v>245.0</v>
      </c>
      <c r="G112" s="288">
        <v>245.0</v>
      </c>
      <c r="H112" s="289">
        <v>17731.5</v>
      </c>
      <c r="I112" s="289">
        <v>0.0</v>
      </c>
      <c r="J112" s="289">
        <v>0.0</v>
      </c>
      <c r="K112" s="298">
        <f t="shared" si="18"/>
        <v>17731.5</v>
      </c>
      <c r="L112" s="253" t="str">
        <f t="shared" si="19"/>
        <v>首存</v>
      </c>
      <c r="T112" s="294"/>
      <c r="U112" s="304"/>
      <c r="V112" s="305"/>
    </row>
    <row r="113">
      <c r="A113" s="311"/>
      <c r="B113" s="285">
        <v>46068.0</v>
      </c>
      <c r="C113" s="101" t="s">
        <v>544</v>
      </c>
      <c r="D113" s="297" t="str">
        <f t="shared" si="1"/>
        <v/>
      </c>
      <c r="E113" s="297" t="str">
        <f t="shared" si="2"/>
        <v/>
      </c>
      <c r="F113" s="287">
        <v>245.0</v>
      </c>
      <c r="G113" s="288">
        <v>245.0</v>
      </c>
      <c r="H113" s="289">
        <v>17731.5</v>
      </c>
      <c r="I113" s="289">
        <v>0.0</v>
      </c>
      <c r="J113" s="289">
        <v>0.0</v>
      </c>
      <c r="K113" s="298">
        <f t="shared" si="18"/>
        <v>17731.5</v>
      </c>
      <c r="L113" s="253" t="str">
        <f t="shared" si="19"/>
        <v/>
      </c>
      <c r="T113" s="294"/>
      <c r="U113" s="304"/>
      <c r="V113" s="305"/>
    </row>
    <row r="114">
      <c r="A114" s="311"/>
      <c r="B114" s="285">
        <v>46068.0</v>
      </c>
      <c r="C114" s="101" t="s">
        <v>209</v>
      </c>
      <c r="D114" s="297" t="str">
        <f t="shared" si="1"/>
        <v>LOGIN</v>
      </c>
      <c r="E114" s="297" t="str">
        <f t="shared" si="2"/>
        <v>签到奖励</v>
      </c>
      <c r="F114" s="287">
        <v>4281.0</v>
      </c>
      <c r="G114" s="288">
        <v>4281.0</v>
      </c>
      <c r="H114" s="289">
        <v>6099.0</v>
      </c>
      <c r="I114" s="289">
        <v>0.0</v>
      </c>
      <c r="J114" s="289">
        <v>0.0</v>
      </c>
      <c r="K114" s="298">
        <f t="shared" si="18"/>
        <v>6099</v>
      </c>
      <c r="L114" s="253" t="str">
        <f t="shared" si="19"/>
        <v>签到奖励</v>
      </c>
      <c r="T114" s="294"/>
      <c r="U114" s="304"/>
      <c r="V114" s="305"/>
    </row>
    <row r="115">
      <c r="A115" s="311"/>
      <c r="B115" s="285">
        <v>46068.0</v>
      </c>
      <c r="C115" s="101" t="s">
        <v>549</v>
      </c>
      <c r="D115" s="297" t="str">
        <f t="shared" si="1"/>
        <v/>
      </c>
      <c r="E115" s="297" t="str">
        <f t="shared" si="2"/>
        <v/>
      </c>
      <c r="F115" s="289">
        <v>4281.0</v>
      </c>
      <c r="G115" s="289">
        <v>4281.0</v>
      </c>
      <c r="H115" s="289">
        <v>6099.0</v>
      </c>
      <c r="I115" s="289">
        <v>0.0</v>
      </c>
      <c r="J115" s="289">
        <v>0.0</v>
      </c>
      <c r="K115" s="298">
        <f t="shared" si="18"/>
        <v>6099</v>
      </c>
      <c r="L115" s="253" t="str">
        <f t="shared" si="19"/>
        <v/>
      </c>
      <c r="M115" s="139"/>
      <c r="T115" s="294"/>
      <c r="U115" s="304"/>
      <c r="V115" s="305"/>
    </row>
    <row r="116">
      <c r="A116" s="311"/>
      <c r="B116" s="285">
        <v>46068.0</v>
      </c>
      <c r="C116" s="101" t="s">
        <v>228</v>
      </c>
      <c r="D116" s="297" t="str">
        <f t="shared" si="1"/>
        <v>登录任务</v>
      </c>
      <c r="E116" s="297" t="str">
        <f t="shared" si="2"/>
        <v>登录任务</v>
      </c>
      <c r="F116" s="287">
        <v>0.0</v>
      </c>
      <c r="G116" s="288">
        <v>516.0</v>
      </c>
      <c r="H116" s="289">
        <v>0.0</v>
      </c>
      <c r="I116" s="289">
        <v>833.0</v>
      </c>
      <c r="J116" s="289">
        <v>583.0</v>
      </c>
      <c r="K116" s="298">
        <f t="shared" si="18"/>
        <v>833</v>
      </c>
      <c r="L116" s="253" t="str">
        <f t="shared" si="19"/>
        <v>登录任务</v>
      </c>
      <c r="T116" s="294"/>
      <c r="U116" s="304"/>
      <c r="V116" s="305"/>
    </row>
    <row r="117">
      <c r="A117" s="311"/>
      <c r="B117" s="285">
        <v>46068.0</v>
      </c>
      <c r="C117" s="101" t="s">
        <v>547</v>
      </c>
      <c r="D117" s="297" t="str">
        <f t="shared" si="1"/>
        <v/>
      </c>
      <c r="E117" s="297" t="str">
        <f t="shared" si="2"/>
        <v/>
      </c>
      <c r="F117" s="287">
        <v>0.0</v>
      </c>
      <c r="G117" s="288">
        <v>516.0</v>
      </c>
      <c r="H117" s="289">
        <v>0.0</v>
      </c>
      <c r="I117" s="289">
        <v>833.0</v>
      </c>
      <c r="J117" s="289">
        <v>583.0</v>
      </c>
      <c r="K117" s="298">
        <f t="shared" si="18"/>
        <v>833</v>
      </c>
      <c r="L117" s="253" t="str">
        <f t="shared" si="19"/>
        <v/>
      </c>
      <c r="T117" s="294"/>
      <c r="U117" s="304"/>
      <c r="V117" s="305"/>
    </row>
    <row r="118">
      <c r="A118" s="311"/>
      <c r="B118" s="285">
        <v>46068.0</v>
      </c>
      <c r="C118" s="101" t="s">
        <v>226</v>
      </c>
      <c r="D118" s="297" t="str">
        <f t="shared" si="1"/>
        <v>任务排行榜</v>
      </c>
      <c r="E118" s="297" t="str">
        <f t="shared" si="2"/>
        <v>任务排行榜</v>
      </c>
      <c r="F118" s="287">
        <v>641.0</v>
      </c>
      <c r="G118" s="287">
        <v>418.0</v>
      </c>
      <c r="H118" s="289">
        <v>0.0</v>
      </c>
      <c r="I118" s="289">
        <v>1134.0</v>
      </c>
      <c r="J118" s="289">
        <v>407.0</v>
      </c>
      <c r="K118" s="298">
        <f t="shared" si="18"/>
        <v>1134</v>
      </c>
      <c r="L118" s="253" t="str">
        <f t="shared" si="19"/>
        <v>任务排行榜</v>
      </c>
      <c r="M118" s="139"/>
      <c r="T118" s="294"/>
      <c r="U118" s="304"/>
      <c r="V118" s="305"/>
    </row>
    <row r="119">
      <c r="A119" s="311"/>
      <c r="B119" s="285">
        <v>46068.0</v>
      </c>
      <c r="C119" s="101" t="s">
        <v>552</v>
      </c>
      <c r="D119" s="297" t="str">
        <f t="shared" si="1"/>
        <v/>
      </c>
      <c r="E119" s="297" t="str">
        <f t="shared" si="2"/>
        <v/>
      </c>
      <c r="F119" s="287">
        <v>641.0</v>
      </c>
      <c r="G119" s="288">
        <v>418.0</v>
      </c>
      <c r="H119" s="289">
        <v>0.0</v>
      </c>
      <c r="I119" s="289">
        <v>1134.0</v>
      </c>
      <c r="J119" s="289">
        <v>407.0</v>
      </c>
      <c r="K119" s="298">
        <f t="shared" si="18"/>
        <v>1134</v>
      </c>
      <c r="L119" s="253" t="str">
        <f t="shared" si="19"/>
        <v/>
      </c>
      <c r="T119" s="294"/>
      <c r="U119" s="304"/>
      <c r="V119" s="305"/>
    </row>
    <row r="120">
      <c r="A120" s="311"/>
      <c r="B120" s="285">
        <v>46068.0</v>
      </c>
      <c r="C120" s="101" t="s">
        <v>230</v>
      </c>
      <c r="D120" s="297" t="str">
        <f t="shared" si="1"/>
        <v>邀请返佣</v>
      </c>
      <c r="E120" s="297" t="str">
        <f t="shared" si="2"/>
        <v>邀请返佣</v>
      </c>
      <c r="F120" s="287">
        <v>361.0</v>
      </c>
      <c r="G120" s="288">
        <v>240.0</v>
      </c>
      <c r="H120" s="289">
        <v>1484.08</v>
      </c>
      <c r="I120" s="289">
        <v>0.0</v>
      </c>
      <c r="J120" s="289">
        <v>0.0</v>
      </c>
      <c r="K120" s="298">
        <f t="shared" si="18"/>
        <v>1484.08</v>
      </c>
      <c r="L120" s="253" t="str">
        <f t="shared" si="19"/>
        <v>邀请返佣</v>
      </c>
      <c r="T120" s="294"/>
      <c r="U120" s="304"/>
      <c r="V120" s="305"/>
    </row>
    <row r="121">
      <c r="A121" s="311"/>
      <c r="B121" s="285">
        <v>46068.0</v>
      </c>
      <c r="C121" s="101" t="s">
        <v>386</v>
      </c>
      <c r="D121" s="297" t="str">
        <f t="shared" si="1"/>
        <v/>
      </c>
      <c r="E121" s="297" t="str">
        <f t="shared" si="2"/>
        <v/>
      </c>
      <c r="F121" s="308">
        <v>13.0</v>
      </c>
      <c r="G121" s="308">
        <v>13.0</v>
      </c>
      <c r="H121" s="308">
        <v>75.0</v>
      </c>
      <c r="I121" s="308">
        <v>0.0</v>
      </c>
      <c r="J121" s="308">
        <v>0.0</v>
      </c>
      <c r="K121" s="298">
        <f t="shared" si="18"/>
        <v>75</v>
      </c>
      <c r="L121" s="253" t="str">
        <f t="shared" si="19"/>
        <v/>
      </c>
      <c r="M121" s="139"/>
      <c r="T121" s="294"/>
      <c r="U121" s="304"/>
      <c r="V121" s="305"/>
    </row>
    <row r="122">
      <c r="A122" s="311"/>
      <c r="B122" s="285">
        <v>46068.0</v>
      </c>
      <c r="C122" s="101" t="s">
        <v>387</v>
      </c>
      <c r="D122" s="297" t="str">
        <f t="shared" si="1"/>
        <v/>
      </c>
      <c r="E122" s="297" t="str">
        <f t="shared" si="2"/>
        <v/>
      </c>
      <c r="F122" s="287">
        <v>98.0</v>
      </c>
      <c r="G122" s="288">
        <v>98.0</v>
      </c>
      <c r="H122" s="289">
        <v>27.77</v>
      </c>
      <c r="I122" s="289">
        <v>0.0</v>
      </c>
      <c r="J122" s="289">
        <v>0.0</v>
      </c>
      <c r="K122" s="298">
        <f t="shared" si="18"/>
        <v>27.77</v>
      </c>
      <c r="L122" s="253" t="str">
        <f t="shared" si="19"/>
        <v/>
      </c>
      <c r="T122" s="294"/>
      <c r="U122" s="304"/>
      <c r="V122" s="305"/>
    </row>
    <row r="123">
      <c r="A123" s="311"/>
      <c r="B123" s="285">
        <v>46068.0</v>
      </c>
      <c r="C123" s="101" t="s">
        <v>385</v>
      </c>
      <c r="D123" s="297" t="str">
        <f t="shared" si="1"/>
        <v/>
      </c>
      <c r="E123" s="297" t="str">
        <f t="shared" si="2"/>
        <v/>
      </c>
      <c r="F123" s="287">
        <v>66.0</v>
      </c>
      <c r="G123" s="288">
        <v>64.0</v>
      </c>
      <c r="H123" s="289">
        <v>990.0</v>
      </c>
      <c r="I123" s="289">
        <v>0.0</v>
      </c>
      <c r="J123" s="289">
        <v>0.0</v>
      </c>
      <c r="K123" s="298">
        <f t="shared" si="18"/>
        <v>990</v>
      </c>
      <c r="L123" s="253" t="str">
        <f t="shared" si="19"/>
        <v/>
      </c>
      <c r="T123" s="294"/>
      <c r="U123" s="304"/>
      <c r="V123" s="305"/>
    </row>
    <row r="124">
      <c r="A124" s="311"/>
      <c r="B124" s="285">
        <v>46068.0</v>
      </c>
      <c r="C124" s="101" t="s">
        <v>546</v>
      </c>
      <c r="D124" s="297" t="str">
        <f t="shared" si="1"/>
        <v/>
      </c>
      <c r="E124" s="297" t="str">
        <f t="shared" si="2"/>
        <v/>
      </c>
      <c r="F124" s="287">
        <v>184.0</v>
      </c>
      <c r="G124" s="288">
        <v>184.0</v>
      </c>
      <c r="H124" s="289">
        <v>391.31</v>
      </c>
      <c r="I124" s="289">
        <v>0.0</v>
      </c>
      <c r="J124" s="289">
        <v>0.0</v>
      </c>
      <c r="K124" s="298">
        <f t="shared" si="18"/>
        <v>391.31</v>
      </c>
      <c r="L124" s="253" t="str">
        <f t="shared" si="19"/>
        <v/>
      </c>
      <c r="T124" s="294"/>
      <c r="U124" s="304"/>
      <c r="V124" s="305"/>
    </row>
    <row r="125">
      <c r="A125" s="311"/>
      <c r="B125" s="285">
        <v>46068.0</v>
      </c>
      <c r="C125" s="101" t="s">
        <v>211</v>
      </c>
      <c r="D125" s="297" t="str">
        <f t="shared" si="1"/>
        <v>UPGRADE_BONUS</v>
      </c>
      <c r="E125" s="297" t="str">
        <f t="shared" si="2"/>
        <v>升级奖励</v>
      </c>
      <c r="F125" s="287">
        <v>966.0</v>
      </c>
      <c r="G125" s="288">
        <v>789.0</v>
      </c>
      <c r="H125" s="289">
        <v>1739.0</v>
      </c>
      <c r="I125" s="289">
        <v>0.0</v>
      </c>
      <c r="J125" s="289">
        <v>0.0</v>
      </c>
      <c r="K125" s="298">
        <f t="shared" si="18"/>
        <v>1739</v>
      </c>
      <c r="L125" s="253" t="str">
        <f t="shared" si="19"/>
        <v>升级奖励</v>
      </c>
      <c r="T125" s="294"/>
      <c r="U125" s="304"/>
      <c r="V125" s="305"/>
    </row>
    <row r="126">
      <c r="A126" s="311"/>
      <c r="B126" s="285">
        <v>46068.0</v>
      </c>
      <c r="C126" s="101" t="s">
        <v>550</v>
      </c>
      <c r="D126" s="297" t="str">
        <f t="shared" si="1"/>
        <v/>
      </c>
      <c r="E126" s="297" t="str">
        <f t="shared" si="2"/>
        <v/>
      </c>
      <c r="F126" s="287">
        <v>966.0</v>
      </c>
      <c r="G126" s="288">
        <v>789.0</v>
      </c>
      <c r="H126" s="289">
        <v>1739.0</v>
      </c>
      <c r="I126" s="289">
        <v>0.0</v>
      </c>
      <c r="J126" s="289">
        <v>0.0</v>
      </c>
      <c r="K126" s="298">
        <f t="shared" si="18"/>
        <v>1739</v>
      </c>
      <c r="L126" s="253" t="str">
        <f t="shared" si="19"/>
        <v/>
      </c>
      <c r="T126" s="294"/>
      <c r="U126" s="304"/>
      <c r="V126" s="305"/>
    </row>
    <row r="127">
      <c r="A127" s="311"/>
      <c r="B127" s="299"/>
      <c r="C127" s="300"/>
      <c r="D127" s="301" t="str">
        <f t="shared" si="1"/>
        <v/>
      </c>
      <c r="E127" s="301" t="str">
        <f t="shared" si="2"/>
        <v/>
      </c>
      <c r="F127" s="302">
        <f t="shared" ref="F127:K127" si="20">SUM(F105,F109,F112,F114,F116,F118,F120,F125)</f>
        <v>7895</v>
      </c>
      <c r="G127" s="302">
        <f t="shared" si="20"/>
        <v>7808</v>
      </c>
      <c r="H127" s="303">
        <f t="shared" si="20"/>
        <v>42820.01</v>
      </c>
      <c r="I127" s="303">
        <f t="shared" si="20"/>
        <v>1967</v>
      </c>
      <c r="J127" s="303">
        <f t="shared" si="20"/>
        <v>990</v>
      </c>
      <c r="K127" s="303">
        <f t="shared" si="20"/>
        <v>44787.01</v>
      </c>
      <c r="L127" s="307">
        <v>44787.01</v>
      </c>
      <c r="M127" s="112">
        <f>K127-L127</f>
        <v>0</v>
      </c>
      <c r="T127" s="294"/>
      <c r="U127" s="304"/>
      <c r="V127" s="305"/>
    </row>
    <row r="128">
      <c r="A128" s="311"/>
      <c r="B128" s="285">
        <v>46069.0</v>
      </c>
      <c r="C128" s="101" t="s">
        <v>187</v>
      </c>
      <c r="D128" s="297" t="str">
        <f t="shared" si="1"/>
        <v>GAME_REBATE</v>
      </c>
      <c r="E128" s="297" t="str">
        <f t="shared" si="2"/>
        <v>玩家返水</v>
      </c>
      <c r="F128" s="287">
        <v>701.0</v>
      </c>
      <c r="G128" s="288">
        <v>701.0</v>
      </c>
      <c r="H128" s="289">
        <v>4999.59</v>
      </c>
      <c r="I128" s="289">
        <v>0.0</v>
      </c>
      <c r="J128" s="289">
        <v>0.0</v>
      </c>
      <c r="K128" s="298">
        <f t="shared" ref="K128:K148" si="21">H128+I128</f>
        <v>4999.59</v>
      </c>
      <c r="L128" s="253" t="str">
        <f t="shared" ref="L128:L148" si="22">IFERROR(VLOOKUP(C128,$M$3:$N$30,2,0),"")</f>
        <v>玩家返水</v>
      </c>
      <c r="T128" s="294"/>
      <c r="U128" s="304"/>
      <c r="V128" s="305"/>
    </row>
    <row r="129">
      <c r="A129" s="311"/>
      <c r="B129" s="285">
        <v>46069.0</v>
      </c>
      <c r="C129" s="101" t="s">
        <v>189</v>
      </c>
      <c r="D129" s="297" t="str">
        <f t="shared" si="1"/>
        <v/>
      </c>
      <c r="E129" s="297" t="str">
        <f t="shared" si="2"/>
        <v/>
      </c>
      <c r="F129" s="289">
        <v>700.0</v>
      </c>
      <c r="G129" s="289">
        <v>700.0</v>
      </c>
      <c r="H129" s="289">
        <v>4975.82</v>
      </c>
      <c r="I129" s="289">
        <v>0.0</v>
      </c>
      <c r="J129" s="289">
        <v>0.0</v>
      </c>
      <c r="K129" s="289">
        <f t="shared" si="21"/>
        <v>4975.82</v>
      </c>
      <c r="L129" s="253" t="str">
        <f t="shared" si="22"/>
        <v/>
      </c>
      <c r="M129" s="139"/>
      <c r="T129" s="294"/>
      <c r="U129" s="304"/>
      <c r="V129" s="305"/>
    </row>
    <row r="130">
      <c r="A130" s="311"/>
      <c r="B130" s="285">
        <v>46069.0</v>
      </c>
      <c r="C130" s="101" t="s">
        <v>190</v>
      </c>
      <c r="D130" s="297" t="str">
        <f t="shared" si="1"/>
        <v/>
      </c>
      <c r="E130" s="297" t="str">
        <f t="shared" si="2"/>
        <v/>
      </c>
      <c r="F130" s="287">
        <v>11.0</v>
      </c>
      <c r="G130" s="288">
        <v>11.0</v>
      </c>
      <c r="H130" s="289">
        <v>23.77</v>
      </c>
      <c r="I130" s="289">
        <v>0.0</v>
      </c>
      <c r="J130" s="289">
        <v>0.0</v>
      </c>
      <c r="K130" s="298">
        <f t="shared" si="21"/>
        <v>23.77</v>
      </c>
      <c r="L130" s="253" t="str">
        <f t="shared" si="22"/>
        <v/>
      </c>
      <c r="T130" s="294"/>
      <c r="U130" s="304"/>
      <c r="V130" s="305"/>
    </row>
    <row r="131">
      <c r="A131" s="309"/>
      <c r="B131" s="285">
        <v>46069.0</v>
      </c>
      <c r="C131" s="101" t="s">
        <v>197</v>
      </c>
      <c r="D131" s="297" t="str">
        <f t="shared" si="1"/>
        <v>DEPOSIT</v>
      </c>
      <c r="E131" s="297" t="str">
        <f t="shared" si="2"/>
        <v>笔笔存送</v>
      </c>
      <c r="F131" s="287">
        <v>294.0</v>
      </c>
      <c r="G131" s="288">
        <v>247.0</v>
      </c>
      <c r="H131" s="289">
        <v>5425.67</v>
      </c>
      <c r="I131" s="289">
        <v>0.0</v>
      </c>
      <c r="J131" s="289">
        <v>0.0</v>
      </c>
      <c r="K131" s="298">
        <f t="shared" si="21"/>
        <v>5425.67</v>
      </c>
      <c r="L131" s="253" t="str">
        <f t="shared" si="22"/>
        <v>笔笔存送</v>
      </c>
      <c r="T131" s="294"/>
      <c r="U131" s="304"/>
      <c r="V131" s="305"/>
    </row>
    <row r="132">
      <c r="A132" s="311"/>
      <c r="B132" s="285">
        <v>46069.0</v>
      </c>
      <c r="C132" s="101" t="s">
        <v>511</v>
      </c>
      <c r="D132" s="297" t="str">
        <f t="shared" si="1"/>
        <v/>
      </c>
      <c r="E132" s="297" t="str">
        <f t="shared" si="2"/>
        <v/>
      </c>
      <c r="F132" s="287">
        <v>204.0</v>
      </c>
      <c r="G132" s="288">
        <v>204.0</v>
      </c>
      <c r="H132" s="289">
        <v>5113.4</v>
      </c>
      <c r="I132" s="289">
        <v>0.0</v>
      </c>
      <c r="J132" s="289">
        <v>0.0</v>
      </c>
      <c r="K132" s="298">
        <f t="shared" si="21"/>
        <v>5113.4</v>
      </c>
      <c r="L132" s="253" t="str">
        <f t="shared" si="22"/>
        <v/>
      </c>
      <c r="T132" s="294"/>
      <c r="U132" s="304"/>
      <c r="V132" s="305"/>
    </row>
    <row r="133">
      <c r="A133" s="311"/>
      <c r="B133" s="285">
        <v>46069.0</v>
      </c>
      <c r="C133" s="101" t="s">
        <v>513</v>
      </c>
      <c r="D133" s="297" t="str">
        <f t="shared" si="1"/>
        <v/>
      </c>
      <c r="E133" s="297" t="str">
        <f t="shared" si="2"/>
        <v/>
      </c>
      <c r="F133" s="289">
        <v>90.0</v>
      </c>
      <c r="G133" s="289">
        <v>74.0</v>
      </c>
      <c r="H133" s="289">
        <v>312.27</v>
      </c>
      <c r="I133" s="289">
        <v>0.0</v>
      </c>
      <c r="J133" s="289">
        <v>0.0</v>
      </c>
      <c r="K133" s="289">
        <f t="shared" si="21"/>
        <v>312.27</v>
      </c>
      <c r="L133" s="253" t="str">
        <f t="shared" si="22"/>
        <v/>
      </c>
      <c r="M133" s="139"/>
      <c r="T133" s="294"/>
      <c r="U133" s="304"/>
      <c r="V133" s="305"/>
    </row>
    <row r="134">
      <c r="A134" s="311"/>
      <c r="B134" s="285">
        <v>46069.0</v>
      </c>
      <c r="C134" s="101" t="s">
        <v>225</v>
      </c>
      <c r="D134" s="297" t="str">
        <f t="shared" si="1"/>
        <v>FIRST_DEPOSIT</v>
      </c>
      <c r="E134" s="297" t="str">
        <f t="shared" si="2"/>
        <v>首存</v>
      </c>
      <c r="F134" s="287">
        <v>185.0</v>
      </c>
      <c r="G134" s="288">
        <v>185.0</v>
      </c>
      <c r="H134" s="289">
        <v>14191.5</v>
      </c>
      <c r="I134" s="289">
        <v>0.0</v>
      </c>
      <c r="J134" s="289">
        <v>0.0</v>
      </c>
      <c r="K134" s="298">
        <f t="shared" si="21"/>
        <v>14191.5</v>
      </c>
      <c r="L134" s="253" t="str">
        <f t="shared" si="22"/>
        <v>首存</v>
      </c>
      <c r="T134" s="294"/>
      <c r="U134" s="304"/>
      <c r="V134" s="305"/>
    </row>
    <row r="135">
      <c r="A135" s="311"/>
      <c r="B135" s="285">
        <v>46069.0</v>
      </c>
      <c r="C135" s="101" t="s">
        <v>544</v>
      </c>
      <c r="D135" s="297" t="str">
        <f t="shared" si="1"/>
        <v/>
      </c>
      <c r="E135" s="297" t="str">
        <f t="shared" si="2"/>
        <v/>
      </c>
      <c r="F135" s="287">
        <v>185.0</v>
      </c>
      <c r="G135" s="288">
        <v>185.0</v>
      </c>
      <c r="H135" s="289">
        <v>14191.5</v>
      </c>
      <c r="I135" s="289">
        <v>0.0</v>
      </c>
      <c r="J135" s="289">
        <v>0.0</v>
      </c>
      <c r="K135" s="298">
        <f t="shared" si="21"/>
        <v>14191.5</v>
      </c>
      <c r="L135" s="253" t="str">
        <f t="shared" si="22"/>
        <v/>
      </c>
      <c r="T135" s="294"/>
      <c r="U135" s="304"/>
      <c r="V135" s="305"/>
    </row>
    <row r="136">
      <c r="A136" s="311"/>
      <c r="B136" s="285">
        <v>46069.0</v>
      </c>
      <c r="C136" s="101" t="s">
        <v>209</v>
      </c>
      <c r="D136" s="297" t="str">
        <f t="shared" si="1"/>
        <v>LOGIN</v>
      </c>
      <c r="E136" s="297" t="str">
        <f t="shared" si="2"/>
        <v>签到奖励</v>
      </c>
      <c r="F136" s="287">
        <v>4155.0</v>
      </c>
      <c r="G136" s="288">
        <v>4155.0</v>
      </c>
      <c r="H136" s="289">
        <v>5998.0</v>
      </c>
      <c r="I136" s="289">
        <v>0.0</v>
      </c>
      <c r="J136" s="289">
        <v>0.0</v>
      </c>
      <c r="K136" s="298">
        <f t="shared" si="21"/>
        <v>5998</v>
      </c>
      <c r="L136" s="253" t="str">
        <f t="shared" si="22"/>
        <v>签到奖励</v>
      </c>
      <c r="T136" s="294"/>
      <c r="U136" s="304"/>
      <c r="V136" s="305"/>
    </row>
    <row r="137">
      <c r="A137" s="311"/>
      <c r="B137" s="285">
        <v>46069.0</v>
      </c>
      <c r="C137" s="101" t="s">
        <v>549</v>
      </c>
      <c r="D137" s="297" t="str">
        <f t="shared" si="1"/>
        <v/>
      </c>
      <c r="E137" s="297" t="str">
        <f t="shared" si="2"/>
        <v/>
      </c>
      <c r="F137" s="287">
        <v>4155.0</v>
      </c>
      <c r="G137" s="288">
        <v>4155.0</v>
      </c>
      <c r="H137" s="289">
        <v>5998.0</v>
      </c>
      <c r="I137" s="289">
        <v>0.0</v>
      </c>
      <c r="J137" s="289">
        <v>0.0</v>
      </c>
      <c r="K137" s="298">
        <f t="shared" si="21"/>
        <v>5998</v>
      </c>
      <c r="L137" s="253" t="str">
        <f t="shared" si="22"/>
        <v/>
      </c>
      <c r="T137" s="294"/>
      <c r="U137" s="304"/>
      <c r="V137" s="305"/>
    </row>
    <row r="138">
      <c r="A138" s="311"/>
      <c r="B138" s="285">
        <v>46069.0</v>
      </c>
      <c r="C138" s="101" t="s">
        <v>228</v>
      </c>
      <c r="D138" s="297" t="str">
        <f t="shared" si="1"/>
        <v>登录任务</v>
      </c>
      <c r="E138" s="297" t="str">
        <f t="shared" si="2"/>
        <v>登录任务</v>
      </c>
      <c r="F138" s="287">
        <v>0.0</v>
      </c>
      <c r="G138" s="288">
        <v>426.0</v>
      </c>
      <c r="H138" s="289">
        <v>0.0</v>
      </c>
      <c r="I138" s="289">
        <v>633.0</v>
      </c>
      <c r="J138" s="289">
        <v>463.0</v>
      </c>
      <c r="K138" s="298">
        <f t="shared" si="21"/>
        <v>633</v>
      </c>
      <c r="L138" s="253" t="str">
        <f t="shared" si="22"/>
        <v>登录任务</v>
      </c>
      <c r="T138" s="294"/>
      <c r="U138" s="304"/>
      <c r="V138" s="305"/>
    </row>
    <row r="139">
      <c r="A139" s="311"/>
      <c r="B139" s="285">
        <v>46069.0</v>
      </c>
      <c r="C139" s="101" t="s">
        <v>547</v>
      </c>
      <c r="D139" s="297" t="str">
        <f t="shared" si="1"/>
        <v/>
      </c>
      <c r="E139" s="297" t="str">
        <f t="shared" si="2"/>
        <v/>
      </c>
      <c r="F139" s="287">
        <v>0.0</v>
      </c>
      <c r="G139" s="288">
        <v>426.0</v>
      </c>
      <c r="H139" s="289">
        <v>0.0</v>
      </c>
      <c r="I139" s="289">
        <v>633.0</v>
      </c>
      <c r="J139" s="289">
        <v>463.0</v>
      </c>
      <c r="K139" s="298">
        <f t="shared" si="21"/>
        <v>633</v>
      </c>
      <c r="L139" s="253" t="str">
        <f t="shared" si="22"/>
        <v/>
      </c>
      <c r="T139" s="294"/>
      <c r="U139" s="304"/>
      <c r="V139" s="305"/>
    </row>
    <row r="140">
      <c r="A140" s="311"/>
      <c r="B140" s="285">
        <v>46069.0</v>
      </c>
      <c r="C140" s="101" t="s">
        <v>226</v>
      </c>
      <c r="D140" s="297" t="str">
        <f t="shared" si="1"/>
        <v>任务排行榜</v>
      </c>
      <c r="E140" s="297" t="str">
        <f t="shared" si="2"/>
        <v>任务排行榜</v>
      </c>
      <c r="F140" s="287">
        <v>436.0</v>
      </c>
      <c r="G140" s="288">
        <v>291.0</v>
      </c>
      <c r="H140" s="289">
        <v>0.0</v>
      </c>
      <c r="I140" s="289">
        <v>787.0</v>
      </c>
      <c r="J140" s="289">
        <v>263.0</v>
      </c>
      <c r="K140" s="298">
        <f t="shared" si="21"/>
        <v>787</v>
      </c>
      <c r="L140" s="253" t="str">
        <f t="shared" si="22"/>
        <v>任务排行榜</v>
      </c>
      <c r="T140" s="294"/>
      <c r="U140" s="304"/>
      <c r="V140" s="305"/>
    </row>
    <row r="141">
      <c r="A141" s="311"/>
      <c r="B141" s="285">
        <v>46069.0</v>
      </c>
      <c r="C141" s="101" t="s">
        <v>552</v>
      </c>
      <c r="D141" s="297" t="str">
        <f t="shared" si="1"/>
        <v/>
      </c>
      <c r="E141" s="297" t="str">
        <f t="shared" si="2"/>
        <v/>
      </c>
      <c r="F141" s="287">
        <v>436.0</v>
      </c>
      <c r="G141" s="288">
        <v>291.0</v>
      </c>
      <c r="H141" s="289">
        <v>0.0</v>
      </c>
      <c r="I141" s="289">
        <v>787.0</v>
      </c>
      <c r="J141" s="289">
        <v>263.0</v>
      </c>
      <c r="K141" s="298">
        <f t="shared" si="21"/>
        <v>787</v>
      </c>
      <c r="L141" s="253" t="str">
        <f t="shared" si="22"/>
        <v/>
      </c>
      <c r="T141" s="294"/>
      <c r="U141" s="304"/>
      <c r="V141" s="305"/>
    </row>
    <row r="142">
      <c r="A142" s="311"/>
      <c r="B142" s="285">
        <v>46069.0</v>
      </c>
      <c r="C142" s="101" t="s">
        <v>230</v>
      </c>
      <c r="D142" s="297" t="str">
        <f t="shared" si="1"/>
        <v>邀请返佣</v>
      </c>
      <c r="E142" s="297" t="str">
        <f t="shared" si="2"/>
        <v>邀请返佣</v>
      </c>
      <c r="F142" s="287">
        <v>267.0</v>
      </c>
      <c r="G142" s="288">
        <v>189.0</v>
      </c>
      <c r="H142" s="289">
        <v>727.8</v>
      </c>
      <c r="I142" s="289">
        <v>0.0</v>
      </c>
      <c r="J142" s="289">
        <v>0.0</v>
      </c>
      <c r="K142" s="298">
        <f t="shared" si="21"/>
        <v>727.8</v>
      </c>
      <c r="L142" s="253" t="str">
        <f t="shared" si="22"/>
        <v>邀请返佣</v>
      </c>
      <c r="T142" s="294"/>
      <c r="U142" s="304"/>
      <c r="V142" s="305"/>
    </row>
    <row r="143">
      <c r="A143" s="311"/>
      <c r="B143" s="285">
        <v>46069.0</v>
      </c>
      <c r="C143" s="101" t="s">
        <v>386</v>
      </c>
      <c r="D143" s="297" t="str">
        <f t="shared" si="1"/>
        <v/>
      </c>
      <c r="E143" s="297" t="str">
        <f t="shared" si="2"/>
        <v/>
      </c>
      <c r="F143" s="289">
        <v>6.0</v>
      </c>
      <c r="G143" s="289">
        <v>6.0</v>
      </c>
      <c r="H143" s="289">
        <v>95.0</v>
      </c>
      <c r="I143" s="289">
        <v>0.0</v>
      </c>
      <c r="J143" s="289">
        <v>0.0</v>
      </c>
      <c r="K143" s="289">
        <f t="shared" si="21"/>
        <v>95</v>
      </c>
      <c r="L143" s="253" t="str">
        <f t="shared" si="22"/>
        <v/>
      </c>
      <c r="M143" s="139"/>
      <c r="T143" s="294"/>
      <c r="U143" s="304"/>
      <c r="V143" s="305"/>
    </row>
    <row r="144">
      <c r="A144" s="311"/>
      <c r="B144" s="285">
        <v>46069.0</v>
      </c>
      <c r="C144" s="101" t="s">
        <v>387</v>
      </c>
      <c r="D144" s="297" t="str">
        <f t="shared" si="1"/>
        <v/>
      </c>
      <c r="E144" s="297" t="str">
        <f t="shared" si="2"/>
        <v/>
      </c>
      <c r="F144" s="287">
        <v>65.0</v>
      </c>
      <c r="G144" s="288">
        <v>65.0</v>
      </c>
      <c r="H144" s="289">
        <v>13.84</v>
      </c>
      <c r="I144" s="289">
        <v>0.0</v>
      </c>
      <c r="J144" s="289">
        <v>0.0</v>
      </c>
      <c r="K144" s="298">
        <f t="shared" si="21"/>
        <v>13.84</v>
      </c>
      <c r="L144" s="253" t="str">
        <f t="shared" si="22"/>
        <v/>
      </c>
      <c r="T144" s="294"/>
      <c r="U144" s="304"/>
      <c r="V144" s="305"/>
    </row>
    <row r="145">
      <c r="A145" s="311"/>
      <c r="B145" s="285">
        <v>46069.0</v>
      </c>
      <c r="C145" s="101" t="s">
        <v>385</v>
      </c>
      <c r="D145" s="297" t="str">
        <f t="shared" si="1"/>
        <v/>
      </c>
      <c r="E145" s="297" t="str">
        <f t="shared" si="2"/>
        <v/>
      </c>
      <c r="F145" s="287">
        <v>32.0</v>
      </c>
      <c r="G145" s="288">
        <v>32.0</v>
      </c>
      <c r="H145" s="289">
        <v>480.0</v>
      </c>
      <c r="I145" s="289">
        <v>0.0</v>
      </c>
      <c r="J145" s="289">
        <v>0.0</v>
      </c>
      <c r="K145" s="298">
        <f t="shared" si="21"/>
        <v>480</v>
      </c>
      <c r="L145" s="253" t="str">
        <f t="shared" si="22"/>
        <v/>
      </c>
      <c r="T145" s="294"/>
      <c r="U145" s="304"/>
      <c r="V145" s="305"/>
    </row>
    <row r="146">
      <c r="A146" s="311"/>
      <c r="B146" s="285">
        <v>46069.0</v>
      </c>
      <c r="C146" s="101" t="s">
        <v>546</v>
      </c>
      <c r="D146" s="297" t="str">
        <f t="shared" si="1"/>
        <v/>
      </c>
      <c r="E146" s="297" t="str">
        <f t="shared" si="2"/>
        <v/>
      </c>
      <c r="F146" s="287">
        <v>164.0</v>
      </c>
      <c r="G146" s="288">
        <v>164.0</v>
      </c>
      <c r="H146" s="289">
        <v>138.96</v>
      </c>
      <c r="I146" s="289">
        <v>0.0</v>
      </c>
      <c r="J146" s="289">
        <v>0.0</v>
      </c>
      <c r="K146" s="298">
        <f t="shared" si="21"/>
        <v>138.96</v>
      </c>
      <c r="L146" s="253" t="str">
        <f t="shared" si="22"/>
        <v/>
      </c>
      <c r="T146" s="294"/>
      <c r="U146" s="304"/>
      <c r="V146" s="305"/>
    </row>
    <row r="147">
      <c r="A147" s="311"/>
      <c r="B147" s="285">
        <v>46069.0</v>
      </c>
      <c r="C147" s="101" t="s">
        <v>211</v>
      </c>
      <c r="D147" s="297" t="str">
        <f t="shared" si="1"/>
        <v>UPGRADE_BONUS</v>
      </c>
      <c r="E147" s="297" t="str">
        <f t="shared" si="2"/>
        <v>升级奖励</v>
      </c>
      <c r="F147" s="287">
        <v>784.0</v>
      </c>
      <c r="G147" s="288">
        <v>642.0</v>
      </c>
      <c r="H147" s="289">
        <v>1479.0</v>
      </c>
      <c r="I147" s="289">
        <v>0.0</v>
      </c>
      <c r="J147" s="289">
        <v>0.0</v>
      </c>
      <c r="K147" s="298">
        <f t="shared" si="21"/>
        <v>1479</v>
      </c>
      <c r="L147" s="253" t="str">
        <f t="shared" si="22"/>
        <v>升级奖励</v>
      </c>
      <c r="T147" s="294"/>
      <c r="U147" s="304"/>
      <c r="V147" s="305"/>
    </row>
    <row r="148">
      <c r="A148" s="311"/>
      <c r="B148" s="285">
        <v>46069.0</v>
      </c>
      <c r="C148" s="101" t="s">
        <v>550</v>
      </c>
      <c r="D148" s="297" t="str">
        <f t="shared" si="1"/>
        <v/>
      </c>
      <c r="E148" s="297" t="str">
        <f t="shared" si="2"/>
        <v/>
      </c>
      <c r="F148" s="287">
        <v>784.0</v>
      </c>
      <c r="G148" s="288">
        <v>642.0</v>
      </c>
      <c r="H148" s="289">
        <v>1479.0</v>
      </c>
      <c r="I148" s="289">
        <v>0.0</v>
      </c>
      <c r="J148" s="289">
        <v>0.0</v>
      </c>
      <c r="K148" s="298">
        <f t="shared" si="21"/>
        <v>1479</v>
      </c>
      <c r="L148" s="253" t="str">
        <f t="shared" si="22"/>
        <v/>
      </c>
      <c r="T148" s="294"/>
      <c r="U148" s="304"/>
      <c r="V148" s="305"/>
    </row>
    <row r="149">
      <c r="A149" s="311"/>
      <c r="B149" s="299"/>
      <c r="C149" s="300"/>
      <c r="D149" s="301" t="str">
        <f t="shared" si="1"/>
        <v/>
      </c>
      <c r="E149" s="301" t="str">
        <f t="shared" si="2"/>
        <v/>
      </c>
      <c r="F149" s="302">
        <f t="shared" ref="F149:K149" si="23">SUM(F128,F131,F134,F136,F138,F140,F142,F147)</f>
        <v>6822</v>
      </c>
      <c r="G149" s="302">
        <f t="shared" si="23"/>
        <v>6836</v>
      </c>
      <c r="H149" s="303">
        <f t="shared" si="23"/>
        <v>32821.56</v>
      </c>
      <c r="I149" s="303">
        <f t="shared" si="23"/>
        <v>1420</v>
      </c>
      <c r="J149" s="303">
        <f t="shared" si="23"/>
        <v>726</v>
      </c>
      <c r="K149" s="303">
        <f t="shared" si="23"/>
        <v>34241.56</v>
      </c>
      <c r="L149" s="307">
        <v>34241.55</v>
      </c>
      <c r="M149" s="112">
        <f>K149-L149</f>
        <v>0.009999999995</v>
      </c>
      <c r="T149" s="294"/>
      <c r="U149" s="304"/>
      <c r="V149" s="305"/>
    </row>
    <row r="150">
      <c r="A150" s="311"/>
      <c r="B150" s="285">
        <v>46070.0</v>
      </c>
      <c r="C150" s="101" t="s">
        <v>187</v>
      </c>
      <c r="D150" s="297" t="str">
        <f t="shared" si="1"/>
        <v>GAME_REBATE</v>
      </c>
      <c r="E150" s="297" t="str">
        <f t="shared" si="2"/>
        <v>玩家返水</v>
      </c>
      <c r="F150" s="287">
        <v>580.0</v>
      </c>
      <c r="G150" s="288">
        <v>580.0</v>
      </c>
      <c r="H150" s="289">
        <v>4501.77</v>
      </c>
      <c r="I150" s="289">
        <v>0.0</v>
      </c>
      <c r="J150" s="289">
        <v>0.0</v>
      </c>
      <c r="K150" s="298">
        <f t="shared" ref="K150:K170" si="24">H150+I150</f>
        <v>4501.77</v>
      </c>
      <c r="L150" s="253" t="str">
        <f t="shared" ref="L150:L170" si="25">IFERROR(VLOOKUP(C150,$M$3:$N$30,2,0),"")</f>
        <v>玩家返水</v>
      </c>
      <c r="T150" s="294"/>
      <c r="U150" s="304"/>
      <c r="V150" s="305"/>
    </row>
    <row r="151">
      <c r="A151" s="311"/>
      <c r="B151" s="285">
        <v>46070.0</v>
      </c>
      <c r="C151" s="101" t="s">
        <v>189</v>
      </c>
      <c r="D151" s="297" t="str">
        <f t="shared" si="1"/>
        <v/>
      </c>
      <c r="E151" s="297" t="str">
        <f t="shared" si="2"/>
        <v/>
      </c>
      <c r="F151" s="287">
        <v>579.0</v>
      </c>
      <c r="G151" s="288">
        <v>579.0</v>
      </c>
      <c r="H151" s="289">
        <v>4494.99</v>
      </c>
      <c r="I151" s="289">
        <v>0.0</v>
      </c>
      <c r="J151" s="289">
        <v>0.0</v>
      </c>
      <c r="K151" s="298">
        <f t="shared" si="24"/>
        <v>4494.99</v>
      </c>
      <c r="L151" s="253" t="str">
        <f t="shared" si="25"/>
        <v/>
      </c>
      <c r="T151" s="294"/>
      <c r="U151" s="304"/>
      <c r="V151" s="305"/>
    </row>
    <row r="152">
      <c r="A152" s="311"/>
      <c r="B152" s="285">
        <v>46070.0</v>
      </c>
      <c r="C152" s="101" t="s">
        <v>190</v>
      </c>
      <c r="D152" s="297" t="str">
        <f t="shared" si="1"/>
        <v/>
      </c>
      <c r="E152" s="297" t="str">
        <f t="shared" si="2"/>
        <v/>
      </c>
      <c r="F152" s="287">
        <v>11.0</v>
      </c>
      <c r="G152" s="288">
        <v>11.0</v>
      </c>
      <c r="H152" s="289">
        <v>6.78</v>
      </c>
      <c r="I152" s="289">
        <v>0.0</v>
      </c>
      <c r="J152" s="289">
        <v>0.0</v>
      </c>
      <c r="K152" s="298">
        <f t="shared" si="24"/>
        <v>6.78</v>
      </c>
      <c r="L152" s="253" t="str">
        <f t="shared" si="25"/>
        <v/>
      </c>
      <c r="T152" s="294"/>
      <c r="U152" s="304"/>
      <c r="V152" s="305"/>
    </row>
    <row r="153">
      <c r="A153" s="311"/>
      <c r="B153" s="285">
        <v>46070.0</v>
      </c>
      <c r="C153" s="101" t="s">
        <v>197</v>
      </c>
      <c r="D153" s="297" t="str">
        <f t="shared" si="1"/>
        <v>DEPOSIT</v>
      </c>
      <c r="E153" s="297" t="str">
        <f t="shared" si="2"/>
        <v>笔笔存送</v>
      </c>
      <c r="F153" s="287">
        <v>280.0</v>
      </c>
      <c r="G153" s="288">
        <v>237.0</v>
      </c>
      <c r="H153" s="289">
        <v>5826.4</v>
      </c>
      <c r="I153" s="289">
        <v>0.0</v>
      </c>
      <c r="J153" s="289">
        <v>0.0</v>
      </c>
      <c r="K153" s="298">
        <f t="shared" si="24"/>
        <v>5826.4</v>
      </c>
      <c r="L153" s="253" t="str">
        <f t="shared" si="25"/>
        <v>笔笔存送</v>
      </c>
      <c r="T153" s="294"/>
      <c r="U153" s="304"/>
      <c r="V153" s="305"/>
    </row>
    <row r="154">
      <c r="A154" s="311"/>
      <c r="B154" s="285">
        <v>46070.0</v>
      </c>
      <c r="C154" s="101" t="s">
        <v>511</v>
      </c>
      <c r="D154" s="297" t="str">
        <f t="shared" si="1"/>
        <v/>
      </c>
      <c r="E154" s="297" t="str">
        <f t="shared" si="2"/>
        <v/>
      </c>
      <c r="F154" s="287">
        <v>202.0</v>
      </c>
      <c r="G154" s="287">
        <v>202.0</v>
      </c>
      <c r="H154" s="287">
        <v>5542.6</v>
      </c>
      <c r="I154" s="287">
        <v>0.0</v>
      </c>
      <c r="J154" s="287">
        <v>0.0</v>
      </c>
      <c r="K154" s="289">
        <f t="shared" si="24"/>
        <v>5542.6</v>
      </c>
      <c r="L154" s="253" t="str">
        <f t="shared" si="25"/>
        <v/>
      </c>
      <c r="M154" s="139"/>
      <c r="T154" s="294"/>
      <c r="U154" s="304"/>
      <c r="V154" s="305"/>
    </row>
    <row r="155">
      <c r="A155" s="311"/>
      <c r="B155" s="285">
        <v>46070.0</v>
      </c>
      <c r="C155" s="101" t="s">
        <v>513</v>
      </c>
      <c r="D155" s="297" t="str">
        <f t="shared" si="1"/>
        <v/>
      </c>
      <c r="E155" s="297" t="str">
        <f t="shared" si="2"/>
        <v/>
      </c>
      <c r="F155" s="289">
        <v>78.0</v>
      </c>
      <c r="G155" s="289">
        <v>65.0</v>
      </c>
      <c r="H155" s="289">
        <v>283.8</v>
      </c>
      <c r="I155" s="289">
        <v>0.0</v>
      </c>
      <c r="J155" s="289">
        <v>0.0</v>
      </c>
      <c r="K155" s="289">
        <f t="shared" si="24"/>
        <v>283.8</v>
      </c>
      <c r="L155" s="253" t="str">
        <f t="shared" si="25"/>
        <v/>
      </c>
      <c r="M155" s="139"/>
      <c r="T155" s="294"/>
      <c r="U155" s="304"/>
      <c r="V155" s="305"/>
    </row>
    <row r="156">
      <c r="A156" s="311"/>
      <c r="B156" s="285">
        <v>46070.0</v>
      </c>
      <c r="C156" s="101" t="s">
        <v>225</v>
      </c>
      <c r="D156" s="297" t="str">
        <f t="shared" si="1"/>
        <v>FIRST_DEPOSIT</v>
      </c>
      <c r="E156" s="297" t="str">
        <f t="shared" si="2"/>
        <v>首存</v>
      </c>
      <c r="F156" s="287">
        <v>175.0</v>
      </c>
      <c r="G156" s="287">
        <v>175.0</v>
      </c>
      <c r="H156" s="289">
        <v>14835.5</v>
      </c>
      <c r="I156" s="289">
        <v>0.0</v>
      </c>
      <c r="J156" s="289">
        <v>0.0</v>
      </c>
      <c r="K156" s="289">
        <f t="shared" si="24"/>
        <v>14835.5</v>
      </c>
      <c r="L156" s="253" t="str">
        <f t="shared" si="25"/>
        <v>首存</v>
      </c>
      <c r="M156" s="139"/>
      <c r="T156" s="294"/>
      <c r="U156" s="304"/>
      <c r="V156" s="305"/>
    </row>
    <row r="157">
      <c r="A157" s="311"/>
      <c r="B157" s="285">
        <v>46070.0</v>
      </c>
      <c r="C157" s="101" t="s">
        <v>544</v>
      </c>
      <c r="D157" s="297" t="str">
        <f t="shared" si="1"/>
        <v/>
      </c>
      <c r="E157" s="297" t="str">
        <f t="shared" si="2"/>
        <v/>
      </c>
      <c r="F157" s="287">
        <v>175.0</v>
      </c>
      <c r="G157" s="288">
        <v>175.0</v>
      </c>
      <c r="H157" s="289">
        <v>14835.5</v>
      </c>
      <c r="I157" s="289">
        <v>0.0</v>
      </c>
      <c r="J157" s="289">
        <v>0.0</v>
      </c>
      <c r="K157" s="298">
        <f t="shared" si="24"/>
        <v>14835.5</v>
      </c>
      <c r="L157" s="253" t="str">
        <f t="shared" si="25"/>
        <v/>
      </c>
      <c r="T157" s="294"/>
      <c r="U157" s="304"/>
      <c r="V157" s="305"/>
    </row>
    <row r="158">
      <c r="A158" s="311"/>
      <c r="B158" s="285">
        <v>46070.0</v>
      </c>
      <c r="C158" s="101" t="s">
        <v>209</v>
      </c>
      <c r="D158" s="297" t="str">
        <f t="shared" si="1"/>
        <v>LOGIN</v>
      </c>
      <c r="E158" s="297" t="str">
        <f t="shared" si="2"/>
        <v>签到奖励</v>
      </c>
      <c r="F158" s="287">
        <v>4281.0</v>
      </c>
      <c r="G158" s="288">
        <v>4281.0</v>
      </c>
      <c r="H158" s="289">
        <v>6387.0</v>
      </c>
      <c r="I158" s="289">
        <v>0.0</v>
      </c>
      <c r="J158" s="289">
        <v>0.0</v>
      </c>
      <c r="K158" s="298">
        <f t="shared" si="24"/>
        <v>6387</v>
      </c>
      <c r="L158" s="253" t="str">
        <f t="shared" si="25"/>
        <v>签到奖励</v>
      </c>
      <c r="T158" s="294"/>
      <c r="U158" s="304"/>
      <c r="V158" s="305"/>
    </row>
    <row r="159">
      <c r="A159" s="311"/>
      <c r="B159" s="285">
        <v>46070.0</v>
      </c>
      <c r="C159" s="101" t="s">
        <v>549</v>
      </c>
      <c r="D159" s="297" t="str">
        <f t="shared" si="1"/>
        <v/>
      </c>
      <c r="E159" s="297" t="str">
        <f t="shared" si="2"/>
        <v/>
      </c>
      <c r="F159" s="308">
        <v>4281.0</v>
      </c>
      <c r="G159" s="308">
        <v>4281.0</v>
      </c>
      <c r="H159" s="308">
        <v>6387.0</v>
      </c>
      <c r="I159" s="308">
        <v>0.0</v>
      </c>
      <c r="J159" s="308">
        <v>0.0</v>
      </c>
      <c r="K159" s="298">
        <f t="shared" si="24"/>
        <v>6387</v>
      </c>
      <c r="L159" s="253" t="str">
        <f t="shared" si="25"/>
        <v/>
      </c>
      <c r="M159" s="139"/>
      <c r="T159" s="294"/>
      <c r="U159" s="304"/>
      <c r="V159" s="305"/>
    </row>
    <row r="160">
      <c r="A160" s="311"/>
      <c r="B160" s="285">
        <v>46070.0</v>
      </c>
      <c r="C160" s="101" t="s">
        <v>228</v>
      </c>
      <c r="D160" s="297" t="str">
        <f t="shared" si="1"/>
        <v>登录任务</v>
      </c>
      <c r="E160" s="297" t="str">
        <f t="shared" si="2"/>
        <v>登录任务</v>
      </c>
      <c r="F160" s="287">
        <v>0.0</v>
      </c>
      <c r="G160" s="288">
        <v>411.0</v>
      </c>
      <c r="H160" s="289">
        <v>0.0</v>
      </c>
      <c r="I160" s="289">
        <v>605.0</v>
      </c>
      <c r="J160" s="289">
        <v>442.0</v>
      </c>
      <c r="K160" s="298">
        <f t="shared" si="24"/>
        <v>605</v>
      </c>
      <c r="L160" s="253" t="str">
        <f t="shared" si="25"/>
        <v>登录任务</v>
      </c>
      <c r="T160" s="294"/>
      <c r="U160" s="304"/>
      <c r="V160" s="305"/>
    </row>
    <row r="161">
      <c r="A161" s="311"/>
      <c r="B161" s="285">
        <v>46070.0</v>
      </c>
      <c r="C161" s="101" t="s">
        <v>547</v>
      </c>
      <c r="D161" s="297" t="str">
        <f t="shared" si="1"/>
        <v/>
      </c>
      <c r="E161" s="297" t="str">
        <f t="shared" si="2"/>
        <v/>
      </c>
      <c r="F161" s="287">
        <v>0.0</v>
      </c>
      <c r="G161" s="288">
        <v>411.0</v>
      </c>
      <c r="H161" s="289">
        <v>0.0</v>
      </c>
      <c r="I161" s="289">
        <v>605.0</v>
      </c>
      <c r="J161" s="289">
        <v>442.0</v>
      </c>
      <c r="K161" s="298">
        <f t="shared" si="24"/>
        <v>605</v>
      </c>
      <c r="L161" s="253" t="str">
        <f t="shared" si="25"/>
        <v/>
      </c>
      <c r="T161" s="294"/>
      <c r="U161" s="304"/>
      <c r="V161" s="305"/>
    </row>
    <row r="162">
      <c r="A162" s="311"/>
      <c r="B162" s="285">
        <v>46070.0</v>
      </c>
      <c r="C162" s="101" t="s">
        <v>226</v>
      </c>
      <c r="D162" s="297" t="str">
        <f t="shared" si="1"/>
        <v>任务排行榜</v>
      </c>
      <c r="E162" s="297" t="str">
        <f t="shared" si="2"/>
        <v>任务排行榜</v>
      </c>
      <c r="F162" s="287">
        <v>468.0</v>
      </c>
      <c r="G162" s="288">
        <v>309.0</v>
      </c>
      <c r="H162" s="289">
        <v>0.0</v>
      </c>
      <c r="I162" s="289">
        <v>899.0</v>
      </c>
      <c r="J162" s="289">
        <v>297.0</v>
      </c>
      <c r="K162" s="298">
        <f t="shared" si="24"/>
        <v>899</v>
      </c>
      <c r="L162" s="253" t="str">
        <f t="shared" si="25"/>
        <v>任务排行榜</v>
      </c>
      <c r="T162" s="294"/>
      <c r="U162" s="304"/>
      <c r="V162" s="305"/>
    </row>
    <row r="163">
      <c r="A163" s="311"/>
      <c r="B163" s="285">
        <v>46070.0</v>
      </c>
      <c r="C163" s="101" t="s">
        <v>552</v>
      </c>
      <c r="D163" s="297" t="str">
        <f t="shared" si="1"/>
        <v/>
      </c>
      <c r="E163" s="297" t="str">
        <f t="shared" si="2"/>
        <v/>
      </c>
      <c r="F163" s="287">
        <v>468.0</v>
      </c>
      <c r="G163" s="288">
        <v>309.0</v>
      </c>
      <c r="H163" s="289">
        <v>0.0</v>
      </c>
      <c r="I163" s="289">
        <v>899.0</v>
      </c>
      <c r="J163" s="289">
        <v>297.0</v>
      </c>
      <c r="K163" s="298">
        <f t="shared" si="24"/>
        <v>899</v>
      </c>
      <c r="L163" s="253" t="str">
        <f t="shared" si="25"/>
        <v/>
      </c>
      <c r="T163" s="294"/>
      <c r="U163" s="304"/>
      <c r="V163" s="305"/>
    </row>
    <row r="164">
      <c r="A164" s="311"/>
      <c r="B164" s="285">
        <v>46070.0</v>
      </c>
      <c r="C164" s="101" t="s">
        <v>230</v>
      </c>
      <c r="D164" s="297" t="str">
        <f t="shared" si="1"/>
        <v>邀请返佣</v>
      </c>
      <c r="E164" s="297" t="str">
        <f t="shared" si="2"/>
        <v>邀请返佣</v>
      </c>
      <c r="F164" s="287">
        <v>209.0</v>
      </c>
      <c r="G164" s="288">
        <v>165.0</v>
      </c>
      <c r="H164" s="289">
        <v>544.82</v>
      </c>
      <c r="I164" s="289">
        <v>0.0</v>
      </c>
      <c r="J164" s="289">
        <v>0.0</v>
      </c>
      <c r="K164" s="298">
        <f t="shared" si="24"/>
        <v>544.82</v>
      </c>
      <c r="L164" s="253" t="str">
        <f t="shared" si="25"/>
        <v>邀请返佣</v>
      </c>
      <c r="T164" s="294"/>
      <c r="U164" s="304"/>
      <c r="V164" s="305"/>
    </row>
    <row r="165">
      <c r="A165" s="312"/>
      <c r="B165" s="285">
        <v>46070.0</v>
      </c>
      <c r="C165" s="101" t="s">
        <v>386</v>
      </c>
      <c r="D165" s="297" t="str">
        <f t="shared" si="1"/>
        <v/>
      </c>
      <c r="E165" s="297" t="str">
        <f t="shared" si="2"/>
        <v/>
      </c>
      <c r="F165" s="287">
        <v>4.0</v>
      </c>
      <c r="G165" s="288">
        <v>4.0</v>
      </c>
      <c r="H165" s="289">
        <v>85.0</v>
      </c>
      <c r="I165" s="289">
        <v>0.0</v>
      </c>
      <c r="J165" s="289">
        <v>0.0</v>
      </c>
      <c r="K165" s="298">
        <f t="shared" si="24"/>
        <v>85</v>
      </c>
      <c r="L165" s="253" t="str">
        <f t="shared" si="25"/>
        <v/>
      </c>
      <c r="M165" s="139"/>
      <c r="T165" s="294"/>
      <c r="U165" s="304"/>
      <c r="V165" s="305"/>
    </row>
    <row r="166">
      <c r="A166" s="312"/>
      <c r="B166" s="285">
        <v>46070.0</v>
      </c>
      <c r="C166" s="101" t="s">
        <v>387</v>
      </c>
      <c r="D166" s="297" t="str">
        <f t="shared" si="1"/>
        <v/>
      </c>
      <c r="E166" s="297" t="str">
        <f t="shared" si="2"/>
        <v/>
      </c>
      <c r="F166" s="287">
        <v>37.0</v>
      </c>
      <c r="G166" s="288">
        <v>37.0</v>
      </c>
      <c r="H166" s="289">
        <v>8.0</v>
      </c>
      <c r="I166" s="289">
        <v>0.0</v>
      </c>
      <c r="J166" s="289">
        <v>0.0</v>
      </c>
      <c r="K166" s="298">
        <f t="shared" si="24"/>
        <v>8</v>
      </c>
      <c r="L166" s="253" t="str">
        <f t="shared" si="25"/>
        <v/>
      </c>
      <c r="T166" s="294"/>
      <c r="U166" s="304"/>
      <c r="V166" s="305"/>
    </row>
    <row r="167">
      <c r="A167" s="312"/>
      <c r="B167" s="285">
        <v>46070.0</v>
      </c>
      <c r="C167" s="101" t="s">
        <v>385</v>
      </c>
      <c r="D167" s="297" t="str">
        <f t="shared" si="1"/>
        <v/>
      </c>
      <c r="E167" s="297" t="str">
        <f t="shared" si="2"/>
        <v/>
      </c>
      <c r="F167" s="287">
        <v>26.0</v>
      </c>
      <c r="G167" s="288">
        <v>25.0</v>
      </c>
      <c r="H167" s="289">
        <v>390.0</v>
      </c>
      <c r="I167" s="289">
        <v>0.0</v>
      </c>
      <c r="J167" s="289">
        <v>0.0</v>
      </c>
      <c r="K167" s="298">
        <f t="shared" si="24"/>
        <v>390</v>
      </c>
      <c r="L167" s="253" t="str">
        <f t="shared" si="25"/>
        <v/>
      </c>
      <c r="T167" s="294"/>
      <c r="U167" s="304"/>
      <c r="V167" s="305"/>
    </row>
    <row r="168">
      <c r="A168" s="312"/>
      <c r="B168" s="285">
        <v>46070.0</v>
      </c>
      <c r="C168" s="101" t="s">
        <v>546</v>
      </c>
      <c r="D168" s="297" t="str">
        <f t="shared" si="1"/>
        <v/>
      </c>
      <c r="E168" s="297" t="str">
        <f t="shared" si="2"/>
        <v/>
      </c>
      <c r="F168" s="287">
        <v>142.0</v>
      </c>
      <c r="G168" s="288">
        <v>142.0</v>
      </c>
      <c r="H168" s="289">
        <v>61.82</v>
      </c>
      <c r="I168" s="289">
        <v>0.0</v>
      </c>
      <c r="J168" s="289">
        <v>0.0</v>
      </c>
      <c r="K168" s="298">
        <f t="shared" si="24"/>
        <v>61.82</v>
      </c>
      <c r="L168" s="253" t="str">
        <f t="shared" si="25"/>
        <v/>
      </c>
      <c r="T168" s="294"/>
      <c r="U168" s="304"/>
      <c r="V168" s="305"/>
    </row>
    <row r="169">
      <c r="A169" s="312"/>
      <c r="B169" s="285">
        <v>46070.0</v>
      </c>
      <c r="C169" s="101" t="s">
        <v>211</v>
      </c>
      <c r="D169" s="297" t="str">
        <f t="shared" si="1"/>
        <v>UPGRADE_BONUS</v>
      </c>
      <c r="E169" s="297" t="str">
        <f t="shared" si="2"/>
        <v>升级奖励</v>
      </c>
      <c r="F169" s="287">
        <v>628.0</v>
      </c>
      <c r="G169" s="288">
        <v>536.0</v>
      </c>
      <c r="H169" s="289">
        <v>1104.0</v>
      </c>
      <c r="I169" s="289">
        <v>0.0</v>
      </c>
      <c r="J169" s="289">
        <v>0.0</v>
      </c>
      <c r="K169" s="298">
        <f t="shared" si="24"/>
        <v>1104</v>
      </c>
      <c r="L169" s="253" t="str">
        <f t="shared" si="25"/>
        <v>升级奖励</v>
      </c>
      <c r="T169" s="294"/>
      <c r="U169" s="304"/>
      <c r="V169" s="305"/>
    </row>
    <row r="170">
      <c r="A170" s="312"/>
      <c r="B170" s="285">
        <v>46070.0</v>
      </c>
      <c r="C170" s="101" t="s">
        <v>550</v>
      </c>
      <c r="D170" s="297" t="str">
        <f t="shared" si="1"/>
        <v/>
      </c>
      <c r="E170" s="297" t="str">
        <f t="shared" si="2"/>
        <v/>
      </c>
      <c r="F170" s="287">
        <v>628.0</v>
      </c>
      <c r="G170" s="288">
        <v>536.0</v>
      </c>
      <c r="H170" s="289">
        <v>1104.0</v>
      </c>
      <c r="I170" s="289">
        <v>0.0</v>
      </c>
      <c r="J170" s="289">
        <v>0.0</v>
      </c>
      <c r="K170" s="298">
        <f t="shared" si="24"/>
        <v>1104</v>
      </c>
      <c r="L170" s="253" t="str">
        <f t="shared" si="25"/>
        <v/>
      </c>
      <c r="T170" s="294"/>
      <c r="U170" s="304"/>
      <c r="V170" s="305"/>
    </row>
    <row r="171">
      <c r="A171" s="312"/>
      <c r="B171" s="299"/>
      <c r="C171" s="300"/>
      <c r="D171" s="301" t="str">
        <f t="shared" si="1"/>
        <v/>
      </c>
      <c r="E171" s="301" t="str">
        <f t="shared" si="2"/>
        <v/>
      </c>
      <c r="F171" s="302">
        <f t="shared" ref="F171:K171" si="26">SUM(F150,F153,F156,F158,F160,F162,F164,F169)</f>
        <v>6621</v>
      </c>
      <c r="G171" s="302">
        <f t="shared" si="26"/>
        <v>6694</v>
      </c>
      <c r="H171" s="303">
        <f t="shared" si="26"/>
        <v>33199.49</v>
      </c>
      <c r="I171" s="303">
        <f t="shared" si="26"/>
        <v>1504</v>
      </c>
      <c r="J171" s="303">
        <f t="shared" si="26"/>
        <v>739</v>
      </c>
      <c r="K171" s="303">
        <f t="shared" si="26"/>
        <v>34703.49</v>
      </c>
      <c r="L171" s="307">
        <v>34703.48</v>
      </c>
      <c r="M171" s="139">
        <f>L171-K171</f>
        <v>-0.009999999995</v>
      </c>
      <c r="T171" s="294"/>
      <c r="U171" s="304"/>
      <c r="V171" s="305"/>
    </row>
    <row r="172">
      <c r="A172" s="312"/>
      <c r="B172" s="285">
        <v>46071.0</v>
      </c>
      <c r="C172" s="101" t="s">
        <v>187</v>
      </c>
      <c r="D172" s="297" t="str">
        <f t="shared" si="1"/>
        <v>GAME_REBATE</v>
      </c>
      <c r="E172" s="297" t="str">
        <f t="shared" si="2"/>
        <v>玩家返水</v>
      </c>
      <c r="F172" s="287">
        <v>566.0</v>
      </c>
      <c r="G172" s="288">
        <v>566.0</v>
      </c>
      <c r="H172" s="289">
        <v>4538.84</v>
      </c>
      <c r="I172" s="289">
        <v>0.0</v>
      </c>
      <c r="J172" s="289">
        <v>0.0</v>
      </c>
      <c r="K172" s="298">
        <f t="shared" ref="K172:K193" si="27">H172+I172</f>
        <v>4538.84</v>
      </c>
      <c r="L172" s="253" t="str">
        <f t="shared" ref="L172:L193" si="28">IFERROR(VLOOKUP(C172,$M$3:$N$30,2,0),"")</f>
        <v>玩家返水</v>
      </c>
      <c r="T172" s="294"/>
      <c r="U172" s="304"/>
      <c r="V172" s="305"/>
    </row>
    <row r="173">
      <c r="A173" s="312"/>
      <c r="B173" s="285">
        <v>46071.0</v>
      </c>
      <c r="C173" s="101" t="s">
        <v>189</v>
      </c>
      <c r="D173" s="297" t="str">
        <f t="shared" si="1"/>
        <v/>
      </c>
      <c r="E173" s="297" t="str">
        <f t="shared" si="2"/>
        <v/>
      </c>
      <c r="F173" s="289">
        <v>564.0</v>
      </c>
      <c r="G173" s="289">
        <v>564.0</v>
      </c>
      <c r="H173" s="289">
        <v>4534.93</v>
      </c>
      <c r="I173" s="289">
        <v>0.0</v>
      </c>
      <c r="J173" s="289">
        <v>0.0</v>
      </c>
      <c r="K173" s="289">
        <f t="shared" si="27"/>
        <v>4534.93</v>
      </c>
      <c r="L173" s="253" t="str">
        <f t="shared" si="28"/>
        <v/>
      </c>
      <c r="M173" s="139"/>
      <c r="T173" s="294"/>
      <c r="U173" s="304"/>
      <c r="V173" s="305"/>
    </row>
    <row r="174">
      <c r="A174" s="312"/>
      <c r="B174" s="285">
        <v>46071.0</v>
      </c>
      <c r="C174" s="101" t="s">
        <v>190</v>
      </c>
      <c r="D174" s="297" t="str">
        <f t="shared" si="1"/>
        <v/>
      </c>
      <c r="E174" s="297" t="str">
        <f t="shared" si="2"/>
        <v/>
      </c>
      <c r="F174" s="287">
        <v>7.0</v>
      </c>
      <c r="G174" s="288">
        <v>7.0</v>
      </c>
      <c r="H174" s="289">
        <v>3.74</v>
      </c>
      <c r="I174" s="289">
        <v>0.0</v>
      </c>
      <c r="J174" s="289">
        <v>0.0</v>
      </c>
      <c r="K174" s="298">
        <f t="shared" si="27"/>
        <v>3.74</v>
      </c>
      <c r="L174" s="253" t="str">
        <f t="shared" si="28"/>
        <v/>
      </c>
      <c r="T174" s="294"/>
      <c r="U174" s="304"/>
      <c r="V174" s="305"/>
    </row>
    <row r="175">
      <c r="A175" s="309"/>
      <c r="B175" s="285">
        <v>46071.0</v>
      </c>
      <c r="C175" s="101" t="s">
        <v>191</v>
      </c>
      <c r="D175" s="297" t="str">
        <f t="shared" si="1"/>
        <v/>
      </c>
      <c r="E175" s="297" t="str">
        <f t="shared" si="2"/>
        <v/>
      </c>
      <c r="F175" s="287">
        <v>1.0</v>
      </c>
      <c r="G175" s="288">
        <v>1.0</v>
      </c>
      <c r="H175" s="289">
        <v>0.17</v>
      </c>
      <c r="I175" s="289">
        <v>0.0</v>
      </c>
      <c r="J175" s="289">
        <v>0.0</v>
      </c>
      <c r="K175" s="298">
        <f t="shared" si="27"/>
        <v>0.17</v>
      </c>
      <c r="L175" s="253" t="str">
        <f t="shared" si="28"/>
        <v/>
      </c>
      <c r="T175" s="294"/>
      <c r="U175" s="304"/>
      <c r="V175" s="305"/>
    </row>
    <row r="176">
      <c r="A176" s="312"/>
      <c r="B176" s="285">
        <v>46071.0</v>
      </c>
      <c r="C176" s="101" t="s">
        <v>197</v>
      </c>
      <c r="D176" s="297" t="str">
        <f t="shared" si="1"/>
        <v>DEPOSIT</v>
      </c>
      <c r="E176" s="297" t="str">
        <f t="shared" si="2"/>
        <v>笔笔存送</v>
      </c>
      <c r="F176" s="287">
        <v>246.0</v>
      </c>
      <c r="G176" s="288">
        <v>218.0</v>
      </c>
      <c r="H176" s="289">
        <v>4820.61</v>
      </c>
      <c r="I176" s="289">
        <v>0.0</v>
      </c>
      <c r="J176" s="289">
        <v>0.0</v>
      </c>
      <c r="K176" s="298">
        <f t="shared" si="27"/>
        <v>4820.61</v>
      </c>
      <c r="L176" s="253" t="str">
        <f t="shared" si="28"/>
        <v>笔笔存送</v>
      </c>
      <c r="T176" s="294"/>
      <c r="U176" s="304"/>
      <c r="V176" s="305"/>
    </row>
    <row r="177">
      <c r="A177" s="312"/>
      <c r="B177" s="285">
        <v>46071.0</v>
      </c>
      <c r="C177" s="101" t="s">
        <v>511</v>
      </c>
      <c r="D177" s="297" t="str">
        <f t="shared" si="1"/>
        <v/>
      </c>
      <c r="E177" s="297" t="str">
        <f t="shared" si="2"/>
        <v/>
      </c>
      <c r="F177" s="287">
        <v>188.0</v>
      </c>
      <c r="G177" s="288">
        <v>188.0</v>
      </c>
      <c r="H177" s="289">
        <v>4654.8</v>
      </c>
      <c r="I177" s="289">
        <v>0.0</v>
      </c>
      <c r="J177" s="289">
        <v>0.0</v>
      </c>
      <c r="K177" s="298">
        <f t="shared" si="27"/>
        <v>4654.8</v>
      </c>
      <c r="L177" s="253" t="str">
        <f t="shared" si="28"/>
        <v/>
      </c>
      <c r="T177" s="294"/>
      <c r="U177" s="304"/>
      <c r="V177" s="305"/>
    </row>
    <row r="178">
      <c r="A178" s="312"/>
      <c r="B178" s="285">
        <v>46071.0</v>
      </c>
      <c r="C178" s="101" t="s">
        <v>513</v>
      </c>
      <c r="D178" s="297" t="str">
        <f t="shared" si="1"/>
        <v/>
      </c>
      <c r="E178" s="297" t="str">
        <f t="shared" si="2"/>
        <v/>
      </c>
      <c r="F178" s="287">
        <v>58.0</v>
      </c>
      <c r="G178" s="288">
        <v>50.0</v>
      </c>
      <c r="H178" s="289">
        <v>165.81</v>
      </c>
      <c r="I178" s="289">
        <v>0.0</v>
      </c>
      <c r="J178" s="289">
        <v>0.0</v>
      </c>
      <c r="K178" s="298">
        <f t="shared" si="27"/>
        <v>165.81</v>
      </c>
      <c r="L178" s="253" t="str">
        <f t="shared" si="28"/>
        <v/>
      </c>
      <c r="T178" s="294"/>
      <c r="U178" s="304"/>
      <c r="V178" s="305"/>
    </row>
    <row r="179">
      <c r="A179" s="312"/>
      <c r="B179" s="285">
        <v>46071.0</v>
      </c>
      <c r="C179" s="101" t="s">
        <v>225</v>
      </c>
      <c r="D179" s="297" t="str">
        <f t="shared" si="1"/>
        <v>FIRST_DEPOSIT</v>
      </c>
      <c r="E179" s="297" t="str">
        <f t="shared" si="2"/>
        <v>首存</v>
      </c>
      <c r="F179" s="289">
        <v>131.0</v>
      </c>
      <c r="G179" s="289">
        <v>131.0</v>
      </c>
      <c r="H179" s="289">
        <v>11558.5</v>
      </c>
      <c r="I179" s="289">
        <v>0.0</v>
      </c>
      <c r="J179" s="289">
        <v>0.0</v>
      </c>
      <c r="K179" s="289">
        <f t="shared" si="27"/>
        <v>11558.5</v>
      </c>
      <c r="L179" s="253" t="str">
        <f t="shared" si="28"/>
        <v>首存</v>
      </c>
      <c r="T179" s="294"/>
      <c r="U179" s="304"/>
      <c r="V179" s="305"/>
    </row>
    <row r="180">
      <c r="A180" s="312"/>
      <c r="B180" s="285">
        <v>46071.0</v>
      </c>
      <c r="C180" s="101" t="s">
        <v>544</v>
      </c>
      <c r="D180" s="297" t="str">
        <f t="shared" si="1"/>
        <v/>
      </c>
      <c r="E180" s="297" t="str">
        <f t="shared" si="2"/>
        <v/>
      </c>
      <c r="F180" s="287">
        <v>131.0</v>
      </c>
      <c r="G180" s="288">
        <v>131.0</v>
      </c>
      <c r="H180" s="289">
        <v>11558.5</v>
      </c>
      <c r="I180" s="289">
        <v>0.0</v>
      </c>
      <c r="J180" s="289">
        <v>0.0</v>
      </c>
      <c r="K180" s="298">
        <f t="shared" si="27"/>
        <v>11558.5</v>
      </c>
      <c r="L180" s="253" t="str">
        <f t="shared" si="28"/>
        <v/>
      </c>
      <c r="T180" s="294"/>
      <c r="U180" s="304"/>
      <c r="V180" s="305"/>
    </row>
    <row r="181">
      <c r="A181" s="312"/>
      <c r="B181" s="285">
        <v>46071.0</v>
      </c>
      <c r="C181" s="101" t="s">
        <v>209</v>
      </c>
      <c r="D181" s="297" t="str">
        <f t="shared" si="1"/>
        <v>LOGIN</v>
      </c>
      <c r="E181" s="297" t="str">
        <f t="shared" si="2"/>
        <v>签到奖励</v>
      </c>
      <c r="F181" s="287">
        <v>3662.0</v>
      </c>
      <c r="G181" s="288">
        <v>3662.0</v>
      </c>
      <c r="H181" s="289">
        <v>6327.0</v>
      </c>
      <c r="I181" s="289">
        <v>0.0</v>
      </c>
      <c r="J181" s="289">
        <v>0.0</v>
      </c>
      <c r="K181" s="298">
        <f t="shared" si="27"/>
        <v>6327</v>
      </c>
      <c r="L181" s="253" t="str">
        <f t="shared" si="28"/>
        <v>签到奖励</v>
      </c>
      <c r="T181" s="294"/>
      <c r="U181" s="304"/>
      <c r="V181" s="305"/>
    </row>
    <row r="182">
      <c r="A182" s="312"/>
      <c r="B182" s="285">
        <v>46071.0</v>
      </c>
      <c r="C182" s="101" t="s">
        <v>549</v>
      </c>
      <c r="D182" s="297" t="str">
        <f t="shared" si="1"/>
        <v/>
      </c>
      <c r="E182" s="297" t="str">
        <f t="shared" si="2"/>
        <v/>
      </c>
      <c r="F182" s="287">
        <v>3662.0</v>
      </c>
      <c r="G182" s="288">
        <v>3662.0</v>
      </c>
      <c r="H182" s="289">
        <v>6327.0</v>
      </c>
      <c r="I182" s="289">
        <v>0.0</v>
      </c>
      <c r="J182" s="289">
        <v>0.0</v>
      </c>
      <c r="K182" s="298">
        <f t="shared" si="27"/>
        <v>6327</v>
      </c>
      <c r="L182" s="253" t="str">
        <f t="shared" si="28"/>
        <v/>
      </c>
      <c r="T182" s="294"/>
      <c r="U182" s="304"/>
      <c r="V182" s="305"/>
    </row>
    <row r="183">
      <c r="A183" s="312"/>
      <c r="B183" s="285">
        <v>46071.0</v>
      </c>
      <c r="C183" s="101" t="s">
        <v>228</v>
      </c>
      <c r="D183" s="297" t="str">
        <f t="shared" si="1"/>
        <v>登录任务</v>
      </c>
      <c r="E183" s="297" t="str">
        <f t="shared" si="2"/>
        <v>登录任务</v>
      </c>
      <c r="F183" s="287">
        <v>0.0</v>
      </c>
      <c r="G183" s="288">
        <v>334.0</v>
      </c>
      <c r="H183" s="289">
        <v>0.0</v>
      </c>
      <c r="I183" s="289">
        <v>506.0</v>
      </c>
      <c r="J183" s="289">
        <v>362.0</v>
      </c>
      <c r="K183" s="298">
        <f t="shared" si="27"/>
        <v>506</v>
      </c>
      <c r="L183" s="253" t="str">
        <f t="shared" si="28"/>
        <v>登录任务</v>
      </c>
      <c r="T183" s="294"/>
      <c r="U183" s="304"/>
      <c r="V183" s="305"/>
    </row>
    <row r="184">
      <c r="A184" s="312"/>
      <c r="B184" s="285">
        <v>46071.0</v>
      </c>
      <c r="C184" s="101" t="s">
        <v>547</v>
      </c>
      <c r="D184" s="297" t="str">
        <f t="shared" si="1"/>
        <v/>
      </c>
      <c r="E184" s="297" t="str">
        <f t="shared" si="2"/>
        <v/>
      </c>
      <c r="F184" s="287">
        <v>0.0</v>
      </c>
      <c r="G184" s="288">
        <v>334.0</v>
      </c>
      <c r="H184" s="289">
        <v>0.0</v>
      </c>
      <c r="I184" s="289">
        <v>506.0</v>
      </c>
      <c r="J184" s="289">
        <v>362.0</v>
      </c>
      <c r="K184" s="298">
        <f t="shared" si="27"/>
        <v>506</v>
      </c>
      <c r="L184" s="253" t="str">
        <f t="shared" si="28"/>
        <v/>
      </c>
      <c r="T184" s="294"/>
      <c r="U184" s="304"/>
      <c r="V184" s="305"/>
    </row>
    <row r="185">
      <c r="A185" s="312"/>
      <c r="B185" s="285">
        <v>46071.0</v>
      </c>
      <c r="C185" s="101" t="s">
        <v>226</v>
      </c>
      <c r="D185" s="297" t="str">
        <f t="shared" si="1"/>
        <v>任务排行榜</v>
      </c>
      <c r="E185" s="297" t="str">
        <f t="shared" si="2"/>
        <v>任务排行榜</v>
      </c>
      <c r="F185" s="287">
        <v>369.0</v>
      </c>
      <c r="G185" s="288">
        <v>239.0</v>
      </c>
      <c r="H185" s="289">
        <v>0.0</v>
      </c>
      <c r="I185" s="289">
        <v>699.0</v>
      </c>
      <c r="J185" s="289">
        <v>223.0</v>
      </c>
      <c r="K185" s="298">
        <f t="shared" si="27"/>
        <v>699</v>
      </c>
      <c r="L185" s="253" t="str">
        <f t="shared" si="28"/>
        <v>任务排行榜</v>
      </c>
      <c r="T185" s="294"/>
      <c r="U185" s="304"/>
      <c r="V185" s="305"/>
    </row>
    <row r="186">
      <c r="A186" s="313"/>
      <c r="B186" s="285">
        <v>46071.0</v>
      </c>
      <c r="C186" s="101" t="s">
        <v>552</v>
      </c>
      <c r="D186" s="297" t="str">
        <f t="shared" si="1"/>
        <v/>
      </c>
      <c r="E186" s="297" t="str">
        <f t="shared" si="2"/>
        <v/>
      </c>
      <c r="F186" s="287">
        <v>369.0</v>
      </c>
      <c r="G186" s="288">
        <v>239.0</v>
      </c>
      <c r="H186" s="289">
        <v>0.0</v>
      </c>
      <c r="I186" s="289">
        <v>699.0</v>
      </c>
      <c r="J186" s="289">
        <v>223.0</v>
      </c>
      <c r="K186" s="298">
        <f t="shared" si="27"/>
        <v>699</v>
      </c>
      <c r="L186" s="253" t="str">
        <f t="shared" si="28"/>
        <v/>
      </c>
      <c r="T186" s="294"/>
      <c r="U186" s="304"/>
      <c r="V186" s="305"/>
    </row>
    <row r="187">
      <c r="A187" s="312"/>
      <c r="B187" s="285">
        <v>46071.0</v>
      </c>
      <c r="C187" s="101" t="s">
        <v>230</v>
      </c>
      <c r="D187" s="297" t="str">
        <f t="shared" si="1"/>
        <v>邀请返佣</v>
      </c>
      <c r="E187" s="297" t="str">
        <f t="shared" si="2"/>
        <v>邀请返佣</v>
      </c>
      <c r="F187" s="287">
        <v>200.0</v>
      </c>
      <c r="G187" s="288">
        <v>156.0</v>
      </c>
      <c r="H187" s="289">
        <v>517.6</v>
      </c>
      <c r="I187" s="289">
        <v>0.0</v>
      </c>
      <c r="J187" s="289">
        <v>0.0</v>
      </c>
      <c r="K187" s="298">
        <f t="shared" si="27"/>
        <v>517.6</v>
      </c>
      <c r="L187" s="253" t="str">
        <f t="shared" si="28"/>
        <v>邀请返佣</v>
      </c>
      <c r="T187" s="294"/>
      <c r="U187" s="304"/>
      <c r="V187" s="305"/>
    </row>
    <row r="188">
      <c r="A188" s="312"/>
      <c r="B188" s="285">
        <v>46071.0</v>
      </c>
      <c r="C188" s="101" t="s">
        <v>386</v>
      </c>
      <c r="D188" s="297" t="str">
        <f t="shared" si="1"/>
        <v/>
      </c>
      <c r="E188" s="297" t="str">
        <f t="shared" si="2"/>
        <v/>
      </c>
      <c r="F188" s="287">
        <v>3.0</v>
      </c>
      <c r="G188" s="288">
        <v>3.0</v>
      </c>
      <c r="H188" s="289">
        <v>15.0</v>
      </c>
      <c r="I188" s="289">
        <v>0.0</v>
      </c>
      <c r="J188" s="289">
        <v>0.0</v>
      </c>
      <c r="K188" s="298">
        <f t="shared" si="27"/>
        <v>15</v>
      </c>
      <c r="L188" s="253" t="str">
        <f t="shared" si="28"/>
        <v/>
      </c>
      <c r="T188" s="294"/>
      <c r="U188" s="304"/>
      <c r="V188" s="305"/>
    </row>
    <row r="189">
      <c r="A189" s="312"/>
      <c r="B189" s="285">
        <v>46071.0</v>
      </c>
      <c r="C189" s="101" t="s">
        <v>387</v>
      </c>
      <c r="D189" s="297" t="str">
        <f t="shared" si="1"/>
        <v/>
      </c>
      <c r="E189" s="297" t="str">
        <f t="shared" si="2"/>
        <v/>
      </c>
      <c r="F189" s="287">
        <v>37.0</v>
      </c>
      <c r="G189" s="288">
        <v>37.0</v>
      </c>
      <c r="H189" s="289">
        <v>8.38</v>
      </c>
      <c r="I189" s="289">
        <v>0.0</v>
      </c>
      <c r="J189" s="289">
        <v>0.0</v>
      </c>
      <c r="K189" s="298">
        <f t="shared" si="27"/>
        <v>8.38</v>
      </c>
      <c r="L189" s="253" t="str">
        <f t="shared" si="28"/>
        <v/>
      </c>
      <c r="T189" s="294"/>
      <c r="U189" s="304"/>
      <c r="V189" s="305"/>
    </row>
    <row r="190">
      <c r="A190" s="312"/>
      <c r="B190" s="285">
        <v>46071.0</v>
      </c>
      <c r="C190" s="101" t="s">
        <v>385</v>
      </c>
      <c r="D190" s="297" t="str">
        <f t="shared" si="1"/>
        <v/>
      </c>
      <c r="E190" s="297" t="str">
        <f t="shared" si="2"/>
        <v/>
      </c>
      <c r="F190" s="287">
        <v>28.0</v>
      </c>
      <c r="G190" s="288">
        <v>27.0</v>
      </c>
      <c r="H190" s="289">
        <v>420.0</v>
      </c>
      <c r="I190" s="289">
        <v>0.0</v>
      </c>
      <c r="J190" s="289">
        <v>0.0</v>
      </c>
      <c r="K190" s="298">
        <f t="shared" si="27"/>
        <v>420</v>
      </c>
      <c r="L190" s="253" t="str">
        <f t="shared" si="28"/>
        <v/>
      </c>
      <c r="T190" s="294"/>
      <c r="U190" s="304"/>
      <c r="V190" s="305"/>
    </row>
    <row r="191">
      <c r="A191" s="312"/>
      <c r="B191" s="285">
        <v>46071.0</v>
      </c>
      <c r="C191" s="101" t="s">
        <v>546</v>
      </c>
      <c r="D191" s="297" t="str">
        <f t="shared" si="1"/>
        <v/>
      </c>
      <c r="E191" s="297" t="str">
        <f t="shared" si="2"/>
        <v/>
      </c>
      <c r="F191" s="287">
        <v>132.0</v>
      </c>
      <c r="G191" s="288">
        <v>132.0</v>
      </c>
      <c r="H191" s="289">
        <v>74.22</v>
      </c>
      <c r="I191" s="289">
        <v>0.0</v>
      </c>
      <c r="J191" s="289">
        <v>0.0</v>
      </c>
      <c r="K191" s="298">
        <f t="shared" si="27"/>
        <v>74.22</v>
      </c>
      <c r="L191" s="253" t="str">
        <f t="shared" si="28"/>
        <v/>
      </c>
      <c r="T191" s="294"/>
      <c r="U191" s="304"/>
      <c r="V191" s="305"/>
    </row>
    <row r="192">
      <c r="A192" s="312"/>
      <c r="B192" s="285">
        <v>46071.0</v>
      </c>
      <c r="C192" s="101" t="s">
        <v>211</v>
      </c>
      <c r="D192" s="297" t="str">
        <f t="shared" si="1"/>
        <v>UPGRADE_BONUS</v>
      </c>
      <c r="E192" s="297" t="str">
        <f t="shared" si="2"/>
        <v>升级奖励</v>
      </c>
      <c r="F192" s="289">
        <v>434.0</v>
      </c>
      <c r="G192" s="289">
        <v>369.0</v>
      </c>
      <c r="H192" s="289">
        <v>812.0</v>
      </c>
      <c r="I192" s="289">
        <v>0.0</v>
      </c>
      <c r="J192" s="289">
        <v>0.0</v>
      </c>
      <c r="K192" s="289">
        <f t="shared" si="27"/>
        <v>812</v>
      </c>
      <c r="L192" s="253" t="str">
        <f t="shared" si="28"/>
        <v>升级奖励</v>
      </c>
      <c r="M192" s="139"/>
      <c r="T192" s="294"/>
      <c r="U192" s="304"/>
      <c r="V192" s="305"/>
    </row>
    <row r="193">
      <c r="A193" s="312"/>
      <c r="B193" s="285">
        <v>46071.0</v>
      </c>
      <c r="C193" s="101" t="s">
        <v>550</v>
      </c>
      <c r="D193" s="297" t="str">
        <f t="shared" si="1"/>
        <v/>
      </c>
      <c r="E193" s="297" t="str">
        <f t="shared" si="2"/>
        <v/>
      </c>
      <c r="F193" s="287">
        <v>434.0</v>
      </c>
      <c r="G193" s="288">
        <v>369.0</v>
      </c>
      <c r="H193" s="289">
        <v>812.0</v>
      </c>
      <c r="I193" s="289">
        <v>0.0</v>
      </c>
      <c r="J193" s="289">
        <v>0.0</v>
      </c>
      <c r="K193" s="298">
        <f t="shared" si="27"/>
        <v>812</v>
      </c>
      <c r="L193" s="253" t="str">
        <f t="shared" si="28"/>
        <v/>
      </c>
      <c r="T193" s="294"/>
      <c r="U193" s="304"/>
      <c r="V193" s="305"/>
    </row>
    <row r="194">
      <c r="A194" s="312"/>
      <c r="B194" s="299"/>
      <c r="C194" s="300"/>
      <c r="D194" s="301" t="str">
        <f t="shared" si="1"/>
        <v/>
      </c>
      <c r="E194" s="301" t="str">
        <f t="shared" si="2"/>
        <v/>
      </c>
      <c r="F194" s="302">
        <f t="shared" ref="F194:K194" si="29">SUM(F172,F176,F179,F181,F183,F185,F187,F192)</f>
        <v>5608</v>
      </c>
      <c r="G194" s="302">
        <f t="shared" si="29"/>
        <v>5675</v>
      </c>
      <c r="H194" s="302">
        <f t="shared" si="29"/>
        <v>28574.55</v>
      </c>
      <c r="I194" s="303">
        <f t="shared" si="29"/>
        <v>1205</v>
      </c>
      <c r="J194" s="303">
        <f t="shared" si="29"/>
        <v>585</v>
      </c>
      <c r="K194" s="303">
        <f t="shared" si="29"/>
        <v>29779.55</v>
      </c>
      <c r="L194" s="307">
        <v>29779.54</v>
      </c>
      <c r="M194" s="139">
        <f>L194-K194</f>
        <v>-0.009999999998</v>
      </c>
      <c r="T194" s="294"/>
      <c r="U194" s="304"/>
      <c r="V194" s="305"/>
    </row>
    <row r="195">
      <c r="A195" s="312"/>
      <c r="B195" s="285">
        <v>46072.0</v>
      </c>
      <c r="C195" s="101" t="s">
        <v>187</v>
      </c>
      <c r="D195" s="297" t="str">
        <f t="shared" si="1"/>
        <v>GAME_REBATE</v>
      </c>
      <c r="E195" s="297" t="str">
        <f t="shared" si="2"/>
        <v>玩家返水</v>
      </c>
      <c r="F195" s="287">
        <v>487.0</v>
      </c>
      <c r="G195" s="288">
        <v>487.0</v>
      </c>
      <c r="H195" s="289">
        <v>3477.93</v>
      </c>
      <c r="I195" s="289">
        <v>0.0</v>
      </c>
      <c r="J195" s="289">
        <v>0.0</v>
      </c>
      <c r="K195" s="298">
        <f t="shared" ref="K195:K216" si="30">H195+I195</f>
        <v>3477.93</v>
      </c>
      <c r="L195" s="253" t="str">
        <f t="shared" ref="L195:L216" si="31">IFERROR(VLOOKUP(C195,$M$3:$N$30,2,0),"")</f>
        <v>玩家返水</v>
      </c>
      <c r="T195" s="294"/>
      <c r="U195" s="304"/>
      <c r="V195" s="305"/>
    </row>
    <row r="196">
      <c r="A196" s="312"/>
      <c r="B196" s="285">
        <v>46072.0</v>
      </c>
      <c r="C196" s="101" t="s">
        <v>189</v>
      </c>
      <c r="D196" s="297" t="str">
        <f t="shared" si="1"/>
        <v/>
      </c>
      <c r="E196" s="297" t="str">
        <f t="shared" si="2"/>
        <v/>
      </c>
      <c r="F196" s="287">
        <v>485.0</v>
      </c>
      <c r="G196" s="288">
        <v>485.0</v>
      </c>
      <c r="H196" s="289">
        <v>3475.02</v>
      </c>
      <c r="I196" s="289">
        <v>0.0</v>
      </c>
      <c r="J196" s="289">
        <v>0.0</v>
      </c>
      <c r="K196" s="298">
        <f t="shared" si="30"/>
        <v>3475.02</v>
      </c>
      <c r="L196" s="253" t="str">
        <f t="shared" si="31"/>
        <v/>
      </c>
      <c r="T196" s="294"/>
      <c r="U196" s="304"/>
      <c r="V196" s="305"/>
    </row>
    <row r="197">
      <c r="A197" s="312"/>
      <c r="B197" s="285">
        <v>46072.0</v>
      </c>
      <c r="C197" s="101" t="s">
        <v>190</v>
      </c>
      <c r="D197" s="297" t="str">
        <f t="shared" si="1"/>
        <v/>
      </c>
      <c r="E197" s="297" t="str">
        <f t="shared" si="2"/>
        <v/>
      </c>
      <c r="F197" s="287">
        <v>5.0</v>
      </c>
      <c r="G197" s="287">
        <v>5.0</v>
      </c>
      <c r="H197" s="289">
        <v>2.28</v>
      </c>
      <c r="I197" s="289">
        <v>0.0</v>
      </c>
      <c r="J197" s="289">
        <v>0.0</v>
      </c>
      <c r="K197" s="289">
        <f t="shared" si="30"/>
        <v>2.28</v>
      </c>
      <c r="L197" s="253" t="str">
        <f t="shared" si="31"/>
        <v/>
      </c>
      <c r="M197" s="139"/>
      <c r="T197" s="294"/>
      <c r="U197" s="304"/>
      <c r="V197" s="305"/>
    </row>
    <row r="198">
      <c r="A198" s="312"/>
      <c r="B198" s="285">
        <v>46072.0</v>
      </c>
      <c r="C198" s="101" t="s">
        <v>191</v>
      </c>
      <c r="D198" s="297" t="str">
        <f t="shared" si="1"/>
        <v/>
      </c>
      <c r="E198" s="297" t="str">
        <f t="shared" si="2"/>
        <v/>
      </c>
      <c r="F198" s="287">
        <v>1.0</v>
      </c>
      <c r="G198" s="288">
        <v>1.0</v>
      </c>
      <c r="H198" s="289">
        <v>0.63</v>
      </c>
      <c r="I198" s="289">
        <v>0.0</v>
      </c>
      <c r="J198" s="289">
        <v>0.0</v>
      </c>
      <c r="K198" s="298">
        <f t="shared" si="30"/>
        <v>0.63</v>
      </c>
      <c r="L198" s="253" t="str">
        <f t="shared" si="31"/>
        <v/>
      </c>
      <c r="T198" s="294"/>
      <c r="U198" s="304"/>
      <c r="V198" s="305"/>
    </row>
    <row r="199">
      <c r="A199" s="312"/>
      <c r="B199" s="285">
        <v>46072.0</v>
      </c>
      <c r="C199" s="101" t="s">
        <v>197</v>
      </c>
      <c r="D199" s="297" t="str">
        <f t="shared" si="1"/>
        <v>DEPOSIT</v>
      </c>
      <c r="E199" s="297" t="str">
        <f t="shared" si="2"/>
        <v>笔笔存送</v>
      </c>
      <c r="F199" s="287">
        <v>243.0</v>
      </c>
      <c r="G199" s="288">
        <v>185.0</v>
      </c>
      <c r="H199" s="289">
        <v>5021.76</v>
      </c>
      <c r="I199" s="289">
        <v>0.0</v>
      </c>
      <c r="J199" s="289">
        <v>0.0</v>
      </c>
      <c r="K199" s="298">
        <f t="shared" si="30"/>
        <v>5021.76</v>
      </c>
      <c r="L199" s="253" t="str">
        <f t="shared" si="31"/>
        <v>笔笔存送</v>
      </c>
      <c r="T199" s="294"/>
      <c r="U199" s="304"/>
      <c r="V199" s="305"/>
    </row>
    <row r="200">
      <c r="A200" s="312"/>
      <c r="B200" s="285">
        <v>46072.0</v>
      </c>
      <c r="C200" s="101" t="s">
        <v>511</v>
      </c>
      <c r="D200" s="297" t="str">
        <f t="shared" si="1"/>
        <v/>
      </c>
      <c r="E200" s="297" t="str">
        <f t="shared" si="2"/>
        <v/>
      </c>
      <c r="F200" s="287">
        <v>164.0</v>
      </c>
      <c r="G200" s="288">
        <v>164.0</v>
      </c>
      <c r="H200" s="289">
        <v>4675.8</v>
      </c>
      <c r="I200" s="289">
        <v>0.0</v>
      </c>
      <c r="J200" s="289">
        <v>0.0</v>
      </c>
      <c r="K200" s="298">
        <f t="shared" si="30"/>
        <v>4675.8</v>
      </c>
      <c r="L200" s="253" t="str">
        <f t="shared" si="31"/>
        <v/>
      </c>
      <c r="T200" s="294"/>
      <c r="U200" s="304"/>
      <c r="V200" s="305"/>
    </row>
    <row r="201">
      <c r="A201" s="312"/>
      <c r="B201" s="285">
        <v>46072.0</v>
      </c>
      <c r="C201" s="101" t="s">
        <v>513</v>
      </c>
      <c r="D201" s="297" t="str">
        <f t="shared" si="1"/>
        <v/>
      </c>
      <c r="E201" s="297" t="str">
        <f t="shared" si="2"/>
        <v/>
      </c>
      <c r="F201" s="308">
        <v>79.0</v>
      </c>
      <c r="G201" s="308">
        <v>53.0</v>
      </c>
      <c r="H201" s="308">
        <v>345.96</v>
      </c>
      <c r="I201" s="308">
        <v>0.0</v>
      </c>
      <c r="J201" s="308">
        <v>0.0</v>
      </c>
      <c r="K201" s="298">
        <f t="shared" si="30"/>
        <v>345.96</v>
      </c>
      <c r="L201" s="253" t="str">
        <f t="shared" si="31"/>
        <v/>
      </c>
      <c r="M201" s="139"/>
      <c r="T201" s="294"/>
      <c r="U201" s="304"/>
      <c r="V201" s="305"/>
    </row>
    <row r="202">
      <c r="A202" s="312"/>
      <c r="B202" s="285">
        <v>46072.0</v>
      </c>
      <c r="C202" s="101" t="s">
        <v>225</v>
      </c>
      <c r="D202" s="297" t="str">
        <f t="shared" si="1"/>
        <v>FIRST_DEPOSIT</v>
      </c>
      <c r="E202" s="297" t="str">
        <f t="shared" si="2"/>
        <v>首存</v>
      </c>
      <c r="F202" s="287">
        <v>124.0</v>
      </c>
      <c r="G202" s="288">
        <v>124.0</v>
      </c>
      <c r="H202" s="289">
        <v>10171.0</v>
      </c>
      <c r="I202" s="289">
        <v>0.0</v>
      </c>
      <c r="J202" s="289">
        <v>0.0</v>
      </c>
      <c r="K202" s="298">
        <f t="shared" si="30"/>
        <v>10171</v>
      </c>
      <c r="L202" s="253" t="str">
        <f t="shared" si="31"/>
        <v>首存</v>
      </c>
      <c r="T202" s="294"/>
      <c r="U202" s="304"/>
      <c r="V202" s="305"/>
    </row>
    <row r="203">
      <c r="A203" s="312"/>
      <c r="B203" s="285">
        <v>46072.0</v>
      </c>
      <c r="C203" s="101" t="s">
        <v>544</v>
      </c>
      <c r="D203" s="297" t="str">
        <f t="shared" si="1"/>
        <v/>
      </c>
      <c r="E203" s="297" t="str">
        <f t="shared" si="2"/>
        <v/>
      </c>
      <c r="F203" s="287">
        <v>124.0</v>
      </c>
      <c r="G203" s="288">
        <v>124.0</v>
      </c>
      <c r="H203" s="289">
        <v>10171.0</v>
      </c>
      <c r="I203" s="289">
        <v>0.0</v>
      </c>
      <c r="J203" s="289">
        <v>0.0</v>
      </c>
      <c r="K203" s="298">
        <f t="shared" si="30"/>
        <v>10171</v>
      </c>
      <c r="L203" s="253" t="str">
        <f t="shared" si="31"/>
        <v/>
      </c>
      <c r="T203" s="294"/>
      <c r="U203" s="304"/>
      <c r="V203" s="305"/>
    </row>
    <row r="204">
      <c r="A204" s="312"/>
      <c r="B204" s="285">
        <v>46072.0</v>
      </c>
      <c r="C204" s="101" t="s">
        <v>209</v>
      </c>
      <c r="D204" s="297" t="str">
        <f t="shared" si="1"/>
        <v>LOGIN</v>
      </c>
      <c r="E204" s="297" t="str">
        <f t="shared" si="2"/>
        <v>签到奖励</v>
      </c>
      <c r="F204" s="287">
        <v>3705.0</v>
      </c>
      <c r="G204" s="288">
        <v>3705.0</v>
      </c>
      <c r="H204" s="289">
        <v>5340.0</v>
      </c>
      <c r="I204" s="289">
        <v>0.0</v>
      </c>
      <c r="J204" s="289">
        <v>0.0</v>
      </c>
      <c r="K204" s="298">
        <f t="shared" si="30"/>
        <v>5340</v>
      </c>
      <c r="L204" s="253" t="str">
        <f t="shared" si="31"/>
        <v>签到奖励</v>
      </c>
      <c r="T204" s="294"/>
      <c r="U204" s="304"/>
      <c r="V204" s="305"/>
    </row>
    <row r="205">
      <c r="A205" s="312"/>
      <c r="B205" s="285">
        <v>46072.0</v>
      </c>
      <c r="C205" s="101" t="s">
        <v>549</v>
      </c>
      <c r="D205" s="297" t="str">
        <f t="shared" si="1"/>
        <v/>
      </c>
      <c r="E205" s="297" t="str">
        <f t="shared" si="2"/>
        <v/>
      </c>
      <c r="F205" s="287">
        <v>3705.0</v>
      </c>
      <c r="G205" s="287">
        <v>3705.0</v>
      </c>
      <c r="H205" s="287">
        <v>5340.0</v>
      </c>
      <c r="I205" s="287">
        <v>0.0</v>
      </c>
      <c r="J205" s="287">
        <v>0.0</v>
      </c>
      <c r="K205" s="314">
        <f t="shared" si="30"/>
        <v>5340</v>
      </c>
      <c r="L205" s="253" t="str">
        <f t="shared" si="31"/>
        <v/>
      </c>
      <c r="M205" s="139"/>
      <c r="T205" s="294"/>
      <c r="U205" s="304"/>
      <c r="V205" s="305"/>
    </row>
    <row r="206">
      <c r="A206" s="312"/>
      <c r="B206" s="285">
        <v>46072.0</v>
      </c>
      <c r="C206" s="101" t="s">
        <v>228</v>
      </c>
      <c r="D206" s="297" t="str">
        <f t="shared" si="1"/>
        <v>登录任务</v>
      </c>
      <c r="E206" s="297" t="str">
        <f t="shared" si="2"/>
        <v>登录任务</v>
      </c>
      <c r="F206" s="287">
        <v>0.0</v>
      </c>
      <c r="G206" s="288">
        <v>305.0</v>
      </c>
      <c r="H206" s="289">
        <v>0.0</v>
      </c>
      <c r="I206" s="289">
        <v>455.0</v>
      </c>
      <c r="J206" s="289">
        <v>330.0</v>
      </c>
      <c r="K206" s="298">
        <f t="shared" si="30"/>
        <v>455</v>
      </c>
      <c r="L206" s="253" t="str">
        <f t="shared" si="31"/>
        <v>登录任务</v>
      </c>
      <c r="M206" s="139"/>
      <c r="T206" s="294"/>
      <c r="U206" s="304"/>
      <c r="V206" s="305"/>
    </row>
    <row r="207">
      <c r="A207" s="312"/>
      <c r="B207" s="285">
        <v>46072.0</v>
      </c>
      <c r="C207" s="101" t="s">
        <v>547</v>
      </c>
      <c r="D207" s="297" t="str">
        <f t="shared" si="1"/>
        <v/>
      </c>
      <c r="E207" s="297" t="str">
        <f t="shared" si="2"/>
        <v/>
      </c>
      <c r="F207" s="287">
        <v>0.0</v>
      </c>
      <c r="G207" s="288">
        <v>305.0</v>
      </c>
      <c r="H207" s="289">
        <v>0.0</v>
      </c>
      <c r="I207" s="289">
        <v>455.0</v>
      </c>
      <c r="J207" s="289">
        <v>330.0</v>
      </c>
      <c r="K207" s="298">
        <f t="shared" si="30"/>
        <v>455</v>
      </c>
      <c r="L207" s="253" t="str">
        <f t="shared" si="31"/>
        <v/>
      </c>
      <c r="T207" s="294"/>
      <c r="U207" s="304"/>
      <c r="V207" s="305"/>
    </row>
    <row r="208">
      <c r="A208" s="312"/>
      <c r="B208" s="285">
        <v>46072.0</v>
      </c>
      <c r="C208" s="101" t="s">
        <v>226</v>
      </c>
      <c r="D208" s="297" t="str">
        <f t="shared" si="1"/>
        <v>任务排行榜</v>
      </c>
      <c r="E208" s="297" t="str">
        <f t="shared" si="2"/>
        <v>任务排行榜</v>
      </c>
      <c r="F208" s="287">
        <v>381.0</v>
      </c>
      <c r="G208" s="288">
        <v>247.0</v>
      </c>
      <c r="H208" s="289">
        <v>0.0</v>
      </c>
      <c r="I208" s="289">
        <v>629.0</v>
      </c>
      <c r="J208" s="289">
        <v>214.0</v>
      </c>
      <c r="K208" s="298">
        <f t="shared" si="30"/>
        <v>629</v>
      </c>
      <c r="L208" s="253" t="str">
        <f t="shared" si="31"/>
        <v>任务排行榜</v>
      </c>
      <c r="T208" s="294"/>
      <c r="U208" s="304"/>
      <c r="V208" s="305"/>
    </row>
    <row r="209">
      <c r="A209" s="312"/>
      <c r="B209" s="285">
        <v>46072.0</v>
      </c>
      <c r="C209" s="101" t="s">
        <v>552</v>
      </c>
      <c r="D209" s="297" t="str">
        <f t="shared" si="1"/>
        <v/>
      </c>
      <c r="E209" s="297" t="str">
        <f t="shared" si="2"/>
        <v/>
      </c>
      <c r="F209" s="287">
        <v>381.0</v>
      </c>
      <c r="G209" s="288">
        <v>247.0</v>
      </c>
      <c r="H209" s="289">
        <v>0.0</v>
      </c>
      <c r="I209" s="289">
        <v>629.0</v>
      </c>
      <c r="J209" s="289">
        <v>214.0</v>
      </c>
      <c r="K209" s="298">
        <f t="shared" si="30"/>
        <v>629</v>
      </c>
      <c r="L209" s="253" t="str">
        <f t="shared" si="31"/>
        <v/>
      </c>
      <c r="T209" s="294"/>
      <c r="U209" s="304"/>
      <c r="V209" s="305"/>
    </row>
    <row r="210">
      <c r="A210" s="312"/>
      <c r="B210" s="285">
        <v>46072.0</v>
      </c>
      <c r="C210" s="101" t="s">
        <v>230</v>
      </c>
      <c r="D210" s="297" t="str">
        <f t="shared" si="1"/>
        <v>邀请返佣</v>
      </c>
      <c r="E210" s="297" t="str">
        <f t="shared" si="2"/>
        <v>邀请返佣</v>
      </c>
      <c r="F210" s="287">
        <v>190.0</v>
      </c>
      <c r="G210" s="288">
        <v>144.0</v>
      </c>
      <c r="H210" s="289">
        <v>426.37</v>
      </c>
      <c r="I210" s="289">
        <v>0.0</v>
      </c>
      <c r="J210" s="289">
        <v>0.0</v>
      </c>
      <c r="K210" s="298">
        <f t="shared" si="30"/>
        <v>426.37</v>
      </c>
      <c r="L210" s="253" t="str">
        <f t="shared" si="31"/>
        <v>邀请返佣</v>
      </c>
      <c r="T210" s="294"/>
      <c r="U210" s="304"/>
      <c r="V210" s="305"/>
    </row>
    <row r="211">
      <c r="A211" s="312"/>
      <c r="B211" s="285">
        <v>46072.0</v>
      </c>
      <c r="C211" s="101" t="s">
        <v>386</v>
      </c>
      <c r="D211" s="297" t="str">
        <f t="shared" si="1"/>
        <v/>
      </c>
      <c r="E211" s="297" t="str">
        <f t="shared" si="2"/>
        <v/>
      </c>
      <c r="F211" s="287">
        <v>6.0</v>
      </c>
      <c r="G211" s="288">
        <v>5.0</v>
      </c>
      <c r="H211" s="289">
        <v>40.0</v>
      </c>
      <c r="I211" s="289">
        <v>0.0</v>
      </c>
      <c r="J211" s="289">
        <v>0.0</v>
      </c>
      <c r="K211" s="298">
        <f t="shared" si="30"/>
        <v>40</v>
      </c>
      <c r="L211" s="253" t="str">
        <f t="shared" si="31"/>
        <v/>
      </c>
      <c r="T211" s="294"/>
      <c r="U211" s="304"/>
      <c r="V211" s="305"/>
    </row>
    <row r="212">
      <c r="A212" s="312"/>
      <c r="B212" s="285">
        <v>46072.0</v>
      </c>
      <c r="C212" s="101" t="s">
        <v>387</v>
      </c>
      <c r="D212" s="297" t="str">
        <f t="shared" si="1"/>
        <v/>
      </c>
      <c r="E212" s="297" t="str">
        <f t="shared" si="2"/>
        <v/>
      </c>
      <c r="F212" s="287">
        <v>39.0</v>
      </c>
      <c r="G212" s="288">
        <v>39.0</v>
      </c>
      <c r="H212" s="289">
        <v>6.66</v>
      </c>
      <c r="I212" s="289">
        <v>0.0</v>
      </c>
      <c r="J212" s="289">
        <v>0.0</v>
      </c>
      <c r="K212" s="298">
        <f t="shared" si="30"/>
        <v>6.66</v>
      </c>
      <c r="L212" s="253" t="str">
        <f t="shared" si="31"/>
        <v/>
      </c>
      <c r="T212" s="294"/>
      <c r="U212" s="304"/>
      <c r="V212" s="305"/>
    </row>
    <row r="213">
      <c r="A213" s="312"/>
      <c r="B213" s="285">
        <v>46072.0</v>
      </c>
      <c r="C213" s="101" t="s">
        <v>385</v>
      </c>
      <c r="D213" s="297" t="str">
        <f t="shared" si="1"/>
        <v/>
      </c>
      <c r="E213" s="297" t="str">
        <f t="shared" si="2"/>
        <v/>
      </c>
      <c r="F213" s="289">
        <v>22.0</v>
      </c>
      <c r="G213" s="289">
        <v>21.0</v>
      </c>
      <c r="H213" s="289">
        <v>330.0</v>
      </c>
      <c r="I213" s="289">
        <v>0.0</v>
      </c>
      <c r="J213" s="289">
        <v>0.0</v>
      </c>
      <c r="K213" s="289">
        <f t="shared" si="30"/>
        <v>330</v>
      </c>
      <c r="L213" s="253" t="str">
        <f t="shared" si="31"/>
        <v/>
      </c>
      <c r="M213" s="139"/>
      <c r="T213" s="294"/>
      <c r="U213" s="304"/>
      <c r="V213" s="305"/>
    </row>
    <row r="214">
      <c r="A214" s="312"/>
      <c r="B214" s="285">
        <v>46072.0</v>
      </c>
      <c r="C214" s="101" t="s">
        <v>546</v>
      </c>
      <c r="D214" s="297" t="str">
        <f t="shared" si="1"/>
        <v/>
      </c>
      <c r="E214" s="297" t="str">
        <f t="shared" si="2"/>
        <v/>
      </c>
      <c r="F214" s="287">
        <v>123.0</v>
      </c>
      <c r="G214" s="288">
        <v>123.0</v>
      </c>
      <c r="H214" s="289">
        <v>49.71</v>
      </c>
      <c r="I214" s="289">
        <v>0.0</v>
      </c>
      <c r="J214" s="289">
        <v>0.0</v>
      </c>
      <c r="K214" s="298">
        <f t="shared" si="30"/>
        <v>49.71</v>
      </c>
      <c r="L214" s="253" t="str">
        <f t="shared" si="31"/>
        <v/>
      </c>
      <c r="T214" s="294"/>
      <c r="U214" s="304"/>
      <c r="V214" s="305"/>
    </row>
    <row r="215">
      <c r="A215" s="312"/>
      <c r="B215" s="285">
        <v>46072.0</v>
      </c>
      <c r="C215" s="101" t="s">
        <v>211</v>
      </c>
      <c r="D215" s="297" t="str">
        <f t="shared" si="1"/>
        <v>UPGRADE_BONUS</v>
      </c>
      <c r="E215" s="297" t="str">
        <f t="shared" si="2"/>
        <v>升级奖励</v>
      </c>
      <c r="F215" s="287">
        <v>376.0</v>
      </c>
      <c r="G215" s="288">
        <v>320.0</v>
      </c>
      <c r="H215" s="289">
        <v>707.0</v>
      </c>
      <c r="I215" s="289">
        <v>0.0</v>
      </c>
      <c r="J215" s="289">
        <v>0.0</v>
      </c>
      <c r="K215" s="298">
        <f t="shared" si="30"/>
        <v>707</v>
      </c>
      <c r="L215" s="253" t="str">
        <f t="shared" si="31"/>
        <v>升级奖励</v>
      </c>
      <c r="T215" s="294"/>
      <c r="U215" s="304"/>
      <c r="V215" s="305"/>
    </row>
    <row r="216">
      <c r="A216" s="312"/>
      <c r="B216" s="285">
        <v>46072.0</v>
      </c>
      <c r="C216" s="101" t="s">
        <v>550</v>
      </c>
      <c r="D216" s="297" t="str">
        <f t="shared" si="1"/>
        <v/>
      </c>
      <c r="E216" s="297" t="str">
        <f t="shared" si="2"/>
        <v/>
      </c>
      <c r="F216" s="287">
        <v>376.0</v>
      </c>
      <c r="G216" s="288">
        <v>320.0</v>
      </c>
      <c r="H216" s="289">
        <v>707.0</v>
      </c>
      <c r="I216" s="289">
        <v>0.0</v>
      </c>
      <c r="J216" s="289">
        <v>0.0</v>
      </c>
      <c r="K216" s="298">
        <f t="shared" si="30"/>
        <v>707</v>
      </c>
      <c r="L216" s="253" t="str">
        <f t="shared" si="31"/>
        <v/>
      </c>
      <c r="T216" s="294"/>
      <c r="U216" s="304"/>
      <c r="V216" s="305"/>
    </row>
    <row r="217">
      <c r="A217" s="312"/>
      <c r="B217" s="299"/>
      <c r="C217" s="300"/>
      <c r="D217" s="301" t="str">
        <f t="shared" si="1"/>
        <v/>
      </c>
      <c r="E217" s="301" t="str">
        <f t="shared" si="2"/>
        <v/>
      </c>
      <c r="F217" s="302">
        <f t="shared" ref="F217:K217" si="32">SUM(F195,F199,F202,F204,F206,F208,F210,F215)</f>
        <v>5506</v>
      </c>
      <c r="G217" s="302">
        <f t="shared" si="32"/>
        <v>5517</v>
      </c>
      <c r="H217" s="303">
        <f t="shared" si="32"/>
        <v>25144.06</v>
      </c>
      <c r="I217" s="303">
        <f t="shared" si="32"/>
        <v>1084</v>
      </c>
      <c r="J217" s="303">
        <f t="shared" si="32"/>
        <v>544</v>
      </c>
      <c r="K217" s="303">
        <f t="shared" si="32"/>
        <v>26228.06</v>
      </c>
      <c r="L217" s="307">
        <v>26228.05</v>
      </c>
      <c r="M217" s="112">
        <f>K217-L217</f>
        <v>0.01</v>
      </c>
      <c r="T217" s="294"/>
      <c r="U217" s="304"/>
      <c r="V217" s="305"/>
    </row>
    <row r="218">
      <c r="A218" s="312"/>
      <c r="B218" s="285">
        <v>46073.0</v>
      </c>
      <c r="C218" s="101" t="s">
        <v>187</v>
      </c>
      <c r="D218" s="297" t="str">
        <f t="shared" si="1"/>
        <v>GAME_REBATE</v>
      </c>
      <c r="E218" s="297" t="str">
        <f t="shared" si="2"/>
        <v>玩家返水</v>
      </c>
      <c r="F218" s="287">
        <v>524.0</v>
      </c>
      <c r="G218" s="288">
        <v>524.0</v>
      </c>
      <c r="H218" s="289">
        <v>4729.36</v>
      </c>
      <c r="I218" s="289">
        <v>0.0</v>
      </c>
      <c r="J218" s="289">
        <v>0.0</v>
      </c>
      <c r="K218" s="298">
        <f t="shared" ref="K218:K239" si="33">H218+I218</f>
        <v>4729.36</v>
      </c>
      <c r="L218" s="253" t="str">
        <f t="shared" ref="L218:L239" si="34">IFERROR(VLOOKUP(C218,$M$3:$N$30,2,0),"")</f>
        <v>玩家返水</v>
      </c>
      <c r="T218" s="294"/>
      <c r="U218" s="304"/>
      <c r="V218" s="305"/>
    </row>
    <row r="219">
      <c r="A219" s="312"/>
      <c r="B219" s="285">
        <v>46073.0</v>
      </c>
      <c r="C219" s="101" t="s">
        <v>189</v>
      </c>
      <c r="D219" s="297" t="str">
        <f t="shared" si="1"/>
        <v/>
      </c>
      <c r="E219" s="297" t="str">
        <f t="shared" si="2"/>
        <v/>
      </c>
      <c r="F219" s="287">
        <v>522.0</v>
      </c>
      <c r="G219" s="288">
        <v>522.0</v>
      </c>
      <c r="H219" s="289">
        <v>4704.36</v>
      </c>
      <c r="I219" s="289">
        <v>0.0</v>
      </c>
      <c r="J219" s="289">
        <v>0.0</v>
      </c>
      <c r="K219" s="298">
        <f t="shared" si="33"/>
        <v>4704.36</v>
      </c>
      <c r="L219" s="253" t="str">
        <f t="shared" si="34"/>
        <v/>
      </c>
      <c r="T219" s="294"/>
      <c r="U219" s="304"/>
      <c r="V219" s="305"/>
    </row>
    <row r="220">
      <c r="A220" s="312"/>
      <c r="B220" s="285">
        <v>46073.0</v>
      </c>
      <c r="C220" s="101" t="s">
        <v>190</v>
      </c>
      <c r="D220" s="297" t="str">
        <f t="shared" si="1"/>
        <v/>
      </c>
      <c r="E220" s="297" t="str">
        <f t="shared" si="2"/>
        <v/>
      </c>
      <c r="F220" s="287">
        <v>10.0</v>
      </c>
      <c r="G220" s="288">
        <v>10.0</v>
      </c>
      <c r="H220" s="289">
        <v>23.94</v>
      </c>
      <c r="I220" s="289">
        <v>0.0</v>
      </c>
      <c r="J220" s="289">
        <v>0.0</v>
      </c>
      <c r="K220" s="298">
        <f t="shared" si="33"/>
        <v>23.94</v>
      </c>
      <c r="L220" s="253" t="str">
        <f t="shared" si="34"/>
        <v/>
      </c>
      <c r="T220" s="294"/>
      <c r="U220" s="304"/>
      <c r="V220" s="305"/>
    </row>
    <row r="221">
      <c r="A221" s="312"/>
      <c r="B221" s="285">
        <v>46073.0</v>
      </c>
      <c r="C221" s="101" t="s">
        <v>191</v>
      </c>
      <c r="D221" s="297" t="str">
        <f t="shared" si="1"/>
        <v/>
      </c>
      <c r="E221" s="297" t="str">
        <f t="shared" si="2"/>
        <v/>
      </c>
      <c r="F221" s="287">
        <v>2.0</v>
      </c>
      <c r="G221" s="288">
        <v>2.0</v>
      </c>
      <c r="H221" s="289">
        <v>1.06</v>
      </c>
      <c r="I221" s="289">
        <v>0.0</v>
      </c>
      <c r="J221" s="289">
        <v>0.0</v>
      </c>
      <c r="K221" s="298">
        <f t="shared" si="33"/>
        <v>1.06</v>
      </c>
      <c r="L221" s="253" t="str">
        <f t="shared" si="34"/>
        <v/>
      </c>
      <c r="T221" s="294"/>
      <c r="U221" s="304"/>
      <c r="V221" s="305"/>
    </row>
    <row r="222">
      <c r="A222" s="310"/>
      <c r="B222" s="285">
        <v>46073.0</v>
      </c>
      <c r="C222" s="101" t="s">
        <v>197</v>
      </c>
      <c r="D222" s="297" t="str">
        <f t="shared" si="1"/>
        <v>DEPOSIT</v>
      </c>
      <c r="E222" s="297" t="str">
        <f t="shared" si="2"/>
        <v>笔笔存送</v>
      </c>
      <c r="F222" s="287">
        <v>240.0</v>
      </c>
      <c r="G222" s="288">
        <v>194.0</v>
      </c>
      <c r="H222" s="289">
        <v>4921.43</v>
      </c>
      <c r="I222" s="289">
        <v>0.0</v>
      </c>
      <c r="J222" s="289">
        <v>0.0</v>
      </c>
      <c r="K222" s="298">
        <f t="shared" si="33"/>
        <v>4921.43</v>
      </c>
      <c r="L222" s="253" t="str">
        <f t="shared" si="34"/>
        <v>笔笔存送</v>
      </c>
      <c r="T222" s="294"/>
      <c r="U222" s="304"/>
      <c r="V222" s="305"/>
    </row>
    <row r="223">
      <c r="A223" s="312"/>
      <c r="B223" s="285">
        <v>46073.0</v>
      </c>
      <c r="C223" s="101" t="s">
        <v>511</v>
      </c>
      <c r="D223" s="297" t="str">
        <f t="shared" si="1"/>
        <v/>
      </c>
      <c r="E223" s="297" t="str">
        <f t="shared" si="2"/>
        <v/>
      </c>
      <c r="F223" s="289">
        <v>162.0</v>
      </c>
      <c r="G223" s="289">
        <v>162.0</v>
      </c>
      <c r="H223" s="289">
        <v>4502.6</v>
      </c>
      <c r="I223" s="289">
        <v>0.0</v>
      </c>
      <c r="J223" s="289">
        <v>0.0</v>
      </c>
      <c r="K223" s="289">
        <f t="shared" si="33"/>
        <v>4502.6</v>
      </c>
      <c r="L223" s="253" t="str">
        <f t="shared" si="34"/>
        <v/>
      </c>
      <c r="M223" s="139"/>
      <c r="T223" s="294"/>
      <c r="U223" s="304"/>
      <c r="V223" s="305"/>
    </row>
    <row r="224">
      <c r="A224" s="312"/>
      <c r="B224" s="285">
        <v>46073.0</v>
      </c>
      <c r="C224" s="101" t="s">
        <v>513</v>
      </c>
      <c r="D224" s="297" t="str">
        <f t="shared" si="1"/>
        <v/>
      </c>
      <c r="E224" s="297" t="str">
        <f t="shared" si="2"/>
        <v/>
      </c>
      <c r="F224" s="287">
        <v>78.0</v>
      </c>
      <c r="G224" s="288">
        <v>58.0</v>
      </c>
      <c r="H224" s="289">
        <v>418.83</v>
      </c>
      <c r="I224" s="289">
        <v>0.0</v>
      </c>
      <c r="J224" s="289">
        <v>0.0</v>
      </c>
      <c r="K224" s="298">
        <f t="shared" si="33"/>
        <v>418.83</v>
      </c>
      <c r="L224" s="253" t="str">
        <f t="shared" si="34"/>
        <v/>
      </c>
      <c r="T224" s="294"/>
      <c r="U224" s="304"/>
      <c r="V224" s="305"/>
    </row>
    <row r="225">
      <c r="A225" s="312"/>
      <c r="B225" s="285">
        <v>46073.0</v>
      </c>
      <c r="C225" s="101" t="s">
        <v>225</v>
      </c>
      <c r="D225" s="297" t="str">
        <f t="shared" si="1"/>
        <v>FIRST_DEPOSIT</v>
      </c>
      <c r="E225" s="297" t="str">
        <f t="shared" si="2"/>
        <v>首存</v>
      </c>
      <c r="F225" s="287">
        <v>105.0</v>
      </c>
      <c r="G225" s="288">
        <v>105.0</v>
      </c>
      <c r="H225" s="289">
        <v>7963.5</v>
      </c>
      <c r="I225" s="289">
        <v>0.0</v>
      </c>
      <c r="J225" s="289">
        <v>0.0</v>
      </c>
      <c r="K225" s="298">
        <f t="shared" si="33"/>
        <v>7963.5</v>
      </c>
      <c r="L225" s="253" t="str">
        <f t="shared" si="34"/>
        <v>首存</v>
      </c>
      <c r="T225" s="294"/>
      <c r="U225" s="304"/>
      <c r="V225" s="305"/>
    </row>
    <row r="226">
      <c r="A226" s="312"/>
      <c r="B226" s="285">
        <v>46073.0</v>
      </c>
      <c r="C226" s="101" t="s">
        <v>544</v>
      </c>
      <c r="D226" s="297" t="str">
        <f t="shared" si="1"/>
        <v/>
      </c>
      <c r="E226" s="297" t="str">
        <f t="shared" si="2"/>
        <v/>
      </c>
      <c r="F226" s="287">
        <v>105.0</v>
      </c>
      <c r="G226" s="288">
        <v>105.0</v>
      </c>
      <c r="H226" s="289">
        <v>7963.5</v>
      </c>
      <c r="I226" s="289">
        <v>0.0</v>
      </c>
      <c r="J226" s="289">
        <v>0.0</v>
      </c>
      <c r="K226" s="298">
        <f t="shared" si="33"/>
        <v>7963.5</v>
      </c>
      <c r="L226" s="253" t="str">
        <f t="shared" si="34"/>
        <v/>
      </c>
      <c r="T226" s="294"/>
      <c r="U226" s="304"/>
      <c r="V226" s="305"/>
    </row>
    <row r="227">
      <c r="A227" s="312"/>
      <c r="B227" s="285">
        <v>46073.0</v>
      </c>
      <c r="C227" s="101" t="s">
        <v>209</v>
      </c>
      <c r="D227" s="297" t="str">
        <f t="shared" si="1"/>
        <v>LOGIN</v>
      </c>
      <c r="E227" s="297" t="str">
        <f t="shared" si="2"/>
        <v>签到奖励</v>
      </c>
      <c r="F227" s="287">
        <v>3392.0</v>
      </c>
      <c r="G227" s="288">
        <v>3392.0</v>
      </c>
      <c r="H227" s="289">
        <v>4989.0</v>
      </c>
      <c r="I227" s="289">
        <v>0.0</v>
      </c>
      <c r="J227" s="289">
        <v>0.0</v>
      </c>
      <c r="K227" s="298">
        <f t="shared" si="33"/>
        <v>4989</v>
      </c>
      <c r="L227" s="253" t="str">
        <f t="shared" si="34"/>
        <v>签到奖励</v>
      </c>
      <c r="T227" s="294"/>
      <c r="U227" s="304"/>
      <c r="V227" s="305"/>
    </row>
    <row r="228">
      <c r="A228" s="312"/>
      <c r="B228" s="285">
        <v>46073.0</v>
      </c>
      <c r="C228" s="101" t="s">
        <v>549</v>
      </c>
      <c r="D228" s="297" t="str">
        <f t="shared" si="1"/>
        <v/>
      </c>
      <c r="E228" s="297" t="str">
        <f t="shared" si="2"/>
        <v/>
      </c>
      <c r="F228" s="287">
        <v>3392.0</v>
      </c>
      <c r="G228" s="288">
        <v>3392.0</v>
      </c>
      <c r="H228" s="289">
        <v>4989.0</v>
      </c>
      <c r="I228" s="289">
        <v>0.0</v>
      </c>
      <c r="J228" s="289">
        <v>0.0</v>
      </c>
      <c r="K228" s="298">
        <f t="shared" si="33"/>
        <v>4989</v>
      </c>
      <c r="L228" s="253" t="str">
        <f t="shared" si="34"/>
        <v/>
      </c>
      <c r="T228" s="294"/>
      <c r="U228" s="304"/>
      <c r="V228" s="305"/>
    </row>
    <row r="229">
      <c r="A229" s="312"/>
      <c r="B229" s="285">
        <v>46073.0</v>
      </c>
      <c r="C229" s="101" t="s">
        <v>228</v>
      </c>
      <c r="D229" s="297" t="str">
        <f t="shared" si="1"/>
        <v>登录任务</v>
      </c>
      <c r="E229" s="297" t="str">
        <f t="shared" si="2"/>
        <v>登录任务</v>
      </c>
      <c r="F229" s="289">
        <v>0.0</v>
      </c>
      <c r="G229" s="289">
        <v>285.0</v>
      </c>
      <c r="H229" s="289">
        <v>0.0</v>
      </c>
      <c r="I229" s="289">
        <v>461.0</v>
      </c>
      <c r="J229" s="289">
        <v>325.0</v>
      </c>
      <c r="K229" s="298">
        <f t="shared" si="33"/>
        <v>461</v>
      </c>
      <c r="L229" s="253" t="str">
        <f t="shared" si="34"/>
        <v>登录任务</v>
      </c>
      <c r="M229" s="139"/>
      <c r="O229" s="63"/>
      <c r="T229" s="294"/>
      <c r="U229" s="304"/>
      <c r="V229" s="305"/>
    </row>
    <row r="230">
      <c r="A230" s="312"/>
      <c r="B230" s="285">
        <v>46073.0</v>
      </c>
      <c r="C230" s="101" t="s">
        <v>547</v>
      </c>
      <c r="D230" s="297" t="str">
        <f t="shared" si="1"/>
        <v/>
      </c>
      <c r="E230" s="297" t="str">
        <f t="shared" si="2"/>
        <v/>
      </c>
      <c r="F230" s="287">
        <v>0.0</v>
      </c>
      <c r="G230" s="288">
        <v>285.0</v>
      </c>
      <c r="H230" s="289">
        <v>0.0</v>
      </c>
      <c r="I230" s="289">
        <v>461.0</v>
      </c>
      <c r="J230" s="289">
        <v>325.0</v>
      </c>
      <c r="K230" s="298">
        <f t="shared" si="33"/>
        <v>461</v>
      </c>
      <c r="L230" s="253" t="str">
        <f t="shared" si="34"/>
        <v/>
      </c>
      <c r="T230" s="294"/>
      <c r="U230" s="304"/>
      <c r="V230" s="305"/>
    </row>
    <row r="231">
      <c r="A231" s="312"/>
      <c r="B231" s="285">
        <v>46073.0</v>
      </c>
      <c r="C231" s="101" t="s">
        <v>226</v>
      </c>
      <c r="D231" s="297" t="str">
        <f t="shared" si="1"/>
        <v>任务排行榜</v>
      </c>
      <c r="E231" s="297" t="str">
        <f t="shared" si="2"/>
        <v>任务排行榜</v>
      </c>
      <c r="F231" s="287">
        <v>356.0</v>
      </c>
      <c r="G231" s="287">
        <v>230.0</v>
      </c>
      <c r="H231" s="289">
        <v>0.0</v>
      </c>
      <c r="I231" s="289">
        <v>631.0</v>
      </c>
      <c r="J231" s="289">
        <v>219.0</v>
      </c>
      <c r="K231" s="298">
        <f t="shared" si="33"/>
        <v>631</v>
      </c>
      <c r="L231" s="253" t="str">
        <f t="shared" si="34"/>
        <v>任务排行榜</v>
      </c>
      <c r="T231" s="294"/>
      <c r="U231" s="304"/>
      <c r="V231" s="305"/>
    </row>
    <row r="232">
      <c r="A232" s="312"/>
      <c r="B232" s="285">
        <v>46073.0</v>
      </c>
      <c r="C232" s="101" t="s">
        <v>552</v>
      </c>
      <c r="D232" s="297" t="str">
        <f t="shared" si="1"/>
        <v/>
      </c>
      <c r="E232" s="297" t="str">
        <f t="shared" si="2"/>
        <v/>
      </c>
      <c r="F232" s="287">
        <v>356.0</v>
      </c>
      <c r="G232" s="288">
        <v>230.0</v>
      </c>
      <c r="H232" s="289">
        <v>0.0</v>
      </c>
      <c r="I232" s="289">
        <v>631.0</v>
      </c>
      <c r="J232" s="289">
        <v>219.0</v>
      </c>
      <c r="K232" s="298">
        <f t="shared" si="33"/>
        <v>631</v>
      </c>
      <c r="L232" s="253" t="str">
        <f t="shared" si="34"/>
        <v/>
      </c>
      <c r="T232" s="294"/>
      <c r="U232" s="304"/>
      <c r="V232" s="305"/>
    </row>
    <row r="233">
      <c r="A233" s="312"/>
      <c r="B233" s="285">
        <v>46073.0</v>
      </c>
      <c r="C233" s="101" t="s">
        <v>230</v>
      </c>
      <c r="D233" s="297" t="str">
        <f t="shared" si="1"/>
        <v>邀请返佣</v>
      </c>
      <c r="E233" s="297" t="str">
        <f t="shared" si="2"/>
        <v>邀请返佣</v>
      </c>
      <c r="F233" s="287">
        <v>160.0</v>
      </c>
      <c r="G233" s="288">
        <v>124.0</v>
      </c>
      <c r="H233" s="289">
        <v>455.98</v>
      </c>
      <c r="I233" s="289">
        <v>0.0</v>
      </c>
      <c r="J233" s="289">
        <v>0.0</v>
      </c>
      <c r="K233" s="298">
        <f t="shared" si="33"/>
        <v>455.98</v>
      </c>
      <c r="L233" s="253" t="str">
        <f t="shared" si="34"/>
        <v>邀请返佣</v>
      </c>
      <c r="T233" s="294"/>
      <c r="U233" s="304"/>
      <c r="V233" s="305"/>
    </row>
    <row r="234">
      <c r="A234" s="312"/>
      <c r="B234" s="285">
        <v>46073.0</v>
      </c>
      <c r="C234" s="101" t="s">
        <v>386</v>
      </c>
      <c r="D234" s="297" t="str">
        <f t="shared" si="1"/>
        <v/>
      </c>
      <c r="E234" s="297" t="str">
        <f t="shared" si="2"/>
        <v/>
      </c>
      <c r="F234" s="287">
        <v>6.0</v>
      </c>
      <c r="G234" s="288">
        <v>3.0</v>
      </c>
      <c r="H234" s="289">
        <v>115.0</v>
      </c>
      <c r="I234" s="289">
        <v>0.0</v>
      </c>
      <c r="J234" s="289">
        <v>0.0</v>
      </c>
      <c r="K234" s="298">
        <f t="shared" si="33"/>
        <v>115</v>
      </c>
      <c r="L234" s="253" t="str">
        <f t="shared" si="34"/>
        <v/>
      </c>
      <c r="T234" s="294"/>
      <c r="U234" s="304"/>
      <c r="V234" s="305"/>
    </row>
    <row r="235">
      <c r="A235" s="312"/>
      <c r="B235" s="285">
        <v>46073.0</v>
      </c>
      <c r="C235" s="101" t="s">
        <v>387</v>
      </c>
      <c r="D235" s="297" t="str">
        <f t="shared" si="1"/>
        <v/>
      </c>
      <c r="E235" s="297" t="str">
        <f t="shared" si="2"/>
        <v/>
      </c>
      <c r="F235" s="289">
        <v>26.0</v>
      </c>
      <c r="G235" s="289">
        <v>26.0</v>
      </c>
      <c r="H235" s="289">
        <v>6.7</v>
      </c>
      <c r="I235" s="289">
        <v>0.0</v>
      </c>
      <c r="J235" s="289">
        <v>0.0</v>
      </c>
      <c r="K235" s="298">
        <f t="shared" si="33"/>
        <v>6.7</v>
      </c>
      <c r="L235" s="253" t="str">
        <f t="shared" si="34"/>
        <v/>
      </c>
      <c r="M235" s="139"/>
      <c r="T235" s="294"/>
      <c r="U235" s="304"/>
      <c r="V235" s="305"/>
    </row>
    <row r="236">
      <c r="A236" s="312"/>
      <c r="B236" s="285">
        <v>46073.0</v>
      </c>
      <c r="C236" s="101" t="s">
        <v>385</v>
      </c>
      <c r="D236" s="297" t="str">
        <f t="shared" si="1"/>
        <v/>
      </c>
      <c r="E236" s="297" t="str">
        <f t="shared" si="2"/>
        <v/>
      </c>
      <c r="F236" s="287">
        <v>18.0</v>
      </c>
      <c r="G236" s="288">
        <v>18.0</v>
      </c>
      <c r="H236" s="289">
        <v>270.0</v>
      </c>
      <c r="I236" s="289">
        <v>0.0</v>
      </c>
      <c r="J236" s="289">
        <v>0.0</v>
      </c>
      <c r="K236" s="298">
        <f t="shared" si="33"/>
        <v>270</v>
      </c>
      <c r="L236" s="253" t="str">
        <f t="shared" si="34"/>
        <v/>
      </c>
      <c r="T236" s="294"/>
      <c r="U236" s="304"/>
      <c r="V236" s="305"/>
    </row>
    <row r="237">
      <c r="A237" s="312"/>
      <c r="B237" s="285">
        <v>46073.0</v>
      </c>
      <c r="C237" s="101" t="s">
        <v>546</v>
      </c>
      <c r="D237" s="297" t="str">
        <f t="shared" si="1"/>
        <v/>
      </c>
      <c r="E237" s="297" t="str">
        <f t="shared" si="2"/>
        <v/>
      </c>
      <c r="F237" s="287">
        <v>110.0</v>
      </c>
      <c r="G237" s="288">
        <v>110.0</v>
      </c>
      <c r="H237" s="289">
        <v>64.28</v>
      </c>
      <c r="I237" s="289">
        <v>0.0</v>
      </c>
      <c r="J237" s="289">
        <v>0.0</v>
      </c>
      <c r="K237" s="298">
        <f t="shared" si="33"/>
        <v>64.28</v>
      </c>
      <c r="L237" s="253" t="str">
        <f t="shared" si="34"/>
        <v/>
      </c>
      <c r="T237" s="294"/>
      <c r="U237" s="304"/>
      <c r="V237" s="305"/>
    </row>
    <row r="238">
      <c r="A238" s="312"/>
      <c r="B238" s="285">
        <v>46073.0</v>
      </c>
      <c r="C238" s="101" t="s">
        <v>211</v>
      </c>
      <c r="D238" s="297" t="str">
        <f t="shared" si="1"/>
        <v>UPGRADE_BONUS</v>
      </c>
      <c r="E238" s="297" t="str">
        <f t="shared" si="2"/>
        <v>升级奖励</v>
      </c>
      <c r="F238" s="287">
        <v>323.0</v>
      </c>
      <c r="G238" s="288">
        <v>277.0</v>
      </c>
      <c r="H238" s="289">
        <v>637.0</v>
      </c>
      <c r="I238" s="289">
        <v>0.0</v>
      </c>
      <c r="J238" s="289">
        <v>0.0</v>
      </c>
      <c r="K238" s="298">
        <f t="shared" si="33"/>
        <v>637</v>
      </c>
      <c r="L238" s="253" t="str">
        <f t="shared" si="34"/>
        <v>升级奖励</v>
      </c>
      <c r="T238" s="294"/>
      <c r="U238" s="304"/>
      <c r="V238" s="305"/>
    </row>
    <row r="239">
      <c r="A239" s="312"/>
      <c r="B239" s="285">
        <v>46073.0</v>
      </c>
      <c r="C239" s="101" t="s">
        <v>550</v>
      </c>
      <c r="D239" s="297" t="str">
        <f t="shared" si="1"/>
        <v/>
      </c>
      <c r="E239" s="297" t="str">
        <f t="shared" si="2"/>
        <v/>
      </c>
      <c r="F239" s="287">
        <v>323.0</v>
      </c>
      <c r="G239" s="287">
        <v>277.0</v>
      </c>
      <c r="H239" s="289">
        <v>637.0</v>
      </c>
      <c r="I239" s="289">
        <v>0.0</v>
      </c>
      <c r="J239" s="289">
        <v>0.0</v>
      </c>
      <c r="K239" s="289">
        <f t="shared" si="33"/>
        <v>637</v>
      </c>
      <c r="L239" s="253" t="str">
        <f t="shared" si="34"/>
        <v/>
      </c>
      <c r="T239" s="294"/>
      <c r="U239" s="304"/>
      <c r="V239" s="305"/>
    </row>
    <row r="240">
      <c r="A240" s="312"/>
      <c r="B240" s="299"/>
      <c r="C240" s="300"/>
      <c r="D240" s="301" t="str">
        <f t="shared" si="1"/>
        <v/>
      </c>
      <c r="E240" s="301" t="str">
        <f t="shared" si="2"/>
        <v/>
      </c>
      <c r="F240" s="302">
        <f t="shared" ref="F240:K240" si="35">SUM(F218,F222,F225,F227,F229,F231,F233,F238)</f>
        <v>5100</v>
      </c>
      <c r="G240" s="302">
        <f t="shared" si="35"/>
        <v>5131</v>
      </c>
      <c r="H240" s="303">
        <f t="shared" si="35"/>
        <v>23696.27</v>
      </c>
      <c r="I240" s="303">
        <f t="shared" si="35"/>
        <v>1092</v>
      </c>
      <c r="J240" s="303">
        <f t="shared" si="35"/>
        <v>544</v>
      </c>
      <c r="K240" s="303">
        <f t="shared" si="35"/>
        <v>24788.27</v>
      </c>
      <c r="L240" s="307">
        <v>24788.27</v>
      </c>
      <c r="M240" s="139">
        <f>K240-L240</f>
        <v>0</v>
      </c>
      <c r="T240" s="294"/>
      <c r="U240" s="304"/>
      <c r="V240" s="305"/>
    </row>
    <row r="241">
      <c r="A241" s="312"/>
      <c r="B241" s="285">
        <v>46074.0</v>
      </c>
      <c r="C241" s="101" t="s">
        <v>187</v>
      </c>
      <c r="D241" s="297" t="str">
        <f t="shared" si="1"/>
        <v>GAME_REBATE</v>
      </c>
      <c r="E241" s="297" t="str">
        <f t="shared" si="2"/>
        <v>玩家返水</v>
      </c>
      <c r="F241" s="287">
        <v>509.0</v>
      </c>
      <c r="G241" s="288">
        <v>509.0</v>
      </c>
      <c r="H241" s="289">
        <v>4014.79</v>
      </c>
      <c r="I241" s="289">
        <v>0.0</v>
      </c>
      <c r="J241" s="289">
        <v>0.0</v>
      </c>
      <c r="K241" s="298">
        <f t="shared" ref="K241:K261" si="36">H241+I241</f>
        <v>4014.79</v>
      </c>
      <c r="L241" s="253" t="str">
        <f t="shared" ref="L241:L261" si="37">IFERROR(VLOOKUP(C241,$M$3:$N$30,2,0),"")</f>
        <v>玩家返水</v>
      </c>
      <c r="T241" s="294"/>
      <c r="U241" s="304"/>
      <c r="V241" s="305"/>
    </row>
    <row r="242">
      <c r="A242" s="312"/>
      <c r="B242" s="285">
        <v>46074.0</v>
      </c>
      <c r="C242" s="101" t="s">
        <v>189</v>
      </c>
      <c r="D242" s="297" t="str">
        <f t="shared" si="1"/>
        <v/>
      </c>
      <c r="E242" s="297" t="str">
        <f t="shared" si="2"/>
        <v/>
      </c>
      <c r="F242" s="308">
        <v>507.0</v>
      </c>
      <c r="G242" s="308">
        <v>507.0</v>
      </c>
      <c r="H242" s="308">
        <v>3998.37</v>
      </c>
      <c r="I242" s="308">
        <v>0.0</v>
      </c>
      <c r="J242" s="308">
        <v>0.0</v>
      </c>
      <c r="K242" s="298">
        <f t="shared" si="36"/>
        <v>3998.37</v>
      </c>
      <c r="L242" s="253" t="str">
        <f t="shared" si="37"/>
        <v/>
      </c>
      <c r="M242" s="139"/>
      <c r="T242" s="294"/>
      <c r="U242" s="304"/>
      <c r="V242" s="305"/>
    </row>
    <row r="243">
      <c r="A243" s="312"/>
      <c r="B243" s="285">
        <v>46074.0</v>
      </c>
      <c r="C243" s="101" t="s">
        <v>190</v>
      </c>
      <c r="D243" s="297" t="str">
        <f t="shared" si="1"/>
        <v/>
      </c>
      <c r="E243" s="297" t="str">
        <f t="shared" si="2"/>
        <v/>
      </c>
      <c r="F243" s="287">
        <v>8.0</v>
      </c>
      <c r="G243" s="288">
        <v>8.0</v>
      </c>
      <c r="H243" s="289">
        <v>16.42</v>
      </c>
      <c r="I243" s="289">
        <v>0.0</v>
      </c>
      <c r="J243" s="289">
        <v>0.0</v>
      </c>
      <c r="K243" s="298">
        <f t="shared" si="36"/>
        <v>16.42</v>
      </c>
      <c r="L243" s="253" t="str">
        <f t="shared" si="37"/>
        <v/>
      </c>
      <c r="T243" s="294"/>
      <c r="U243" s="304"/>
      <c r="V243" s="305"/>
    </row>
    <row r="244">
      <c r="A244" s="312"/>
      <c r="B244" s="285">
        <v>46074.0</v>
      </c>
      <c r="C244" s="101" t="s">
        <v>197</v>
      </c>
      <c r="D244" s="297" t="str">
        <f t="shared" si="1"/>
        <v>DEPOSIT</v>
      </c>
      <c r="E244" s="297" t="str">
        <f t="shared" si="2"/>
        <v>笔笔存送</v>
      </c>
      <c r="F244" s="287">
        <v>214.0</v>
      </c>
      <c r="G244" s="288">
        <v>179.0</v>
      </c>
      <c r="H244" s="289">
        <v>4141.83</v>
      </c>
      <c r="I244" s="289">
        <v>0.0</v>
      </c>
      <c r="J244" s="289">
        <v>0.0</v>
      </c>
      <c r="K244" s="298">
        <f t="shared" si="36"/>
        <v>4141.83</v>
      </c>
      <c r="L244" s="253" t="str">
        <f t="shared" si="37"/>
        <v>笔笔存送</v>
      </c>
      <c r="T244" s="294"/>
      <c r="U244" s="304"/>
      <c r="V244" s="305"/>
    </row>
    <row r="245">
      <c r="A245" s="312"/>
      <c r="B245" s="285">
        <v>46074.0</v>
      </c>
      <c r="C245" s="101" t="s">
        <v>511</v>
      </c>
      <c r="D245" s="297" t="str">
        <f t="shared" si="1"/>
        <v/>
      </c>
      <c r="E245" s="297" t="str">
        <f t="shared" si="2"/>
        <v/>
      </c>
      <c r="F245" s="287">
        <v>148.0</v>
      </c>
      <c r="G245" s="288">
        <v>148.0</v>
      </c>
      <c r="H245" s="289">
        <v>3846.0</v>
      </c>
      <c r="I245" s="289">
        <v>0.0</v>
      </c>
      <c r="J245" s="289">
        <v>0.0</v>
      </c>
      <c r="K245" s="298">
        <f t="shared" si="36"/>
        <v>3846</v>
      </c>
      <c r="L245" s="253" t="str">
        <f t="shared" si="37"/>
        <v/>
      </c>
      <c r="T245" s="294"/>
      <c r="U245" s="304"/>
      <c r="V245" s="305"/>
    </row>
    <row r="246">
      <c r="A246" s="312"/>
      <c r="B246" s="285">
        <v>46074.0</v>
      </c>
      <c r="C246" s="101" t="s">
        <v>513</v>
      </c>
      <c r="D246" s="297" t="str">
        <f t="shared" si="1"/>
        <v/>
      </c>
      <c r="E246" s="297" t="str">
        <f t="shared" si="2"/>
        <v/>
      </c>
      <c r="F246" s="287">
        <v>66.0</v>
      </c>
      <c r="G246" s="288">
        <v>50.0</v>
      </c>
      <c r="H246" s="289">
        <v>295.83</v>
      </c>
      <c r="I246" s="289">
        <v>0.0</v>
      </c>
      <c r="J246" s="289">
        <v>0.0</v>
      </c>
      <c r="K246" s="298">
        <f t="shared" si="36"/>
        <v>295.83</v>
      </c>
      <c r="L246" s="253" t="str">
        <f t="shared" si="37"/>
        <v/>
      </c>
      <c r="T246" s="294"/>
      <c r="U246" s="304"/>
      <c r="V246" s="305"/>
    </row>
    <row r="247">
      <c r="A247" s="312"/>
      <c r="B247" s="285">
        <v>46074.0</v>
      </c>
      <c r="C247" s="101" t="s">
        <v>225</v>
      </c>
      <c r="D247" s="297" t="str">
        <f t="shared" si="1"/>
        <v>FIRST_DEPOSIT</v>
      </c>
      <c r="E247" s="297" t="str">
        <f t="shared" si="2"/>
        <v>首存</v>
      </c>
      <c r="F247" s="287">
        <v>79.0</v>
      </c>
      <c r="G247" s="288">
        <v>79.0</v>
      </c>
      <c r="H247" s="289">
        <v>5874.0</v>
      </c>
      <c r="I247" s="289">
        <v>0.0</v>
      </c>
      <c r="J247" s="289">
        <v>0.0</v>
      </c>
      <c r="K247" s="298">
        <f t="shared" si="36"/>
        <v>5874</v>
      </c>
      <c r="L247" s="253" t="str">
        <f t="shared" si="37"/>
        <v>首存</v>
      </c>
      <c r="T247" s="294"/>
      <c r="U247" s="304"/>
      <c r="V247" s="305"/>
    </row>
    <row r="248">
      <c r="A248" s="312"/>
      <c r="B248" s="285">
        <v>46074.0</v>
      </c>
      <c r="C248" s="101" t="s">
        <v>544</v>
      </c>
      <c r="D248" s="297" t="str">
        <f t="shared" si="1"/>
        <v/>
      </c>
      <c r="E248" s="297" t="str">
        <f t="shared" si="2"/>
        <v/>
      </c>
      <c r="F248" s="287">
        <v>79.0</v>
      </c>
      <c r="G248" s="288">
        <v>79.0</v>
      </c>
      <c r="H248" s="289">
        <v>5874.0</v>
      </c>
      <c r="I248" s="289">
        <v>0.0</v>
      </c>
      <c r="J248" s="289">
        <v>0.0</v>
      </c>
      <c r="K248" s="298">
        <f t="shared" si="36"/>
        <v>5874</v>
      </c>
      <c r="L248" s="253" t="str">
        <f t="shared" si="37"/>
        <v/>
      </c>
      <c r="T248" s="294"/>
      <c r="U248" s="304"/>
      <c r="V248" s="305"/>
    </row>
    <row r="249">
      <c r="A249" s="312"/>
      <c r="B249" s="285">
        <v>46074.0</v>
      </c>
      <c r="C249" s="101" t="s">
        <v>209</v>
      </c>
      <c r="D249" s="297" t="str">
        <f t="shared" si="1"/>
        <v>LOGIN</v>
      </c>
      <c r="E249" s="297" t="str">
        <f t="shared" si="2"/>
        <v>签到奖励</v>
      </c>
      <c r="F249" s="287">
        <v>3064.0</v>
      </c>
      <c r="G249" s="288">
        <v>3064.0</v>
      </c>
      <c r="H249" s="289">
        <v>4379.0</v>
      </c>
      <c r="I249" s="289">
        <v>0.0</v>
      </c>
      <c r="J249" s="289">
        <v>0.0</v>
      </c>
      <c r="K249" s="298">
        <f t="shared" si="36"/>
        <v>4379</v>
      </c>
      <c r="L249" s="253" t="str">
        <f t="shared" si="37"/>
        <v>签到奖励</v>
      </c>
      <c r="T249" s="294"/>
      <c r="U249" s="304"/>
      <c r="V249" s="305"/>
    </row>
    <row r="250">
      <c r="A250" s="312"/>
      <c r="B250" s="285">
        <v>46074.0</v>
      </c>
      <c r="C250" s="101" t="s">
        <v>549</v>
      </c>
      <c r="D250" s="297" t="str">
        <f t="shared" si="1"/>
        <v/>
      </c>
      <c r="E250" s="297" t="str">
        <f t="shared" si="2"/>
        <v/>
      </c>
      <c r="F250" s="287">
        <v>3064.0</v>
      </c>
      <c r="G250" s="288">
        <v>3064.0</v>
      </c>
      <c r="H250" s="289">
        <v>4379.0</v>
      </c>
      <c r="I250" s="289">
        <v>0.0</v>
      </c>
      <c r="J250" s="289">
        <v>0.0</v>
      </c>
      <c r="K250" s="298">
        <f t="shared" si="36"/>
        <v>4379</v>
      </c>
      <c r="L250" s="253" t="str">
        <f t="shared" si="37"/>
        <v/>
      </c>
      <c r="T250" s="315"/>
      <c r="U250" s="316"/>
      <c r="V250" s="317"/>
    </row>
    <row r="251">
      <c r="A251" s="312"/>
      <c r="B251" s="285">
        <v>46074.0</v>
      </c>
      <c r="C251" s="101" t="s">
        <v>228</v>
      </c>
      <c r="D251" s="297" t="str">
        <f t="shared" si="1"/>
        <v>登录任务</v>
      </c>
      <c r="E251" s="297" t="str">
        <f t="shared" si="2"/>
        <v>登录任务</v>
      </c>
      <c r="F251" s="287">
        <v>0.0</v>
      </c>
      <c r="G251" s="288">
        <v>254.0</v>
      </c>
      <c r="H251" s="289">
        <v>0.0</v>
      </c>
      <c r="I251" s="289">
        <v>402.0</v>
      </c>
      <c r="J251" s="289">
        <v>284.0</v>
      </c>
      <c r="K251" s="298">
        <f t="shared" si="36"/>
        <v>402</v>
      </c>
      <c r="L251" s="253" t="str">
        <f t="shared" si="37"/>
        <v>登录任务</v>
      </c>
      <c r="T251" s="315"/>
      <c r="U251" s="316"/>
      <c r="V251" s="317"/>
    </row>
    <row r="252">
      <c r="A252" s="312"/>
      <c r="B252" s="285">
        <v>46074.0</v>
      </c>
      <c r="C252" s="101" t="s">
        <v>547</v>
      </c>
      <c r="D252" s="297" t="str">
        <f t="shared" si="1"/>
        <v/>
      </c>
      <c r="E252" s="297" t="str">
        <f t="shared" si="2"/>
        <v/>
      </c>
      <c r="F252" s="287">
        <v>0.0</v>
      </c>
      <c r="G252" s="288">
        <v>254.0</v>
      </c>
      <c r="H252" s="289">
        <v>0.0</v>
      </c>
      <c r="I252" s="289">
        <v>402.0</v>
      </c>
      <c r="J252" s="289">
        <v>284.0</v>
      </c>
      <c r="K252" s="298">
        <f t="shared" si="36"/>
        <v>402</v>
      </c>
      <c r="L252" s="253" t="str">
        <f t="shared" si="37"/>
        <v/>
      </c>
      <c r="T252" s="315"/>
      <c r="U252" s="316"/>
      <c r="V252" s="317"/>
    </row>
    <row r="253">
      <c r="A253" s="312"/>
      <c r="B253" s="285">
        <v>46074.0</v>
      </c>
      <c r="C253" s="101" t="s">
        <v>226</v>
      </c>
      <c r="D253" s="297" t="str">
        <f t="shared" si="1"/>
        <v>任务排行榜</v>
      </c>
      <c r="E253" s="297" t="str">
        <f t="shared" si="2"/>
        <v>任务排行榜</v>
      </c>
      <c r="F253" s="287">
        <v>288.0</v>
      </c>
      <c r="G253" s="288">
        <v>196.0</v>
      </c>
      <c r="H253" s="289">
        <v>0.0</v>
      </c>
      <c r="I253" s="289">
        <v>412.0</v>
      </c>
      <c r="J253" s="289">
        <v>168.0</v>
      </c>
      <c r="K253" s="298">
        <f t="shared" si="36"/>
        <v>412</v>
      </c>
      <c r="L253" s="253" t="str">
        <f t="shared" si="37"/>
        <v>任务排行榜</v>
      </c>
      <c r="T253" s="315"/>
      <c r="U253" s="316"/>
      <c r="V253" s="317"/>
    </row>
    <row r="254">
      <c r="A254" s="312"/>
      <c r="B254" s="285">
        <v>46074.0</v>
      </c>
      <c r="C254" s="101" t="s">
        <v>552</v>
      </c>
      <c r="D254" s="297" t="str">
        <f t="shared" si="1"/>
        <v/>
      </c>
      <c r="E254" s="297" t="str">
        <f t="shared" si="2"/>
        <v/>
      </c>
      <c r="F254" s="289">
        <v>288.0</v>
      </c>
      <c r="G254" s="289">
        <v>196.0</v>
      </c>
      <c r="H254" s="289">
        <v>0.0</v>
      </c>
      <c r="I254" s="289">
        <v>412.0</v>
      </c>
      <c r="J254" s="289">
        <v>168.0</v>
      </c>
      <c r="K254" s="289">
        <f t="shared" si="36"/>
        <v>412</v>
      </c>
      <c r="L254" s="253" t="str">
        <f t="shared" si="37"/>
        <v/>
      </c>
      <c r="M254" s="139"/>
      <c r="T254" s="315"/>
      <c r="U254" s="316"/>
      <c r="V254" s="317"/>
    </row>
    <row r="255">
      <c r="A255" s="312"/>
      <c r="B255" s="285">
        <v>46074.0</v>
      </c>
      <c r="C255" s="101" t="s">
        <v>230</v>
      </c>
      <c r="D255" s="297" t="str">
        <f t="shared" si="1"/>
        <v>邀请返佣</v>
      </c>
      <c r="E255" s="297" t="str">
        <f t="shared" si="2"/>
        <v>邀请返佣</v>
      </c>
      <c r="F255" s="287">
        <v>170.0</v>
      </c>
      <c r="G255" s="287">
        <v>138.0</v>
      </c>
      <c r="H255" s="287">
        <v>406.72</v>
      </c>
      <c r="I255" s="287">
        <v>0.0</v>
      </c>
      <c r="J255" s="287">
        <v>0.0</v>
      </c>
      <c r="K255" s="289">
        <f t="shared" si="36"/>
        <v>406.72</v>
      </c>
      <c r="L255" s="253" t="str">
        <f t="shared" si="37"/>
        <v>邀请返佣</v>
      </c>
      <c r="M255" s="139"/>
      <c r="T255" s="315"/>
      <c r="U255" s="316"/>
      <c r="V255" s="317"/>
    </row>
    <row r="256">
      <c r="A256" s="312"/>
      <c r="B256" s="285">
        <v>46074.0</v>
      </c>
      <c r="C256" s="101" t="s">
        <v>386</v>
      </c>
      <c r="D256" s="297" t="str">
        <f t="shared" si="1"/>
        <v/>
      </c>
      <c r="E256" s="297" t="str">
        <f t="shared" si="2"/>
        <v/>
      </c>
      <c r="F256" s="287">
        <v>3.0</v>
      </c>
      <c r="G256" s="288">
        <v>2.0</v>
      </c>
      <c r="H256" s="289">
        <v>25.0</v>
      </c>
      <c r="I256" s="289">
        <v>0.0</v>
      </c>
      <c r="J256" s="289">
        <v>0.0</v>
      </c>
      <c r="K256" s="298">
        <f t="shared" si="36"/>
        <v>25</v>
      </c>
      <c r="L256" s="253" t="str">
        <f t="shared" si="37"/>
        <v/>
      </c>
      <c r="T256" s="315"/>
      <c r="U256" s="316"/>
      <c r="V256" s="317"/>
    </row>
    <row r="257">
      <c r="A257" s="312"/>
      <c r="B257" s="285">
        <v>46074.0</v>
      </c>
      <c r="C257" s="101" t="s">
        <v>387</v>
      </c>
      <c r="D257" s="297" t="str">
        <f t="shared" si="1"/>
        <v/>
      </c>
      <c r="E257" s="297" t="str">
        <f t="shared" si="2"/>
        <v/>
      </c>
      <c r="F257" s="287">
        <v>29.0</v>
      </c>
      <c r="G257" s="288">
        <v>29.0</v>
      </c>
      <c r="H257" s="289">
        <v>6.65</v>
      </c>
      <c r="I257" s="289">
        <v>0.0</v>
      </c>
      <c r="J257" s="289">
        <v>0.0</v>
      </c>
      <c r="K257" s="298">
        <f t="shared" si="36"/>
        <v>6.65</v>
      </c>
      <c r="L257" s="253" t="str">
        <f t="shared" si="37"/>
        <v/>
      </c>
      <c r="T257" s="315"/>
      <c r="U257" s="316"/>
      <c r="V257" s="317"/>
    </row>
    <row r="258">
      <c r="A258" s="310"/>
      <c r="B258" s="285">
        <v>46074.0</v>
      </c>
      <c r="C258" s="101" t="s">
        <v>385</v>
      </c>
      <c r="D258" s="297" t="str">
        <f t="shared" si="1"/>
        <v/>
      </c>
      <c r="E258" s="297" t="str">
        <f t="shared" si="2"/>
        <v/>
      </c>
      <c r="F258" s="287">
        <v>22.0</v>
      </c>
      <c r="G258" s="288">
        <v>22.0</v>
      </c>
      <c r="H258" s="289">
        <v>330.0</v>
      </c>
      <c r="I258" s="289">
        <v>0.0</v>
      </c>
      <c r="J258" s="289">
        <v>0.0</v>
      </c>
      <c r="K258" s="298">
        <f t="shared" si="36"/>
        <v>330</v>
      </c>
      <c r="L258" s="253" t="str">
        <f t="shared" si="37"/>
        <v/>
      </c>
      <c r="T258" s="315"/>
      <c r="U258" s="316"/>
      <c r="V258" s="317"/>
    </row>
    <row r="259">
      <c r="A259" s="310"/>
      <c r="B259" s="285">
        <v>46074.0</v>
      </c>
      <c r="C259" s="101" t="s">
        <v>546</v>
      </c>
      <c r="D259" s="297" t="str">
        <f t="shared" si="1"/>
        <v/>
      </c>
      <c r="E259" s="297" t="str">
        <f t="shared" si="2"/>
        <v/>
      </c>
      <c r="F259" s="289">
        <v>116.0</v>
      </c>
      <c r="G259" s="289">
        <v>116.0</v>
      </c>
      <c r="H259" s="289">
        <v>45.07</v>
      </c>
      <c r="I259" s="289">
        <v>0.0</v>
      </c>
      <c r="J259" s="289">
        <v>0.0</v>
      </c>
      <c r="K259" s="298">
        <f t="shared" si="36"/>
        <v>45.07</v>
      </c>
      <c r="L259" s="253" t="str">
        <f t="shared" si="37"/>
        <v/>
      </c>
      <c r="T259" s="315"/>
      <c r="U259" s="316"/>
      <c r="V259" s="317"/>
    </row>
    <row r="260">
      <c r="A260" s="310"/>
      <c r="B260" s="285">
        <v>46074.0</v>
      </c>
      <c r="C260" s="101" t="s">
        <v>211</v>
      </c>
      <c r="D260" s="297" t="str">
        <f t="shared" si="1"/>
        <v>UPGRADE_BONUS</v>
      </c>
      <c r="E260" s="297" t="str">
        <f t="shared" si="2"/>
        <v>升级奖励</v>
      </c>
      <c r="F260" s="287">
        <v>254.0</v>
      </c>
      <c r="G260" s="288">
        <v>219.0</v>
      </c>
      <c r="H260" s="289">
        <v>514.0</v>
      </c>
      <c r="I260" s="289">
        <v>0.0</v>
      </c>
      <c r="J260" s="289">
        <v>0.0</v>
      </c>
      <c r="K260" s="298">
        <f t="shared" si="36"/>
        <v>514</v>
      </c>
      <c r="L260" s="253" t="str">
        <f t="shared" si="37"/>
        <v>升级奖励</v>
      </c>
      <c r="T260" s="315"/>
      <c r="U260" s="316"/>
      <c r="V260" s="317"/>
    </row>
    <row r="261">
      <c r="A261" s="310"/>
      <c r="B261" s="285">
        <v>46074.0</v>
      </c>
      <c r="C261" s="101" t="s">
        <v>550</v>
      </c>
      <c r="D261" s="297" t="str">
        <f t="shared" si="1"/>
        <v/>
      </c>
      <c r="E261" s="297" t="str">
        <f t="shared" si="2"/>
        <v/>
      </c>
      <c r="F261" s="287">
        <v>254.0</v>
      </c>
      <c r="G261" s="288">
        <v>219.0</v>
      </c>
      <c r="H261" s="289">
        <v>514.0</v>
      </c>
      <c r="I261" s="289">
        <v>0.0</v>
      </c>
      <c r="J261" s="289">
        <v>0.0</v>
      </c>
      <c r="K261" s="298">
        <f t="shared" si="36"/>
        <v>514</v>
      </c>
      <c r="L261" s="253" t="str">
        <f t="shared" si="37"/>
        <v/>
      </c>
      <c r="T261" s="315"/>
      <c r="U261" s="316"/>
      <c r="V261" s="317"/>
    </row>
    <row r="262">
      <c r="A262" s="310"/>
      <c r="B262" s="299"/>
      <c r="C262" s="300"/>
      <c r="D262" s="301" t="str">
        <f t="shared" si="1"/>
        <v/>
      </c>
      <c r="E262" s="301" t="str">
        <f t="shared" si="2"/>
        <v/>
      </c>
      <c r="F262" s="302">
        <f t="shared" ref="F262:K262" si="38">SUM(F241,F244,F247,F249,F251,F253,F255,F260)</f>
        <v>4578</v>
      </c>
      <c r="G262" s="302">
        <f t="shared" si="38"/>
        <v>4638</v>
      </c>
      <c r="H262" s="303">
        <f t="shared" si="38"/>
        <v>19330.34</v>
      </c>
      <c r="I262" s="303">
        <f t="shared" si="38"/>
        <v>814</v>
      </c>
      <c r="J262" s="303">
        <f t="shared" si="38"/>
        <v>452</v>
      </c>
      <c r="K262" s="303">
        <f t="shared" si="38"/>
        <v>20144.34</v>
      </c>
      <c r="L262" s="307">
        <v>20144.33</v>
      </c>
      <c r="M262" s="139">
        <f>K262-L262</f>
        <v>0.009999999998</v>
      </c>
      <c r="T262" s="315"/>
      <c r="U262" s="316"/>
      <c r="V262" s="317"/>
    </row>
    <row r="263">
      <c r="A263" s="310"/>
      <c r="B263" s="285">
        <v>46075.0</v>
      </c>
      <c r="C263" s="101" t="s">
        <v>187</v>
      </c>
      <c r="D263" s="297" t="str">
        <f t="shared" si="1"/>
        <v>GAME_REBATE</v>
      </c>
      <c r="E263" s="297" t="str">
        <f t="shared" si="2"/>
        <v>玩家返水</v>
      </c>
      <c r="F263" s="289">
        <v>453.0</v>
      </c>
      <c r="G263" s="289">
        <v>453.0</v>
      </c>
      <c r="H263" s="289">
        <v>2587.02</v>
      </c>
      <c r="I263" s="289">
        <v>0.0</v>
      </c>
      <c r="J263" s="289">
        <v>0.0</v>
      </c>
      <c r="K263" s="289">
        <f t="shared" ref="K263:K283" si="39">H263+I263</f>
        <v>2587.02</v>
      </c>
      <c r="L263" s="253" t="str">
        <f t="shared" ref="L263:L283" si="40">IFERROR(VLOOKUP(C263,$M$3:$N$30,2,0),"")</f>
        <v>玩家返水</v>
      </c>
      <c r="M263" s="139"/>
      <c r="T263" s="315"/>
      <c r="U263" s="316"/>
      <c r="V263" s="317"/>
    </row>
    <row r="264">
      <c r="A264" s="310"/>
      <c r="B264" s="285">
        <v>46075.0</v>
      </c>
      <c r="C264" s="101" t="s">
        <v>189</v>
      </c>
      <c r="D264" s="297" t="str">
        <f t="shared" si="1"/>
        <v/>
      </c>
      <c r="E264" s="297" t="str">
        <f t="shared" si="2"/>
        <v/>
      </c>
      <c r="F264" s="287">
        <v>449.0</v>
      </c>
      <c r="G264" s="288">
        <v>449.0</v>
      </c>
      <c r="H264" s="289">
        <v>2430.01</v>
      </c>
      <c r="I264" s="289">
        <v>0.0</v>
      </c>
      <c r="J264" s="289">
        <v>0.0</v>
      </c>
      <c r="K264" s="298">
        <f t="shared" si="39"/>
        <v>2430.01</v>
      </c>
      <c r="L264" s="253" t="str">
        <f t="shared" si="40"/>
        <v/>
      </c>
      <c r="T264" s="315"/>
      <c r="U264" s="316"/>
      <c r="V264" s="317"/>
    </row>
    <row r="265">
      <c r="A265" s="310"/>
      <c r="B265" s="285">
        <v>46075.0</v>
      </c>
      <c r="C265" s="101" t="s">
        <v>190</v>
      </c>
      <c r="D265" s="297" t="str">
        <f t="shared" si="1"/>
        <v/>
      </c>
      <c r="E265" s="297" t="str">
        <f t="shared" si="2"/>
        <v/>
      </c>
      <c r="F265" s="287">
        <v>8.0</v>
      </c>
      <c r="G265" s="288">
        <v>8.0</v>
      </c>
      <c r="H265" s="289">
        <v>157.01</v>
      </c>
      <c r="I265" s="289">
        <v>0.0</v>
      </c>
      <c r="J265" s="289">
        <v>0.0</v>
      </c>
      <c r="K265" s="298">
        <f t="shared" si="39"/>
        <v>157.01</v>
      </c>
      <c r="L265" s="253" t="str">
        <f t="shared" si="40"/>
        <v/>
      </c>
      <c r="T265" s="315"/>
      <c r="U265" s="316"/>
      <c r="V265" s="317"/>
    </row>
    <row r="266">
      <c r="A266" s="310"/>
      <c r="B266" s="285">
        <v>46075.0</v>
      </c>
      <c r="C266" s="101" t="s">
        <v>197</v>
      </c>
      <c r="D266" s="297" t="str">
        <f t="shared" si="1"/>
        <v>DEPOSIT</v>
      </c>
      <c r="E266" s="297" t="str">
        <f t="shared" si="2"/>
        <v>笔笔存送</v>
      </c>
      <c r="F266" s="287">
        <v>211.0</v>
      </c>
      <c r="G266" s="288">
        <v>168.0</v>
      </c>
      <c r="H266" s="289">
        <v>4179.15</v>
      </c>
      <c r="I266" s="289">
        <v>0.0</v>
      </c>
      <c r="J266" s="289">
        <v>0.0</v>
      </c>
      <c r="K266" s="298">
        <f t="shared" si="39"/>
        <v>4179.15</v>
      </c>
      <c r="L266" s="253" t="str">
        <f t="shared" si="40"/>
        <v>笔笔存送</v>
      </c>
      <c r="T266" s="315"/>
      <c r="U266" s="316"/>
      <c r="V266" s="317"/>
    </row>
    <row r="267">
      <c r="A267" s="310"/>
      <c r="B267" s="285">
        <v>46075.0</v>
      </c>
      <c r="C267" s="101" t="s">
        <v>511</v>
      </c>
      <c r="D267" s="297" t="str">
        <f t="shared" si="1"/>
        <v/>
      </c>
      <c r="E267" s="297" t="str">
        <f t="shared" si="2"/>
        <v/>
      </c>
      <c r="F267" s="287">
        <v>147.0</v>
      </c>
      <c r="G267" s="288">
        <v>147.0</v>
      </c>
      <c r="H267" s="289">
        <v>3890.4</v>
      </c>
      <c r="I267" s="289">
        <v>0.0</v>
      </c>
      <c r="J267" s="289">
        <v>0.0</v>
      </c>
      <c r="K267" s="298">
        <f t="shared" si="39"/>
        <v>3890.4</v>
      </c>
      <c r="L267" s="253" t="str">
        <f t="shared" si="40"/>
        <v/>
      </c>
      <c r="T267" s="315"/>
      <c r="U267" s="316"/>
      <c r="V267" s="317"/>
    </row>
    <row r="268">
      <c r="A268" s="310"/>
      <c r="B268" s="285">
        <v>46075.0</v>
      </c>
      <c r="C268" s="101" t="s">
        <v>513</v>
      </c>
      <c r="D268" s="297" t="str">
        <f t="shared" si="1"/>
        <v/>
      </c>
      <c r="E268" s="297" t="str">
        <f t="shared" si="2"/>
        <v/>
      </c>
      <c r="F268" s="287">
        <v>64.0</v>
      </c>
      <c r="G268" s="288">
        <v>43.0</v>
      </c>
      <c r="H268" s="289">
        <v>288.75</v>
      </c>
      <c r="I268" s="289">
        <v>0.0</v>
      </c>
      <c r="J268" s="289">
        <v>0.0</v>
      </c>
      <c r="K268" s="298">
        <f t="shared" si="39"/>
        <v>288.75</v>
      </c>
      <c r="L268" s="253" t="str">
        <f t="shared" si="40"/>
        <v/>
      </c>
      <c r="T268" s="315"/>
      <c r="U268" s="316"/>
      <c r="V268" s="317"/>
    </row>
    <row r="269">
      <c r="A269" s="310"/>
      <c r="B269" s="285">
        <v>46075.0</v>
      </c>
      <c r="C269" s="101" t="s">
        <v>225</v>
      </c>
      <c r="D269" s="297" t="str">
        <f t="shared" si="1"/>
        <v>FIRST_DEPOSIT</v>
      </c>
      <c r="E269" s="297" t="str">
        <f t="shared" si="2"/>
        <v>首存</v>
      </c>
      <c r="F269" s="289">
        <v>71.0</v>
      </c>
      <c r="G269" s="289">
        <v>71.0</v>
      </c>
      <c r="H269" s="289">
        <v>4300.0</v>
      </c>
      <c r="I269" s="289">
        <v>0.0</v>
      </c>
      <c r="J269" s="289">
        <v>0.0</v>
      </c>
      <c r="K269" s="289">
        <f t="shared" si="39"/>
        <v>4300</v>
      </c>
      <c r="L269" s="253" t="str">
        <f t="shared" si="40"/>
        <v>首存</v>
      </c>
      <c r="M269" s="139"/>
      <c r="T269" s="315"/>
      <c r="U269" s="316"/>
      <c r="V269" s="317"/>
    </row>
    <row r="270">
      <c r="A270" s="310"/>
      <c r="B270" s="285">
        <v>46075.0</v>
      </c>
      <c r="C270" s="101" t="s">
        <v>544</v>
      </c>
      <c r="D270" s="297" t="str">
        <f t="shared" si="1"/>
        <v/>
      </c>
      <c r="E270" s="297" t="str">
        <f t="shared" si="2"/>
        <v/>
      </c>
      <c r="F270" s="287">
        <v>71.0</v>
      </c>
      <c r="G270" s="288">
        <v>71.0</v>
      </c>
      <c r="H270" s="289">
        <v>4300.0</v>
      </c>
      <c r="I270" s="289">
        <v>0.0</v>
      </c>
      <c r="J270" s="289">
        <v>0.0</v>
      </c>
      <c r="K270" s="298">
        <f t="shared" si="39"/>
        <v>4300</v>
      </c>
      <c r="L270" s="253" t="str">
        <f t="shared" si="40"/>
        <v/>
      </c>
      <c r="T270" s="315"/>
      <c r="U270" s="316"/>
      <c r="V270" s="317"/>
    </row>
    <row r="271">
      <c r="A271" s="310"/>
      <c r="B271" s="285">
        <v>46075.0</v>
      </c>
      <c r="C271" s="101" t="s">
        <v>209</v>
      </c>
      <c r="D271" s="297" t="str">
        <f t="shared" si="1"/>
        <v>LOGIN</v>
      </c>
      <c r="E271" s="297" t="str">
        <f t="shared" si="2"/>
        <v>签到奖励</v>
      </c>
      <c r="F271" s="287">
        <v>3031.0</v>
      </c>
      <c r="G271" s="288">
        <v>3031.0</v>
      </c>
      <c r="H271" s="289">
        <v>4500.0</v>
      </c>
      <c r="I271" s="289">
        <v>0.0</v>
      </c>
      <c r="J271" s="289">
        <v>0.0</v>
      </c>
      <c r="K271" s="298">
        <f t="shared" si="39"/>
        <v>4500</v>
      </c>
      <c r="L271" s="253" t="str">
        <f t="shared" si="40"/>
        <v>签到奖励</v>
      </c>
      <c r="T271" s="315"/>
      <c r="U271" s="316"/>
      <c r="V271" s="317"/>
    </row>
    <row r="272">
      <c r="A272" s="310"/>
      <c r="B272" s="285">
        <v>46075.0</v>
      </c>
      <c r="C272" s="101" t="s">
        <v>549</v>
      </c>
      <c r="D272" s="297" t="str">
        <f t="shared" si="1"/>
        <v/>
      </c>
      <c r="E272" s="297" t="str">
        <f t="shared" si="2"/>
        <v/>
      </c>
      <c r="F272" s="287">
        <v>3031.0</v>
      </c>
      <c r="G272" s="288">
        <v>3031.0</v>
      </c>
      <c r="H272" s="289">
        <v>4500.0</v>
      </c>
      <c r="I272" s="289">
        <v>0.0</v>
      </c>
      <c r="J272" s="289">
        <v>0.0</v>
      </c>
      <c r="K272" s="298">
        <f t="shared" si="39"/>
        <v>4500</v>
      </c>
      <c r="L272" s="253" t="str">
        <f t="shared" si="40"/>
        <v/>
      </c>
      <c r="T272" s="315"/>
      <c r="U272" s="316"/>
      <c r="V272" s="317"/>
    </row>
    <row r="273">
      <c r="A273" s="310"/>
      <c r="B273" s="285">
        <v>46075.0</v>
      </c>
      <c r="C273" s="101" t="s">
        <v>228</v>
      </c>
      <c r="D273" s="297" t="str">
        <f t="shared" si="1"/>
        <v>登录任务</v>
      </c>
      <c r="E273" s="297" t="str">
        <f t="shared" si="2"/>
        <v>登录任务</v>
      </c>
      <c r="F273" s="287">
        <v>0.0</v>
      </c>
      <c r="G273" s="288">
        <v>265.0</v>
      </c>
      <c r="H273" s="289">
        <v>0.0</v>
      </c>
      <c r="I273" s="289">
        <v>406.0</v>
      </c>
      <c r="J273" s="289">
        <v>295.0</v>
      </c>
      <c r="K273" s="298">
        <f t="shared" si="39"/>
        <v>406</v>
      </c>
      <c r="L273" s="253" t="str">
        <f t="shared" si="40"/>
        <v>登录任务</v>
      </c>
      <c r="T273" s="315"/>
      <c r="U273" s="316"/>
      <c r="V273" s="317"/>
    </row>
    <row r="274">
      <c r="A274" s="310"/>
      <c r="B274" s="285">
        <v>46075.0</v>
      </c>
      <c r="C274" s="101" t="s">
        <v>547</v>
      </c>
      <c r="D274" s="297" t="str">
        <f t="shared" si="1"/>
        <v/>
      </c>
      <c r="E274" s="297" t="str">
        <f t="shared" si="2"/>
        <v/>
      </c>
      <c r="F274" s="287">
        <v>0.0</v>
      </c>
      <c r="G274" s="288">
        <v>265.0</v>
      </c>
      <c r="H274" s="289">
        <v>0.0</v>
      </c>
      <c r="I274" s="289">
        <v>406.0</v>
      </c>
      <c r="J274" s="289">
        <v>295.0</v>
      </c>
      <c r="K274" s="298">
        <f t="shared" si="39"/>
        <v>406</v>
      </c>
      <c r="L274" s="253" t="str">
        <f t="shared" si="40"/>
        <v/>
      </c>
      <c r="T274" s="315"/>
      <c r="U274" s="316"/>
      <c r="V274" s="317"/>
    </row>
    <row r="275">
      <c r="A275" s="310"/>
      <c r="B275" s="285">
        <v>46075.0</v>
      </c>
      <c r="C275" s="101" t="s">
        <v>226</v>
      </c>
      <c r="D275" s="297" t="str">
        <f t="shared" si="1"/>
        <v>任务排行榜</v>
      </c>
      <c r="E275" s="297" t="str">
        <f t="shared" si="2"/>
        <v>任务排行榜</v>
      </c>
      <c r="F275" s="287">
        <v>324.0</v>
      </c>
      <c r="G275" s="288">
        <v>206.0</v>
      </c>
      <c r="H275" s="289">
        <v>0.0</v>
      </c>
      <c r="I275" s="289">
        <v>624.0</v>
      </c>
      <c r="J275" s="289">
        <v>225.0</v>
      </c>
      <c r="K275" s="298">
        <f t="shared" si="39"/>
        <v>624</v>
      </c>
      <c r="L275" s="253" t="str">
        <f t="shared" si="40"/>
        <v>任务排行榜</v>
      </c>
      <c r="T275" s="315"/>
      <c r="U275" s="316"/>
      <c r="V275" s="317"/>
    </row>
    <row r="276">
      <c r="A276" s="310"/>
      <c r="B276" s="285">
        <v>46075.0</v>
      </c>
      <c r="C276" s="101" t="s">
        <v>552</v>
      </c>
      <c r="D276" s="297" t="str">
        <f t="shared" si="1"/>
        <v/>
      </c>
      <c r="E276" s="297" t="str">
        <f t="shared" si="2"/>
        <v/>
      </c>
      <c r="F276" s="287">
        <v>324.0</v>
      </c>
      <c r="G276" s="288">
        <v>206.0</v>
      </c>
      <c r="H276" s="289">
        <v>0.0</v>
      </c>
      <c r="I276" s="289">
        <v>624.0</v>
      </c>
      <c r="J276" s="289">
        <v>225.0</v>
      </c>
      <c r="K276" s="298">
        <f t="shared" si="39"/>
        <v>624</v>
      </c>
      <c r="L276" s="253" t="str">
        <f t="shared" si="40"/>
        <v/>
      </c>
      <c r="T276" s="315"/>
      <c r="U276" s="316"/>
      <c r="V276" s="317"/>
    </row>
    <row r="277">
      <c r="A277" s="310"/>
      <c r="B277" s="285">
        <v>46075.0</v>
      </c>
      <c r="C277" s="101" t="s">
        <v>230</v>
      </c>
      <c r="D277" s="297" t="str">
        <f t="shared" si="1"/>
        <v>邀请返佣</v>
      </c>
      <c r="E277" s="297" t="str">
        <f t="shared" si="2"/>
        <v>邀请返佣</v>
      </c>
      <c r="F277" s="287">
        <v>169.0</v>
      </c>
      <c r="G277" s="288">
        <v>130.0</v>
      </c>
      <c r="H277" s="289">
        <v>435.17</v>
      </c>
      <c r="I277" s="289">
        <v>0.0</v>
      </c>
      <c r="J277" s="289">
        <v>0.0</v>
      </c>
      <c r="K277" s="298">
        <f t="shared" si="39"/>
        <v>435.17</v>
      </c>
      <c r="L277" s="253" t="str">
        <f t="shared" si="40"/>
        <v>邀请返佣</v>
      </c>
      <c r="T277" s="315"/>
      <c r="U277" s="316"/>
      <c r="V277" s="317"/>
    </row>
    <row r="278">
      <c r="A278" s="310"/>
      <c r="B278" s="285">
        <v>46075.0</v>
      </c>
      <c r="C278" s="101" t="s">
        <v>386</v>
      </c>
      <c r="D278" s="297" t="str">
        <f t="shared" si="1"/>
        <v/>
      </c>
      <c r="E278" s="297" t="str">
        <f t="shared" si="2"/>
        <v/>
      </c>
      <c r="F278" s="287">
        <v>3.0</v>
      </c>
      <c r="G278" s="288">
        <v>3.0</v>
      </c>
      <c r="H278" s="289">
        <v>15.0</v>
      </c>
      <c r="I278" s="289">
        <v>0.0</v>
      </c>
      <c r="J278" s="289">
        <v>0.0</v>
      </c>
      <c r="K278" s="298">
        <f t="shared" si="39"/>
        <v>15</v>
      </c>
      <c r="L278" s="253" t="str">
        <f t="shared" si="40"/>
        <v/>
      </c>
      <c r="T278" s="315"/>
      <c r="U278" s="316"/>
      <c r="V278" s="317"/>
    </row>
    <row r="279">
      <c r="A279" s="310"/>
      <c r="B279" s="285">
        <v>46075.0</v>
      </c>
      <c r="C279" s="101" t="s">
        <v>387</v>
      </c>
      <c r="D279" s="297" t="str">
        <f t="shared" si="1"/>
        <v/>
      </c>
      <c r="E279" s="297" t="str">
        <f t="shared" si="2"/>
        <v/>
      </c>
      <c r="F279" s="287">
        <v>34.0</v>
      </c>
      <c r="G279" s="288">
        <v>34.0</v>
      </c>
      <c r="H279" s="289">
        <v>7.57</v>
      </c>
      <c r="I279" s="289">
        <v>0.0</v>
      </c>
      <c r="J279" s="289">
        <v>0.0</v>
      </c>
      <c r="K279" s="298">
        <f t="shared" si="39"/>
        <v>7.57</v>
      </c>
      <c r="L279" s="253" t="str">
        <f t="shared" si="40"/>
        <v/>
      </c>
      <c r="T279" s="315"/>
      <c r="U279" s="316"/>
      <c r="V279" s="317"/>
    </row>
    <row r="280">
      <c r="A280" s="310"/>
      <c r="B280" s="285">
        <v>46075.0</v>
      </c>
      <c r="C280" s="101" t="s">
        <v>385</v>
      </c>
      <c r="D280" s="297" t="str">
        <f t="shared" si="1"/>
        <v/>
      </c>
      <c r="E280" s="297" t="str">
        <f t="shared" si="2"/>
        <v/>
      </c>
      <c r="F280" s="287">
        <v>24.0</v>
      </c>
      <c r="G280" s="288">
        <v>24.0</v>
      </c>
      <c r="H280" s="289">
        <v>360.0</v>
      </c>
      <c r="I280" s="289">
        <v>0.0</v>
      </c>
      <c r="J280" s="289">
        <v>0.0</v>
      </c>
      <c r="K280" s="298">
        <f t="shared" si="39"/>
        <v>360</v>
      </c>
      <c r="L280" s="253" t="str">
        <f t="shared" si="40"/>
        <v/>
      </c>
      <c r="T280" s="315"/>
      <c r="U280" s="316"/>
      <c r="V280" s="317"/>
    </row>
    <row r="281">
      <c r="A281" s="310"/>
      <c r="B281" s="285">
        <v>46075.0</v>
      </c>
      <c r="C281" s="101" t="s">
        <v>546</v>
      </c>
      <c r="D281" s="297" t="str">
        <f t="shared" si="1"/>
        <v/>
      </c>
      <c r="E281" s="297" t="str">
        <f t="shared" si="2"/>
        <v/>
      </c>
      <c r="F281" s="287">
        <v>108.0</v>
      </c>
      <c r="G281" s="288">
        <v>108.0</v>
      </c>
      <c r="H281" s="289">
        <v>52.6</v>
      </c>
      <c r="I281" s="289">
        <v>0.0</v>
      </c>
      <c r="J281" s="289">
        <v>0.0</v>
      </c>
      <c r="K281" s="298">
        <f t="shared" si="39"/>
        <v>52.6</v>
      </c>
      <c r="L281" s="253" t="str">
        <f t="shared" si="40"/>
        <v/>
      </c>
      <c r="T281" s="315"/>
      <c r="U281" s="316"/>
      <c r="V281" s="317"/>
    </row>
    <row r="282">
      <c r="A282" s="310"/>
      <c r="B282" s="285">
        <v>46075.0</v>
      </c>
      <c r="C282" s="101" t="s">
        <v>211</v>
      </c>
      <c r="D282" s="297" t="str">
        <f t="shared" si="1"/>
        <v>UPGRADE_BONUS</v>
      </c>
      <c r="E282" s="297" t="str">
        <f t="shared" si="2"/>
        <v>升级奖励</v>
      </c>
      <c r="F282" s="287">
        <v>259.0</v>
      </c>
      <c r="G282" s="287">
        <v>231.0</v>
      </c>
      <c r="H282" s="289">
        <v>505.0</v>
      </c>
      <c r="I282" s="289">
        <v>0.0</v>
      </c>
      <c r="J282" s="289">
        <v>0.0</v>
      </c>
      <c r="K282" s="289">
        <f t="shared" si="39"/>
        <v>505</v>
      </c>
      <c r="L282" s="253" t="str">
        <f t="shared" si="40"/>
        <v>升级奖励</v>
      </c>
      <c r="M282" s="139"/>
      <c r="T282" s="315"/>
      <c r="U282" s="316"/>
      <c r="V282" s="317"/>
    </row>
    <row r="283">
      <c r="A283" s="310"/>
      <c r="B283" s="285">
        <v>46075.0</v>
      </c>
      <c r="C283" s="101" t="s">
        <v>550</v>
      </c>
      <c r="D283" s="297" t="str">
        <f t="shared" si="1"/>
        <v/>
      </c>
      <c r="E283" s="297" t="str">
        <f t="shared" si="2"/>
        <v/>
      </c>
      <c r="F283" s="308">
        <v>259.0</v>
      </c>
      <c r="G283" s="308">
        <v>231.0</v>
      </c>
      <c r="H283" s="308">
        <v>505.0</v>
      </c>
      <c r="I283" s="308">
        <v>0.0</v>
      </c>
      <c r="J283" s="308">
        <v>0.0</v>
      </c>
      <c r="K283" s="298">
        <f t="shared" si="39"/>
        <v>505</v>
      </c>
      <c r="L283" s="253" t="str">
        <f t="shared" si="40"/>
        <v/>
      </c>
      <c r="M283" s="139"/>
      <c r="T283" s="315"/>
      <c r="U283" s="316"/>
      <c r="V283" s="317"/>
    </row>
    <row r="284">
      <c r="A284" s="310"/>
      <c r="B284" s="299"/>
      <c r="C284" s="300"/>
      <c r="D284" s="301" t="str">
        <f t="shared" si="1"/>
        <v/>
      </c>
      <c r="E284" s="301" t="str">
        <f t="shared" si="2"/>
        <v/>
      </c>
      <c r="F284" s="302">
        <f t="shared" ref="F284:K284" si="41">SUM(F263,F266,F269,F271,F273,F275,F277,F282)</f>
        <v>4518</v>
      </c>
      <c r="G284" s="302">
        <f t="shared" si="41"/>
        <v>4555</v>
      </c>
      <c r="H284" s="303">
        <f t="shared" si="41"/>
        <v>16506.34</v>
      </c>
      <c r="I284" s="303">
        <f t="shared" si="41"/>
        <v>1030</v>
      </c>
      <c r="J284" s="303">
        <f t="shared" si="41"/>
        <v>520</v>
      </c>
      <c r="K284" s="303">
        <f t="shared" si="41"/>
        <v>17536.34</v>
      </c>
      <c r="L284" s="307">
        <v>17536.33</v>
      </c>
      <c r="M284" s="139">
        <f>K284-L284</f>
        <v>0.009999999995</v>
      </c>
      <c r="T284" s="315"/>
      <c r="U284" s="316"/>
      <c r="V284" s="317"/>
    </row>
    <row r="285">
      <c r="A285" s="310"/>
      <c r="B285" s="285">
        <v>46076.0</v>
      </c>
      <c r="C285" s="101" t="s">
        <v>187</v>
      </c>
      <c r="D285" s="297" t="str">
        <f t="shared" si="1"/>
        <v>GAME_REBATE</v>
      </c>
      <c r="E285" s="297" t="str">
        <f t="shared" si="2"/>
        <v>玩家返水</v>
      </c>
      <c r="F285" s="287">
        <v>402.0</v>
      </c>
      <c r="G285" s="288">
        <v>402.0</v>
      </c>
      <c r="H285" s="289">
        <v>5406.93</v>
      </c>
      <c r="I285" s="289">
        <v>0.0</v>
      </c>
      <c r="J285" s="289">
        <v>0.0</v>
      </c>
      <c r="K285" s="298">
        <f t="shared" ref="K285:K305" si="42">H285+I285</f>
        <v>5406.93</v>
      </c>
      <c r="L285" s="253" t="str">
        <f t="shared" ref="L285:L305" si="43">IFERROR(VLOOKUP(C285,$M$3:$N$30,2,0),"")</f>
        <v>玩家返水</v>
      </c>
      <c r="T285" s="315"/>
      <c r="U285" s="316"/>
      <c r="V285" s="317"/>
    </row>
    <row r="286">
      <c r="A286" s="310"/>
      <c r="B286" s="285">
        <v>46076.0</v>
      </c>
      <c r="C286" s="101" t="s">
        <v>189</v>
      </c>
      <c r="D286" s="297" t="str">
        <f t="shared" si="1"/>
        <v/>
      </c>
      <c r="E286" s="297" t="str">
        <f t="shared" si="2"/>
        <v/>
      </c>
      <c r="F286" s="287">
        <v>398.0</v>
      </c>
      <c r="G286" s="288">
        <v>398.0</v>
      </c>
      <c r="H286" s="289">
        <v>5099.51</v>
      </c>
      <c r="I286" s="289">
        <v>0.0</v>
      </c>
      <c r="J286" s="289">
        <v>0.0</v>
      </c>
      <c r="K286" s="298">
        <f t="shared" si="42"/>
        <v>5099.51</v>
      </c>
      <c r="L286" s="253" t="str">
        <f t="shared" si="43"/>
        <v/>
      </c>
      <c r="T286" s="315"/>
      <c r="U286" s="316"/>
      <c r="V286" s="317"/>
    </row>
    <row r="287">
      <c r="A287" s="310"/>
      <c r="B287" s="285">
        <v>46076.0</v>
      </c>
      <c r="C287" s="101" t="s">
        <v>190</v>
      </c>
      <c r="D287" s="297" t="str">
        <f t="shared" si="1"/>
        <v/>
      </c>
      <c r="E287" s="297" t="str">
        <f t="shared" si="2"/>
        <v/>
      </c>
      <c r="F287" s="287">
        <v>7.0</v>
      </c>
      <c r="G287" s="288">
        <v>7.0</v>
      </c>
      <c r="H287" s="289">
        <v>307.42</v>
      </c>
      <c r="I287" s="289">
        <v>0.0</v>
      </c>
      <c r="J287" s="289">
        <v>0.0</v>
      </c>
      <c r="K287" s="298">
        <f t="shared" si="42"/>
        <v>307.42</v>
      </c>
      <c r="L287" s="253" t="str">
        <f t="shared" si="43"/>
        <v/>
      </c>
      <c r="T287" s="315"/>
      <c r="U287" s="316"/>
      <c r="V287" s="317"/>
    </row>
    <row r="288">
      <c r="A288" s="310"/>
      <c r="B288" s="285">
        <v>46076.0</v>
      </c>
      <c r="C288" s="101" t="s">
        <v>197</v>
      </c>
      <c r="D288" s="297" t="str">
        <f t="shared" si="1"/>
        <v>DEPOSIT</v>
      </c>
      <c r="E288" s="297" t="str">
        <f t="shared" si="2"/>
        <v>笔笔存送</v>
      </c>
      <c r="F288" s="287">
        <v>164.0</v>
      </c>
      <c r="G288" s="288">
        <v>137.0</v>
      </c>
      <c r="H288" s="289">
        <v>3121.1</v>
      </c>
      <c r="I288" s="289">
        <v>0.0</v>
      </c>
      <c r="J288" s="289">
        <v>0.0</v>
      </c>
      <c r="K288" s="298">
        <f t="shared" si="42"/>
        <v>3121.1</v>
      </c>
      <c r="L288" s="253" t="str">
        <f t="shared" si="43"/>
        <v>笔笔存送</v>
      </c>
      <c r="T288" s="315"/>
      <c r="U288" s="316"/>
      <c r="V288" s="317"/>
    </row>
    <row r="289">
      <c r="A289" s="310"/>
      <c r="B289" s="285">
        <v>46076.0</v>
      </c>
      <c r="C289" s="101" t="s">
        <v>511</v>
      </c>
      <c r="D289" s="297" t="str">
        <f t="shared" si="1"/>
        <v/>
      </c>
      <c r="E289" s="297" t="str">
        <f t="shared" si="2"/>
        <v/>
      </c>
      <c r="F289" s="287">
        <v>113.0</v>
      </c>
      <c r="G289" s="288">
        <v>113.0</v>
      </c>
      <c r="H289" s="289">
        <v>2913.2</v>
      </c>
      <c r="I289" s="289">
        <v>0.0</v>
      </c>
      <c r="J289" s="289">
        <v>0.0</v>
      </c>
      <c r="K289" s="298">
        <f t="shared" si="42"/>
        <v>2913.2</v>
      </c>
      <c r="L289" s="253" t="str">
        <f t="shared" si="43"/>
        <v/>
      </c>
      <c r="T289" s="315"/>
      <c r="U289" s="316"/>
      <c r="V289" s="317"/>
    </row>
    <row r="290">
      <c r="A290" s="310"/>
      <c r="B290" s="285">
        <v>46076.0</v>
      </c>
      <c r="C290" s="101" t="s">
        <v>513</v>
      </c>
      <c r="D290" s="297" t="str">
        <f t="shared" si="1"/>
        <v/>
      </c>
      <c r="E290" s="297" t="str">
        <f t="shared" si="2"/>
        <v/>
      </c>
      <c r="F290" s="287">
        <v>51.0</v>
      </c>
      <c r="G290" s="288">
        <v>42.0</v>
      </c>
      <c r="H290" s="289">
        <v>207.9</v>
      </c>
      <c r="I290" s="289">
        <v>0.0</v>
      </c>
      <c r="J290" s="289">
        <v>0.0</v>
      </c>
      <c r="K290" s="298">
        <f t="shared" si="42"/>
        <v>207.9</v>
      </c>
      <c r="L290" s="253" t="str">
        <f t="shared" si="43"/>
        <v/>
      </c>
      <c r="T290" s="315"/>
      <c r="U290" s="316"/>
      <c r="V290" s="317"/>
    </row>
    <row r="291">
      <c r="A291" s="310"/>
      <c r="B291" s="285">
        <v>46076.0</v>
      </c>
      <c r="C291" s="101" t="s">
        <v>225</v>
      </c>
      <c r="D291" s="297" t="str">
        <f t="shared" si="1"/>
        <v>FIRST_DEPOSIT</v>
      </c>
      <c r="E291" s="297" t="str">
        <f t="shared" si="2"/>
        <v>首存</v>
      </c>
      <c r="F291" s="287">
        <v>50.0</v>
      </c>
      <c r="G291" s="288">
        <v>50.0</v>
      </c>
      <c r="H291" s="289">
        <v>3777.0</v>
      </c>
      <c r="I291" s="289">
        <v>0.0</v>
      </c>
      <c r="J291" s="289">
        <v>0.0</v>
      </c>
      <c r="K291" s="298">
        <f t="shared" si="42"/>
        <v>3777</v>
      </c>
      <c r="L291" s="253" t="str">
        <f t="shared" si="43"/>
        <v>首存</v>
      </c>
      <c r="T291" s="315"/>
      <c r="U291" s="316"/>
      <c r="V291" s="317"/>
    </row>
    <row r="292">
      <c r="A292" s="310"/>
      <c r="B292" s="285">
        <v>46076.0</v>
      </c>
      <c r="C292" s="101" t="s">
        <v>544</v>
      </c>
      <c r="D292" s="297" t="str">
        <f t="shared" si="1"/>
        <v/>
      </c>
      <c r="E292" s="297" t="str">
        <f t="shared" si="2"/>
        <v/>
      </c>
      <c r="F292" s="289">
        <v>50.0</v>
      </c>
      <c r="G292" s="289">
        <v>50.0</v>
      </c>
      <c r="H292" s="289">
        <v>3777.0</v>
      </c>
      <c r="I292" s="289">
        <v>0.0</v>
      </c>
      <c r="J292" s="289">
        <v>0.0</v>
      </c>
      <c r="K292" s="289">
        <f t="shared" si="42"/>
        <v>3777</v>
      </c>
      <c r="L292" s="253" t="str">
        <f t="shared" si="43"/>
        <v/>
      </c>
      <c r="M292" s="139"/>
      <c r="T292" s="315"/>
      <c r="U292" s="316"/>
      <c r="V292" s="317"/>
    </row>
    <row r="293">
      <c r="A293" s="310"/>
      <c r="B293" s="285">
        <v>46076.0</v>
      </c>
      <c r="C293" s="101" t="s">
        <v>209</v>
      </c>
      <c r="D293" s="297" t="str">
        <f t="shared" si="1"/>
        <v>LOGIN</v>
      </c>
      <c r="E293" s="297" t="str">
        <f t="shared" si="2"/>
        <v>签到奖励</v>
      </c>
      <c r="F293" s="287">
        <v>2853.0</v>
      </c>
      <c r="G293" s="288">
        <v>2853.0</v>
      </c>
      <c r="H293" s="289">
        <v>4366.0</v>
      </c>
      <c r="I293" s="289">
        <v>0.0</v>
      </c>
      <c r="J293" s="289">
        <v>0.0</v>
      </c>
      <c r="K293" s="298">
        <f t="shared" si="42"/>
        <v>4366</v>
      </c>
      <c r="L293" s="253" t="str">
        <f t="shared" si="43"/>
        <v>签到奖励</v>
      </c>
      <c r="T293" s="315"/>
      <c r="U293" s="316"/>
      <c r="V293" s="317"/>
    </row>
    <row r="294">
      <c r="A294" s="310"/>
      <c r="B294" s="285">
        <v>46076.0</v>
      </c>
      <c r="C294" s="101" t="s">
        <v>549</v>
      </c>
      <c r="D294" s="297" t="str">
        <f t="shared" si="1"/>
        <v/>
      </c>
      <c r="E294" s="297" t="str">
        <f t="shared" si="2"/>
        <v/>
      </c>
      <c r="F294" s="287">
        <v>2853.0</v>
      </c>
      <c r="G294" s="288">
        <v>2853.0</v>
      </c>
      <c r="H294" s="289">
        <v>4366.0</v>
      </c>
      <c r="I294" s="289">
        <v>0.0</v>
      </c>
      <c r="J294" s="289">
        <v>0.0</v>
      </c>
      <c r="K294" s="298">
        <f t="shared" si="42"/>
        <v>4366</v>
      </c>
      <c r="L294" s="253" t="str">
        <f t="shared" si="43"/>
        <v/>
      </c>
      <c r="T294" s="315"/>
      <c r="U294" s="316"/>
      <c r="V294" s="317"/>
    </row>
    <row r="295">
      <c r="A295" s="310"/>
      <c r="B295" s="285">
        <v>46076.0</v>
      </c>
      <c r="C295" s="101" t="s">
        <v>228</v>
      </c>
      <c r="D295" s="297" t="str">
        <f t="shared" si="1"/>
        <v>登录任务</v>
      </c>
      <c r="E295" s="297" t="str">
        <f t="shared" si="2"/>
        <v>登录任务</v>
      </c>
      <c r="F295" s="287">
        <v>0.0</v>
      </c>
      <c r="G295" s="288">
        <v>176.0</v>
      </c>
      <c r="H295" s="289">
        <v>0.0</v>
      </c>
      <c r="I295" s="289">
        <v>246.0</v>
      </c>
      <c r="J295" s="289">
        <v>189.0</v>
      </c>
      <c r="K295" s="298">
        <f t="shared" si="42"/>
        <v>246</v>
      </c>
      <c r="L295" s="253" t="str">
        <f t="shared" si="43"/>
        <v>登录任务</v>
      </c>
      <c r="T295" s="315"/>
      <c r="U295" s="316"/>
      <c r="V295" s="317"/>
    </row>
    <row r="296">
      <c r="A296" s="310"/>
      <c r="B296" s="285">
        <v>46076.0</v>
      </c>
      <c r="C296" s="101" t="s">
        <v>547</v>
      </c>
      <c r="D296" s="297" t="str">
        <f t="shared" si="1"/>
        <v/>
      </c>
      <c r="E296" s="297" t="str">
        <f t="shared" si="2"/>
        <v/>
      </c>
      <c r="F296" s="287">
        <v>0.0</v>
      </c>
      <c r="G296" s="288">
        <v>176.0</v>
      </c>
      <c r="H296" s="289">
        <v>0.0</v>
      </c>
      <c r="I296" s="289">
        <v>246.0</v>
      </c>
      <c r="J296" s="289">
        <v>189.0</v>
      </c>
      <c r="K296" s="298">
        <f t="shared" si="42"/>
        <v>246</v>
      </c>
      <c r="L296" s="253" t="str">
        <f t="shared" si="43"/>
        <v/>
      </c>
      <c r="T296" s="315"/>
      <c r="U296" s="316"/>
      <c r="V296" s="317"/>
    </row>
    <row r="297">
      <c r="A297" s="310"/>
      <c r="B297" s="285">
        <v>46076.0</v>
      </c>
      <c r="C297" s="101" t="s">
        <v>226</v>
      </c>
      <c r="D297" s="297" t="str">
        <f t="shared" si="1"/>
        <v>任务排行榜</v>
      </c>
      <c r="E297" s="297" t="str">
        <f t="shared" si="2"/>
        <v>任务排行榜</v>
      </c>
      <c r="F297" s="287">
        <v>253.0</v>
      </c>
      <c r="G297" s="288">
        <v>173.0</v>
      </c>
      <c r="H297" s="289">
        <v>0.0</v>
      </c>
      <c r="I297" s="289">
        <v>405.0</v>
      </c>
      <c r="J297" s="289">
        <v>150.0</v>
      </c>
      <c r="K297" s="298">
        <f t="shared" si="42"/>
        <v>405</v>
      </c>
      <c r="L297" s="253" t="str">
        <f t="shared" si="43"/>
        <v>任务排行榜</v>
      </c>
      <c r="T297" s="315"/>
      <c r="U297" s="316"/>
      <c r="V297" s="317"/>
    </row>
    <row r="298">
      <c r="A298" s="310"/>
      <c r="B298" s="285">
        <v>46076.0</v>
      </c>
      <c r="C298" s="101" t="s">
        <v>552</v>
      </c>
      <c r="D298" s="297" t="str">
        <f t="shared" si="1"/>
        <v/>
      </c>
      <c r="E298" s="297" t="str">
        <f t="shared" si="2"/>
        <v/>
      </c>
      <c r="F298" s="287">
        <v>253.0</v>
      </c>
      <c r="G298" s="288">
        <v>173.0</v>
      </c>
      <c r="H298" s="289">
        <v>0.0</v>
      </c>
      <c r="I298" s="289">
        <v>405.0</v>
      </c>
      <c r="J298" s="289">
        <v>150.0</v>
      </c>
      <c r="K298" s="298">
        <f t="shared" si="42"/>
        <v>405</v>
      </c>
      <c r="L298" s="253" t="str">
        <f t="shared" si="43"/>
        <v/>
      </c>
      <c r="T298" s="315"/>
      <c r="U298" s="316"/>
      <c r="V298" s="317"/>
    </row>
    <row r="299">
      <c r="A299" s="310"/>
      <c r="B299" s="285">
        <v>46076.0</v>
      </c>
      <c r="C299" s="101" t="s">
        <v>230</v>
      </c>
      <c r="D299" s="297" t="str">
        <f t="shared" si="1"/>
        <v>邀请返佣</v>
      </c>
      <c r="E299" s="297" t="str">
        <f t="shared" si="2"/>
        <v>邀请返佣</v>
      </c>
      <c r="F299" s="287">
        <v>165.0</v>
      </c>
      <c r="G299" s="288">
        <v>126.0</v>
      </c>
      <c r="H299" s="289">
        <v>457.68</v>
      </c>
      <c r="I299" s="289">
        <v>0.0</v>
      </c>
      <c r="J299" s="289">
        <v>0.0</v>
      </c>
      <c r="K299" s="298">
        <f t="shared" si="42"/>
        <v>457.68</v>
      </c>
      <c r="L299" s="253" t="str">
        <f t="shared" si="43"/>
        <v>邀请返佣</v>
      </c>
      <c r="T299" s="315"/>
      <c r="U299" s="316"/>
      <c r="V299" s="317"/>
    </row>
    <row r="300">
      <c r="A300" s="310"/>
      <c r="B300" s="285">
        <v>46076.0</v>
      </c>
      <c r="C300" s="101" t="s">
        <v>386</v>
      </c>
      <c r="D300" s="297" t="str">
        <f t="shared" si="1"/>
        <v/>
      </c>
      <c r="E300" s="297" t="str">
        <f t="shared" si="2"/>
        <v/>
      </c>
      <c r="F300" s="289">
        <v>3.0</v>
      </c>
      <c r="G300" s="289">
        <v>3.0</v>
      </c>
      <c r="H300" s="289">
        <v>35.0</v>
      </c>
      <c r="I300" s="289">
        <v>0.0</v>
      </c>
      <c r="J300" s="289">
        <v>0.0</v>
      </c>
      <c r="K300" s="289">
        <f t="shared" si="42"/>
        <v>35</v>
      </c>
      <c r="L300" s="253" t="str">
        <f t="shared" si="43"/>
        <v/>
      </c>
      <c r="M300" s="139"/>
      <c r="T300" s="315"/>
      <c r="U300" s="316"/>
      <c r="V300" s="317"/>
    </row>
    <row r="301">
      <c r="A301" s="310"/>
      <c r="B301" s="285">
        <v>46076.0</v>
      </c>
      <c r="C301" s="101" t="s">
        <v>387</v>
      </c>
      <c r="D301" s="297" t="str">
        <f t="shared" si="1"/>
        <v/>
      </c>
      <c r="E301" s="297" t="str">
        <f t="shared" si="2"/>
        <v/>
      </c>
      <c r="F301" s="287">
        <v>33.0</v>
      </c>
      <c r="G301" s="288">
        <v>33.0</v>
      </c>
      <c r="H301" s="289">
        <v>6.04</v>
      </c>
      <c r="I301" s="289">
        <v>0.0</v>
      </c>
      <c r="J301" s="289">
        <v>0.0</v>
      </c>
      <c r="K301" s="298">
        <f t="shared" si="42"/>
        <v>6.04</v>
      </c>
      <c r="L301" s="253" t="str">
        <f t="shared" si="43"/>
        <v/>
      </c>
      <c r="T301" s="315"/>
      <c r="U301" s="316"/>
      <c r="V301" s="317"/>
    </row>
    <row r="302">
      <c r="A302" s="310"/>
      <c r="B302" s="285">
        <v>46076.0</v>
      </c>
      <c r="C302" s="101" t="s">
        <v>385</v>
      </c>
      <c r="D302" s="297" t="str">
        <f t="shared" si="1"/>
        <v/>
      </c>
      <c r="E302" s="297" t="str">
        <f t="shared" si="2"/>
        <v/>
      </c>
      <c r="F302" s="287">
        <v>24.0</v>
      </c>
      <c r="G302" s="288">
        <v>23.0</v>
      </c>
      <c r="H302" s="289">
        <v>360.0</v>
      </c>
      <c r="I302" s="289">
        <v>0.0</v>
      </c>
      <c r="J302" s="289">
        <v>0.0</v>
      </c>
      <c r="K302" s="298">
        <f t="shared" si="42"/>
        <v>360</v>
      </c>
      <c r="L302" s="253" t="str">
        <f t="shared" si="43"/>
        <v/>
      </c>
      <c r="T302" s="315"/>
      <c r="U302" s="316"/>
      <c r="V302" s="317"/>
    </row>
    <row r="303">
      <c r="A303" s="310"/>
      <c r="B303" s="285">
        <v>46076.0</v>
      </c>
      <c r="C303" s="101" t="s">
        <v>546</v>
      </c>
      <c r="D303" s="297" t="str">
        <f t="shared" si="1"/>
        <v/>
      </c>
      <c r="E303" s="297" t="str">
        <f t="shared" si="2"/>
        <v/>
      </c>
      <c r="F303" s="287">
        <v>105.0</v>
      </c>
      <c r="G303" s="288">
        <v>105.0</v>
      </c>
      <c r="H303" s="289">
        <v>56.64</v>
      </c>
      <c r="I303" s="289">
        <v>0.0</v>
      </c>
      <c r="J303" s="289">
        <v>0.0</v>
      </c>
      <c r="K303" s="298">
        <f t="shared" si="42"/>
        <v>56.64</v>
      </c>
      <c r="L303" s="253" t="str">
        <f t="shared" si="43"/>
        <v/>
      </c>
      <c r="T303" s="315"/>
      <c r="U303" s="316"/>
      <c r="V303" s="317"/>
    </row>
    <row r="304">
      <c r="A304" s="310"/>
      <c r="B304" s="285">
        <v>46076.0</v>
      </c>
      <c r="C304" s="101" t="s">
        <v>211</v>
      </c>
      <c r="D304" s="297" t="str">
        <f t="shared" si="1"/>
        <v>UPGRADE_BONUS</v>
      </c>
      <c r="E304" s="297" t="str">
        <f t="shared" si="2"/>
        <v>升级奖励</v>
      </c>
      <c r="F304" s="287">
        <v>206.0</v>
      </c>
      <c r="G304" s="288">
        <v>180.0</v>
      </c>
      <c r="H304" s="289">
        <v>427.0</v>
      </c>
      <c r="I304" s="289">
        <v>0.0</v>
      </c>
      <c r="J304" s="289">
        <v>0.0</v>
      </c>
      <c r="K304" s="298">
        <f t="shared" si="42"/>
        <v>427</v>
      </c>
      <c r="L304" s="253" t="str">
        <f t="shared" si="43"/>
        <v>升级奖励</v>
      </c>
      <c r="T304" s="315"/>
      <c r="U304" s="316"/>
      <c r="V304" s="317"/>
    </row>
    <row r="305">
      <c r="A305" s="310"/>
      <c r="B305" s="285">
        <v>46076.0</v>
      </c>
      <c r="C305" s="101" t="s">
        <v>550</v>
      </c>
      <c r="D305" s="297" t="str">
        <f t="shared" si="1"/>
        <v/>
      </c>
      <c r="E305" s="297" t="str">
        <f t="shared" si="2"/>
        <v/>
      </c>
      <c r="F305" s="287">
        <v>206.0</v>
      </c>
      <c r="G305" s="288">
        <v>180.0</v>
      </c>
      <c r="H305" s="289">
        <v>427.0</v>
      </c>
      <c r="I305" s="289">
        <v>0.0</v>
      </c>
      <c r="J305" s="289">
        <v>0.0</v>
      </c>
      <c r="K305" s="298">
        <f t="shared" si="42"/>
        <v>427</v>
      </c>
      <c r="L305" s="253" t="str">
        <f t="shared" si="43"/>
        <v/>
      </c>
      <c r="T305" s="315"/>
      <c r="U305" s="316"/>
      <c r="V305" s="317"/>
    </row>
    <row r="306">
      <c r="A306" s="310"/>
      <c r="B306" s="299"/>
      <c r="C306" s="300"/>
      <c r="D306" s="301" t="str">
        <f t="shared" si="1"/>
        <v/>
      </c>
      <c r="E306" s="301" t="str">
        <f t="shared" si="2"/>
        <v/>
      </c>
      <c r="F306" s="302">
        <f t="shared" ref="F306:K306" si="44">SUM(F285,F288,F291,F293,F295,F297,F299,F304)</f>
        <v>4093</v>
      </c>
      <c r="G306" s="302">
        <f t="shared" si="44"/>
        <v>4097</v>
      </c>
      <c r="H306" s="303">
        <f t="shared" si="44"/>
        <v>17555.71</v>
      </c>
      <c r="I306" s="303">
        <f t="shared" si="44"/>
        <v>651</v>
      </c>
      <c r="J306" s="303">
        <f t="shared" si="44"/>
        <v>339</v>
      </c>
      <c r="K306" s="303">
        <f t="shared" si="44"/>
        <v>18206.71</v>
      </c>
      <c r="L306" s="307">
        <v>18206.71</v>
      </c>
      <c r="M306" s="139">
        <f>K306-L306</f>
        <v>0</v>
      </c>
      <c r="T306" s="315"/>
      <c r="U306" s="316"/>
      <c r="V306" s="317"/>
    </row>
    <row r="307">
      <c r="A307" s="310"/>
      <c r="B307" s="285">
        <v>46077.0</v>
      </c>
      <c r="C307" s="101" t="s">
        <v>187</v>
      </c>
      <c r="D307" s="297" t="str">
        <f t="shared" si="1"/>
        <v>GAME_REBATE</v>
      </c>
      <c r="E307" s="297" t="str">
        <f t="shared" si="2"/>
        <v>玩家返水</v>
      </c>
      <c r="F307" s="287">
        <v>341.0</v>
      </c>
      <c r="G307" s="288">
        <v>341.0</v>
      </c>
      <c r="H307" s="289">
        <v>2417.95</v>
      </c>
      <c r="I307" s="289">
        <v>0.0</v>
      </c>
      <c r="J307" s="289">
        <v>0.0</v>
      </c>
      <c r="K307" s="298">
        <f t="shared" ref="K307:K327" si="45">H307+I307</f>
        <v>2417.95</v>
      </c>
      <c r="L307" s="253" t="str">
        <f t="shared" ref="L307:L327" si="46">IFERROR(VLOOKUP(C307,$M$3:$N$30,2,0),"")</f>
        <v>玩家返水</v>
      </c>
      <c r="T307" s="315"/>
      <c r="U307" s="316"/>
      <c r="V307" s="317"/>
    </row>
    <row r="308">
      <c r="A308" s="310"/>
      <c r="B308" s="285">
        <v>46077.0</v>
      </c>
      <c r="C308" s="101" t="s">
        <v>189</v>
      </c>
      <c r="D308" s="297" t="str">
        <f t="shared" si="1"/>
        <v/>
      </c>
      <c r="E308" s="297" t="str">
        <f t="shared" si="2"/>
        <v/>
      </c>
      <c r="F308" s="287">
        <v>338.0</v>
      </c>
      <c r="G308" s="288">
        <v>338.0</v>
      </c>
      <c r="H308" s="289">
        <v>2413.28</v>
      </c>
      <c r="I308" s="289">
        <v>0.0</v>
      </c>
      <c r="J308" s="289">
        <v>0.0</v>
      </c>
      <c r="K308" s="298">
        <f t="shared" si="45"/>
        <v>2413.28</v>
      </c>
      <c r="L308" s="253" t="str">
        <f t="shared" si="46"/>
        <v/>
      </c>
      <c r="T308" s="315"/>
      <c r="U308" s="316"/>
      <c r="V308" s="317"/>
    </row>
    <row r="309">
      <c r="A309" s="310"/>
      <c r="B309" s="285">
        <v>46077.0</v>
      </c>
      <c r="C309" s="101" t="s">
        <v>190</v>
      </c>
      <c r="D309" s="297" t="str">
        <f t="shared" si="1"/>
        <v/>
      </c>
      <c r="E309" s="297" t="str">
        <f t="shared" si="2"/>
        <v/>
      </c>
      <c r="F309" s="287">
        <v>6.0</v>
      </c>
      <c r="G309" s="288">
        <v>6.0</v>
      </c>
      <c r="H309" s="289">
        <v>4.67</v>
      </c>
      <c r="I309" s="289">
        <v>0.0</v>
      </c>
      <c r="J309" s="289">
        <v>0.0</v>
      </c>
      <c r="K309" s="298">
        <f t="shared" si="45"/>
        <v>4.67</v>
      </c>
      <c r="L309" s="253" t="str">
        <f t="shared" si="46"/>
        <v/>
      </c>
      <c r="T309" s="315"/>
      <c r="U309" s="316"/>
      <c r="V309" s="317"/>
    </row>
    <row r="310">
      <c r="A310" s="310"/>
      <c r="B310" s="285">
        <v>46077.0</v>
      </c>
      <c r="C310" s="101" t="s">
        <v>197</v>
      </c>
      <c r="D310" s="297" t="str">
        <f t="shared" si="1"/>
        <v>DEPOSIT</v>
      </c>
      <c r="E310" s="297" t="str">
        <f t="shared" si="2"/>
        <v>笔笔存送</v>
      </c>
      <c r="F310" s="289">
        <v>176.0</v>
      </c>
      <c r="G310" s="289">
        <v>139.0</v>
      </c>
      <c r="H310" s="289">
        <v>3828.77</v>
      </c>
      <c r="I310" s="289">
        <v>0.0</v>
      </c>
      <c r="J310" s="289">
        <v>0.0</v>
      </c>
      <c r="K310" s="289">
        <f t="shared" si="45"/>
        <v>3828.77</v>
      </c>
      <c r="L310" s="253" t="str">
        <f t="shared" si="46"/>
        <v>笔笔存送</v>
      </c>
      <c r="M310" s="139"/>
      <c r="T310" s="315"/>
      <c r="U310" s="316"/>
      <c r="V310" s="317"/>
    </row>
    <row r="311">
      <c r="A311" s="310"/>
      <c r="B311" s="285">
        <v>46077.0</v>
      </c>
      <c r="C311" s="101" t="s">
        <v>511</v>
      </c>
      <c r="D311" s="297" t="str">
        <f t="shared" si="1"/>
        <v/>
      </c>
      <c r="E311" s="297" t="str">
        <f t="shared" si="2"/>
        <v/>
      </c>
      <c r="F311" s="287">
        <v>120.0</v>
      </c>
      <c r="G311" s="288">
        <v>120.0</v>
      </c>
      <c r="H311" s="289">
        <v>3478.4</v>
      </c>
      <c r="I311" s="289">
        <v>0.0</v>
      </c>
      <c r="J311" s="289">
        <v>0.0</v>
      </c>
      <c r="K311" s="298">
        <f t="shared" si="45"/>
        <v>3478.4</v>
      </c>
      <c r="L311" s="253" t="str">
        <f t="shared" si="46"/>
        <v/>
      </c>
      <c r="T311" s="315"/>
      <c r="U311" s="316"/>
      <c r="V311" s="317"/>
    </row>
    <row r="312">
      <c r="A312" s="310"/>
      <c r="B312" s="285">
        <v>46077.0</v>
      </c>
      <c r="C312" s="101" t="s">
        <v>513</v>
      </c>
      <c r="D312" s="297" t="str">
        <f t="shared" si="1"/>
        <v/>
      </c>
      <c r="E312" s="297" t="str">
        <f t="shared" si="2"/>
        <v/>
      </c>
      <c r="F312" s="287">
        <v>56.0</v>
      </c>
      <c r="G312" s="288">
        <v>39.0</v>
      </c>
      <c r="H312" s="289">
        <v>350.37</v>
      </c>
      <c r="I312" s="289">
        <v>0.0</v>
      </c>
      <c r="J312" s="289">
        <v>0.0</v>
      </c>
      <c r="K312" s="298">
        <f t="shared" si="45"/>
        <v>350.37</v>
      </c>
      <c r="L312" s="253" t="str">
        <f t="shared" si="46"/>
        <v/>
      </c>
      <c r="T312" s="315"/>
      <c r="U312" s="316"/>
      <c r="V312" s="317"/>
    </row>
    <row r="313">
      <c r="A313" s="310"/>
      <c r="B313" s="285">
        <v>46077.0</v>
      </c>
      <c r="C313" s="101" t="s">
        <v>225</v>
      </c>
      <c r="D313" s="297" t="str">
        <f t="shared" si="1"/>
        <v>FIRST_DEPOSIT</v>
      </c>
      <c r="E313" s="297" t="str">
        <f t="shared" si="2"/>
        <v>首存</v>
      </c>
      <c r="F313" s="287">
        <v>59.0</v>
      </c>
      <c r="G313" s="288">
        <v>59.0</v>
      </c>
      <c r="H313" s="289">
        <v>3603.0</v>
      </c>
      <c r="I313" s="289">
        <v>0.0</v>
      </c>
      <c r="J313" s="289">
        <v>0.0</v>
      </c>
      <c r="K313" s="298">
        <f t="shared" si="45"/>
        <v>3603</v>
      </c>
      <c r="L313" s="253" t="str">
        <f t="shared" si="46"/>
        <v>首存</v>
      </c>
      <c r="T313" s="315"/>
      <c r="U313" s="316"/>
      <c r="V313" s="317"/>
    </row>
    <row r="314">
      <c r="A314" s="310"/>
      <c r="B314" s="285">
        <v>46077.0</v>
      </c>
      <c r="C314" s="101" t="s">
        <v>544</v>
      </c>
      <c r="D314" s="297" t="str">
        <f t="shared" si="1"/>
        <v/>
      </c>
      <c r="E314" s="297" t="str">
        <f t="shared" si="2"/>
        <v/>
      </c>
      <c r="F314" s="287">
        <v>59.0</v>
      </c>
      <c r="G314" s="288">
        <v>59.0</v>
      </c>
      <c r="H314" s="289">
        <v>3603.0</v>
      </c>
      <c r="I314" s="289">
        <v>0.0</v>
      </c>
      <c r="J314" s="289">
        <v>0.0</v>
      </c>
      <c r="K314" s="298">
        <f t="shared" si="45"/>
        <v>3603</v>
      </c>
      <c r="L314" s="253" t="str">
        <f t="shared" si="46"/>
        <v/>
      </c>
      <c r="T314" s="315"/>
      <c r="U314" s="316"/>
      <c r="V314" s="317"/>
    </row>
    <row r="315">
      <c r="A315" s="310"/>
      <c r="B315" s="285">
        <v>46077.0</v>
      </c>
      <c r="C315" s="101" t="s">
        <v>209</v>
      </c>
      <c r="D315" s="297" t="str">
        <f t="shared" si="1"/>
        <v>LOGIN</v>
      </c>
      <c r="E315" s="297" t="str">
        <f t="shared" si="2"/>
        <v>签到奖励</v>
      </c>
      <c r="F315" s="287">
        <v>3045.0</v>
      </c>
      <c r="G315" s="287">
        <v>3045.0</v>
      </c>
      <c r="H315" s="289">
        <v>4504.0</v>
      </c>
      <c r="I315" s="289">
        <v>0.0</v>
      </c>
      <c r="J315" s="289">
        <v>0.0</v>
      </c>
      <c r="K315" s="289">
        <f t="shared" si="45"/>
        <v>4504</v>
      </c>
      <c r="L315" s="253" t="str">
        <f t="shared" si="46"/>
        <v>签到奖励</v>
      </c>
      <c r="M315" s="139"/>
      <c r="T315" s="315"/>
      <c r="U315" s="316"/>
      <c r="V315" s="317"/>
    </row>
    <row r="316">
      <c r="A316" s="310"/>
      <c r="B316" s="285">
        <v>46077.0</v>
      </c>
      <c r="C316" s="101" t="s">
        <v>549</v>
      </c>
      <c r="D316" s="297" t="str">
        <f t="shared" si="1"/>
        <v/>
      </c>
      <c r="E316" s="297" t="str">
        <f t="shared" si="2"/>
        <v/>
      </c>
      <c r="F316" s="287">
        <v>3045.0</v>
      </c>
      <c r="G316" s="288">
        <v>3045.0</v>
      </c>
      <c r="H316" s="289">
        <v>4504.0</v>
      </c>
      <c r="I316" s="289">
        <v>0.0</v>
      </c>
      <c r="J316" s="289">
        <v>0.0</v>
      </c>
      <c r="K316" s="298">
        <f t="shared" si="45"/>
        <v>4504</v>
      </c>
      <c r="L316" s="253" t="str">
        <f t="shared" si="46"/>
        <v/>
      </c>
      <c r="T316" s="315"/>
      <c r="U316" s="316"/>
      <c r="V316" s="317"/>
    </row>
    <row r="317">
      <c r="A317" s="310"/>
      <c r="B317" s="285">
        <v>46077.0</v>
      </c>
      <c r="C317" s="101" t="s">
        <v>228</v>
      </c>
      <c r="D317" s="297" t="str">
        <f t="shared" si="1"/>
        <v>登录任务</v>
      </c>
      <c r="E317" s="297" t="str">
        <f t="shared" si="2"/>
        <v>登录任务</v>
      </c>
      <c r="F317" s="287">
        <v>0.0</v>
      </c>
      <c r="G317" s="288">
        <v>224.0</v>
      </c>
      <c r="H317" s="289">
        <v>0.0</v>
      </c>
      <c r="I317" s="289">
        <v>348.0</v>
      </c>
      <c r="J317" s="289">
        <v>251.0</v>
      </c>
      <c r="K317" s="298">
        <f t="shared" si="45"/>
        <v>348</v>
      </c>
      <c r="L317" s="253" t="str">
        <f t="shared" si="46"/>
        <v>登录任务</v>
      </c>
      <c r="T317" s="315"/>
      <c r="U317" s="316"/>
      <c r="V317" s="317"/>
    </row>
    <row r="318">
      <c r="A318" s="310"/>
      <c r="B318" s="285">
        <v>46077.0</v>
      </c>
      <c r="C318" s="101" t="s">
        <v>547</v>
      </c>
      <c r="D318" s="297" t="str">
        <f t="shared" si="1"/>
        <v/>
      </c>
      <c r="E318" s="297" t="str">
        <f t="shared" si="2"/>
        <v/>
      </c>
      <c r="F318" s="287">
        <v>0.0</v>
      </c>
      <c r="G318" s="288">
        <v>224.0</v>
      </c>
      <c r="H318" s="289">
        <v>0.0</v>
      </c>
      <c r="I318" s="289">
        <v>348.0</v>
      </c>
      <c r="J318" s="289">
        <v>251.0</v>
      </c>
      <c r="K318" s="298">
        <f t="shared" si="45"/>
        <v>348</v>
      </c>
      <c r="L318" s="253" t="str">
        <f t="shared" si="46"/>
        <v/>
      </c>
      <c r="T318" s="315"/>
      <c r="U318" s="316"/>
      <c r="V318" s="317"/>
    </row>
    <row r="319">
      <c r="A319" s="310"/>
      <c r="B319" s="285">
        <v>46077.0</v>
      </c>
      <c r="C319" s="101" t="s">
        <v>226</v>
      </c>
      <c r="D319" s="297" t="str">
        <f t="shared" si="1"/>
        <v>任务排行榜</v>
      </c>
      <c r="E319" s="297" t="str">
        <f t="shared" si="2"/>
        <v>任务排行榜</v>
      </c>
      <c r="F319" s="287">
        <v>279.0</v>
      </c>
      <c r="G319" s="288">
        <v>191.0</v>
      </c>
      <c r="H319" s="289">
        <v>0.0</v>
      </c>
      <c r="I319" s="289">
        <v>497.0</v>
      </c>
      <c r="J319" s="289">
        <v>159.0</v>
      </c>
      <c r="K319" s="298">
        <f t="shared" si="45"/>
        <v>497</v>
      </c>
      <c r="L319" s="253" t="str">
        <f t="shared" si="46"/>
        <v>任务排行榜</v>
      </c>
      <c r="T319" s="315"/>
      <c r="U319" s="316"/>
      <c r="V319" s="317"/>
    </row>
    <row r="320">
      <c r="A320" s="310"/>
      <c r="B320" s="285">
        <v>46077.0</v>
      </c>
      <c r="C320" s="101" t="s">
        <v>552</v>
      </c>
      <c r="D320" s="297" t="str">
        <f t="shared" si="1"/>
        <v/>
      </c>
      <c r="E320" s="297" t="str">
        <f t="shared" si="2"/>
        <v/>
      </c>
      <c r="F320" s="308">
        <v>279.0</v>
      </c>
      <c r="G320" s="308">
        <v>191.0</v>
      </c>
      <c r="H320" s="308">
        <v>0.0</v>
      </c>
      <c r="I320" s="308">
        <v>497.0</v>
      </c>
      <c r="J320" s="308">
        <v>159.0</v>
      </c>
      <c r="K320" s="298">
        <f t="shared" si="45"/>
        <v>497</v>
      </c>
      <c r="L320" s="253" t="str">
        <f t="shared" si="46"/>
        <v/>
      </c>
      <c r="M320" s="139"/>
      <c r="T320" s="315"/>
      <c r="U320" s="316"/>
      <c r="V320" s="317"/>
    </row>
    <row r="321">
      <c r="A321" s="310"/>
      <c r="B321" s="285">
        <v>46077.0</v>
      </c>
      <c r="C321" s="101" t="s">
        <v>230</v>
      </c>
      <c r="D321" s="297" t="str">
        <f t="shared" si="1"/>
        <v>邀请返佣</v>
      </c>
      <c r="E321" s="297" t="str">
        <f t="shared" si="2"/>
        <v>邀请返佣</v>
      </c>
      <c r="F321" s="287">
        <v>165.0</v>
      </c>
      <c r="G321" s="288">
        <v>119.0</v>
      </c>
      <c r="H321" s="289">
        <v>471.85</v>
      </c>
      <c r="I321" s="289">
        <v>0.0</v>
      </c>
      <c r="J321" s="289">
        <v>0.0</v>
      </c>
      <c r="K321" s="298">
        <f t="shared" si="45"/>
        <v>471.85</v>
      </c>
      <c r="L321" s="253" t="str">
        <f t="shared" si="46"/>
        <v>邀请返佣</v>
      </c>
      <c r="T321" s="315"/>
      <c r="U321" s="316"/>
      <c r="V321" s="317"/>
    </row>
    <row r="322">
      <c r="A322" s="310"/>
      <c r="B322" s="285">
        <v>46077.0</v>
      </c>
      <c r="C322" s="101" t="s">
        <v>386</v>
      </c>
      <c r="D322" s="297" t="str">
        <f t="shared" si="1"/>
        <v/>
      </c>
      <c r="E322" s="297" t="str">
        <f t="shared" si="2"/>
        <v/>
      </c>
      <c r="F322" s="287">
        <v>2.0</v>
      </c>
      <c r="G322" s="288">
        <v>2.0</v>
      </c>
      <c r="H322" s="289">
        <v>55.0</v>
      </c>
      <c r="I322" s="289">
        <v>0.0</v>
      </c>
      <c r="J322" s="289">
        <v>0.0</v>
      </c>
      <c r="K322" s="298">
        <f t="shared" si="45"/>
        <v>55</v>
      </c>
      <c r="L322" s="253" t="str">
        <f t="shared" si="46"/>
        <v/>
      </c>
      <c r="T322" s="315"/>
      <c r="U322" s="316"/>
      <c r="V322" s="317"/>
    </row>
    <row r="323">
      <c r="A323" s="310"/>
      <c r="B323" s="285">
        <v>46077.0</v>
      </c>
      <c r="C323" s="101" t="s">
        <v>387</v>
      </c>
      <c r="D323" s="297" t="str">
        <f t="shared" si="1"/>
        <v/>
      </c>
      <c r="E323" s="297" t="str">
        <f t="shared" si="2"/>
        <v/>
      </c>
      <c r="F323" s="287">
        <v>38.0</v>
      </c>
      <c r="G323" s="288">
        <v>38.0</v>
      </c>
      <c r="H323" s="289">
        <v>6.27</v>
      </c>
      <c r="I323" s="289">
        <v>0.0</v>
      </c>
      <c r="J323" s="289">
        <v>0.0</v>
      </c>
      <c r="K323" s="298">
        <f t="shared" si="45"/>
        <v>6.27</v>
      </c>
      <c r="L323" s="253" t="str">
        <f t="shared" si="46"/>
        <v/>
      </c>
      <c r="T323" s="315"/>
      <c r="U323" s="316"/>
      <c r="V323" s="317"/>
    </row>
    <row r="324">
      <c r="A324" s="310"/>
      <c r="B324" s="285">
        <v>46077.0</v>
      </c>
      <c r="C324" s="101" t="s">
        <v>385</v>
      </c>
      <c r="D324" s="297" t="str">
        <f t="shared" si="1"/>
        <v/>
      </c>
      <c r="E324" s="297" t="str">
        <f t="shared" si="2"/>
        <v/>
      </c>
      <c r="F324" s="289">
        <v>24.0</v>
      </c>
      <c r="G324" s="289">
        <v>22.0</v>
      </c>
      <c r="H324" s="289">
        <v>360.0</v>
      </c>
      <c r="I324" s="289">
        <v>0.0</v>
      </c>
      <c r="J324" s="289">
        <v>0.0</v>
      </c>
      <c r="K324" s="289">
        <f t="shared" si="45"/>
        <v>360</v>
      </c>
      <c r="L324" s="253" t="str">
        <f t="shared" si="46"/>
        <v/>
      </c>
      <c r="M324" s="139"/>
      <c r="T324" s="315"/>
      <c r="U324" s="316"/>
      <c r="V324" s="317"/>
    </row>
    <row r="325">
      <c r="A325" s="310"/>
      <c r="B325" s="285">
        <v>46077.0</v>
      </c>
      <c r="C325" s="101" t="s">
        <v>546</v>
      </c>
      <c r="D325" s="297" t="str">
        <f t="shared" si="1"/>
        <v/>
      </c>
      <c r="E325" s="297" t="str">
        <f t="shared" si="2"/>
        <v/>
      </c>
      <c r="F325" s="287">
        <v>101.0</v>
      </c>
      <c r="G325" s="288">
        <v>101.0</v>
      </c>
      <c r="H325" s="289">
        <v>50.58</v>
      </c>
      <c r="I325" s="289">
        <v>0.0</v>
      </c>
      <c r="J325" s="289">
        <v>0.0</v>
      </c>
      <c r="K325" s="298">
        <f t="shared" si="45"/>
        <v>50.58</v>
      </c>
      <c r="L325" s="253" t="str">
        <f t="shared" si="46"/>
        <v/>
      </c>
      <c r="T325" s="315"/>
      <c r="U325" s="316"/>
      <c r="V325" s="317"/>
    </row>
    <row r="326">
      <c r="A326" s="310"/>
      <c r="B326" s="285">
        <v>46077.0</v>
      </c>
      <c r="C326" s="101" t="s">
        <v>211</v>
      </c>
      <c r="D326" s="297" t="str">
        <f t="shared" si="1"/>
        <v>UPGRADE_BONUS</v>
      </c>
      <c r="E326" s="297" t="str">
        <f t="shared" si="2"/>
        <v>升级奖励</v>
      </c>
      <c r="F326" s="287">
        <v>226.0</v>
      </c>
      <c r="G326" s="288">
        <v>198.0</v>
      </c>
      <c r="H326" s="289">
        <v>457.0</v>
      </c>
      <c r="I326" s="289">
        <v>0.0</v>
      </c>
      <c r="J326" s="289">
        <v>0.0</v>
      </c>
      <c r="K326" s="298">
        <f t="shared" si="45"/>
        <v>457</v>
      </c>
      <c r="L326" s="253" t="str">
        <f t="shared" si="46"/>
        <v>升级奖励</v>
      </c>
      <c r="T326" s="315"/>
      <c r="U326" s="316"/>
      <c r="V326" s="317"/>
    </row>
    <row r="327">
      <c r="A327" s="310"/>
      <c r="B327" s="285">
        <v>46077.0</v>
      </c>
      <c r="C327" s="101" t="s">
        <v>550</v>
      </c>
      <c r="D327" s="297" t="str">
        <f t="shared" si="1"/>
        <v/>
      </c>
      <c r="E327" s="297" t="str">
        <f t="shared" si="2"/>
        <v/>
      </c>
      <c r="F327" s="287">
        <v>226.0</v>
      </c>
      <c r="G327" s="288">
        <v>198.0</v>
      </c>
      <c r="H327" s="289">
        <v>457.0</v>
      </c>
      <c r="I327" s="289">
        <v>0.0</v>
      </c>
      <c r="J327" s="289">
        <v>0.0</v>
      </c>
      <c r="K327" s="298">
        <f t="shared" si="45"/>
        <v>457</v>
      </c>
      <c r="L327" s="253" t="str">
        <f t="shared" si="46"/>
        <v/>
      </c>
      <c r="T327" s="315"/>
      <c r="U327" s="316"/>
      <c r="V327" s="317"/>
    </row>
    <row r="328">
      <c r="A328" s="310"/>
      <c r="B328" s="299"/>
      <c r="C328" s="300"/>
      <c r="D328" s="301" t="str">
        <f t="shared" si="1"/>
        <v/>
      </c>
      <c r="E328" s="301" t="str">
        <f t="shared" si="2"/>
        <v/>
      </c>
      <c r="F328" s="302">
        <f t="shared" ref="F328:K328" si="47">SUM(F307,F310,F313,F315,F317,F319,F321,F326)</f>
        <v>4291</v>
      </c>
      <c r="G328" s="302">
        <f t="shared" si="47"/>
        <v>4316</v>
      </c>
      <c r="H328" s="303">
        <f t="shared" si="47"/>
        <v>15282.57</v>
      </c>
      <c r="I328" s="303">
        <f t="shared" si="47"/>
        <v>845</v>
      </c>
      <c r="J328" s="303">
        <f t="shared" si="47"/>
        <v>410</v>
      </c>
      <c r="K328" s="303">
        <f t="shared" si="47"/>
        <v>16127.57</v>
      </c>
      <c r="L328" s="307">
        <v>16127.57</v>
      </c>
      <c r="M328" s="112">
        <f>K328-L328</f>
        <v>0</v>
      </c>
      <c r="T328" s="315"/>
      <c r="U328" s="316"/>
      <c r="V328" s="317"/>
    </row>
    <row r="329">
      <c r="A329" s="310"/>
      <c r="B329" s="285">
        <v>46078.0</v>
      </c>
      <c r="C329" s="101" t="s">
        <v>187</v>
      </c>
      <c r="D329" s="297" t="str">
        <f t="shared" si="1"/>
        <v>GAME_REBATE</v>
      </c>
      <c r="E329" s="297" t="str">
        <f t="shared" si="2"/>
        <v>玩家返水</v>
      </c>
      <c r="F329" s="289">
        <v>405.0</v>
      </c>
      <c r="G329" s="289">
        <v>405.0</v>
      </c>
      <c r="H329" s="289">
        <v>3906.86</v>
      </c>
      <c r="I329" s="289">
        <v>0.0</v>
      </c>
      <c r="J329" s="289">
        <v>0.0</v>
      </c>
      <c r="K329" s="289">
        <f t="shared" ref="K329:K349" si="48">H329+I329</f>
        <v>3906.86</v>
      </c>
      <c r="L329" s="253" t="str">
        <f t="shared" ref="L329:L349" si="49">IFERROR(VLOOKUP(C329,$M$3:$N$30,2,0),"")</f>
        <v>玩家返水</v>
      </c>
      <c r="M329" s="139"/>
      <c r="T329" s="315"/>
      <c r="U329" s="316"/>
      <c r="V329" s="317"/>
    </row>
    <row r="330">
      <c r="A330" s="310"/>
      <c r="B330" s="285">
        <v>46078.0</v>
      </c>
      <c r="C330" s="101" t="s">
        <v>189</v>
      </c>
      <c r="D330" s="297" t="str">
        <f t="shared" si="1"/>
        <v/>
      </c>
      <c r="E330" s="297" t="str">
        <f t="shared" si="2"/>
        <v/>
      </c>
      <c r="F330" s="287">
        <v>401.0</v>
      </c>
      <c r="G330" s="288">
        <v>401.0</v>
      </c>
      <c r="H330" s="289">
        <v>3869.24</v>
      </c>
      <c r="I330" s="289">
        <v>0.0</v>
      </c>
      <c r="J330" s="289">
        <v>0.0</v>
      </c>
      <c r="K330" s="298">
        <f t="shared" si="48"/>
        <v>3869.24</v>
      </c>
      <c r="L330" s="253" t="str">
        <f t="shared" si="49"/>
        <v/>
      </c>
      <c r="T330" s="315"/>
      <c r="U330" s="316"/>
      <c r="V330" s="317"/>
    </row>
    <row r="331">
      <c r="A331" s="310"/>
      <c r="B331" s="285">
        <v>46078.0</v>
      </c>
      <c r="C331" s="101" t="s">
        <v>190</v>
      </c>
      <c r="D331" s="297" t="str">
        <f t="shared" si="1"/>
        <v/>
      </c>
      <c r="E331" s="297" t="str">
        <f t="shared" si="2"/>
        <v/>
      </c>
      <c r="F331" s="287">
        <v>13.0</v>
      </c>
      <c r="G331" s="288">
        <v>13.0</v>
      </c>
      <c r="H331" s="289">
        <v>37.62</v>
      </c>
      <c r="I331" s="289">
        <v>0.0</v>
      </c>
      <c r="J331" s="289">
        <v>0.0</v>
      </c>
      <c r="K331" s="298">
        <f t="shared" si="48"/>
        <v>37.62</v>
      </c>
      <c r="L331" s="253" t="str">
        <f t="shared" si="49"/>
        <v/>
      </c>
      <c r="T331" s="315"/>
      <c r="U331" s="316"/>
      <c r="V331" s="317"/>
    </row>
    <row r="332">
      <c r="A332" s="310"/>
      <c r="B332" s="285">
        <v>46078.0</v>
      </c>
      <c r="C332" s="101" t="s">
        <v>197</v>
      </c>
      <c r="D332" s="297" t="str">
        <f t="shared" si="1"/>
        <v>DEPOSIT</v>
      </c>
      <c r="E332" s="297" t="str">
        <f t="shared" si="2"/>
        <v>笔笔存送</v>
      </c>
      <c r="F332" s="287">
        <v>155.0</v>
      </c>
      <c r="G332" s="288">
        <v>120.0</v>
      </c>
      <c r="H332" s="289">
        <v>2830.51</v>
      </c>
      <c r="I332" s="289">
        <v>0.0</v>
      </c>
      <c r="J332" s="289">
        <v>0.0</v>
      </c>
      <c r="K332" s="298">
        <f t="shared" si="48"/>
        <v>2830.51</v>
      </c>
      <c r="L332" s="253" t="str">
        <f t="shared" si="49"/>
        <v>笔笔存送</v>
      </c>
      <c r="T332" s="315"/>
      <c r="U332" s="316"/>
      <c r="V332" s="317"/>
    </row>
    <row r="333">
      <c r="A333" s="310"/>
      <c r="B333" s="285">
        <v>46078.0</v>
      </c>
      <c r="C333" s="101" t="s">
        <v>511</v>
      </c>
      <c r="D333" s="297" t="str">
        <f t="shared" si="1"/>
        <v/>
      </c>
      <c r="E333" s="297" t="str">
        <f t="shared" si="2"/>
        <v/>
      </c>
      <c r="F333" s="287">
        <v>99.0</v>
      </c>
      <c r="G333" s="288">
        <v>99.0</v>
      </c>
      <c r="H333" s="289">
        <v>2564.2</v>
      </c>
      <c r="I333" s="289">
        <v>0.0</v>
      </c>
      <c r="J333" s="289">
        <v>0.0</v>
      </c>
      <c r="K333" s="298">
        <f t="shared" si="48"/>
        <v>2564.2</v>
      </c>
      <c r="L333" s="253" t="str">
        <f t="shared" si="49"/>
        <v/>
      </c>
      <c r="T333" s="315"/>
      <c r="U333" s="316"/>
      <c r="V333" s="317"/>
    </row>
    <row r="334">
      <c r="A334" s="310"/>
      <c r="B334" s="285">
        <v>46078.0</v>
      </c>
      <c r="C334" s="101" t="s">
        <v>513</v>
      </c>
      <c r="D334" s="297" t="str">
        <f t="shared" si="1"/>
        <v/>
      </c>
      <c r="E334" s="297" t="str">
        <f t="shared" si="2"/>
        <v/>
      </c>
      <c r="F334" s="287">
        <v>56.0</v>
      </c>
      <c r="G334" s="288">
        <v>34.0</v>
      </c>
      <c r="H334" s="289">
        <v>266.31</v>
      </c>
      <c r="I334" s="289">
        <v>0.0</v>
      </c>
      <c r="J334" s="289">
        <v>0.0</v>
      </c>
      <c r="K334" s="298">
        <f t="shared" si="48"/>
        <v>266.31</v>
      </c>
      <c r="L334" s="253" t="str">
        <f t="shared" si="49"/>
        <v/>
      </c>
      <c r="T334" s="315"/>
      <c r="U334" s="316"/>
      <c r="V334" s="317"/>
    </row>
    <row r="335">
      <c r="A335" s="310"/>
      <c r="B335" s="285">
        <v>46078.0</v>
      </c>
      <c r="C335" s="101" t="s">
        <v>225</v>
      </c>
      <c r="D335" s="297" t="str">
        <f t="shared" si="1"/>
        <v>FIRST_DEPOSIT</v>
      </c>
      <c r="E335" s="297" t="str">
        <f t="shared" si="2"/>
        <v>首存</v>
      </c>
      <c r="F335" s="287">
        <v>73.0</v>
      </c>
      <c r="G335" s="288">
        <v>73.0</v>
      </c>
      <c r="H335" s="289">
        <v>4701.0</v>
      </c>
      <c r="I335" s="289">
        <v>0.0</v>
      </c>
      <c r="J335" s="289">
        <v>0.0</v>
      </c>
      <c r="K335" s="298">
        <f t="shared" si="48"/>
        <v>4701</v>
      </c>
      <c r="L335" s="253" t="str">
        <f t="shared" si="49"/>
        <v>首存</v>
      </c>
      <c r="T335" s="315"/>
      <c r="U335" s="316"/>
      <c r="V335" s="317"/>
    </row>
    <row r="336">
      <c r="A336" s="310"/>
      <c r="B336" s="285">
        <v>46078.0</v>
      </c>
      <c r="C336" s="101" t="s">
        <v>544</v>
      </c>
      <c r="D336" s="297" t="str">
        <f t="shared" si="1"/>
        <v/>
      </c>
      <c r="E336" s="297" t="str">
        <f t="shared" si="2"/>
        <v/>
      </c>
      <c r="F336" s="287">
        <v>73.0</v>
      </c>
      <c r="G336" s="288">
        <v>73.0</v>
      </c>
      <c r="H336" s="289">
        <v>4701.0</v>
      </c>
      <c r="I336" s="289">
        <v>0.0</v>
      </c>
      <c r="J336" s="289">
        <v>0.0</v>
      </c>
      <c r="K336" s="298">
        <f t="shared" si="48"/>
        <v>4701</v>
      </c>
      <c r="L336" s="253" t="str">
        <f t="shared" si="49"/>
        <v/>
      </c>
      <c r="T336" s="315"/>
      <c r="U336" s="316"/>
      <c r="V336" s="317"/>
    </row>
    <row r="337">
      <c r="A337" s="310"/>
      <c r="B337" s="285">
        <v>46078.0</v>
      </c>
      <c r="C337" s="101" t="s">
        <v>209</v>
      </c>
      <c r="D337" s="297" t="str">
        <f t="shared" si="1"/>
        <v>LOGIN</v>
      </c>
      <c r="E337" s="297" t="str">
        <f t="shared" si="2"/>
        <v>签到奖励</v>
      </c>
      <c r="F337" s="287">
        <v>2817.0</v>
      </c>
      <c r="G337" s="288">
        <v>2817.0</v>
      </c>
      <c r="H337" s="289">
        <v>4518.0</v>
      </c>
      <c r="I337" s="289">
        <v>0.0</v>
      </c>
      <c r="J337" s="289">
        <v>0.0</v>
      </c>
      <c r="K337" s="298">
        <f t="shared" si="48"/>
        <v>4518</v>
      </c>
      <c r="L337" s="253" t="str">
        <f t="shared" si="49"/>
        <v>签到奖励</v>
      </c>
      <c r="T337" s="315"/>
      <c r="U337" s="316"/>
      <c r="V337" s="317"/>
    </row>
    <row r="338">
      <c r="A338" s="310"/>
      <c r="B338" s="285">
        <v>46078.0</v>
      </c>
      <c r="C338" s="101" t="s">
        <v>549</v>
      </c>
      <c r="D338" s="297" t="str">
        <f t="shared" si="1"/>
        <v/>
      </c>
      <c r="E338" s="297" t="str">
        <f t="shared" si="2"/>
        <v/>
      </c>
      <c r="F338" s="287">
        <v>2817.0</v>
      </c>
      <c r="G338" s="288">
        <v>2817.0</v>
      </c>
      <c r="H338" s="289">
        <v>4518.0</v>
      </c>
      <c r="I338" s="289">
        <v>0.0</v>
      </c>
      <c r="J338" s="289">
        <v>0.0</v>
      </c>
      <c r="K338" s="298">
        <f t="shared" si="48"/>
        <v>4518</v>
      </c>
      <c r="L338" s="253" t="str">
        <f t="shared" si="49"/>
        <v/>
      </c>
      <c r="T338" s="315"/>
      <c r="U338" s="316"/>
      <c r="V338" s="317"/>
    </row>
    <row r="339">
      <c r="A339" s="310"/>
      <c r="B339" s="285">
        <v>46078.0</v>
      </c>
      <c r="C339" s="101" t="s">
        <v>228</v>
      </c>
      <c r="D339" s="297" t="str">
        <f t="shared" si="1"/>
        <v>登录任务</v>
      </c>
      <c r="E339" s="297" t="str">
        <f t="shared" si="2"/>
        <v>登录任务</v>
      </c>
      <c r="F339" s="287">
        <v>0.0</v>
      </c>
      <c r="G339" s="288">
        <v>203.0</v>
      </c>
      <c r="H339" s="289">
        <v>0.0</v>
      </c>
      <c r="I339" s="289">
        <v>318.0</v>
      </c>
      <c r="J339" s="289">
        <v>223.0</v>
      </c>
      <c r="K339" s="298">
        <f t="shared" si="48"/>
        <v>318</v>
      </c>
      <c r="L339" s="253" t="str">
        <f t="shared" si="49"/>
        <v>登录任务</v>
      </c>
      <c r="T339" s="315"/>
      <c r="U339" s="316"/>
      <c r="V339" s="317"/>
    </row>
    <row r="340">
      <c r="A340" s="310"/>
      <c r="B340" s="285">
        <v>46078.0</v>
      </c>
      <c r="C340" s="101" t="s">
        <v>547</v>
      </c>
      <c r="D340" s="297" t="str">
        <f t="shared" si="1"/>
        <v/>
      </c>
      <c r="E340" s="297" t="str">
        <f t="shared" si="2"/>
        <v/>
      </c>
      <c r="F340" s="287">
        <v>0.0</v>
      </c>
      <c r="G340" s="288">
        <v>203.0</v>
      </c>
      <c r="H340" s="289">
        <v>0.0</v>
      </c>
      <c r="I340" s="289">
        <v>318.0</v>
      </c>
      <c r="J340" s="289">
        <v>223.0</v>
      </c>
      <c r="K340" s="298">
        <f t="shared" si="48"/>
        <v>318</v>
      </c>
      <c r="L340" s="253" t="str">
        <f t="shared" si="49"/>
        <v/>
      </c>
      <c r="T340" s="315"/>
      <c r="U340" s="316"/>
      <c r="V340" s="317"/>
    </row>
    <row r="341">
      <c r="A341" s="310"/>
      <c r="B341" s="285">
        <v>46078.0</v>
      </c>
      <c r="C341" s="101" t="s">
        <v>226</v>
      </c>
      <c r="D341" s="297" t="str">
        <f t="shared" si="1"/>
        <v>任务排行榜</v>
      </c>
      <c r="E341" s="297" t="str">
        <f t="shared" si="2"/>
        <v>任务排行榜</v>
      </c>
      <c r="F341" s="287">
        <v>228.0</v>
      </c>
      <c r="G341" s="288">
        <v>155.0</v>
      </c>
      <c r="H341" s="289">
        <v>0.0</v>
      </c>
      <c r="I341" s="289">
        <v>291.0</v>
      </c>
      <c r="J341" s="289">
        <v>105.0</v>
      </c>
      <c r="K341" s="298">
        <f t="shared" si="48"/>
        <v>291</v>
      </c>
      <c r="L341" s="253" t="str">
        <f t="shared" si="49"/>
        <v>任务排行榜</v>
      </c>
      <c r="T341" s="315"/>
      <c r="U341" s="316"/>
      <c r="V341" s="317"/>
    </row>
    <row r="342">
      <c r="A342" s="310"/>
      <c r="B342" s="285">
        <v>46078.0</v>
      </c>
      <c r="C342" s="101" t="s">
        <v>552</v>
      </c>
      <c r="D342" s="297" t="str">
        <f t="shared" si="1"/>
        <v/>
      </c>
      <c r="E342" s="297" t="str">
        <f t="shared" si="2"/>
        <v/>
      </c>
      <c r="F342" s="287">
        <v>228.0</v>
      </c>
      <c r="G342" s="288">
        <v>155.0</v>
      </c>
      <c r="H342" s="289">
        <v>0.0</v>
      </c>
      <c r="I342" s="289">
        <v>291.0</v>
      </c>
      <c r="J342" s="289">
        <v>105.0</v>
      </c>
      <c r="K342" s="298">
        <f t="shared" si="48"/>
        <v>291</v>
      </c>
      <c r="L342" s="253" t="str">
        <f t="shared" si="49"/>
        <v/>
      </c>
      <c r="T342" s="315"/>
      <c r="U342" s="316"/>
      <c r="V342" s="317"/>
    </row>
    <row r="343">
      <c r="A343" s="310"/>
      <c r="B343" s="285">
        <v>46078.0</v>
      </c>
      <c r="C343" s="101" t="s">
        <v>230</v>
      </c>
      <c r="D343" s="297" t="str">
        <f t="shared" si="1"/>
        <v>邀请返佣</v>
      </c>
      <c r="E343" s="297" t="str">
        <f t="shared" si="2"/>
        <v>邀请返佣</v>
      </c>
      <c r="F343" s="287">
        <v>153.0</v>
      </c>
      <c r="G343" s="288">
        <v>120.0</v>
      </c>
      <c r="H343" s="289">
        <v>271.96</v>
      </c>
      <c r="I343" s="289">
        <v>0.0</v>
      </c>
      <c r="J343" s="289">
        <v>0.0</v>
      </c>
      <c r="K343" s="298">
        <f t="shared" si="48"/>
        <v>271.96</v>
      </c>
      <c r="L343" s="253" t="str">
        <f t="shared" si="49"/>
        <v>邀请返佣</v>
      </c>
      <c r="T343" s="315"/>
      <c r="U343" s="316"/>
      <c r="V343" s="317"/>
    </row>
    <row r="344">
      <c r="A344" s="310"/>
      <c r="B344" s="285">
        <v>46078.0</v>
      </c>
      <c r="C344" s="101" t="s">
        <v>386</v>
      </c>
      <c r="D344" s="297" t="str">
        <f t="shared" si="1"/>
        <v/>
      </c>
      <c r="E344" s="297" t="str">
        <f t="shared" si="2"/>
        <v/>
      </c>
      <c r="F344" s="287">
        <v>1.0</v>
      </c>
      <c r="G344" s="288">
        <v>1.0</v>
      </c>
      <c r="H344" s="289">
        <v>15.0</v>
      </c>
      <c r="I344" s="289">
        <v>0.0</v>
      </c>
      <c r="J344" s="289">
        <v>0.0</v>
      </c>
      <c r="K344" s="298">
        <f t="shared" si="48"/>
        <v>15</v>
      </c>
      <c r="L344" s="253" t="str">
        <f t="shared" si="49"/>
        <v/>
      </c>
      <c r="T344" s="315"/>
      <c r="U344" s="316"/>
      <c r="V344" s="317"/>
    </row>
    <row r="345">
      <c r="A345" s="310"/>
      <c r="B345" s="285">
        <v>46078.0</v>
      </c>
      <c r="C345" s="101" t="s">
        <v>387</v>
      </c>
      <c r="D345" s="297" t="str">
        <f t="shared" si="1"/>
        <v/>
      </c>
      <c r="E345" s="297" t="str">
        <f t="shared" si="2"/>
        <v/>
      </c>
      <c r="F345" s="287">
        <v>30.0</v>
      </c>
      <c r="G345" s="288">
        <v>30.0</v>
      </c>
      <c r="H345" s="289">
        <v>6.18</v>
      </c>
      <c r="I345" s="289">
        <v>0.0</v>
      </c>
      <c r="J345" s="289">
        <v>0.0</v>
      </c>
      <c r="K345" s="298">
        <f t="shared" si="48"/>
        <v>6.18</v>
      </c>
      <c r="L345" s="253" t="str">
        <f t="shared" si="49"/>
        <v/>
      </c>
      <c r="T345" s="315"/>
      <c r="U345" s="316"/>
      <c r="V345" s="317"/>
    </row>
    <row r="346">
      <c r="A346" s="310"/>
      <c r="B346" s="285">
        <v>46078.0</v>
      </c>
      <c r="C346" s="101" t="s">
        <v>385</v>
      </c>
      <c r="D346" s="297" t="str">
        <f t="shared" si="1"/>
        <v/>
      </c>
      <c r="E346" s="297" t="str">
        <f t="shared" si="2"/>
        <v/>
      </c>
      <c r="F346" s="287">
        <v>14.0</v>
      </c>
      <c r="G346" s="288">
        <v>14.0</v>
      </c>
      <c r="H346" s="289">
        <v>210.0</v>
      </c>
      <c r="I346" s="289">
        <v>0.0</v>
      </c>
      <c r="J346" s="289">
        <v>0.0</v>
      </c>
      <c r="K346" s="298">
        <f t="shared" si="48"/>
        <v>210</v>
      </c>
      <c r="L346" s="253" t="str">
        <f t="shared" si="49"/>
        <v/>
      </c>
      <c r="T346" s="315"/>
      <c r="U346" s="316"/>
      <c r="V346" s="317"/>
    </row>
    <row r="347">
      <c r="A347" s="310"/>
      <c r="B347" s="285">
        <v>46078.0</v>
      </c>
      <c r="C347" s="101" t="s">
        <v>546</v>
      </c>
      <c r="D347" s="297" t="str">
        <f t="shared" si="1"/>
        <v/>
      </c>
      <c r="E347" s="297" t="str">
        <f t="shared" si="2"/>
        <v/>
      </c>
      <c r="F347" s="287">
        <v>108.0</v>
      </c>
      <c r="G347" s="288">
        <v>108.0</v>
      </c>
      <c r="H347" s="289">
        <v>40.79</v>
      </c>
      <c r="I347" s="289">
        <v>0.0</v>
      </c>
      <c r="J347" s="289">
        <v>0.0</v>
      </c>
      <c r="K347" s="298">
        <f t="shared" si="48"/>
        <v>40.79</v>
      </c>
      <c r="L347" s="253" t="str">
        <f t="shared" si="49"/>
        <v/>
      </c>
      <c r="T347" s="315"/>
      <c r="U347" s="316"/>
      <c r="V347" s="317"/>
    </row>
    <row r="348">
      <c r="A348" s="310"/>
      <c r="B348" s="285">
        <v>46078.0</v>
      </c>
      <c r="C348" s="101" t="s">
        <v>211</v>
      </c>
      <c r="D348" s="297" t="str">
        <f t="shared" si="1"/>
        <v>UPGRADE_BONUS</v>
      </c>
      <c r="E348" s="297" t="str">
        <f t="shared" si="2"/>
        <v>升级奖励</v>
      </c>
      <c r="F348" s="287">
        <v>191.0</v>
      </c>
      <c r="G348" s="288">
        <v>163.0</v>
      </c>
      <c r="H348" s="289">
        <v>580.0</v>
      </c>
      <c r="I348" s="289">
        <v>0.0</v>
      </c>
      <c r="J348" s="289">
        <v>0.0</v>
      </c>
      <c r="K348" s="298">
        <f t="shared" si="48"/>
        <v>580</v>
      </c>
      <c r="L348" s="253" t="str">
        <f t="shared" si="49"/>
        <v>升级奖励</v>
      </c>
      <c r="T348" s="315"/>
      <c r="U348" s="316"/>
      <c r="V348" s="317"/>
    </row>
    <row r="349">
      <c r="A349" s="310"/>
      <c r="B349" s="285">
        <v>46078.0</v>
      </c>
      <c r="C349" s="101" t="s">
        <v>550</v>
      </c>
      <c r="D349" s="297" t="str">
        <f t="shared" si="1"/>
        <v/>
      </c>
      <c r="E349" s="297" t="str">
        <f t="shared" si="2"/>
        <v/>
      </c>
      <c r="F349" s="287">
        <v>191.0</v>
      </c>
      <c r="G349" s="288">
        <v>163.0</v>
      </c>
      <c r="H349" s="289">
        <v>580.0</v>
      </c>
      <c r="I349" s="289">
        <v>0.0</v>
      </c>
      <c r="J349" s="289">
        <v>0.0</v>
      </c>
      <c r="K349" s="298">
        <f t="shared" si="48"/>
        <v>580</v>
      </c>
      <c r="L349" s="253" t="str">
        <f t="shared" si="49"/>
        <v/>
      </c>
      <c r="T349" s="315"/>
      <c r="U349" s="316"/>
      <c r="V349" s="317"/>
    </row>
    <row r="350">
      <c r="A350" s="310"/>
      <c r="B350" s="299"/>
      <c r="C350" s="300"/>
      <c r="D350" s="301" t="str">
        <f t="shared" si="1"/>
        <v/>
      </c>
      <c r="E350" s="301" t="str">
        <f t="shared" si="2"/>
        <v/>
      </c>
      <c r="F350" s="302">
        <f t="shared" ref="F350:K350" si="50">SUM(F329,F332,F335,F337,F339,F341,F343,F348)</f>
        <v>4022</v>
      </c>
      <c r="G350" s="302">
        <f t="shared" si="50"/>
        <v>4056</v>
      </c>
      <c r="H350" s="303">
        <f t="shared" si="50"/>
        <v>16808.33</v>
      </c>
      <c r="I350" s="303">
        <f t="shared" si="50"/>
        <v>609</v>
      </c>
      <c r="J350" s="303">
        <f t="shared" si="50"/>
        <v>328</v>
      </c>
      <c r="K350" s="303">
        <f t="shared" si="50"/>
        <v>17417.33</v>
      </c>
      <c r="L350" s="307">
        <v>17417.33</v>
      </c>
      <c r="M350" s="139">
        <f>K350-L350</f>
        <v>0</v>
      </c>
      <c r="T350" s="315"/>
      <c r="U350" s="316"/>
      <c r="V350" s="317"/>
    </row>
    <row r="351">
      <c r="A351" s="310"/>
      <c r="B351" s="285">
        <v>46079.0</v>
      </c>
      <c r="C351" s="101" t="s">
        <v>187</v>
      </c>
      <c r="D351" s="297" t="str">
        <f t="shared" si="1"/>
        <v>GAME_REBATE</v>
      </c>
      <c r="E351" s="297" t="str">
        <f t="shared" si="2"/>
        <v>玩家返水</v>
      </c>
      <c r="F351" s="287">
        <v>386.0</v>
      </c>
      <c r="G351" s="287">
        <v>386.0</v>
      </c>
      <c r="H351" s="287">
        <v>3076.5</v>
      </c>
      <c r="I351" s="287">
        <v>0.0</v>
      </c>
      <c r="J351" s="287">
        <v>0.0</v>
      </c>
      <c r="K351" s="289">
        <f t="shared" ref="K351:K370" si="51">H351+I351</f>
        <v>3076.5</v>
      </c>
      <c r="L351" s="253" t="str">
        <f t="shared" ref="L351:L413" si="52">IFERROR(VLOOKUP(C351,$M$3:$N$30,2,0),"")</f>
        <v>玩家返水</v>
      </c>
      <c r="T351" s="315"/>
      <c r="U351" s="316"/>
      <c r="V351" s="317"/>
    </row>
    <row r="352">
      <c r="A352" s="310"/>
      <c r="B352" s="285">
        <v>46079.0</v>
      </c>
      <c r="C352" s="101" t="s">
        <v>189</v>
      </c>
      <c r="D352" s="297" t="str">
        <f t="shared" si="1"/>
        <v/>
      </c>
      <c r="E352" s="297" t="str">
        <f t="shared" si="2"/>
        <v/>
      </c>
      <c r="F352" s="287">
        <v>382.0</v>
      </c>
      <c r="G352" s="288">
        <v>382.0</v>
      </c>
      <c r="H352" s="289">
        <v>3055.64</v>
      </c>
      <c r="I352" s="289">
        <v>0.0</v>
      </c>
      <c r="J352" s="289">
        <v>0.0</v>
      </c>
      <c r="K352" s="298">
        <f t="shared" si="51"/>
        <v>3055.64</v>
      </c>
      <c r="L352" s="253" t="str">
        <f t="shared" si="52"/>
        <v/>
      </c>
      <c r="T352" s="315"/>
      <c r="U352" s="316"/>
      <c r="V352" s="317"/>
    </row>
    <row r="353">
      <c r="A353" s="310"/>
      <c r="B353" s="285">
        <v>46079.0</v>
      </c>
      <c r="C353" s="101" t="s">
        <v>190</v>
      </c>
      <c r="D353" s="297" t="str">
        <f t="shared" si="1"/>
        <v/>
      </c>
      <c r="E353" s="297" t="str">
        <f t="shared" si="2"/>
        <v/>
      </c>
      <c r="F353" s="287">
        <v>11.0</v>
      </c>
      <c r="G353" s="288">
        <v>11.0</v>
      </c>
      <c r="H353" s="289">
        <v>20.86</v>
      </c>
      <c r="I353" s="289">
        <v>0.0</v>
      </c>
      <c r="J353" s="289">
        <v>0.0</v>
      </c>
      <c r="K353" s="298">
        <f t="shared" si="51"/>
        <v>20.86</v>
      </c>
      <c r="L353" s="253" t="str">
        <f t="shared" si="52"/>
        <v/>
      </c>
      <c r="T353" s="315"/>
      <c r="U353" s="316"/>
      <c r="V353" s="317"/>
    </row>
    <row r="354">
      <c r="A354" s="310"/>
      <c r="B354" s="285">
        <v>46079.0</v>
      </c>
      <c r="C354" s="101" t="s">
        <v>197</v>
      </c>
      <c r="D354" s="297" t="str">
        <f t="shared" si="1"/>
        <v>DEPOSIT</v>
      </c>
      <c r="E354" s="297" t="str">
        <f t="shared" si="2"/>
        <v>笔笔存送</v>
      </c>
      <c r="F354" s="287">
        <v>153.0</v>
      </c>
      <c r="G354" s="287">
        <v>129.0</v>
      </c>
      <c r="H354" s="289">
        <v>3710.2</v>
      </c>
      <c r="I354" s="289">
        <v>0.0</v>
      </c>
      <c r="J354" s="289">
        <v>0.0</v>
      </c>
      <c r="K354" s="289">
        <f t="shared" si="51"/>
        <v>3710.2</v>
      </c>
      <c r="L354" s="253" t="str">
        <f t="shared" si="52"/>
        <v>笔笔存送</v>
      </c>
      <c r="M354" s="139"/>
      <c r="T354" s="315"/>
      <c r="U354" s="316"/>
      <c r="V354" s="317"/>
    </row>
    <row r="355">
      <c r="A355" s="310"/>
      <c r="B355" s="285">
        <v>46079.0</v>
      </c>
      <c r="C355" s="101" t="s">
        <v>511</v>
      </c>
      <c r="D355" s="297" t="str">
        <f t="shared" si="1"/>
        <v/>
      </c>
      <c r="E355" s="297" t="str">
        <f t="shared" si="2"/>
        <v/>
      </c>
      <c r="F355" s="287">
        <v>114.0</v>
      </c>
      <c r="G355" s="288">
        <v>114.0</v>
      </c>
      <c r="H355" s="289">
        <v>3539.2</v>
      </c>
      <c r="I355" s="289">
        <v>0.0</v>
      </c>
      <c r="J355" s="289">
        <v>0.0</v>
      </c>
      <c r="K355" s="298">
        <f t="shared" si="51"/>
        <v>3539.2</v>
      </c>
      <c r="L355" s="253" t="str">
        <f t="shared" si="52"/>
        <v/>
      </c>
      <c r="T355" s="315"/>
      <c r="U355" s="316"/>
      <c r="V355" s="317"/>
    </row>
    <row r="356">
      <c r="A356" s="310"/>
      <c r="B356" s="285">
        <v>46079.0</v>
      </c>
      <c r="C356" s="101" t="s">
        <v>513</v>
      </c>
      <c r="D356" s="297" t="str">
        <f t="shared" si="1"/>
        <v/>
      </c>
      <c r="E356" s="297" t="str">
        <f t="shared" si="2"/>
        <v/>
      </c>
      <c r="F356" s="289">
        <v>39.0</v>
      </c>
      <c r="G356" s="289">
        <v>30.0</v>
      </c>
      <c r="H356" s="289">
        <v>171.0</v>
      </c>
      <c r="I356" s="289">
        <v>0.0</v>
      </c>
      <c r="J356" s="289">
        <v>0.0</v>
      </c>
      <c r="K356" s="289">
        <f t="shared" si="51"/>
        <v>171</v>
      </c>
      <c r="L356" s="253" t="str">
        <f t="shared" si="52"/>
        <v/>
      </c>
      <c r="M356" s="139"/>
      <c r="T356" s="315"/>
      <c r="U356" s="316"/>
      <c r="V356" s="317"/>
    </row>
    <row r="357">
      <c r="A357" s="310"/>
      <c r="B357" s="285">
        <v>46079.0</v>
      </c>
      <c r="C357" s="101" t="s">
        <v>225</v>
      </c>
      <c r="D357" s="297" t="str">
        <f t="shared" si="1"/>
        <v>FIRST_DEPOSIT</v>
      </c>
      <c r="E357" s="297" t="str">
        <f t="shared" si="2"/>
        <v>首存</v>
      </c>
      <c r="F357" s="287">
        <v>58.0</v>
      </c>
      <c r="G357" s="288">
        <v>58.0</v>
      </c>
      <c r="H357" s="289">
        <v>4112.5</v>
      </c>
      <c r="I357" s="289">
        <v>0.0</v>
      </c>
      <c r="J357" s="289">
        <v>0.0</v>
      </c>
      <c r="K357" s="298">
        <f t="shared" si="51"/>
        <v>4112.5</v>
      </c>
      <c r="L357" s="253" t="str">
        <f t="shared" si="52"/>
        <v>首存</v>
      </c>
      <c r="T357" s="315"/>
      <c r="U357" s="316"/>
      <c r="V357" s="317"/>
    </row>
    <row r="358">
      <c r="A358" s="310"/>
      <c r="B358" s="285">
        <v>46079.0</v>
      </c>
      <c r="C358" s="101" t="s">
        <v>544</v>
      </c>
      <c r="D358" s="297" t="str">
        <f t="shared" si="1"/>
        <v/>
      </c>
      <c r="E358" s="297" t="str">
        <f t="shared" si="2"/>
        <v/>
      </c>
      <c r="F358" s="287">
        <v>58.0</v>
      </c>
      <c r="G358" s="288">
        <v>58.0</v>
      </c>
      <c r="H358" s="289">
        <v>4112.5</v>
      </c>
      <c r="I358" s="289">
        <v>0.0</v>
      </c>
      <c r="J358" s="289">
        <v>0.0</v>
      </c>
      <c r="K358" s="298">
        <f t="shared" si="51"/>
        <v>4112.5</v>
      </c>
      <c r="L358" s="253" t="str">
        <f t="shared" si="52"/>
        <v/>
      </c>
      <c r="T358" s="315"/>
      <c r="U358" s="316"/>
      <c r="V358" s="317"/>
    </row>
    <row r="359">
      <c r="A359" s="310"/>
      <c r="B359" s="285">
        <v>46079.0</v>
      </c>
      <c r="C359" s="101" t="s">
        <v>209</v>
      </c>
      <c r="D359" s="297" t="str">
        <f t="shared" si="1"/>
        <v>LOGIN</v>
      </c>
      <c r="E359" s="297" t="str">
        <f t="shared" si="2"/>
        <v>签到奖励</v>
      </c>
      <c r="F359" s="287">
        <v>2586.0</v>
      </c>
      <c r="G359" s="288">
        <v>2586.0</v>
      </c>
      <c r="H359" s="289">
        <v>3784.0</v>
      </c>
      <c r="I359" s="289">
        <v>0.0</v>
      </c>
      <c r="J359" s="289">
        <v>0.0</v>
      </c>
      <c r="K359" s="298">
        <f t="shared" si="51"/>
        <v>3784</v>
      </c>
      <c r="L359" s="253" t="str">
        <f t="shared" si="52"/>
        <v>签到奖励</v>
      </c>
      <c r="T359" s="315"/>
      <c r="U359" s="316"/>
      <c r="V359" s="317"/>
    </row>
    <row r="360">
      <c r="A360" s="310"/>
      <c r="B360" s="285">
        <v>46079.0</v>
      </c>
      <c r="C360" s="101" t="s">
        <v>549</v>
      </c>
      <c r="D360" s="297" t="str">
        <f t="shared" si="1"/>
        <v/>
      </c>
      <c r="E360" s="297" t="str">
        <f t="shared" si="2"/>
        <v/>
      </c>
      <c r="F360" s="287">
        <v>2586.0</v>
      </c>
      <c r="G360" s="288">
        <v>2586.0</v>
      </c>
      <c r="H360" s="289">
        <v>3784.0</v>
      </c>
      <c r="I360" s="289">
        <v>0.0</v>
      </c>
      <c r="J360" s="289">
        <v>0.0</v>
      </c>
      <c r="K360" s="298">
        <f t="shared" si="51"/>
        <v>3784</v>
      </c>
      <c r="L360" s="253" t="str">
        <f t="shared" si="52"/>
        <v/>
      </c>
      <c r="T360" s="315"/>
      <c r="U360" s="316"/>
      <c r="V360" s="317"/>
    </row>
    <row r="361">
      <c r="A361" s="310"/>
      <c r="B361" s="285">
        <v>46079.0</v>
      </c>
      <c r="C361" s="101" t="s">
        <v>228</v>
      </c>
      <c r="D361" s="297" t="str">
        <f t="shared" si="1"/>
        <v>登录任务</v>
      </c>
      <c r="E361" s="297" t="str">
        <f t="shared" si="2"/>
        <v>登录任务</v>
      </c>
      <c r="F361" s="287">
        <v>0.0</v>
      </c>
      <c r="G361" s="288">
        <v>220.0</v>
      </c>
      <c r="H361" s="289">
        <v>0.0</v>
      </c>
      <c r="I361" s="289">
        <v>346.0</v>
      </c>
      <c r="J361" s="289">
        <v>246.0</v>
      </c>
      <c r="K361" s="298">
        <f t="shared" si="51"/>
        <v>346</v>
      </c>
      <c r="L361" s="253" t="str">
        <f t="shared" si="52"/>
        <v>登录任务</v>
      </c>
      <c r="T361" s="315"/>
      <c r="U361" s="316"/>
      <c r="V361" s="317"/>
    </row>
    <row r="362">
      <c r="A362" s="310"/>
      <c r="B362" s="285">
        <v>46079.0</v>
      </c>
      <c r="C362" s="101" t="s">
        <v>547</v>
      </c>
      <c r="D362" s="297" t="str">
        <f t="shared" si="1"/>
        <v/>
      </c>
      <c r="E362" s="297" t="str">
        <f t="shared" si="2"/>
        <v/>
      </c>
      <c r="F362" s="289">
        <v>0.0</v>
      </c>
      <c r="G362" s="289">
        <v>220.0</v>
      </c>
      <c r="H362" s="289">
        <v>0.0</v>
      </c>
      <c r="I362" s="289">
        <v>346.0</v>
      </c>
      <c r="J362" s="289">
        <v>246.0</v>
      </c>
      <c r="K362" s="298">
        <f t="shared" si="51"/>
        <v>346</v>
      </c>
      <c r="L362" s="253" t="str">
        <f t="shared" si="52"/>
        <v/>
      </c>
      <c r="M362" s="139"/>
      <c r="T362" s="315"/>
      <c r="U362" s="316"/>
      <c r="V362" s="317"/>
    </row>
    <row r="363">
      <c r="A363" s="310"/>
      <c r="B363" s="285">
        <v>46079.0</v>
      </c>
      <c r="C363" s="101" t="s">
        <v>226</v>
      </c>
      <c r="D363" s="297" t="str">
        <f t="shared" si="1"/>
        <v>任务排行榜</v>
      </c>
      <c r="E363" s="297" t="str">
        <f t="shared" si="2"/>
        <v>任务排行榜</v>
      </c>
      <c r="F363" s="287">
        <v>266.0</v>
      </c>
      <c r="G363" s="288">
        <v>170.0</v>
      </c>
      <c r="H363" s="289">
        <v>0.0</v>
      </c>
      <c r="I363" s="289">
        <v>424.0</v>
      </c>
      <c r="J363" s="289">
        <v>153.0</v>
      </c>
      <c r="K363" s="298">
        <f t="shared" si="51"/>
        <v>424</v>
      </c>
      <c r="L363" s="253" t="str">
        <f t="shared" si="52"/>
        <v>任务排行榜</v>
      </c>
      <c r="T363" s="315"/>
      <c r="U363" s="316"/>
      <c r="V363" s="317"/>
    </row>
    <row r="364">
      <c r="A364" s="310"/>
      <c r="B364" s="285">
        <v>46079.0</v>
      </c>
      <c r="C364" s="101" t="s">
        <v>552</v>
      </c>
      <c r="D364" s="297" t="str">
        <f t="shared" si="1"/>
        <v/>
      </c>
      <c r="E364" s="297" t="str">
        <f t="shared" si="2"/>
        <v/>
      </c>
      <c r="F364" s="287">
        <v>266.0</v>
      </c>
      <c r="G364" s="288">
        <v>170.0</v>
      </c>
      <c r="H364" s="289">
        <v>0.0</v>
      </c>
      <c r="I364" s="289">
        <v>424.0</v>
      </c>
      <c r="J364" s="289">
        <v>153.0</v>
      </c>
      <c r="K364" s="298">
        <f t="shared" si="51"/>
        <v>424</v>
      </c>
      <c r="L364" s="253" t="str">
        <f t="shared" si="52"/>
        <v/>
      </c>
      <c r="T364" s="315"/>
      <c r="U364" s="316"/>
      <c r="V364" s="317"/>
    </row>
    <row r="365">
      <c r="A365" s="310"/>
      <c r="B365" s="285">
        <v>46079.0</v>
      </c>
      <c r="C365" s="101" t="s">
        <v>230</v>
      </c>
      <c r="D365" s="297" t="str">
        <f t="shared" si="1"/>
        <v>邀请返佣</v>
      </c>
      <c r="E365" s="297" t="str">
        <f t="shared" si="2"/>
        <v>邀请返佣</v>
      </c>
      <c r="F365" s="287">
        <v>122.0</v>
      </c>
      <c r="G365" s="288">
        <v>98.0</v>
      </c>
      <c r="H365" s="289">
        <v>104.46</v>
      </c>
      <c r="I365" s="289">
        <v>0.0</v>
      </c>
      <c r="J365" s="289">
        <v>0.0</v>
      </c>
      <c r="K365" s="298">
        <f t="shared" si="51"/>
        <v>104.46</v>
      </c>
      <c r="L365" s="253" t="str">
        <f t="shared" si="52"/>
        <v>邀请返佣</v>
      </c>
      <c r="T365" s="315"/>
      <c r="U365" s="316"/>
      <c r="V365" s="317"/>
    </row>
    <row r="366">
      <c r="A366" s="310"/>
      <c r="B366" s="285">
        <v>46079.0</v>
      </c>
      <c r="C366" s="101" t="s">
        <v>387</v>
      </c>
      <c r="D366" s="297" t="str">
        <f t="shared" si="1"/>
        <v/>
      </c>
      <c r="E366" s="297" t="str">
        <f t="shared" si="2"/>
        <v/>
      </c>
      <c r="F366" s="289">
        <v>25.0</v>
      </c>
      <c r="G366" s="289">
        <v>25.0</v>
      </c>
      <c r="H366" s="289">
        <v>5.06</v>
      </c>
      <c r="I366" s="289">
        <v>0.0</v>
      </c>
      <c r="J366" s="289">
        <v>0.0</v>
      </c>
      <c r="K366" s="289">
        <f t="shared" si="51"/>
        <v>5.06</v>
      </c>
      <c r="L366" s="253" t="str">
        <f t="shared" si="52"/>
        <v/>
      </c>
      <c r="M366" s="139"/>
      <c r="T366" s="315"/>
      <c r="U366" s="316"/>
      <c r="V366" s="317"/>
    </row>
    <row r="367">
      <c r="A367" s="310"/>
      <c r="B367" s="285">
        <v>46079.0</v>
      </c>
      <c r="C367" s="101" t="s">
        <v>385</v>
      </c>
      <c r="D367" s="297" t="str">
        <f t="shared" si="1"/>
        <v/>
      </c>
      <c r="E367" s="297" t="str">
        <f t="shared" si="2"/>
        <v/>
      </c>
      <c r="F367" s="287">
        <v>4.0</v>
      </c>
      <c r="G367" s="288">
        <v>4.0</v>
      </c>
      <c r="H367" s="289">
        <v>60.0</v>
      </c>
      <c r="I367" s="289">
        <v>0.0</v>
      </c>
      <c r="J367" s="289">
        <v>0.0</v>
      </c>
      <c r="K367" s="298">
        <f t="shared" si="51"/>
        <v>60</v>
      </c>
      <c r="L367" s="253" t="str">
        <f t="shared" si="52"/>
        <v/>
      </c>
      <c r="T367" s="315"/>
      <c r="U367" s="316"/>
      <c r="V367" s="317"/>
    </row>
    <row r="368">
      <c r="A368" s="310"/>
      <c r="B368" s="285">
        <v>46079.0</v>
      </c>
      <c r="C368" s="101" t="s">
        <v>546</v>
      </c>
      <c r="D368" s="297" t="str">
        <f t="shared" si="1"/>
        <v/>
      </c>
      <c r="E368" s="297" t="str">
        <f t="shared" si="2"/>
        <v/>
      </c>
      <c r="F368" s="287">
        <v>93.0</v>
      </c>
      <c r="G368" s="288">
        <v>93.0</v>
      </c>
      <c r="H368" s="289">
        <v>39.4</v>
      </c>
      <c r="I368" s="289">
        <v>0.0</v>
      </c>
      <c r="J368" s="289">
        <v>0.0</v>
      </c>
      <c r="K368" s="298">
        <f t="shared" si="51"/>
        <v>39.4</v>
      </c>
      <c r="L368" s="253" t="str">
        <f t="shared" si="52"/>
        <v/>
      </c>
      <c r="T368" s="315"/>
      <c r="U368" s="316"/>
      <c r="V368" s="317"/>
    </row>
    <row r="369">
      <c r="A369" s="310"/>
      <c r="B369" s="285">
        <v>46079.0</v>
      </c>
      <c r="C369" s="101" t="s">
        <v>211</v>
      </c>
      <c r="D369" s="297" t="str">
        <f t="shared" si="1"/>
        <v>UPGRADE_BONUS</v>
      </c>
      <c r="E369" s="297" t="str">
        <f t="shared" si="2"/>
        <v>升级奖励</v>
      </c>
      <c r="F369" s="287">
        <v>161.0</v>
      </c>
      <c r="G369" s="288">
        <v>139.0</v>
      </c>
      <c r="H369" s="289">
        <v>528.0</v>
      </c>
      <c r="I369" s="289">
        <v>0.0</v>
      </c>
      <c r="J369" s="289">
        <v>0.0</v>
      </c>
      <c r="K369" s="298">
        <f t="shared" si="51"/>
        <v>528</v>
      </c>
      <c r="L369" s="253" t="str">
        <f t="shared" si="52"/>
        <v>升级奖励</v>
      </c>
      <c r="M369" s="112"/>
      <c r="T369" s="315"/>
      <c r="U369" s="316"/>
      <c r="V369" s="317"/>
    </row>
    <row r="370">
      <c r="A370" s="310"/>
      <c r="B370" s="285">
        <v>46079.0</v>
      </c>
      <c r="C370" s="101" t="s">
        <v>550</v>
      </c>
      <c r="D370" s="297" t="str">
        <f t="shared" si="1"/>
        <v/>
      </c>
      <c r="E370" s="297" t="str">
        <f t="shared" si="2"/>
        <v/>
      </c>
      <c r="F370" s="287">
        <v>161.0</v>
      </c>
      <c r="G370" s="288">
        <v>139.0</v>
      </c>
      <c r="H370" s="289">
        <v>528.0</v>
      </c>
      <c r="I370" s="289">
        <v>0.0</v>
      </c>
      <c r="J370" s="289">
        <v>0.0</v>
      </c>
      <c r="K370" s="298">
        <f t="shared" si="51"/>
        <v>528</v>
      </c>
      <c r="L370" s="253" t="str">
        <f t="shared" si="52"/>
        <v/>
      </c>
      <c r="T370" s="315"/>
      <c r="U370" s="316"/>
      <c r="V370" s="317"/>
    </row>
    <row r="371">
      <c r="A371" s="310"/>
      <c r="B371" s="299"/>
      <c r="C371" s="300"/>
      <c r="D371" s="301" t="str">
        <f t="shared" si="1"/>
        <v/>
      </c>
      <c r="E371" s="301" t="str">
        <f t="shared" si="2"/>
        <v/>
      </c>
      <c r="F371" s="302">
        <f t="shared" ref="F371:K371" si="53">SUM(F350,F353,F356,F358,F360,F362,F364,F369)</f>
        <v>7143</v>
      </c>
      <c r="G371" s="302">
        <f t="shared" si="53"/>
        <v>7270</v>
      </c>
      <c r="H371" s="303">
        <f t="shared" si="53"/>
        <v>25424.69</v>
      </c>
      <c r="I371" s="303">
        <f t="shared" si="53"/>
        <v>1379</v>
      </c>
      <c r="J371" s="303">
        <f t="shared" si="53"/>
        <v>727</v>
      </c>
      <c r="K371" s="303">
        <f t="shared" si="53"/>
        <v>26803.69</v>
      </c>
      <c r="L371" s="253" t="str">
        <f t="shared" si="52"/>
        <v/>
      </c>
      <c r="M371" s="139"/>
      <c r="T371" s="315"/>
      <c r="U371" s="316"/>
      <c r="V371" s="317"/>
    </row>
    <row r="372">
      <c r="A372" s="310"/>
      <c r="B372" s="285">
        <v>46080.0</v>
      </c>
      <c r="C372" s="101" t="s">
        <v>187</v>
      </c>
      <c r="D372" s="297" t="str">
        <f t="shared" si="1"/>
        <v>GAME_REBATE</v>
      </c>
      <c r="E372" s="297" t="str">
        <f t="shared" si="2"/>
        <v>玩家返水</v>
      </c>
      <c r="F372" s="287">
        <v>355.0</v>
      </c>
      <c r="G372" s="288">
        <v>355.0</v>
      </c>
      <c r="H372" s="289">
        <v>2605.21</v>
      </c>
      <c r="I372" s="289">
        <v>0.0</v>
      </c>
      <c r="J372" s="289">
        <v>0.0</v>
      </c>
      <c r="K372" s="298">
        <f t="shared" ref="K372:K413" si="54">H372+I372</f>
        <v>2605.21</v>
      </c>
      <c r="L372" s="253" t="str">
        <f t="shared" si="52"/>
        <v>玩家返水</v>
      </c>
      <c r="T372" s="315"/>
      <c r="U372" s="316"/>
      <c r="V372" s="317"/>
    </row>
    <row r="373">
      <c r="A373" s="310"/>
      <c r="B373" s="285">
        <v>46080.0</v>
      </c>
      <c r="C373" s="101" t="s">
        <v>189</v>
      </c>
      <c r="D373" s="297" t="str">
        <f t="shared" si="1"/>
        <v/>
      </c>
      <c r="E373" s="297" t="str">
        <f t="shared" si="2"/>
        <v/>
      </c>
      <c r="F373" s="289">
        <v>353.0</v>
      </c>
      <c r="G373" s="289">
        <v>353.0</v>
      </c>
      <c r="H373" s="289">
        <v>2559.04</v>
      </c>
      <c r="I373" s="289">
        <v>0.0</v>
      </c>
      <c r="J373" s="289">
        <v>0.0</v>
      </c>
      <c r="K373" s="289">
        <f t="shared" si="54"/>
        <v>2559.04</v>
      </c>
      <c r="L373" s="253" t="str">
        <f t="shared" si="52"/>
        <v/>
      </c>
      <c r="M373" s="139"/>
      <c r="T373" s="315"/>
      <c r="U373" s="316"/>
      <c r="V373" s="317"/>
    </row>
    <row r="374">
      <c r="A374" s="310"/>
      <c r="B374" s="285">
        <v>46080.0</v>
      </c>
      <c r="C374" s="101" t="s">
        <v>190</v>
      </c>
      <c r="D374" s="297" t="str">
        <f t="shared" si="1"/>
        <v/>
      </c>
      <c r="E374" s="297" t="str">
        <f t="shared" si="2"/>
        <v/>
      </c>
      <c r="F374" s="287">
        <v>10.0</v>
      </c>
      <c r="G374" s="288">
        <v>10.0</v>
      </c>
      <c r="H374" s="289">
        <v>46.0</v>
      </c>
      <c r="I374" s="289">
        <v>0.0</v>
      </c>
      <c r="J374" s="289">
        <v>0.0</v>
      </c>
      <c r="K374" s="298">
        <f t="shared" si="54"/>
        <v>46</v>
      </c>
      <c r="L374" s="253" t="str">
        <f t="shared" si="52"/>
        <v/>
      </c>
      <c r="T374" s="315"/>
      <c r="U374" s="316"/>
      <c r="V374" s="317"/>
    </row>
    <row r="375">
      <c r="A375" s="310"/>
      <c r="B375" s="285">
        <v>46080.0</v>
      </c>
      <c r="C375" s="101" t="s">
        <v>191</v>
      </c>
      <c r="D375" s="297" t="str">
        <f t="shared" si="1"/>
        <v/>
      </c>
      <c r="E375" s="297" t="str">
        <f t="shared" si="2"/>
        <v/>
      </c>
      <c r="F375" s="287">
        <v>1.0</v>
      </c>
      <c r="G375" s="288">
        <v>1.0</v>
      </c>
      <c r="H375" s="289">
        <v>0.17</v>
      </c>
      <c r="I375" s="289">
        <v>0.0</v>
      </c>
      <c r="J375" s="289">
        <v>0.0</v>
      </c>
      <c r="K375" s="298">
        <f t="shared" si="54"/>
        <v>0.17</v>
      </c>
      <c r="L375" s="253" t="str">
        <f t="shared" si="52"/>
        <v/>
      </c>
      <c r="T375" s="315"/>
      <c r="U375" s="316"/>
      <c r="V375" s="317"/>
    </row>
    <row r="376">
      <c r="A376" s="310"/>
      <c r="B376" s="285">
        <v>46080.0</v>
      </c>
      <c r="C376" s="101" t="s">
        <v>197</v>
      </c>
      <c r="D376" s="297" t="str">
        <f t="shared" si="1"/>
        <v>DEPOSIT</v>
      </c>
      <c r="E376" s="297" t="str">
        <f t="shared" si="2"/>
        <v>笔笔存送</v>
      </c>
      <c r="F376" s="287">
        <v>136.0</v>
      </c>
      <c r="G376" s="288">
        <v>120.0</v>
      </c>
      <c r="H376" s="289">
        <v>2664.5</v>
      </c>
      <c r="I376" s="289">
        <v>0.0</v>
      </c>
      <c r="J376" s="289">
        <v>0.0</v>
      </c>
      <c r="K376" s="298">
        <f t="shared" si="54"/>
        <v>2664.5</v>
      </c>
      <c r="L376" s="253" t="str">
        <f t="shared" si="52"/>
        <v>笔笔存送</v>
      </c>
      <c r="T376" s="315"/>
      <c r="U376" s="316"/>
      <c r="V376" s="317"/>
    </row>
    <row r="377">
      <c r="A377" s="310"/>
      <c r="B377" s="285">
        <v>46080.0</v>
      </c>
      <c r="C377" s="101" t="s">
        <v>511</v>
      </c>
      <c r="D377" s="297" t="str">
        <f t="shared" si="1"/>
        <v/>
      </c>
      <c r="E377" s="297" t="str">
        <f t="shared" si="2"/>
        <v/>
      </c>
      <c r="F377" s="287">
        <v>100.0</v>
      </c>
      <c r="G377" s="288">
        <v>100.0</v>
      </c>
      <c r="H377" s="289">
        <v>2547.2</v>
      </c>
      <c r="I377" s="289">
        <v>0.0</v>
      </c>
      <c r="J377" s="289">
        <v>0.0</v>
      </c>
      <c r="K377" s="298">
        <f t="shared" si="54"/>
        <v>2547.2</v>
      </c>
      <c r="L377" s="253" t="str">
        <f t="shared" si="52"/>
        <v/>
      </c>
      <c r="T377" s="315"/>
      <c r="U377" s="316"/>
      <c r="V377" s="317"/>
    </row>
    <row r="378">
      <c r="A378" s="310"/>
      <c r="B378" s="285">
        <v>46080.0</v>
      </c>
      <c r="C378" s="101" t="s">
        <v>513</v>
      </c>
      <c r="D378" s="297" t="str">
        <f t="shared" si="1"/>
        <v/>
      </c>
      <c r="E378" s="297" t="str">
        <f t="shared" si="2"/>
        <v/>
      </c>
      <c r="F378" s="287">
        <v>36.0</v>
      </c>
      <c r="G378" s="288">
        <v>30.0</v>
      </c>
      <c r="H378" s="289">
        <v>117.3</v>
      </c>
      <c r="I378" s="289">
        <v>0.0</v>
      </c>
      <c r="J378" s="289">
        <v>0.0</v>
      </c>
      <c r="K378" s="298">
        <f t="shared" si="54"/>
        <v>117.3</v>
      </c>
      <c r="L378" s="253" t="str">
        <f t="shared" si="52"/>
        <v/>
      </c>
      <c r="T378" s="315"/>
      <c r="U378" s="316"/>
      <c r="V378" s="317"/>
    </row>
    <row r="379">
      <c r="A379" s="310"/>
      <c r="B379" s="285">
        <v>46080.0</v>
      </c>
      <c r="C379" s="101" t="s">
        <v>225</v>
      </c>
      <c r="D379" s="297" t="str">
        <f t="shared" si="1"/>
        <v>FIRST_DEPOSIT</v>
      </c>
      <c r="E379" s="297" t="str">
        <f t="shared" si="2"/>
        <v>首存</v>
      </c>
      <c r="F379" s="287">
        <v>34.0</v>
      </c>
      <c r="G379" s="288">
        <v>34.0</v>
      </c>
      <c r="H379" s="289">
        <v>2075.0</v>
      </c>
      <c r="I379" s="289">
        <v>0.0</v>
      </c>
      <c r="J379" s="289">
        <v>0.0</v>
      </c>
      <c r="K379" s="298">
        <f t="shared" si="54"/>
        <v>2075</v>
      </c>
      <c r="L379" s="253" t="str">
        <f t="shared" si="52"/>
        <v>首存</v>
      </c>
      <c r="T379" s="315"/>
      <c r="U379" s="316"/>
      <c r="V379" s="317"/>
    </row>
    <row r="380">
      <c r="A380" s="310"/>
      <c r="B380" s="285">
        <v>46080.0</v>
      </c>
      <c r="C380" s="101" t="s">
        <v>544</v>
      </c>
      <c r="D380" s="297" t="str">
        <f t="shared" si="1"/>
        <v/>
      </c>
      <c r="E380" s="297" t="str">
        <f t="shared" si="2"/>
        <v/>
      </c>
      <c r="F380" s="287">
        <v>34.0</v>
      </c>
      <c r="G380" s="288">
        <v>34.0</v>
      </c>
      <c r="H380" s="289">
        <v>2075.0</v>
      </c>
      <c r="I380" s="289">
        <v>0.0</v>
      </c>
      <c r="J380" s="289">
        <v>0.0</v>
      </c>
      <c r="K380" s="298">
        <f t="shared" si="54"/>
        <v>2075</v>
      </c>
      <c r="L380" s="253" t="str">
        <f t="shared" si="52"/>
        <v/>
      </c>
      <c r="T380" s="315"/>
      <c r="U380" s="316"/>
      <c r="V380" s="317"/>
    </row>
    <row r="381">
      <c r="A381" s="310"/>
      <c r="B381" s="285">
        <v>46080.0</v>
      </c>
      <c r="C381" s="101" t="s">
        <v>209</v>
      </c>
      <c r="D381" s="297" t="str">
        <f t="shared" si="1"/>
        <v>LOGIN</v>
      </c>
      <c r="E381" s="297" t="str">
        <f t="shared" si="2"/>
        <v>签到奖励</v>
      </c>
      <c r="F381" s="287">
        <v>2435.0</v>
      </c>
      <c r="G381" s="288">
        <v>2435.0</v>
      </c>
      <c r="H381" s="289">
        <v>3699.0</v>
      </c>
      <c r="I381" s="289">
        <v>0.0</v>
      </c>
      <c r="J381" s="289">
        <v>0.0</v>
      </c>
      <c r="K381" s="298">
        <f t="shared" si="54"/>
        <v>3699</v>
      </c>
      <c r="L381" s="253" t="str">
        <f t="shared" si="52"/>
        <v>签到奖励</v>
      </c>
      <c r="T381" s="315"/>
      <c r="U381" s="316"/>
      <c r="V381" s="317"/>
    </row>
    <row r="382">
      <c r="A382" s="310"/>
      <c r="B382" s="285">
        <v>46080.0</v>
      </c>
      <c r="C382" s="101" t="s">
        <v>549</v>
      </c>
      <c r="D382" s="297" t="str">
        <f t="shared" si="1"/>
        <v/>
      </c>
      <c r="E382" s="297" t="str">
        <f t="shared" si="2"/>
        <v/>
      </c>
      <c r="F382" s="287">
        <v>2435.0</v>
      </c>
      <c r="G382" s="288">
        <v>2435.0</v>
      </c>
      <c r="H382" s="289">
        <v>3699.0</v>
      </c>
      <c r="I382" s="289">
        <v>0.0</v>
      </c>
      <c r="J382" s="289">
        <v>0.0</v>
      </c>
      <c r="K382" s="298">
        <f t="shared" si="54"/>
        <v>3699</v>
      </c>
      <c r="L382" s="253" t="str">
        <f t="shared" si="52"/>
        <v/>
      </c>
      <c r="T382" s="315"/>
      <c r="U382" s="316"/>
      <c r="V382" s="317"/>
    </row>
    <row r="383">
      <c r="A383" s="310"/>
      <c r="B383" s="285">
        <v>46080.0</v>
      </c>
      <c r="C383" s="101" t="s">
        <v>228</v>
      </c>
      <c r="D383" s="297" t="str">
        <f t="shared" si="1"/>
        <v>登录任务</v>
      </c>
      <c r="E383" s="297" t="str">
        <f t="shared" si="2"/>
        <v>登录任务</v>
      </c>
      <c r="F383" s="287">
        <v>0.0</v>
      </c>
      <c r="G383" s="288">
        <v>160.0</v>
      </c>
      <c r="H383" s="289">
        <v>0.0</v>
      </c>
      <c r="I383" s="289">
        <v>249.0</v>
      </c>
      <c r="J383" s="289">
        <v>174.0</v>
      </c>
      <c r="K383" s="298">
        <f t="shared" si="54"/>
        <v>249</v>
      </c>
      <c r="L383" s="253" t="str">
        <f t="shared" si="52"/>
        <v>登录任务</v>
      </c>
      <c r="T383" s="315"/>
      <c r="U383" s="316"/>
      <c r="V383" s="317"/>
    </row>
    <row r="384">
      <c r="A384" s="310"/>
      <c r="B384" s="285">
        <v>46080.0</v>
      </c>
      <c r="C384" s="101" t="s">
        <v>547</v>
      </c>
      <c r="D384" s="297" t="str">
        <f t="shared" si="1"/>
        <v/>
      </c>
      <c r="E384" s="297" t="str">
        <f t="shared" si="2"/>
        <v/>
      </c>
      <c r="F384" s="287">
        <v>0.0</v>
      </c>
      <c r="G384" s="288">
        <v>160.0</v>
      </c>
      <c r="H384" s="289">
        <v>0.0</v>
      </c>
      <c r="I384" s="289">
        <v>249.0</v>
      </c>
      <c r="J384" s="289">
        <v>174.0</v>
      </c>
      <c r="K384" s="298">
        <f t="shared" si="54"/>
        <v>249</v>
      </c>
      <c r="L384" s="253" t="str">
        <f t="shared" si="52"/>
        <v/>
      </c>
      <c r="T384" s="315"/>
      <c r="U384" s="316"/>
      <c r="V384" s="317"/>
    </row>
    <row r="385">
      <c r="A385" s="310"/>
      <c r="B385" s="285">
        <v>46080.0</v>
      </c>
      <c r="C385" s="101" t="s">
        <v>226</v>
      </c>
      <c r="D385" s="297" t="str">
        <f t="shared" si="1"/>
        <v>任务排行榜</v>
      </c>
      <c r="E385" s="297" t="str">
        <f t="shared" si="2"/>
        <v>任务排行榜</v>
      </c>
      <c r="F385" s="287">
        <v>2.0</v>
      </c>
      <c r="G385" s="288">
        <v>3.0</v>
      </c>
      <c r="H385" s="289">
        <v>0.0</v>
      </c>
      <c r="I385" s="289">
        <v>6.0</v>
      </c>
      <c r="J385" s="289">
        <v>4.0</v>
      </c>
      <c r="K385" s="298">
        <f t="shared" si="54"/>
        <v>6</v>
      </c>
      <c r="L385" s="253" t="str">
        <f t="shared" si="52"/>
        <v>任务排行榜</v>
      </c>
      <c r="T385" s="315"/>
      <c r="U385" s="316"/>
      <c r="V385" s="317"/>
    </row>
    <row r="386">
      <c r="A386" s="310"/>
      <c r="B386" s="285">
        <v>46080.0</v>
      </c>
      <c r="C386" s="101" t="s">
        <v>552</v>
      </c>
      <c r="D386" s="297" t="str">
        <f t="shared" si="1"/>
        <v/>
      </c>
      <c r="E386" s="297" t="str">
        <f t="shared" si="2"/>
        <v/>
      </c>
      <c r="F386" s="287">
        <v>2.0</v>
      </c>
      <c r="G386" s="288">
        <v>3.0</v>
      </c>
      <c r="H386" s="289">
        <v>0.0</v>
      </c>
      <c r="I386" s="289">
        <v>6.0</v>
      </c>
      <c r="J386" s="289">
        <v>4.0</v>
      </c>
      <c r="K386" s="298">
        <f t="shared" si="54"/>
        <v>6</v>
      </c>
      <c r="L386" s="253" t="str">
        <f t="shared" si="52"/>
        <v/>
      </c>
      <c r="T386" s="315"/>
      <c r="U386" s="316"/>
      <c r="V386" s="317"/>
    </row>
    <row r="387">
      <c r="A387" s="310"/>
      <c r="B387" s="285">
        <v>46080.0</v>
      </c>
      <c r="C387" s="101" t="s">
        <v>230</v>
      </c>
      <c r="D387" s="297" t="str">
        <f t="shared" si="1"/>
        <v>邀请返佣</v>
      </c>
      <c r="E387" s="297" t="str">
        <f t="shared" si="2"/>
        <v>邀请返佣</v>
      </c>
      <c r="F387" s="287">
        <v>120.0</v>
      </c>
      <c r="G387" s="288">
        <v>95.0</v>
      </c>
      <c r="H387" s="289">
        <v>208.11</v>
      </c>
      <c r="I387" s="289">
        <v>0.0</v>
      </c>
      <c r="J387" s="289">
        <v>0.0</v>
      </c>
      <c r="K387" s="298">
        <f t="shared" si="54"/>
        <v>208.11</v>
      </c>
      <c r="L387" s="253" t="str">
        <f t="shared" si="52"/>
        <v>邀请返佣</v>
      </c>
      <c r="T387" s="315"/>
      <c r="U387" s="316"/>
      <c r="V387" s="317"/>
    </row>
    <row r="388">
      <c r="A388" s="310"/>
      <c r="B388" s="285">
        <v>46080.0</v>
      </c>
      <c r="C388" s="101" t="s">
        <v>386</v>
      </c>
      <c r="D388" s="297" t="str">
        <f t="shared" si="1"/>
        <v/>
      </c>
      <c r="E388" s="297" t="str">
        <f t="shared" si="2"/>
        <v/>
      </c>
      <c r="F388" s="287">
        <v>1.0</v>
      </c>
      <c r="G388" s="288">
        <v>1.0</v>
      </c>
      <c r="H388" s="289">
        <v>15.0</v>
      </c>
      <c r="I388" s="289">
        <v>0.0</v>
      </c>
      <c r="J388" s="289">
        <v>0.0</v>
      </c>
      <c r="K388" s="298">
        <f t="shared" si="54"/>
        <v>15</v>
      </c>
      <c r="L388" s="253" t="str">
        <f t="shared" si="52"/>
        <v/>
      </c>
      <c r="T388" s="315"/>
      <c r="U388" s="316"/>
      <c r="V388" s="317"/>
    </row>
    <row r="389">
      <c r="A389" s="310"/>
      <c r="B389" s="285">
        <v>46080.0</v>
      </c>
      <c r="C389" s="101" t="s">
        <v>387</v>
      </c>
      <c r="D389" s="297" t="str">
        <f t="shared" si="1"/>
        <v/>
      </c>
      <c r="E389" s="297" t="str">
        <f t="shared" si="2"/>
        <v/>
      </c>
      <c r="F389" s="287">
        <v>22.0</v>
      </c>
      <c r="G389" s="288">
        <v>22.0</v>
      </c>
      <c r="H389" s="289">
        <v>5.07</v>
      </c>
      <c r="I389" s="289">
        <v>0.0</v>
      </c>
      <c r="J389" s="289">
        <v>0.0</v>
      </c>
      <c r="K389" s="298">
        <f t="shared" si="54"/>
        <v>5.07</v>
      </c>
      <c r="L389" s="253" t="str">
        <f t="shared" si="52"/>
        <v/>
      </c>
      <c r="T389" s="315"/>
      <c r="U389" s="316"/>
      <c r="V389" s="317"/>
    </row>
    <row r="390">
      <c r="A390" s="310"/>
      <c r="B390" s="285">
        <v>46080.0</v>
      </c>
      <c r="C390" s="101" t="s">
        <v>385</v>
      </c>
      <c r="D390" s="297" t="str">
        <f t="shared" si="1"/>
        <v/>
      </c>
      <c r="E390" s="297" t="str">
        <f t="shared" si="2"/>
        <v/>
      </c>
      <c r="F390" s="287">
        <v>10.0</v>
      </c>
      <c r="G390" s="288">
        <v>10.0</v>
      </c>
      <c r="H390" s="289">
        <v>150.0</v>
      </c>
      <c r="I390" s="289">
        <v>0.0</v>
      </c>
      <c r="J390" s="289">
        <v>0.0</v>
      </c>
      <c r="K390" s="298">
        <f t="shared" si="54"/>
        <v>150</v>
      </c>
      <c r="L390" s="253" t="str">
        <f t="shared" si="52"/>
        <v/>
      </c>
      <c r="T390" s="315"/>
      <c r="U390" s="316"/>
      <c r="V390" s="317"/>
    </row>
    <row r="391">
      <c r="A391" s="310"/>
      <c r="B391" s="285">
        <v>46080.0</v>
      </c>
      <c r="C391" s="101" t="s">
        <v>546</v>
      </c>
      <c r="D391" s="297" t="str">
        <f t="shared" si="1"/>
        <v/>
      </c>
      <c r="E391" s="297" t="str">
        <f t="shared" si="2"/>
        <v/>
      </c>
      <c r="F391" s="287">
        <v>87.0</v>
      </c>
      <c r="G391" s="288">
        <v>87.0</v>
      </c>
      <c r="H391" s="289">
        <v>38.04</v>
      </c>
      <c r="I391" s="289">
        <v>0.0</v>
      </c>
      <c r="J391" s="289">
        <v>0.0</v>
      </c>
      <c r="K391" s="298">
        <f t="shared" si="54"/>
        <v>38.04</v>
      </c>
      <c r="L391" s="253" t="str">
        <f t="shared" si="52"/>
        <v/>
      </c>
      <c r="T391" s="315"/>
      <c r="U391" s="316"/>
      <c r="V391" s="317"/>
    </row>
    <row r="392">
      <c r="A392" s="310"/>
      <c r="B392" s="285">
        <v>46080.0</v>
      </c>
      <c r="C392" s="101" t="s">
        <v>211</v>
      </c>
      <c r="D392" s="297" t="str">
        <f t="shared" si="1"/>
        <v>UPGRADE_BONUS</v>
      </c>
      <c r="E392" s="297" t="str">
        <f t="shared" si="2"/>
        <v>升级奖励</v>
      </c>
      <c r="F392" s="287">
        <v>147.0</v>
      </c>
      <c r="G392" s="288">
        <v>123.0</v>
      </c>
      <c r="H392" s="289">
        <v>340.0</v>
      </c>
      <c r="I392" s="289">
        <v>0.0</v>
      </c>
      <c r="J392" s="289">
        <v>0.0</v>
      </c>
      <c r="K392" s="298">
        <f t="shared" si="54"/>
        <v>340</v>
      </c>
      <c r="L392" s="253" t="str">
        <f t="shared" si="52"/>
        <v>升级奖励</v>
      </c>
      <c r="T392" s="315"/>
      <c r="U392" s="316"/>
      <c r="V392" s="317"/>
    </row>
    <row r="393">
      <c r="A393" s="310"/>
      <c r="B393" s="285">
        <v>46080.0</v>
      </c>
      <c r="C393" s="101" t="s">
        <v>550</v>
      </c>
      <c r="D393" s="297" t="str">
        <f t="shared" si="1"/>
        <v/>
      </c>
      <c r="E393" s="297" t="str">
        <f t="shared" si="2"/>
        <v/>
      </c>
      <c r="F393" s="287">
        <v>147.0</v>
      </c>
      <c r="G393" s="288">
        <v>123.0</v>
      </c>
      <c r="H393" s="289">
        <v>340.0</v>
      </c>
      <c r="I393" s="289">
        <v>0.0</v>
      </c>
      <c r="J393" s="289">
        <v>0.0</v>
      </c>
      <c r="K393" s="298">
        <f t="shared" si="54"/>
        <v>340</v>
      </c>
      <c r="L393" s="253" t="str">
        <f t="shared" si="52"/>
        <v/>
      </c>
      <c r="T393" s="315"/>
      <c r="U393" s="316"/>
      <c r="V393" s="317"/>
    </row>
    <row r="394">
      <c r="A394" s="310"/>
      <c r="B394" s="299"/>
      <c r="C394" s="300"/>
      <c r="D394" s="301" t="str">
        <f t="shared" si="1"/>
        <v/>
      </c>
      <c r="E394" s="301" t="str">
        <f t="shared" si="2"/>
        <v/>
      </c>
      <c r="F394" s="302"/>
      <c r="G394" s="302"/>
      <c r="H394" s="303"/>
      <c r="I394" s="303"/>
      <c r="J394" s="303"/>
      <c r="K394" s="303">
        <f t="shared" si="54"/>
        <v>0</v>
      </c>
      <c r="L394" s="253" t="str">
        <f t="shared" si="52"/>
        <v/>
      </c>
      <c r="M394" s="139"/>
      <c r="T394" s="315"/>
      <c r="U394" s="316"/>
      <c r="V394" s="317"/>
    </row>
    <row r="395">
      <c r="A395" s="310"/>
      <c r="B395" s="285">
        <v>46081.0</v>
      </c>
      <c r="C395" s="101" t="s">
        <v>187</v>
      </c>
      <c r="D395" s="297" t="str">
        <f t="shared" si="1"/>
        <v>GAME_REBATE</v>
      </c>
      <c r="E395" s="297" t="str">
        <f t="shared" si="2"/>
        <v>玩家返水</v>
      </c>
      <c r="F395" s="287">
        <v>254.0</v>
      </c>
      <c r="G395" s="288">
        <v>254.0</v>
      </c>
      <c r="H395" s="289">
        <v>2251.11</v>
      </c>
      <c r="I395" s="289">
        <v>0.0</v>
      </c>
      <c r="J395" s="289">
        <v>0.0</v>
      </c>
      <c r="K395" s="298">
        <f t="shared" si="54"/>
        <v>2251.11</v>
      </c>
      <c r="L395" s="253" t="str">
        <f t="shared" si="52"/>
        <v>玩家返水</v>
      </c>
      <c r="T395" s="315"/>
      <c r="U395" s="316"/>
      <c r="V395" s="317"/>
    </row>
    <row r="396">
      <c r="A396" s="310"/>
      <c r="B396" s="285">
        <v>46081.0</v>
      </c>
      <c r="C396" s="101" t="s">
        <v>189</v>
      </c>
      <c r="D396" s="297" t="str">
        <f t="shared" si="1"/>
        <v/>
      </c>
      <c r="E396" s="297" t="str">
        <f t="shared" si="2"/>
        <v/>
      </c>
      <c r="F396" s="289">
        <v>250.0</v>
      </c>
      <c r="G396" s="289">
        <v>250.0</v>
      </c>
      <c r="H396" s="289">
        <v>2245.66</v>
      </c>
      <c r="I396" s="289">
        <v>0.0</v>
      </c>
      <c r="J396" s="289">
        <v>0.0</v>
      </c>
      <c r="K396" s="289">
        <f t="shared" si="54"/>
        <v>2245.66</v>
      </c>
      <c r="L396" s="253" t="str">
        <f t="shared" si="52"/>
        <v/>
      </c>
      <c r="M396" s="139"/>
      <c r="T396" s="315"/>
      <c r="U396" s="316"/>
      <c r="V396" s="317"/>
    </row>
    <row r="397">
      <c r="A397" s="310"/>
      <c r="B397" s="285">
        <v>46081.0</v>
      </c>
      <c r="C397" s="101" t="s">
        <v>190</v>
      </c>
      <c r="D397" s="297" t="str">
        <f t="shared" si="1"/>
        <v/>
      </c>
      <c r="E397" s="297" t="str">
        <f t="shared" si="2"/>
        <v/>
      </c>
      <c r="F397" s="287">
        <v>9.0</v>
      </c>
      <c r="G397" s="288">
        <v>9.0</v>
      </c>
      <c r="H397" s="289">
        <v>5.45</v>
      </c>
      <c r="I397" s="289">
        <v>0.0</v>
      </c>
      <c r="J397" s="289">
        <v>0.0</v>
      </c>
      <c r="K397" s="298">
        <f t="shared" si="54"/>
        <v>5.45</v>
      </c>
      <c r="L397" s="253" t="str">
        <f t="shared" si="52"/>
        <v/>
      </c>
      <c r="T397" s="315"/>
      <c r="U397" s="316"/>
      <c r="V397" s="317"/>
    </row>
    <row r="398">
      <c r="A398" s="310"/>
      <c r="B398" s="285">
        <v>46081.0</v>
      </c>
      <c r="C398" s="101" t="s">
        <v>197</v>
      </c>
      <c r="D398" s="297" t="str">
        <f t="shared" si="1"/>
        <v>DEPOSIT</v>
      </c>
      <c r="E398" s="297" t="str">
        <f t="shared" si="2"/>
        <v>笔笔存送</v>
      </c>
      <c r="F398" s="287">
        <v>146.0</v>
      </c>
      <c r="G398" s="288">
        <v>128.0</v>
      </c>
      <c r="H398" s="289">
        <v>2762.09</v>
      </c>
      <c r="I398" s="289">
        <v>0.0</v>
      </c>
      <c r="J398" s="289">
        <v>0.0</v>
      </c>
      <c r="K398" s="298">
        <f t="shared" si="54"/>
        <v>2762.09</v>
      </c>
      <c r="L398" s="253" t="str">
        <f t="shared" si="52"/>
        <v>笔笔存送</v>
      </c>
      <c r="T398" s="315"/>
      <c r="U398" s="316"/>
      <c r="V398" s="317"/>
    </row>
    <row r="399">
      <c r="A399" s="310"/>
      <c r="B399" s="285">
        <v>46081.0</v>
      </c>
      <c r="C399" s="101" t="s">
        <v>511</v>
      </c>
      <c r="D399" s="297" t="str">
        <f t="shared" si="1"/>
        <v/>
      </c>
      <c r="E399" s="297" t="str">
        <f t="shared" si="2"/>
        <v/>
      </c>
      <c r="F399" s="287">
        <v>101.0</v>
      </c>
      <c r="G399" s="288">
        <v>101.0</v>
      </c>
      <c r="H399" s="289">
        <v>2588.6</v>
      </c>
      <c r="I399" s="289">
        <v>0.0</v>
      </c>
      <c r="J399" s="289">
        <v>0.0</v>
      </c>
      <c r="K399" s="298">
        <f t="shared" si="54"/>
        <v>2588.6</v>
      </c>
      <c r="L399" s="253" t="str">
        <f t="shared" si="52"/>
        <v/>
      </c>
      <c r="T399" s="315"/>
      <c r="U399" s="316"/>
      <c r="V399" s="317"/>
    </row>
    <row r="400">
      <c r="A400" s="310"/>
      <c r="B400" s="285">
        <v>46081.0</v>
      </c>
      <c r="C400" s="101" t="s">
        <v>513</v>
      </c>
      <c r="D400" s="297" t="str">
        <f t="shared" si="1"/>
        <v/>
      </c>
      <c r="E400" s="297" t="str">
        <f t="shared" si="2"/>
        <v/>
      </c>
      <c r="F400" s="287">
        <v>45.0</v>
      </c>
      <c r="G400" s="288">
        <v>35.0</v>
      </c>
      <c r="H400" s="289">
        <v>173.49</v>
      </c>
      <c r="I400" s="289">
        <v>0.0</v>
      </c>
      <c r="J400" s="289">
        <v>0.0</v>
      </c>
      <c r="K400" s="298">
        <f t="shared" si="54"/>
        <v>173.49</v>
      </c>
      <c r="L400" s="253" t="str">
        <f t="shared" si="52"/>
        <v/>
      </c>
      <c r="T400" s="315"/>
      <c r="U400" s="316"/>
      <c r="V400" s="317"/>
    </row>
    <row r="401">
      <c r="A401" s="310"/>
      <c r="B401" s="285">
        <v>46081.0</v>
      </c>
      <c r="C401" s="101" t="s">
        <v>225</v>
      </c>
      <c r="D401" s="297" t="str">
        <f t="shared" si="1"/>
        <v>FIRST_DEPOSIT</v>
      </c>
      <c r="E401" s="297" t="str">
        <f t="shared" si="2"/>
        <v>首存</v>
      </c>
      <c r="F401" s="289">
        <v>92.0</v>
      </c>
      <c r="G401" s="289">
        <v>92.0</v>
      </c>
      <c r="H401" s="289">
        <v>5353.5</v>
      </c>
      <c r="I401" s="289">
        <v>0.0</v>
      </c>
      <c r="J401" s="289">
        <v>0.0</v>
      </c>
      <c r="K401" s="298">
        <f t="shared" si="54"/>
        <v>5353.5</v>
      </c>
      <c r="L401" s="253" t="str">
        <f t="shared" si="52"/>
        <v>首存</v>
      </c>
      <c r="M401" s="139"/>
      <c r="T401" s="315"/>
      <c r="U401" s="316"/>
      <c r="V401" s="317"/>
    </row>
    <row r="402">
      <c r="A402" s="310"/>
      <c r="B402" s="285">
        <v>46081.0</v>
      </c>
      <c r="C402" s="101" t="s">
        <v>544</v>
      </c>
      <c r="D402" s="297" t="str">
        <f t="shared" si="1"/>
        <v/>
      </c>
      <c r="E402" s="297" t="str">
        <f t="shared" si="2"/>
        <v/>
      </c>
      <c r="F402" s="289">
        <v>92.0</v>
      </c>
      <c r="G402" s="289">
        <v>92.0</v>
      </c>
      <c r="H402" s="289">
        <v>5353.5</v>
      </c>
      <c r="I402" s="289">
        <v>0.0</v>
      </c>
      <c r="J402" s="289">
        <v>0.0</v>
      </c>
      <c r="K402" s="289">
        <f t="shared" si="54"/>
        <v>5353.5</v>
      </c>
      <c r="L402" s="253" t="str">
        <f t="shared" si="52"/>
        <v/>
      </c>
      <c r="M402" s="139"/>
      <c r="T402" s="315"/>
      <c r="U402" s="316"/>
      <c r="V402" s="317"/>
    </row>
    <row r="403">
      <c r="A403" s="310"/>
      <c r="B403" s="285">
        <v>46081.0</v>
      </c>
      <c r="C403" s="101" t="s">
        <v>209</v>
      </c>
      <c r="D403" s="297" t="str">
        <f t="shared" si="1"/>
        <v>LOGIN</v>
      </c>
      <c r="E403" s="297" t="str">
        <f t="shared" si="2"/>
        <v>签到奖励</v>
      </c>
      <c r="F403" s="287">
        <v>2883.0</v>
      </c>
      <c r="G403" s="288">
        <v>2883.0</v>
      </c>
      <c r="H403" s="289">
        <v>4033.0</v>
      </c>
      <c r="I403" s="289">
        <v>0.0</v>
      </c>
      <c r="J403" s="289">
        <v>0.0</v>
      </c>
      <c r="K403" s="298">
        <f t="shared" si="54"/>
        <v>4033</v>
      </c>
      <c r="L403" s="253" t="str">
        <f t="shared" si="52"/>
        <v>签到奖励</v>
      </c>
      <c r="T403" s="315"/>
      <c r="U403" s="316"/>
      <c r="V403" s="317"/>
    </row>
    <row r="404">
      <c r="A404" s="310"/>
      <c r="B404" s="285">
        <v>46081.0</v>
      </c>
      <c r="C404" s="101" t="s">
        <v>549</v>
      </c>
      <c r="D404" s="297" t="str">
        <f t="shared" si="1"/>
        <v/>
      </c>
      <c r="E404" s="297" t="str">
        <f t="shared" si="2"/>
        <v/>
      </c>
      <c r="F404" s="287">
        <v>2883.0</v>
      </c>
      <c r="G404" s="288">
        <v>2883.0</v>
      </c>
      <c r="H404" s="289">
        <v>4033.0</v>
      </c>
      <c r="I404" s="289">
        <v>0.0</v>
      </c>
      <c r="J404" s="289">
        <v>0.0</v>
      </c>
      <c r="K404" s="298">
        <f t="shared" si="54"/>
        <v>4033</v>
      </c>
      <c r="L404" s="253" t="str">
        <f t="shared" si="52"/>
        <v/>
      </c>
      <c r="T404" s="315"/>
      <c r="U404" s="316"/>
      <c r="V404" s="317"/>
    </row>
    <row r="405">
      <c r="A405" s="310"/>
      <c r="B405" s="285">
        <v>46081.0</v>
      </c>
      <c r="C405" s="101" t="s">
        <v>228</v>
      </c>
      <c r="D405" s="297" t="str">
        <f t="shared" si="1"/>
        <v>登录任务</v>
      </c>
      <c r="E405" s="297" t="str">
        <f t="shared" si="2"/>
        <v>登录任务</v>
      </c>
      <c r="F405" s="287">
        <v>0.0</v>
      </c>
      <c r="G405" s="288">
        <v>198.0</v>
      </c>
      <c r="H405" s="289">
        <v>0.0</v>
      </c>
      <c r="I405" s="289">
        <v>299.0</v>
      </c>
      <c r="J405" s="289">
        <v>215.0</v>
      </c>
      <c r="K405" s="298">
        <f t="shared" si="54"/>
        <v>299</v>
      </c>
      <c r="L405" s="253" t="str">
        <f t="shared" si="52"/>
        <v>登录任务</v>
      </c>
      <c r="T405" s="315"/>
      <c r="U405" s="316"/>
      <c r="V405" s="317"/>
    </row>
    <row r="406">
      <c r="A406" s="310"/>
      <c r="B406" s="285">
        <v>46081.0</v>
      </c>
      <c r="C406" s="101" t="s">
        <v>547</v>
      </c>
      <c r="D406" s="297" t="str">
        <f t="shared" si="1"/>
        <v/>
      </c>
      <c r="E406" s="297" t="str">
        <f t="shared" si="2"/>
        <v/>
      </c>
      <c r="F406" s="287">
        <v>0.0</v>
      </c>
      <c r="G406" s="287">
        <v>198.0</v>
      </c>
      <c r="H406" s="287">
        <v>0.0</v>
      </c>
      <c r="I406" s="287">
        <v>299.0</v>
      </c>
      <c r="J406" s="287">
        <v>215.0</v>
      </c>
      <c r="K406" s="289">
        <f t="shared" si="54"/>
        <v>299</v>
      </c>
      <c r="L406" s="253" t="str">
        <f t="shared" si="52"/>
        <v/>
      </c>
      <c r="M406" s="139"/>
      <c r="T406" s="315"/>
      <c r="U406" s="316"/>
      <c r="V406" s="317"/>
    </row>
    <row r="407">
      <c r="A407" s="310"/>
      <c r="B407" s="285">
        <v>46081.0</v>
      </c>
      <c r="C407" s="101" t="s">
        <v>230</v>
      </c>
      <c r="D407" s="297" t="str">
        <f t="shared" si="1"/>
        <v>邀请返佣</v>
      </c>
      <c r="E407" s="297" t="str">
        <f t="shared" si="2"/>
        <v>邀请返佣</v>
      </c>
      <c r="F407" s="287">
        <v>111.0</v>
      </c>
      <c r="G407" s="288">
        <v>85.0</v>
      </c>
      <c r="H407" s="289">
        <v>61.05</v>
      </c>
      <c r="I407" s="289">
        <v>0.0</v>
      </c>
      <c r="J407" s="289">
        <v>0.0</v>
      </c>
      <c r="K407" s="298">
        <f t="shared" si="54"/>
        <v>61.05</v>
      </c>
      <c r="L407" s="253" t="str">
        <f t="shared" si="52"/>
        <v>邀请返佣</v>
      </c>
      <c r="T407" s="315"/>
      <c r="U407" s="316"/>
      <c r="V407" s="317"/>
    </row>
    <row r="408">
      <c r="A408" s="310"/>
      <c r="B408" s="285">
        <v>46081.0</v>
      </c>
      <c r="C408" s="101" t="s">
        <v>387</v>
      </c>
      <c r="D408" s="297" t="str">
        <f t="shared" si="1"/>
        <v/>
      </c>
      <c r="E408" s="297" t="str">
        <f t="shared" si="2"/>
        <v/>
      </c>
      <c r="F408" s="287">
        <v>24.0</v>
      </c>
      <c r="G408" s="288">
        <v>24.0</v>
      </c>
      <c r="H408" s="289">
        <v>4.06</v>
      </c>
      <c r="I408" s="289">
        <v>0.0</v>
      </c>
      <c r="J408" s="289">
        <v>0.0</v>
      </c>
      <c r="K408" s="298">
        <f t="shared" si="54"/>
        <v>4.06</v>
      </c>
      <c r="L408" s="253" t="str">
        <f t="shared" si="52"/>
        <v/>
      </c>
      <c r="T408" s="315"/>
      <c r="U408" s="316"/>
      <c r="V408" s="317"/>
    </row>
    <row r="409">
      <c r="A409" s="310"/>
      <c r="B409" s="285">
        <v>46081.0</v>
      </c>
      <c r="C409" s="101" t="s">
        <v>385</v>
      </c>
      <c r="D409" s="297" t="str">
        <f t="shared" si="1"/>
        <v/>
      </c>
      <c r="E409" s="297" t="str">
        <f t="shared" si="2"/>
        <v/>
      </c>
      <c r="F409" s="287">
        <v>2.0</v>
      </c>
      <c r="G409" s="288">
        <v>2.0</v>
      </c>
      <c r="H409" s="289">
        <v>30.0</v>
      </c>
      <c r="I409" s="289">
        <v>0.0</v>
      </c>
      <c r="J409" s="289">
        <v>0.0</v>
      </c>
      <c r="K409" s="298">
        <f t="shared" si="54"/>
        <v>30</v>
      </c>
      <c r="L409" s="253" t="str">
        <f t="shared" si="52"/>
        <v/>
      </c>
      <c r="T409" s="315"/>
      <c r="U409" s="316"/>
      <c r="V409" s="317"/>
    </row>
    <row r="410">
      <c r="A410" s="310"/>
      <c r="B410" s="285">
        <v>46081.0</v>
      </c>
      <c r="C410" s="101" t="s">
        <v>546</v>
      </c>
      <c r="D410" s="297" t="str">
        <f t="shared" si="1"/>
        <v/>
      </c>
      <c r="E410" s="297" t="str">
        <f t="shared" si="2"/>
        <v/>
      </c>
      <c r="F410" s="287">
        <v>85.0</v>
      </c>
      <c r="G410" s="288">
        <v>85.0</v>
      </c>
      <c r="H410" s="289">
        <v>26.99</v>
      </c>
      <c r="I410" s="289">
        <v>0.0</v>
      </c>
      <c r="J410" s="289">
        <v>0.0</v>
      </c>
      <c r="K410" s="298">
        <f t="shared" si="54"/>
        <v>26.99</v>
      </c>
      <c r="L410" s="253" t="str">
        <f t="shared" si="52"/>
        <v/>
      </c>
      <c r="T410" s="315"/>
      <c r="U410" s="316"/>
      <c r="V410" s="317"/>
    </row>
    <row r="411">
      <c r="A411" s="310"/>
      <c r="B411" s="285">
        <v>46081.0</v>
      </c>
      <c r="C411" s="101" t="s">
        <v>211</v>
      </c>
      <c r="D411" s="297" t="str">
        <f t="shared" si="1"/>
        <v>UPGRADE_BONUS</v>
      </c>
      <c r="E411" s="297" t="str">
        <f t="shared" si="2"/>
        <v>升级奖励</v>
      </c>
      <c r="F411" s="287">
        <v>202.0</v>
      </c>
      <c r="G411" s="288">
        <v>182.0</v>
      </c>
      <c r="H411" s="289">
        <v>395.0</v>
      </c>
      <c r="I411" s="289">
        <v>0.0</v>
      </c>
      <c r="J411" s="289">
        <v>0.0</v>
      </c>
      <c r="K411" s="298">
        <f t="shared" si="54"/>
        <v>395</v>
      </c>
      <c r="L411" s="253" t="str">
        <f t="shared" si="52"/>
        <v>升级奖励</v>
      </c>
      <c r="T411" s="315"/>
      <c r="U411" s="316"/>
      <c r="V411" s="317"/>
    </row>
    <row r="412">
      <c r="A412" s="310"/>
      <c r="B412" s="285">
        <v>46081.0</v>
      </c>
      <c r="C412" s="101" t="s">
        <v>550</v>
      </c>
      <c r="D412" s="297" t="str">
        <f t="shared" si="1"/>
        <v/>
      </c>
      <c r="E412" s="297" t="str">
        <f t="shared" si="2"/>
        <v/>
      </c>
      <c r="F412" s="289">
        <v>202.0</v>
      </c>
      <c r="G412" s="289">
        <v>182.0</v>
      </c>
      <c r="H412" s="289">
        <v>395.0</v>
      </c>
      <c r="I412" s="289">
        <v>0.0</v>
      </c>
      <c r="J412" s="289">
        <v>0.0</v>
      </c>
      <c r="K412" s="289">
        <f t="shared" si="54"/>
        <v>395</v>
      </c>
      <c r="L412" s="253" t="str">
        <f t="shared" si="52"/>
        <v/>
      </c>
      <c r="M412" s="139"/>
      <c r="T412" s="315"/>
      <c r="U412" s="316"/>
      <c r="V412" s="317"/>
    </row>
    <row r="413">
      <c r="A413" s="310"/>
      <c r="B413" s="299"/>
      <c r="C413" s="300"/>
      <c r="D413" s="301" t="str">
        <f t="shared" si="1"/>
        <v/>
      </c>
      <c r="E413" s="301" t="str">
        <f t="shared" si="2"/>
        <v/>
      </c>
      <c r="F413" s="302"/>
      <c r="G413" s="302"/>
      <c r="H413" s="303"/>
      <c r="I413" s="303"/>
      <c r="J413" s="303"/>
      <c r="K413" s="303">
        <f t="shared" si="54"/>
        <v>0</v>
      </c>
      <c r="L413" s="253" t="str">
        <f t="shared" si="52"/>
        <v/>
      </c>
      <c r="T413" s="315"/>
      <c r="U413" s="316"/>
      <c r="V413" s="317"/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FF"/>
    <outlinePr summaryBelow="0" summaryRight="0"/>
  </sheetPr>
  <sheetViews>
    <sheetView workbookViewId="0">
      <pane xSplit="3.0" topLeftCell="D1" activePane="topRight" state="frozen"/>
      <selection activeCell="E2" sqref="E2" pane="topRight"/>
    </sheetView>
  </sheetViews>
  <sheetFormatPr customHeight="1" defaultColWidth="12.63" defaultRowHeight="15.75"/>
  <cols>
    <col customWidth="1" min="1" max="1" width="4.13"/>
    <col customWidth="1" min="2" max="2" width="5.88"/>
    <col customWidth="1" min="3" max="3" width="14.13"/>
    <col customWidth="1" min="5" max="5" width="14.0"/>
    <col customWidth="1" min="6" max="6" width="13.63"/>
    <col customWidth="1" min="16" max="19" width="12.63"/>
  </cols>
  <sheetData>
    <row r="1">
      <c r="C1" s="318" t="s">
        <v>561</v>
      </c>
      <c r="D1" s="116" t="s">
        <v>562</v>
      </c>
      <c r="E1" s="116" t="s">
        <v>244</v>
      </c>
      <c r="F1" s="116" t="s">
        <v>563</v>
      </c>
      <c r="G1" s="116" t="s">
        <v>564</v>
      </c>
      <c r="H1" s="116" t="s">
        <v>565</v>
      </c>
      <c r="I1" s="116" t="s">
        <v>566</v>
      </c>
      <c r="J1" s="272"/>
      <c r="K1" s="318"/>
      <c r="L1" s="318" t="s">
        <v>567</v>
      </c>
      <c r="M1" s="116" t="s">
        <v>562</v>
      </c>
      <c r="N1" s="116" t="s">
        <v>244</v>
      </c>
      <c r="O1" s="116" t="s">
        <v>563</v>
      </c>
      <c r="P1" s="116" t="s">
        <v>564</v>
      </c>
      <c r="Q1" s="116" t="s">
        <v>565</v>
      </c>
      <c r="R1" s="116" t="s">
        <v>566</v>
      </c>
      <c r="S1" s="250"/>
    </row>
    <row r="2">
      <c r="A2" s="319"/>
      <c r="B2" s="320" t="s">
        <v>568</v>
      </c>
      <c r="C2" s="321" t="s">
        <v>569</v>
      </c>
      <c r="D2" s="116" t="s">
        <v>562</v>
      </c>
      <c r="E2" s="116" t="s">
        <v>244</v>
      </c>
      <c r="F2" s="116" t="s">
        <v>563</v>
      </c>
      <c r="G2" s="116" t="s">
        <v>564</v>
      </c>
      <c r="H2" s="116" t="s">
        <v>565</v>
      </c>
      <c r="I2" s="116" t="s">
        <v>566</v>
      </c>
      <c r="J2" s="322" t="s">
        <v>570</v>
      </c>
      <c r="K2" s="323" t="s">
        <v>571</v>
      </c>
      <c r="L2" s="324" t="s">
        <v>568</v>
      </c>
      <c r="M2" s="321" t="s">
        <v>572</v>
      </c>
      <c r="N2" s="116" t="s">
        <v>562</v>
      </c>
      <c r="O2" s="116" t="s">
        <v>244</v>
      </c>
      <c r="P2" s="116" t="s">
        <v>563</v>
      </c>
      <c r="Q2" s="116" t="s">
        <v>564</v>
      </c>
      <c r="R2" s="116" t="s">
        <v>565</v>
      </c>
      <c r="S2" s="116" t="s">
        <v>566</v>
      </c>
    </row>
    <row r="3">
      <c r="C3" s="250"/>
      <c r="D3" s="250"/>
      <c r="E3" s="250"/>
      <c r="F3" s="250"/>
      <c r="G3" s="250"/>
      <c r="H3" s="250"/>
      <c r="I3" s="250"/>
      <c r="J3" s="250"/>
      <c r="K3" s="250"/>
      <c r="L3" s="250"/>
      <c r="M3" s="250"/>
      <c r="N3" s="250"/>
      <c r="O3" s="250"/>
      <c r="P3" s="250"/>
      <c r="Q3" s="250"/>
      <c r="R3" s="250"/>
      <c r="S3" s="250"/>
    </row>
    <row r="4">
      <c r="C4" s="250"/>
      <c r="D4" s="250"/>
      <c r="E4" s="250"/>
      <c r="F4" s="250"/>
      <c r="G4" s="250"/>
      <c r="H4" s="250"/>
      <c r="I4" s="250"/>
      <c r="J4" s="250"/>
      <c r="K4" s="250"/>
      <c r="L4" s="250"/>
      <c r="M4" s="250"/>
      <c r="N4" s="250"/>
      <c r="O4" s="250"/>
      <c r="P4" s="250"/>
      <c r="Q4" s="250"/>
      <c r="R4" s="250"/>
      <c r="S4" s="250"/>
    </row>
    <row r="5">
      <c r="C5" s="250"/>
      <c r="D5" s="250"/>
      <c r="E5" s="250"/>
      <c r="F5" s="250"/>
      <c r="G5" s="250"/>
      <c r="H5" s="250"/>
      <c r="I5" s="250"/>
      <c r="J5" s="250"/>
      <c r="K5" s="250"/>
      <c r="L5" s="250"/>
      <c r="M5" s="250"/>
      <c r="N5" s="250"/>
      <c r="O5" s="250"/>
      <c r="P5" s="250"/>
      <c r="Q5" s="250"/>
      <c r="R5" s="250"/>
      <c r="S5" s="250"/>
    </row>
    <row r="6">
      <c r="C6" s="325" t="s">
        <v>1</v>
      </c>
      <c r="D6" s="326"/>
      <c r="E6" s="326"/>
      <c r="F6" s="326"/>
      <c r="G6" s="326"/>
      <c r="H6" s="326"/>
      <c r="I6" s="326"/>
      <c r="J6" s="326"/>
      <c r="K6" s="326"/>
      <c r="L6" s="326"/>
      <c r="M6" s="326"/>
      <c r="N6" s="326"/>
      <c r="O6" s="326"/>
      <c r="P6" s="250"/>
      <c r="Q6" s="250"/>
      <c r="R6" s="250"/>
      <c r="S6" s="250"/>
    </row>
    <row r="7">
      <c r="C7" s="318" t="s">
        <v>561</v>
      </c>
      <c r="D7" s="116" t="s">
        <v>562</v>
      </c>
      <c r="E7" s="116" t="s">
        <v>244</v>
      </c>
      <c r="F7" s="116" t="s">
        <v>563</v>
      </c>
      <c r="G7" s="116" t="s">
        <v>564</v>
      </c>
      <c r="H7" s="116" t="s">
        <v>565</v>
      </c>
      <c r="I7" s="116" t="s">
        <v>566</v>
      </c>
      <c r="J7" s="272"/>
      <c r="K7" s="318"/>
      <c r="L7" s="318" t="s">
        <v>567</v>
      </c>
      <c r="M7" s="116" t="s">
        <v>562</v>
      </c>
      <c r="N7" s="116" t="s">
        <v>244</v>
      </c>
      <c r="O7" s="116" t="s">
        <v>563</v>
      </c>
      <c r="P7" s="116" t="s">
        <v>564</v>
      </c>
      <c r="Q7" s="116" t="s">
        <v>565</v>
      </c>
      <c r="R7" s="116" t="s">
        <v>566</v>
      </c>
      <c r="S7" s="250"/>
    </row>
    <row r="8">
      <c r="C8" s="327">
        <v>46054.0</v>
      </c>
      <c r="D8" s="328">
        <f>SUMIFS('jiliarena_代理数据_底稿'!$O:$O,'jiliarena_代理数据_底稿'!$B:$B,D$7,'jiliarena_代理数据_底稿'!$A:$A,$C8)</f>
        <v>0</v>
      </c>
      <c r="E8" s="328">
        <f>SUMIFS('jiliarena_代理数据_底稿'!$O:$O,'jiliarena_代理数据_底稿'!$B:$B,E$7,'jiliarena_代理数据_底稿'!$A:$A,$C8)</f>
        <v>0</v>
      </c>
      <c r="F8" s="328">
        <f>SUMIFS('jiliarena_代理数据_底稿'!$O:$O,'jiliarena_代理数据_底稿'!$B:$B,F$7,'jiliarena_代理数据_底稿'!$A:$A,$C8)</f>
        <v>0</v>
      </c>
      <c r="G8" s="328">
        <f>SUMIFS('jiliarena_代理数据_底稿'!$O:$O,'jiliarena_代理数据_底稿'!$B:$B,G$7,'jiliarena_代理数据_底稿'!$A:$A,$C8)</f>
        <v>0</v>
      </c>
      <c r="H8" s="328">
        <f>SUMIFS('jiliarena_代理数据_底稿'!$O:$O,'jiliarena_代理数据_底稿'!$B:$B,H$7,'jiliarena_代理数据_底稿'!$A:$A,$C8)</f>
        <v>0</v>
      </c>
      <c r="I8" s="328">
        <f>SUMIFS('jiliarena_代理数据_底稿'!$O:$O,'jiliarena_代理数据_底稿'!$B:$B,I$7,'jiliarena_代理数据_底稿'!$A:$A,$C8)</f>
        <v>0</v>
      </c>
      <c r="J8" s="329">
        <f t="shared" ref="J8:J35" si="1">sum(D8:I8)</f>
        <v>0</v>
      </c>
      <c r="K8" s="330">
        <f t="array" ref="K8">INDEX(jiliarena!$A$3:$M$39,MATCH($C8,jiliarena!$A$3:$A$39,0),MATCH("日充值",jiliarena!$A$3:$M$3,0))-J8</f>
        <v>0</v>
      </c>
      <c r="L8" s="327">
        <f t="shared" ref="L8:L35" si="2">C8</f>
        <v>46054</v>
      </c>
      <c r="M8" s="331"/>
      <c r="N8" s="331"/>
      <c r="O8" s="331"/>
      <c r="P8" s="331"/>
      <c r="Q8" s="331"/>
      <c r="R8" s="331"/>
      <c r="S8" s="250"/>
    </row>
    <row r="9">
      <c r="C9" s="327">
        <f t="shared" ref="C9:C35" si="4">C8+1</f>
        <v>46055</v>
      </c>
      <c r="D9" s="328">
        <f>SUMIFS('jiliarena_代理数据_底稿'!$O:$O,'jiliarena_代理数据_底稿'!$B:$B,D$7,'jiliarena_代理数据_底稿'!$A:$A,$C9)</f>
        <v>0</v>
      </c>
      <c r="E9" s="328">
        <f>SUMIFS('jiliarena_代理数据_底稿'!$O:$O,'jiliarena_代理数据_底稿'!$B:$B,E$7,'jiliarena_代理数据_底稿'!$A:$A,$C9)</f>
        <v>0</v>
      </c>
      <c r="F9" s="328">
        <f>SUMIFS('jiliarena_代理数据_底稿'!$O:$O,'jiliarena_代理数据_底稿'!$B:$B,F$7,'jiliarena_代理数据_底稿'!$A:$A,$C9)</f>
        <v>0</v>
      </c>
      <c r="G9" s="328">
        <f>SUMIFS('jiliarena_代理数据_底稿'!$O:$O,'jiliarena_代理数据_底稿'!$B:$B,G$7,'jiliarena_代理数据_底稿'!$A:$A,$C9)</f>
        <v>0</v>
      </c>
      <c r="H9" s="328">
        <f>SUMIFS('jiliarena_代理数据_底稿'!$O:$O,'jiliarena_代理数据_底稿'!$B:$B,H$7,'jiliarena_代理数据_底稿'!$A:$A,$C9)</f>
        <v>0</v>
      </c>
      <c r="I9" s="328">
        <f>SUMIFS('jiliarena_代理数据_底稿'!$O:$O,'jiliarena_代理数据_底稿'!$B:$B,I$7,'jiliarena_代理数据_底稿'!$A:$A,$C9)</f>
        <v>0</v>
      </c>
      <c r="J9" s="329">
        <f t="shared" si="1"/>
        <v>0</v>
      </c>
      <c r="K9" s="330">
        <f t="array" ref="K9">INDEX(jiliarena!$A$3:$M$39,MATCH($C9,jiliarena!$A$3:$A$39,0),MATCH("日充值",jiliarena!$A$3:$M$3,0))-J9</f>
        <v>0</v>
      </c>
      <c r="L9" s="327">
        <f t="shared" si="2"/>
        <v>46055</v>
      </c>
      <c r="M9" s="331">
        <f t="shared" ref="M9:R9" si="3">D9-D8</f>
        <v>0</v>
      </c>
      <c r="N9" s="331">
        <f t="shared" si="3"/>
        <v>0</v>
      </c>
      <c r="O9" s="331">
        <f t="shared" si="3"/>
        <v>0</v>
      </c>
      <c r="P9" s="331">
        <f t="shared" si="3"/>
        <v>0</v>
      </c>
      <c r="Q9" s="331">
        <f t="shared" si="3"/>
        <v>0</v>
      </c>
      <c r="R9" s="331">
        <f t="shared" si="3"/>
        <v>0</v>
      </c>
      <c r="S9" s="250"/>
    </row>
    <row r="10">
      <c r="C10" s="327">
        <f t="shared" si="4"/>
        <v>46056</v>
      </c>
      <c r="D10" s="328">
        <f>SUMIFS('jiliarena_代理数据_底稿'!$O:$O,'jiliarena_代理数据_底稿'!$B:$B,D$7,'jiliarena_代理数据_底稿'!$A:$A,$C10)</f>
        <v>0</v>
      </c>
      <c r="E10" s="328">
        <f>SUMIFS('jiliarena_代理数据_底稿'!$O:$O,'jiliarena_代理数据_底稿'!$B:$B,E$7,'jiliarena_代理数据_底稿'!$A:$A,$C10)</f>
        <v>0</v>
      </c>
      <c r="F10" s="328">
        <f>SUMIFS('jiliarena_代理数据_底稿'!$O:$O,'jiliarena_代理数据_底稿'!$B:$B,F$7,'jiliarena_代理数据_底稿'!$A:$A,$C10)</f>
        <v>0</v>
      </c>
      <c r="G10" s="328">
        <f>SUMIFS('jiliarena_代理数据_底稿'!$O:$O,'jiliarena_代理数据_底稿'!$B:$B,G$7,'jiliarena_代理数据_底稿'!$A:$A,$C10)</f>
        <v>0</v>
      </c>
      <c r="H10" s="328">
        <f>SUMIFS('jiliarena_代理数据_底稿'!$O:$O,'jiliarena_代理数据_底稿'!$B:$B,H$7,'jiliarena_代理数据_底稿'!$A:$A,$C10)</f>
        <v>0</v>
      </c>
      <c r="I10" s="328">
        <f>SUMIFS('jiliarena_代理数据_底稿'!$O:$O,'jiliarena_代理数据_底稿'!$B:$B,I$7,'jiliarena_代理数据_底稿'!$A:$A,$C10)</f>
        <v>0</v>
      </c>
      <c r="J10" s="329">
        <f t="shared" si="1"/>
        <v>0</v>
      </c>
      <c r="K10" s="330">
        <f t="array" ref="K10">INDEX(jiliarena!$A$3:$M$39,MATCH($C10,jiliarena!$A$3:$A$39,0),MATCH("日充值",jiliarena!$A$3:$M$3,0))-J10</f>
        <v>0</v>
      </c>
      <c r="L10" s="327">
        <f t="shared" si="2"/>
        <v>46056</v>
      </c>
      <c r="M10" s="331">
        <f t="shared" ref="M10:R10" si="5">D10-D9</f>
        <v>0</v>
      </c>
      <c r="N10" s="331">
        <f t="shared" si="5"/>
        <v>0</v>
      </c>
      <c r="O10" s="331">
        <f t="shared" si="5"/>
        <v>0</v>
      </c>
      <c r="P10" s="331">
        <f t="shared" si="5"/>
        <v>0</v>
      </c>
      <c r="Q10" s="331">
        <f t="shared" si="5"/>
        <v>0</v>
      </c>
      <c r="R10" s="331">
        <f t="shared" si="5"/>
        <v>0</v>
      </c>
      <c r="S10" s="250"/>
    </row>
    <row r="11">
      <c r="C11" s="327">
        <f t="shared" si="4"/>
        <v>46057</v>
      </c>
      <c r="D11" s="328">
        <f>SUMIFS('jiliarena_代理数据_底稿'!$O:$O,'jiliarena_代理数据_底稿'!$B:$B,D$7,'jiliarena_代理数据_底稿'!$A:$A,$C11)</f>
        <v>0</v>
      </c>
      <c r="E11" s="328">
        <f>SUMIFS('jiliarena_代理数据_底稿'!$O:$O,'jiliarena_代理数据_底稿'!$B:$B,E$7,'jiliarena_代理数据_底稿'!$A:$A,$C11)</f>
        <v>0</v>
      </c>
      <c r="F11" s="328">
        <f>SUMIFS('jiliarena_代理数据_底稿'!$O:$O,'jiliarena_代理数据_底稿'!$B:$B,F$7,'jiliarena_代理数据_底稿'!$A:$A,$C11)</f>
        <v>0</v>
      </c>
      <c r="G11" s="328">
        <f>SUMIFS('jiliarena_代理数据_底稿'!$O:$O,'jiliarena_代理数据_底稿'!$B:$B,G$7,'jiliarena_代理数据_底稿'!$A:$A,$C11)</f>
        <v>0</v>
      </c>
      <c r="H11" s="328">
        <f>SUMIFS('jiliarena_代理数据_底稿'!$O:$O,'jiliarena_代理数据_底稿'!$B:$B,H$7,'jiliarena_代理数据_底稿'!$A:$A,$C11)</f>
        <v>0</v>
      </c>
      <c r="I11" s="328">
        <f>SUMIFS('jiliarena_代理数据_底稿'!$O:$O,'jiliarena_代理数据_底稿'!$B:$B,I$7,'jiliarena_代理数据_底稿'!$A:$A,$C11)</f>
        <v>0</v>
      </c>
      <c r="J11" s="329">
        <f t="shared" si="1"/>
        <v>0</v>
      </c>
      <c r="K11" s="330">
        <f t="array" ref="K11">INDEX(jiliarena!$A$3:$M$39,MATCH($C11,jiliarena!$A$3:$A$39,0),MATCH("日充值",jiliarena!$A$3:$M$3,0))-J11</f>
        <v>0</v>
      </c>
      <c r="L11" s="327">
        <f t="shared" si="2"/>
        <v>46057</v>
      </c>
      <c r="M11" s="331">
        <f t="shared" ref="M11:R11" si="6">D11-D10</f>
        <v>0</v>
      </c>
      <c r="N11" s="331">
        <f t="shared" si="6"/>
        <v>0</v>
      </c>
      <c r="O11" s="331">
        <f t="shared" si="6"/>
        <v>0</v>
      </c>
      <c r="P11" s="331">
        <f t="shared" si="6"/>
        <v>0</v>
      </c>
      <c r="Q11" s="331">
        <f t="shared" si="6"/>
        <v>0</v>
      </c>
      <c r="R11" s="331">
        <f t="shared" si="6"/>
        <v>0</v>
      </c>
      <c r="S11" s="250"/>
    </row>
    <row r="12">
      <c r="C12" s="327">
        <f t="shared" si="4"/>
        <v>46058</v>
      </c>
      <c r="D12" s="328">
        <f>SUMIFS('jiliarena_代理数据_底稿'!$O:$O,'jiliarena_代理数据_底稿'!$B:$B,D$7,'jiliarena_代理数据_底稿'!$A:$A,$C12)</f>
        <v>0</v>
      </c>
      <c r="E12" s="328">
        <f>SUMIFS('jiliarena_代理数据_底稿'!$O:$O,'jiliarena_代理数据_底稿'!$B:$B,E$7,'jiliarena_代理数据_底稿'!$A:$A,$C12)</f>
        <v>0</v>
      </c>
      <c r="F12" s="328">
        <f>SUMIFS('jiliarena_代理数据_底稿'!$O:$O,'jiliarena_代理数据_底稿'!$B:$B,F$7,'jiliarena_代理数据_底稿'!$A:$A,$C12)</f>
        <v>0</v>
      </c>
      <c r="G12" s="328">
        <f>SUMIFS('jiliarena_代理数据_底稿'!$O:$O,'jiliarena_代理数据_底稿'!$B:$B,G$7,'jiliarena_代理数据_底稿'!$A:$A,$C12)</f>
        <v>0</v>
      </c>
      <c r="H12" s="328">
        <f>SUMIFS('jiliarena_代理数据_底稿'!$O:$O,'jiliarena_代理数据_底稿'!$B:$B,H$7,'jiliarena_代理数据_底稿'!$A:$A,$C12)</f>
        <v>0</v>
      </c>
      <c r="I12" s="328">
        <f>SUMIFS('jiliarena_代理数据_底稿'!$O:$O,'jiliarena_代理数据_底稿'!$B:$B,I$7,'jiliarena_代理数据_底稿'!$A:$A,$C12)</f>
        <v>0</v>
      </c>
      <c r="J12" s="329">
        <f t="shared" si="1"/>
        <v>0</v>
      </c>
      <c r="K12" s="330">
        <f t="array" ref="K12">INDEX(jiliarena!$A$3:$M$39,MATCH($C12,jiliarena!$A$3:$A$39,0),MATCH("日充值",jiliarena!$A$3:$M$3,0))-J12</f>
        <v>0</v>
      </c>
      <c r="L12" s="327">
        <f t="shared" si="2"/>
        <v>46058</v>
      </c>
      <c r="M12" s="331">
        <f t="shared" ref="M12:R12" si="7">D12-D11</f>
        <v>0</v>
      </c>
      <c r="N12" s="331">
        <f t="shared" si="7"/>
        <v>0</v>
      </c>
      <c r="O12" s="331">
        <f t="shared" si="7"/>
        <v>0</v>
      </c>
      <c r="P12" s="331">
        <f t="shared" si="7"/>
        <v>0</v>
      </c>
      <c r="Q12" s="331">
        <f t="shared" si="7"/>
        <v>0</v>
      </c>
      <c r="R12" s="331">
        <f t="shared" si="7"/>
        <v>0</v>
      </c>
      <c r="S12" s="250"/>
    </row>
    <row r="13">
      <c r="C13" s="327">
        <f t="shared" si="4"/>
        <v>46059</v>
      </c>
      <c r="D13" s="328">
        <f>SUMIFS('jiliarena_代理数据_底稿'!$O:$O,'jiliarena_代理数据_底稿'!$B:$B,D$7,'jiliarena_代理数据_底稿'!$A:$A,$C13)</f>
        <v>0</v>
      </c>
      <c r="E13" s="328">
        <f>SUMIFS('jiliarena_代理数据_底稿'!$O:$O,'jiliarena_代理数据_底稿'!$B:$B,E$7,'jiliarena_代理数据_底稿'!$A:$A,$C13)</f>
        <v>0</v>
      </c>
      <c r="F13" s="328">
        <f>SUMIFS('jiliarena_代理数据_底稿'!$O:$O,'jiliarena_代理数据_底稿'!$B:$B,F$7,'jiliarena_代理数据_底稿'!$A:$A,$C13)</f>
        <v>0</v>
      </c>
      <c r="G13" s="328">
        <f>SUMIFS('jiliarena_代理数据_底稿'!$O:$O,'jiliarena_代理数据_底稿'!$B:$B,G$7,'jiliarena_代理数据_底稿'!$A:$A,$C13)</f>
        <v>0</v>
      </c>
      <c r="H13" s="328">
        <f>SUMIFS('jiliarena_代理数据_底稿'!$O:$O,'jiliarena_代理数据_底稿'!$B:$B,H$7,'jiliarena_代理数据_底稿'!$A:$A,$C13)</f>
        <v>0</v>
      </c>
      <c r="I13" s="328">
        <f>SUMIFS('jiliarena_代理数据_底稿'!$O:$O,'jiliarena_代理数据_底稿'!$B:$B,I$7,'jiliarena_代理数据_底稿'!$A:$A,$C13)</f>
        <v>0</v>
      </c>
      <c r="J13" s="329">
        <f t="shared" si="1"/>
        <v>0</v>
      </c>
      <c r="K13" s="330">
        <f t="array" ref="K13">INDEX(jiliarena!$A$3:$M$39,MATCH($C13,jiliarena!$A$3:$A$39,0),MATCH("日充值",jiliarena!$A$3:$M$3,0))-J13</f>
        <v>0</v>
      </c>
      <c r="L13" s="327">
        <f t="shared" si="2"/>
        <v>46059</v>
      </c>
      <c r="M13" s="331">
        <f t="shared" ref="M13:R13" si="8">D13-D12</f>
        <v>0</v>
      </c>
      <c r="N13" s="331">
        <f t="shared" si="8"/>
        <v>0</v>
      </c>
      <c r="O13" s="331">
        <f t="shared" si="8"/>
        <v>0</v>
      </c>
      <c r="P13" s="331">
        <f t="shared" si="8"/>
        <v>0</v>
      </c>
      <c r="Q13" s="331">
        <f t="shared" si="8"/>
        <v>0</v>
      </c>
      <c r="R13" s="331">
        <f t="shared" si="8"/>
        <v>0</v>
      </c>
      <c r="S13" s="250"/>
    </row>
    <row r="14">
      <c r="C14" s="327">
        <f t="shared" si="4"/>
        <v>46060</v>
      </c>
      <c r="D14" s="328">
        <f>SUMIFS('jiliarena_代理数据_底稿'!$O:$O,'jiliarena_代理数据_底稿'!$B:$B,D$7,'jiliarena_代理数据_底稿'!$A:$A,$C14)</f>
        <v>0</v>
      </c>
      <c r="E14" s="328">
        <f>SUMIFS('jiliarena_代理数据_底稿'!$O:$O,'jiliarena_代理数据_底稿'!$B:$B,E$7,'jiliarena_代理数据_底稿'!$A:$A,$C14)</f>
        <v>0</v>
      </c>
      <c r="F14" s="328">
        <f>SUMIFS('jiliarena_代理数据_底稿'!$O:$O,'jiliarena_代理数据_底稿'!$B:$B,F$7,'jiliarena_代理数据_底稿'!$A:$A,$C14)</f>
        <v>0</v>
      </c>
      <c r="G14" s="328">
        <f>SUMIFS('jiliarena_代理数据_底稿'!$O:$O,'jiliarena_代理数据_底稿'!$B:$B,G$7,'jiliarena_代理数据_底稿'!$A:$A,$C14)</f>
        <v>0</v>
      </c>
      <c r="H14" s="328">
        <f>SUMIFS('jiliarena_代理数据_底稿'!$O:$O,'jiliarena_代理数据_底稿'!$B:$B,H$7,'jiliarena_代理数据_底稿'!$A:$A,$C14)</f>
        <v>0</v>
      </c>
      <c r="I14" s="328">
        <f>SUMIFS('jiliarena_代理数据_底稿'!$O:$O,'jiliarena_代理数据_底稿'!$B:$B,I$7,'jiliarena_代理数据_底稿'!$A:$A,$C14)</f>
        <v>0</v>
      </c>
      <c r="J14" s="329">
        <f t="shared" si="1"/>
        <v>0</v>
      </c>
      <c r="K14" s="330">
        <f t="array" ref="K14">INDEX(jiliarena!$A$3:$M$39,MATCH($C14,jiliarena!$A$3:$A$39,0),MATCH("日充值",jiliarena!$A$3:$M$3,0))-J14</f>
        <v>0</v>
      </c>
      <c r="L14" s="327">
        <f t="shared" si="2"/>
        <v>46060</v>
      </c>
      <c r="M14" s="331">
        <f t="shared" ref="M14:R14" si="9">D14-D13</f>
        <v>0</v>
      </c>
      <c r="N14" s="331">
        <f t="shared" si="9"/>
        <v>0</v>
      </c>
      <c r="O14" s="331">
        <f t="shared" si="9"/>
        <v>0</v>
      </c>
      <c r="P14" s="331">
        <f t="shared" si="9"/>
        <v>0</v>
      </c>
      <c r="Q14" s="331">
        <f t="shared" si="9"/>
        <v>0</v>
      </c>
      <c r="R14" s="331">
        <f t="shared" si="9"/>
        <v>0</v>
      </c>
      <c r="S14" s="250"/>
    </row>
    <row r="15">
      <c r="C15" s="327">
        <f t="shared" si="4"/>
        <v>46061</v>
      </c>
      <c r="D15" s="328">
        <f>SUMIFS('jiliarena_代理数据_底稿'!$O:$O,'jiliarena_代理数据_底稿'!$B:$B,D$7,'jiliarena_代理数据_底稿'!$A:$A,$C15)</f>
        <v>0</v>
      </c>
      <c r="E15" s="328">
        <f>SUMIFS('jiliarena_代理数据_底稿'!$O:$O,'jiliarena_代理数据_底稿'!$B:$B,E$7,'jiliarena_代理数据_底稿'!$A:$A,$C15)</f>
        <v>0</v>
      </c>
      <c r="F15" s="328">
        <f>SUMIFS('jiliarena_代理数据_底稿'!$O:$O,'jiliarena_代理数据_底稿'!$B:$B,F$7,'jiliarena_代理数据_底稿'!$A:$A,$C15)</f>
        <v>0</v>
      </c>
      <c r="G15" s="328">
        <f>SUMIFS('jiliarena_代理数据_底稿'!$O:$O,'jiliarena_代理数据_底稿'!$B:$B,G$7,'jiliarena_代理数据_底稿'!$A:$A,$C15)</f>
        <v>0</v>
      </c>
      <c r="H15" s="328">
        <f>SUMIFS('jiliarena_代理数据_底稿'!$O:$O,'jiliarena_代理数据_底稿'!$B:$B,H$7,'jiliarena_代理数据_底稿'!$A:$A,$C15)</f>
        <v>0</v>
      </c>
      <c r="I15" s="328">
        <f>SUMIFS('jiliarena_代理数据_底稿'!$O:$O,'jiliarena_代理数据_底稿'!$B:$B,I$7,'jiliarena_代理数据_底稿'!$A:$A,$C15)</f>
        <v>0</v>
      </c>
      <c r="J15" s="329">
        <f t="shared" si="1"/>
        <v>0</v>
      </c>
      <c r="K15" s="330">
        <f t="array" ref="K15">INDEX(jiliarena!$A$3:$M$39,MATCH($C15,jiliarena!$A$3:$A$39,0),MATCH("日充值",jiliarena!$A$3:$M$3,0))-J15</f>
        <v>0</v>
      </c>
      <c r="L15" s="327">
        <f t="shared" si="2"/>
        <v>46061</v>
      </c>
      <c r="M15" s="331">
        <f t="shared" ref="M15:R15" si="10">D15-D14</f>
        <v>0</v>
      </c>
      <c r="N15" s="331">
        <f t="shared" si="10"/>
        <v>0</v>
      </c>
      <c r="O15" s="331">
        <f t="shared" si="10"/>
        <v>0</v>
      </c>
      <c r="P15" s="331">
        <f t="shared" si="10"/>
        <v>0</v>
      </c>
      <c r="Q15" s="331">
        <f t="shared" si="10"/>
        <v>0</v>
      </c>
      <c r="R15" s="331">
        <f t="shared" si="10"/>
        <v>0</v>
      </c>
      <c r="S15" s="250"/>
    </row>
    <row r="16">
      <c r="C16" s="327">
        <f t="shared" si="4"/>
        <v>46062</v>
      </c>
      <c r="D16" s="328">
        <f>SUMIFS('jiliarena_代理数据_底稿'!$O:$O,'jiliarena_代理数据_底稿'!$B:$B,D$7,'jiliarena_代理数据_底稿'!$A:$A,$C16)</f>
        <v>0</v>
      </c>
      <c r="E16" s="328">
        <f>SUMIFS('jiliarena_代理数据_底稿'!$O:$O,'jiliarena_代理数据_底稿'!$B:$B,E$7,'jiliarena_代理数据_底稿'!$A:$A,$C16)</f>
        <v>0</v>
      </c>
      <c r="F16" s="328">
        <f>SUMIFS('jiliarena_代理数据_底稿'!$O:$O,'jiliarena_代理数据_底稿'!$B:$B,F$7,'jiliarena_代理数据_底稿'!$A:$A,$C16)</f>
        <v>0</v>
      </c>
      <c r="G16" s="328">
        <f>SUMIFS('jiliarena_代理数据_底稿'!$O:$O,'jiliarena_代理数据_底稿'!$B:$B,G$7,'jiliarena_代理数据_底稿'!$A:$A,$C16)</f>
        <v>0</v>
      </c>
      <c r="H16" s="328">
        <f>SUMIFS('jiliarena_代理数据_底稿'!$O:$O,'jiliarena_代理数据_底稿'!$B:$B,H$7,'jiliarena_代理数据_底稿'!$A:$A,$C16)</f>
        <v>0</v>
      </c>
      <c r="I16" s="328">
        <f>SUMIFS('jiliarena_代理数据_底稿'!$O:$O,'jiliarena_代理数据_底稿'!$B:$B,I$7,'jiliarena_代理数据_底稿'!$A:$A,$C16)</f>
        <v>0</v>
      </c>
      <c r="J16" s="329">
        <f t="shared" si="1"/>
        <v>0</v>
      </c>
      <c r="K16" s="330">
        <f t="array" ref="K16">INDEX(jiliarena!$A$3:$M$39,MATCH($C16,jiliarena!$A$3:$A$39,0),MATCH("日充值",jiliarena!$A$3:$M$3,0))-J16</f>
        <v>0</v>
      </c>
      <c r="L16" s="327">
        <f t="shared" si="2"/>
        <v>46062</v>
      </c>
      <c r="M16" s="331">
        <f t="shared" ref="M16:R16" si="11">D16-D15</f>
        <v>0</v>
      </c>
      <c r="N16" s="331">
        <f t="shared" si="11"/>
        <v>0</v>
      </c>
      <c r="O16" s="331">
        <f t="shared" si="11"/>
        <v>0</v>
      </c>
      <c r="P16" s="331">
        <f t="shared" si="11"/>
        <v>0</v>
      </c>
      <c r="Q16" s="331">
        <f t="shared" si="11"/>
        <v>0</v>
      </c>
      <c r="R16" s="331">
        <f t="shared" si="11"/>
        <v>0</v>
      </c>
      <c r="S16" s="250"/>
    </row>
    <row r="17">
      <c r="C17" s="327">
        <f t="shared" si="4"/>
        <v>46063</v>
      </c>
      <c r="D17" s="328">
        <f>SUMIFS('jiliarena_代理数据_底稿'!$O:$O,'jiliarena_代理数据_底稿'!$B:$B,D$7,'jiliarena_代理数据_底稿'!$A:$A,$C17)</f>
        <v>0</v>
      </c>
      <c r="E17" s="328">
        <f>SUMIFS('jiliarena_代理数据_底稿'!$O:$O,'jiliarena_代理数据_底稿'!$B:$B,E$7,'jiliarena_代理数据_底稿'!$A:$A,$C17)</f>
        <v>0</v>
      </c>
      <c r="F17" s="328">
        <f>SUMIFS('jiliarena_代理数据_底稿'!$O:$O,'jiliarena_代理数据_底稿'!$B:$B,F$7,'jiliarena_代理数据_底稿'!$A:$A,$C17)</f>
        <v>0</v>
      </c>
      <c r="G17" s="328">
        <f>SUMIFS('jiliarena_代理数据_底稿'!$O:$O,'jiliarena_代理数据_底稿'!$B:$B,G$7,'jiliarena_代理数据_底稿'!$A:$A,$C17)</f>
        <v>0</v>
      </c>
      <c r="H17" s="328">
        <f>SUMIFS('jiliarena_代理数据_底稿'!$O:$O,'jiliarena_代理数据_底稿'!$B:$B,H$7,'jiliarena_代理数据_底稿'!$A:$A,$C17)</f>
        <v>0</v>
      </c>
      <c r="I17" s="328">
        <f>SUMIFS('jiliarena_代理数据_底稿'!$O:$O,'jiliarena_代理数据_底稿'!$B:$B,I$7,'jiliarena_代理数据_底稿'!$A:$A,$C17)</f>
        <v>0</v>
      </c>
      <c r="J17" s="329">
        <f t="shared" si="1"/>
        <v>0</v>
      </c>
      <c r="K17" s="330">
        <f t="array" ref="K17">INDEX(jiliarena!$A$3:$M$39,MATCH($C17,jiliarena!$A$3:$A$39,0),MATCH("日充值",jiliarena!$A$3:$M$3,0))-J17</f>
        <v>0</v>
      </c>
      <c r="L17" s="327">
        <f t="shared" si="2"/>
        <v>46063</v>
      </c>
      <c r="M17" s="331">
        <f t="shared" ref="M17:R17" si="12">D17-D16</f>
        <v>0</v>
      </c>
      <c r="N17" s="331">
        <f t="shared" si="12"/>
        <v>0</v>
      </c>
      <c r="O17" s="331">
        <f t="shared" si="12"/>
        <v>0</v>
      </c>
      <c r="P17" s="331">
        <f t="shared" si="12"/>
        <v>0</v>
      </c>
      <c r="Q17" s="331">
        <f t="shared" si="12"/>
        <v>0</v>
      </c>
      <c r="R17" s="331">
        <f t="shared" si="12"/>
        <v>0</v>
      </c>
      <c r="S17" s="250"/>
    </row>
    <row r="18">
      <c r="C18" s="327">
        <f t="shared" si="4"/>
        <v>46064</v>
      </c>
      <c r="D18" s="328">
        <f>SUMIFS('jiliarena_代理数据_底稿'!$O:$O,'jiliarena_代理数据_底稿'!$B:$B,D$7,'jiliarena_代理数据_底稿'!$A:$A,$C18)</f>
        <v>0</v>
      </c>
      <c r="E18" s="328">
        <f>SUMIFS('jiliarena_代理数据_底稿'!$O:$O,'jiliarena_代理数据_底稿'!$B:$B,E$7,'jiliarena_代理数据_底稿'!$A:$A,$C18)</f>
        <v>100</v>
      </c>
      <c r="F18" s="328">
        <f>SUMIFS('jiliarena_代理数据_底稿'!$O:$O,'jiliarena_代理数据_底稿'!$B:$B,F$7,'jiliarena_代理数据_底稿'!$A:$A,$C18)</f>
        <v>45048</v>
      </c>
      <c r="G18" s="328">
        <f>SUMIFS('jiliarena_代理数据_底稿'!$O:$O,'jiliarena_代理数据_底稿'!$B:$B,G$7,'jiliarena_代理数据_底稿'!$A:$A,$C18)</f>
        <v>5565</v>
      </c>
      <c r="H18" s="328">
        <f>SUMIFS('jiliarena_代理数据_底稿'!$O:$O,'jiliarena_代理数据_底稿'!$B:$B,H$7,'jiliarena_代理数据_底稿'!$A:$A,$C18)</f>
        <v>0</v>
      </c>
      <c r="I18" s="328">
        <f>SUMIFS('jiliarena_代理数据_底稿'!$O:$O,'jiliarena_代理数据_底稿'!$B:$B,I$7,'jiliarena_代理数据_底稿'!$A:$A,$C18)</f>
        <v>0</v>
      </c>
      <c r="J18" s="329">
        <f t="shared" si="1"/>
        <v>50713</v>
      </c>
      <c r="K18" s="330">
        <f t="array" ref="K18">INDEX(jiliarena!$A$3:$M$39,MATCH($C18,jiliarena!$A$3:$A$39,0),MATCH("日充值",jiliarena!$A$3:$M$3,0))-J18</f>
        <v>0</v>
      </c>
      <c r="L18" s="327">
        <f t="shared" si="2"/>
        <v>46064</v>
      </c>
      <c r="M18" s="331">
        <f t="shared" ref="M18:R18" si="13">D18-D17</f>
        <v>0</v>
      </c>
      <c r="N18" s="331">
        <f t="shared" si="13"/>
        <v>100</v>
      </c>
      <c r="O18" s="331">
        <f t="shared" si="13"/>
        <v>45048</v>
      </c>
      <c r="P18" s="331">
        <f t="shared" si="13"/>
        <v>5565</v>
      </c>
      <c r="Q18" s="331">
        <f t="shared" si="13"/>
        <v>0</v>
      </c>
      <c r="R18" s="331">
        <f t="shared" si="13"/>
        <v>0</v>
      </c>
      <c r="S18" s="250"/>
    </row>
    <row r="19">
      <c r="C19" s="327">
        <f t="shared" si="4"/>
        <v>46065</v>
      </c>
      <c r="D19" s="328">
        <f>SUMIFS('jiliarena_代理数据_底稿'!$O:$O,'jiliarena_代理数据_底稿'!$B:$B,D$7,'jiliarena_代理数据_底稿'!$A:$A,$C19)</f>
        <v>0</v>
      </c>
      <c r="E19" s="328">
        <f>SUMIFS('jiliarena_代理数据_底稿'!$O:$O,'jiliarena_代理数据_底稿'!$B:$B,E$7,'jiliarena_代理数据_底稿'!$A:$A,$C19)</f>
        <v>102513</v>
      </c>
      <c r="F19" s="328">
        <f>SUMIFS('jiliarena_代理数据_底稿'!$O:$O,'jiliarena_代理数据_底稿'!$B:$B,F$7,'jiliarena_代理数据_底稿'!$A:$A,$C19)</f>
        <v>405902</v>
      </c>
      <c r="G19" s="328">
        <f>SUMIFS('jiliarena_代理数据_底稿'!$O:$O,'jiliarena_代理数据_底稿'!$B:$B,G$7,'jiliarena_代理数据_底稿'!$A:$A,$C19)</f>
        <v>40321</v>
      </c>
      <c r="H19" s="328">
        <f>SUMIFS('jiliarena_代理数据_底稿'!$O:$O,'jiliarena_代理数据_底稿'!$B:$B,H$7,'jiliarena_代理数据_底稿'!$A:$A,$C19)</f>
        <v>0</v>
      </c>
      <c r="I19" s="328">
        <f>SUMIFS('jiliarena_代理数据_底稿'!$O:$O,'jiliarena_代理数据_底稿'!$B:$B,I$7,'jiliarena_代理数据_底稿'!$A:$A,$C19)</f>
        <v>0</v>
      </c>
      <c r="J19" s="329">
        <f t="shared" si="1"/>
        <v>548736</v>
      </c>
      <c r="K19" s="330">
        <f t="array" ref="K19">INDEX(jiliarena!$A$3:$M$39,MATCH($C19,jiliarena!$A$3:$A$39,0),MATCH("日充值",jiliarena!$A$3:$M$3,0))-J19</f>
        <v>0</v>
      </c>
      <c r="L19" s="327">
        <f t="shared" si="2"/>
        <v>46065</v>
      </c>
      <c r="M19" s="331">
        <f t="shared" ref="M19:R19" si="14">D19-D18</f>
        <v>0</v>
      </c>
      <c r="N19" s="331">
        <f t="shared" si="14"/>
        <v>102413</v>
      </c>
      <c r="O19" s="331">
        <f t="shared" si="14"/>
        <v>360854</v>
      </c>
      <c r="P19" s="331">
        <f t="shared" si="14"/>
        <v>34756</v>
      </c>
      <c r="Q19" s="331">
        <f t="shared" si="14"/>
        <v>0</v>
      </c>
      <c r="R19" s="331">
        <f t="shared" si="14"/>
        <v>0</v>
      </c>
      <c r="S19" s="250"/>
    </row>
    <row r="20">
      <c r="C20" s="327">
        <f t="shared" si="4"/>
        <v>46066</v>
      </c>
      <c r="D20" s="328">
        <f>SUMIFS('jiliarena_代理数据_底稿'!$O:$O,'jiliarena_代理数据_底稿'!$B:$B,D$7,'jiliarena_代理数据_底稿'!$A:$A,$C20)</f>
        <v>6258</v>
      </c>
      <c r="E20" s="328">
        <f>SUMIFS('jiliarena_代理数据_底稿'!$O:$O,'jiliarena_代理数据_底稿'!$B:$B,E$7,'jiliarena_代理数据_底稿'!$A:$A,$C20)</f>
        <v>82493</v>
      </c>
      <c r="F20" s="328">
        <f>SUMIFS('jiliarena_代理数据_底稿'!$O:$O,'jiliarena_代理数据_底稿'!$B:$B,F$7,'jiliarena_代理数据_底稿'!$A:$A,$C20)</f>
        <v>425380</v>
      </c>
      <c r="G20" s="328">
        <f>SUMIFS('jiliarena_代理数据_底稿'!$O:$O,'jiliarena_代理数据_底稿'!$B:$B,G$7,'jiliarena_代理数据_底稿'!$A:$A,$C20)</f>
        <v>35135</v>
      </c>
      <c r="H20" s="328">
        <f>SUMIFS('jiliarena_代理数据_底稿'!$O:$O,'jiliarena_代理数据_底稿'!$B:$B,H$7,'jiliarena_代理数据_底稿'!$A:$A,$C20)</f>
        <v>0</v>
      </c>
      <c r="I20" s="328">
        <f>SUMIFS('jiliarena_代理数据_底稿'!$O:$O,'jiliarena_代理数据_底稿'!$B:$B,I$7,'jiliarena_代理数据_底稿'!$A:$A,$C20)</f>
        <v>0</v>
      </c>
      <c r="J20" s="329">
        <f t="shared" si="1"/>
        <v>549266</v>
      </c>
      <c r="K20" s="330">
        <f t="array" ref="K20">INDEX(jiliarena!$A$3:$M$39,MATCH($C20,jiliarena!$A$3:$A$39,0),MATCH("日充值",jiliarena!$A$3:$M$3,0))-J20</f>
        <v>0</v>
      </c>
      <c r="L20" s="327">
        <f t="shared" si="2"/>
        <v>46066</v>
      </c>
      <c r="M20" s="331">
        <f t="shared" ref="M20:R20" si="15">D20-D19</f>
        <v>6258</v>
      </c>
      <c r="N20" s="331">
        <f t="shared" si="15"/>
        <v>-20020</v>
      </c>
      <c r="O20" s="331">
        <f t="shared" si="15"/>
        <v>19478</v>
      </c>
      <c r="P20" s="331">
        <f t="shared" si="15"/>
        <v>-5186</v>
      </c>
      <c r="Q20" s="331">
        <f t="shared" si="15"/>
        <v>0</v>
      </c>
      <c r="R20" s="331">
        <f t="shared" si="15"/>
        <v>0</v>
      </c>
      <c r="S20" s="250"/>
    </row>
    <row r="21">
      <c r="C21" s="327">
        <f t="shared" si="4"/>
        <v>46067</v>
      </c>
      <c r="D21" s="328">
        <f>SUMIFS('jiliarena_代理数据_底稿'!$O:$O,'jiliarena_代理数据_底稿'!$B:$B,D$7,'jiliarena_代理数据_底稿'!$A:$A,$C21)</f>
        <v>23795</v>
      </c>
      <c r="E21" s="328">
        <f>SUMIFS('jiliarena_代理数据_底稿'!$O:$O,'jiliarena_代理数据_底稿'!$B:$B,E$7,'jiliarena_代理数据_底稿'!$A:$A,$C21)</f>
        <v>63735</v>
      </c>
      <c r="F21" s="328">
        <f>SUMIFS('jiliarena_代理数据_底稿'!$O:$O,'jiliarena_代理数据_底稿'!$B:$B,F$7,'jiliarena_代理数据_底稿'!$A:$A,$C21)</f>
        <v>303080</v>
      </c>
      <c r="G21" s="328">
        <f>SUMIFS('jiliarena_代理数据_底稿'!$O:$O,'jiliarena_代理数据_底稿'!$B:$B,G$7,'jiliarena_代理数据_底稿'!$A:$A,$C21)</f>
        <v>51371</v>
      </c>
      <c r="H21" s="328">
        <f>SUMIFS('jiliarena_代理数据_底稿'!$O:$O,'jiliarena_代理数据_底稿'!$B:$B,H$7,'jiliarena_代理数据_底稿'!$A:$A,$C21)</f>
        <v>0</v>
      </c>
      <c r="I21" s="328">
        <f>SUMIFS('jiliarena_代理数据_底稿'!$O:$O,'jiliarena_代理数据_底稿'!$B:$B,I$7,'jiliarena_代理数据_底稿'!$A:$A,$C21)</f>
        <v>0</v>
      </c>
      <c r="J21" s="329">
        <f t="shared" si="1"/>
        <v>441981</v>
      </c>
      <c r="K21" s="330">
        <f t="array" ref="K21">INDEX(jiliarena!$A$3:$M$39,MATCH($C21,jiliarena!$A$3:$A$39,0),MATCH("日充值",jiliarena!$A$3:$M$3,0))-J21</f>
        <v>0</v>
      </c>
      <c r="L21" s="327">
        <f t="shared" si="2"/>
        <v>46067</v>
      </c>
      <c r="M21" s="331">
        <f t="shared" ref="M21:R21" si="16">D21-D20</f>
        <v>17537</v>
      </c>
      <c r="N21" s="331">
        <f t="shared" si="16"/>
        <v>-18758</v>
      </c>
      <c r="O21" s="331">
        <f t="shared" si="16"/>
        <v>-122300</v>
      </c>
      <c r="P21" s="331">
        <f t="shared" si="16"/>
        <v>16236</v>
      </c>
      <c r="Q21" s="331">
        <f t="shared" si="16"/>
        <v>0</v>
      </c>
      <c r="R21" s="331">
        <f t="shared" si="16"/>
        <v>0</v>
      </c>
      <c r="S21" s="250"/>
    </row>
    <row r="22">
      <c r="C22" s="327">
        <f t="shared" si="4"/>
        <v>46068</v>
      </c>
      <c r="D22" s="328">
        <f>SUMIFS('jiliarena_代理数据_底稿'!$O:$O,'jiliarena_代理数据_底稿'!$B:$B,D$7,'jiliarena_代理数据_底稿'!$A:$A,$C22)</f>
        <v>21995</v>
      </c>
      <c r="E22" s="328">
        <f>SUMIFS('jiliarena_代理数据_底稿'!$O:$O,'jiliarena_代理数据_底稿'!$B:$B,E$7,'jiliarena_代理数据_底稿'!$A:$A,$C22)</f>
        <v>37856</v>
      </c>
      <c r="F22" s="328">
        <f>SUMIFS('jiliarena_代理数据_底稿'!$O:$O,'jiliarena_代理数据_底稿'!$B:$B,F$7,'jiliarena_代理数据_底稿'!$A:$A,$C22)</f>
        <v>107395</v>
      </c>
      <c r="G22" s="328">
        <f>SUMIFS('jiliarena_代理数据_底稿'!$O:$O,'jiliarena_代理数据_底稿'!$B:$B,G$7,'jiliarena_代理数据_底稿'!$A:$A,$C22)</f>
        <v>19707</v>
      </c>
      <c r="H22" s="328">
        <f>SUMIFS('jiliarena_代理数据_底稿'!$O:$O,'jiliarena_代理数据_底稿'!$B:$B,H$7,'jiliarena_代理数据_底稿'!$A:$A,$C22)</f>
        <v>0</v>
      </c>
      <c r="I22" s="328">
        <f>SUMIFS('jiliarena_代理数据_底稿'!$O:$O,'jiliarena_代理数据_底稿'!$B:$B,I$7,'jiliarena_代理数据_底稿'!$A:$A,$C22)</f>
        <v>0</v>
      </c>
      <c r="J22" s="329">
        <f t="shared" si="1"/>
        <v>186953</v>
      </c>
      <c r="K22" s="330">
        <f t="array" ref="K22">INDEX(jiliarena!$A$3:$M$39,MATCH($C22,jiliarena!$A$3:$A$39,0),MATCH("日充值",jiliarena!$A$3:$M$3,0))-J22</f>
        <v>0</v>
      </c>
      <c r="L22" s="327">
        <f t="shared" si="2"/>
        <v>46068</v>
      </c>
      <c r="M22" s="331">
        <f t="shared" ref="M22:R22" si="17">D22-D21</f>
        <v>-1800</v>
      </c>
      <c r="N22" s="331">
        <f t="shared" si="17"/>
        <v>-25879</v>
      </c>
      <c r="O22" s="331">
        <f t="shared" si="17"/>
        <v>-195685</v>
      </c>
      <c r="P22" s="331">
        <f t="shared" si="17"/>
        <v>-31664</v>
      </c>
      <c r="Q22" s="331">
        <f t="shared" si="17"/>
        <v>0</v>
      </c>
      <c r="R22" s="331">
        <f t="shared" si="17"/>
        <v>0</v>
      </c>
      <c r="S22" s="250"/>
    </row>
    <row r="23">
      <c r="C23" s="327">
        <f t="shared" si="4"/>
        <v>46069</v>
      </c>
      <c r="D23" s="328">
        <f>SUMIFS('jiliarena_代理数据_底稿'!$O:$O,'jiliarena_代理数据_底稿'!$B:$B,D$7,'jiliarena_代理数据_底稿'!$A:$A,$C23)</f>
        <v>23490</v>
      </c>
      <c r="E23" s="328">
        <f>SUMIFS('jiliarena_代理数据_底稿'!$O:$O,'jiliarena_代理数据_底稿'!$B:$B,E$7,'jiliarena_代理数据_底稿'!$A:$A,$C23)</f>
        <v>27315</v>
      </c>
      <c r="F23" s="328">
        <f>SUMIFS('jiliarena_代理数据_底稿'!$O:$O,'jiliarena_代理数据_底稿'!$B:$B,F$7,'jiliarena_代理数据_底稿'!$A:$A,$C23)</f>
        <v>94219</v>
      </c>
      <c r="G23" s="328">
        <f>SUMIFS('jiliarena_代理数据_底稿'!$O:$O,'jiliarena_代理数据_底稿'!$B:$B,G$7,'jiliarena_代理数据_底稿'!$A:$A,$C23)</f>
        <v>16440</v>
      </c>
      <c r="H23" s="328">
        <f>SUMIFS('jiliarena_代理数据_底稿'!$O:$O,'jiliarena_代理数据_底稿'!$B:$B,H$7,'jiliarena_代理数据_底稿'!$A:$A,$C23)</f>
        <v>0</v>
      </c>
      <c r="I23" s="328">
        <f>SUMIFS('jiliarena_代理数据_底稿'!$O:$O,'jiliarena_代理数据_底稿'!$B:$B,I$7,'jiliarena_代理数据_底稿'!$A:$A,$C23)</f>
        <v>0</v>
      </c>
      <c r="J23" s="329">
        <f t="shared" si="1"/>
        <v>161464</v>
      </c>
      <c r="K23" s="330">
        <f t="array" ref="K23">INDEX(jiliarena!$A$3:$M$39,MATCH($C23,jiliarena!$A$3:$A$39,0),MATCH("日充值",jiliarena!$A$3:$M$3,0))-J23</f>
        <v>0</v>
      </c>
      <c r="L23" s="327">
        <f t="shared" si="2"/>
        <v>46069</v>
      </c>
      <c r="M23" s="331">
        <f t="shared" ref="M23:R23" si="18">D23-D22</f>
        <v>1495</v>
      </c>
      <c r="N23" s="331">
        <f t="shared" si="18"/>
        <v>-10541</v>
      </c>
      <c r="O23" s="331">
        <f t="shared" si="18"/>
        <v>-13176</v>
      </c>
      <c r="P23" s="331">
        <f t="shared" si="18"/>
        <v>-3267</v>
      </c>
      <c r="Q23" s="331">
        <f t="shared" si="18"/>
        <v>0</v>
      </c>
      <c r="R23" s="331">
        <f t="shared" si="18"/>
        <v>0</v>
      </c>
      <c r="S23" s="250"/>
    </row>
    <row r="24">
      <c r="C24" s="327">
        <f t="shared" si="4"/>
        <v>46070</v>
      </c>
      <c r="D24" s="328">
        <f>SUMIFS('jiliarena_代理数据_底稿'!$O:$O,'jiliarena_代理数据_底稿'!$B:$B,D$7,'jiliarena_代理数据_底稿'!$A:$A,$C24)</f>
        <v>21693</v>
      </c>
      <c r="E24" s="328">
        <f>SUMIFS('jiliarena_代理数据_底稿'!$O:$O,'jiliarena_代理数据_底稿'!$B:$B,E$7,'jiliarena_代理数据_底稿'!$A:$A,$C24)</f>
        <v>30795</v>
      </c>
      <c r="F24" s="328">
        <f>SUMIFS('jiliarena_代理数据_底稿'!$O:$O,'jiliarena_代理数据_底稿'!$B:$B,F$7,'jiliarena_代理数据_底稿'!$A:$A,$C24)</f>
        <v>94011</v>
      </c>
      <c r="G24" s="328">
        <f>SUMIFS('jiliarena_代理数据_底稿'!$O:$O,'jiliarena_代理数据_底稿'!$B:$B,G$7,'jiliarena_代理数据_底稿'!$A:$A,$C24)</f>
        <v>19167</v>
      </c>
      <c r="H24" s="328">
        <f>SUMIFS('jiliarena_代理数据_底稿'!$O:$O,'jiliarena_代理数据_底稿'!$B:$B,H$7,'jiliarena_代理数据_底稿'!$A:$A,$C24)</f>
        <v>0</v>
      </c>
      <c r="I24" s="328">
        <f>SUMIFS('jiliarena_代理数据_底稿'!$O:$O,'jiliarena_代理数据_底稿'!$B:$B,I$7,'jiliarena_代理数据_底稿'!$A:$A,$C24)</f>
        <v>0</v>
      </c>
      <c r="J24" s="329">
        <f t="shared" si="1"/>
        <v>165666</v>
      </c>
      <c r="K24" s="330">
        <f t="array" ref="K24">INDEX(jiliarena!$A$3:$M$39,MATCH($C24,jiliarena!$A$3:$A$39,0),MATCH("日充值",jiliarena!$A$3:$M$3,0))-J24</f>
        <v>0</v>
      </c>
      <c r="L24" s="327">
        <f t="shared" si="2"/>
        <v>46070</v>
      </c>
      <c r="M24" s="331">
        <f t="shared" ref="M24:R24" si="19">D24-D23</f>
        <v>-1797</v>
      </c>
      <c r="N24" s="331">
        <f t="shared" si="19"/>
        <v>3480</v>
      </c>
      <c r="O24" s="331">
        <f t="shared" si="19"/>
        <v>-208</v>
      </c>
      <c r="P24" s="331">
        <f t="shared" si="19"/>
        <v>2727</v>
      </c>
      <c r="Q24" s="331">
        <f t="shared" si="19"/>
        <v>0</v>
      </c>
      <c r="R24" s="331">
        <f t="shared" si="19"/>
        <v>0</v>
      </c>
      <c r="S24" s="250"/>
    </row>
    <row r="25">
      <c r="C25" s="327">
        <f t="shared" si="4"/>
        <v>46071</v>
      </c>
      <c r="D25" s="328">
        <f>SUMIFS('jiliarena_代理数据_底稿'!$O:$O,'jiliarena_代理数据_底稿'!$B:$B,D$7,'jiliarena_代理数据_底稿'!$A:$A,$C25)</f>
        <v>24412</v>
      </c>
      <c r="E25" s="328">
        <f>SUMIFS('jiliarena_代理数据_底稿'!$O:$O,'jiliarena_代理数据_底稿'!$B:$B,E$7,'jiliarena_代理数据_底稿'!$A:$A,$C25)</f>
        <v>32864</v>
      </c>
      <c r="F25" s="328">
        <f>SUMIFS('jiliarena_代理数据_底稿'!$O:$O,'jiliarena_代理数据_底稿'!$B:$B,F$7,'jiliarena_代理数据_底稿'!$A:$A,$C25)</f>
        <v>61952</v>
      </c>
      <c r="G25" s="328">
        <f>SUMIFS('jiliarena_代理数据_底稿'!$O:$O,'jiliarena_代理数据_底稿'!$B:$B,G$7,'jiliarena_代理数据_底稿'!$A:$A,$C25)</f>
        <v>11860</v>
      </c>
      <c r="H25" s="328">
        <f>SUMIFS('jiliarena_代理数据_底稿'!$O:$O,'jiliarena_代理数据_底稿'!$B:$B,H$7,'jiliarena_代理数据_底稿'!$A:$A,$C25)</f>
        <v>0</v>
      </c>
      <c r="I25" s="328">
        <f>SUMIFS('jiliarena_代理数据_底稿'!$O:$O,'jiliarena_代理数据_底稿'!$B:$B,I$7,'jiliarena_代理数据_底稿'!$A:$A,$C25)</f>
        <v>0</v>
      </c>
      <c r="J25" s="329">
        <f t="shared" si="1"/>
        <v>131088</v>
      </c>
      <c r="K25" s="330">
        <f t="array" ref="K25">INDEX(jiliarena!$A$3:$M$39,MATCH($C25,jiliarena!$A$3:$A$39,0),MATCH("日充值",jiliarena!$A$3:$M$3,0))-J25</f>
        <v>0</v>
      </c>
      <c r="L25" s="327">
        <f t="shared" si="2"/>
        <v>46071</v>
      </c>
      <c r="M25" s="331">
        <f t="shared" ref="M25:R25" si="20">D25-D24</f>
        <v>2719</v>
      </c>
      <c r="N25" s="331">
        <f t="shared" si="20"/>
        <v>2069</v>
      </c>
      <c r="O25" s="331">
        <f t="shared" si="20"/>
        <v>-32059</v>
      </c>
      <c r="P25" s="331">
        <f t="shared" si="20"/>
        <v>-7307</v>
      </c>
      <c r="Q25" s="331">
        <f t="shared" si="20"/>
        <v>0</v>
      </c>
      <c r="R25" s="331">
        <f t="shared" si="20"/>
        <v>0</v>
      </c>
      <c r="S25" s="250"/>
    </row>
    <row r="26">
      <c r="C26" s="327">
        <f t="shared" si="4"/>
        <v>46072</v>
      </c>
      <c r="D26" s="328">
        <f>SUMIFS('jiliarena_代理数据_底稿'!$O:$O,'jiliarena_代理数据_底稿'!$B:$B,D$7,'jiliarena_代理数据_底稿'!$A:$A,$C26)</f>
        <v>22564</v>
      </c>
      <c r="E26" s="328">
        <f>SUMIFS('jiliarena_代理数据_底稿'!$O:$O,'jiliarena_代理数据_底稿'!$B:$B,E$7,'jiliarena_代理数据_底稿'!$A:$A,$C26)</f>
        <v>44718</v>
      </c>
      <c r="F26" s="328">
        <f>SUMIFS('jiliarena_代理数据_底稿'!$O:$O,'jiliarena_代理数据_底稿'!$B:$B,F$7,'jiliarena_代理数据_底稿'!$A:$A,$C26)</f>
        <v>65442</v>
      </c>
      <c r="G26" s="328">
        <f>SUMIFS('jiliarena_代理数据_底稿'!$O:$O,'jiliarena_代理数据_底稿'!$B:$B,G$7,'jiliarena_代理数据_底稿'!$A:$A,$C26)</f>
        <v>13797</v>
      </c>
      <c r="H26" s="328">
        <f>SUMIFS('jiliarena_代理数据_底稿'!$O:$O,'jiliarena_代理数据_底稿'!$B:$B,H$7,'jiliarena_代理数据_底稿'!$A:$A,$C26)</f>
        <v>0</v>
      </c>
      <c r="I26" s="328">
        <f>SUMIFS('jiliarena_代理数据_底稿'!$O:$O,'jiliarena_代理数据_底稿'!$B:$B,I$7,'jiliarena_代理数据_底稿'!$A:$A,$C26)</f>
        <v>0</v>
      </c>
      <c r="J26" s="329">
        <f t="shared" si="1"/>
        <v>146521</v>
      </c>
      <c r="K26" s="330">
        <f t="array" ref="K26">INDEX(jiliarena!$A$3:$M$39,MATCH($C26,jiliarena!$A$3:$A$39,0),MATCH("日充值",jiliarena!$A$3:$M$3,0))-J26</f>
        <v>0</v>
      </c>
      <c r="L26" s="327">
        <f t="shared" si="2"/>
        <v>46072</v>
      </c>
      <c r="M26" s="331">
        <f t="shared" ref="M26:R26" si="21">D26-D25</f>
        <v>-1848</v>
      </c>
      <c r="N26" s="331">
        <f t="shared" si="21"/>
        <v>11854</v>
      </c>
      <c r="O26" s="331">
        <f t="shared" si="21"/>
        <v>3490</v>
      </c>
      <c r="P26" s="331">
        <f t="shared" si="21"/>
        <v>1937</v>
      </c>
      <c r="Q26" s="331">
        <f t="shared" si="21"/>
        <v>0</v>
      </c>
      <c r="R26" s="331">
        <f t="shared" si="21"/>
        <v>0</v>
      </c>
      <c r="S26" s="250"/>
    </row>
    <row r="27">
      <c r="C27" s="327">
        <f t="shared" si="4"/>
        <v>46073</v>
      </c>
      <c r="D27" s="328">
        <f>SUMIFS('jiliarena_代理数据_底稿'!$O:$O,'jiliarena_代理数据_底稿'!$B:$B,D$7,'jiliarena_代理数据_底稿'!$A:$A,$C27)</f>
        <v>25868</v>
      </c>
      <c r="E27" s="328">
        <f>SUMIFS('jiliarena_代理数据_底稿'!$O:$O,'jiliarena_代理数据_底稿'!$B:$B,E$7,'jiliarena_代理数据_底稿'!$A:$A,$C27)</f>
        <v>42635</v>
      </c>
      <c r="F27" s="328">
        <f>SUMIFS('jiliarena_代理数据_底稿'!$O:$O,'jiliarena_代理数据_底稿'!$B:$B,F$7,'jiliarena_代理数据_底稿'!$A:$A,$C27)</f>
        <v>47735</v>
      </c>
      <c r="G27" s="328">
        <f>SUMIFS('jiliarena_代理数据_底稿'!$O:$O,'jiliarena_代理数据_底稿'!$B:$B,G$7,'jiliarena_代理数据_底稿'!$A:$A,$C27)</f>
        <v>23030</v>
      </c>
      <c r="H27" s="328">
        <f>SUMIFS('jiliarena_代理数据_底稿'!$O:$O,'jiliarena_代理数据_底稿'!$B:$B,H$7,'jiliarena_代理数据_底稿'!$A:$A,$C27)</f>
        <v>0</v>
      </c>
      <c r="I27" s="328">
        <f>SUMIFS('jiliarena_代理数据_底稿'!$O:$O,'jiliarena_代理数据_底稿'!$B:$B,I$7,'jiliarena_代理数据_底稿'!$A:$A,$C27)</f>
        <v>0</v>
      </c>
      <c r="J27" s="329">
        <f t="shared" si="1"/>
        <v>139268</v>
      </c>
      <c r="K27" s="330">
        <f t="array" ref="K27">INDEX(jiliarena!$A$3:$M$39,MATCH($C27,jiliarena!$A$3:$A$39,0),MATCH("日充值",jiliarena!$A$3:$M$3,0))-J27</f>
        <v>0</v>
      </c>
      <c r="L27" s="327">
        <f t="shared" si="2"/>
        <v>46073</v>
      </c>
      <c r="M27" s="331">
        <f t="shared" ref="M27:R27" si="22">D27-D26</f>
        <v>3304</v>
      </c>
      <c r="N27" s="331">
        <f t="shared" si="22"/>
        <v>-2083</v>
      </c>
      <c r="O27" s="331">
        <f t="shared" si="22"/>
        <v>-17707</v>
      </c>
      <c r="P27" s="331">
        <f t="shared" si="22"/>
        <v>9233</v>
      </c>
      <c r="Q27" s="331">
        <f t="shared" si="22"/>
        <v>0</v>
      </c>
      <c r="R27" s="331">
        <f t="shared" si="22"/>
        <v>0</v>
      </c>
      <c r="S27" s="250"/>
    </row>
    <row r="28">
      <c r="C28" s="327">
        <f t="shared" si="4"/>
        <v>46074</v>
      </c>
      <c r="D28" s="328">
        <f>SUMIFS('jiliarena_代理数据_底稿'!$O:$O,'jiliarena_代理数据_底稿'!$B:$B,D$7,'jiliarena_代理数据_底稿'!$A:$A,$C28)</f>
        <v>33417</v>
      </c>
      <c r="E28" s="328">
        <f>SUMIFS('jiliarena_代理数据_底稿'!$O:$O,'jiliarena_代理数据_底稿'!$B:$B,E$7,'jiliarena_代理数据_底稿'!$A:$A,$C28)</f>
        <v>39674</v>
      </c>
      <c r="F28" s="328">
        <f>SUMIFS('jiliarena_代理数据_底稿'!$O:$O,'jiliarena_代理数据_底稿'!$B:$B,F$7,'jiliarena_代理数据_底稿'!$A:$A,$C28)</f>
        <v>43861</v>
      </c>
      <c r="G28" s="328">
        <f>SUMIFS('jiliarena_代理数据_底稿'!$O:$O,'jiliarena_代理数据_底稿'!$B:$B,G$7,'jiliarena_代理数据_底稿'!$A:$A,$C28)</f>
        <v>11291</v>
      </c>
      <c r="H28" s="328">
        <f>SUMIFS('jiliarena_代理数据_底稿'!$O:$O,'jiliarena_代理数据_底稿'!$B:$B,H$7,'jiliarena_代理数据_底稿'!$A:$A,$C28)</f>
        <v>0</v>
      </c>
      <c r="I28" s="328">
        <f>SUMIFS('jiliarena_代理数据_底稿'!$O:$O,'jiliarena_代理数据_底稿'!$B:$B,I$7,'jiliarena_代理数据_底稿'!$A:$A,$C28)</f>
        <v>0</v>
      </c>
      <c r="J28" s="329">
        <f t="shared" si="1"/>
        <v>128243</v>
      </c>
      <c r="K28" s="330">
        <f t="array" ref="K28">INDEX(jiliarena!$A$3:$M$39,MATCH($C28,jiliarena!$A$3:$A$39,0),MATCH("日充值",jiliarena!$A$3:$M$3,0))-J28</f>
        <v>0</v>
      </c>
      <c r="L28" s="327">
        <f t="shared" si="2"/>
        <v>46074</v>
      </c>
      <c r="M28" s="331">
        <f t="shared" ref="M28:R28" si="23">D28-D27</f>
        <v>7549</v>
      </c>
      <c r="N28" s="331">
        <f t="shared" si="23"/>
        <v>-2961</v>
      </c>
      <c r="O28" s="331">
        <f t="shared" si="23"/>
        <v>-3874</v>
      </c>
      <c r="P28" s="331">
        <f t="shared" si="23"/>
        <v>-11739</v>
      </c>
      <c r="Q28" s="331">
        <f t="shared" si="23"/>
        <v>0</v>
      </c>
      <c r="R28" s="331">
        <f t="shared" si="23"/>
        <v>0</v>
      </c>
      <c r="S28" s="250"/>
    </row>
    <row r="29">
      <c r="C29" s="327">
        <f t="shared" si="4"/>
        <v>46075</v>
      </c>
      <c r="D29" s="328">
        <f>SUMIFS('jiliarena_代理数据_底稿'!$O:$O,'jiliarena_代理数据_底稿'!$B:$B,D$7,'jiliarena_代理数据_底稿'!$A:$A,$C29)</f>
        <v>41692</v>
      </c>
      <c r="E29" s="328">
        <f>SUMIFS('jiliarena_代理数据_底稿'!$O:$O,'jiliarena_代理数据_底稿'!$B:$B,E$7,'jiliarena_代理数据_底稿'!$A:$A,$C29)</f>
        <v>33270</v>
      </c>
      <c r="F29" s="328">
        <f>SUMIFS('jiliarena_代理数据_底稿'!$O:$O,'jiliarena_代理数据_底稿'!$B:$B,F$7,'jiliarena_代理数据_底稿'!$A:$A,$C29)</f>
        <v>38028</v>
      </c>
      <c r="G29" s="328">
        <f>SUMIFS('jiliarena_代理数据_底稿'!$O:$O,'jiliarena_代理数据_底稿'!$B:$B,G$7,'jiliarena_代理数据_底稿'!$A:$A,$C29)</f>
        <v>10800</v>
      </c>
      <c r="H29" s="328">
        <f>SUMIFS('jiliarena_代理数据_底稿'!$O:$O,'jiliarena_代理数据_底稿'!$B:$B,H$7,'jiliarena_代理数据_底稿'!$A:$A,$C29)</f>
        <v>0</v>
      </c>
      <c r="I29" s="328">
        <f>SUMIFS('jiliarena_代理数据_底稿'!$O:$O,'jiliarena_代理数据_底稿'!$B:$B,I$7,'jiliarena_代理数据_底稿'!$A:$A,$C29)</f>
        <v>0</v>
      </c>
      <c r="J29" s="329">
        <f t="shared" si="1"/>
        <v>123790</v>
      </c>
      <c r="K29" s="330">
        <f t="array" ref="K29">INDEX(jiliarena!$A$3:$M$39,MATCH($C29,jiliarena!$A$3:$A$39,0),MATCH("日充值",jiliarena!$A$3:$M$3,0))-J29</f>
        <v>0</v>
      </c>
      <c r="L29" s="327">
        <f t="shared" si="2"/>
        <v>46075</v>
      </c>
      <c r="M29" s="331">
        <f t="shared" ref="M29:R29" si="24">D29-D28</f>
        <v>8275</v>
      </c>
      <c r="N29" s="331">
        <f t="shared" si="24"/>
        <v>-6404</v>
      </c>
      <c r="O29" s="331">
        <f t="shared" si="24"/>
        <v>-5833</v>
      </c>
      <c r="P29" s="331">
        <f t="shared" si="24"/>
        <v>-491</v>
      </c>
      <c r="Q29" s="331">
        <f t="shared" si="24"/>
        <v>0</v>
      </c>
      <c r="R29" s="331">
        <f t="shared" si="24"/>
        <v>0</v>
      </c>
      <c r="S29" s="250"/>
    </row>
    <row r="30">
      <c r="C30" s="327">
        <f t="shared" si="4"/>
        <v>46076</v>
      </c>
      <c r="D30" s="328">
        <f>SUMIFS('jiliarena_代理数据_底稿'!$O:$O,'jiliarena_代理数据_底稿'!$B:$B,D$7,'jiliarena_代理数据_底稿'!$A:$A,$C30)</f>
        <v>11952</v>
      </c>
      <c r="E30" s="328">
        <f>SUMIFS('jiliarena_代理数据_底稿'!$O:$O,'jiliarena_代理数据_底稿'!$B:$B,E$7,'jiliarena_代理数据_底稿'!$A:$A,$C30)</f>
        <v>24941</v>
      </c>
      <c r="F30" s="328">
        <f>SUMIFS('jiliarena_代理数据_底稿'!$O:$O,'jiliarena_代理数据_底稿'!$B:$B,F$7,'jiliarena_代理数据_底稿'!$A:$A,$C30)</f>
        <v>28458</v>
      </c>
      <c r="G30" s="328">
        <f>SUMIFS('jiliarena_代理数据_底稿'!$O:$O,'jiliarena_代理数据_底稿'!$B:$B,G$7,'jiliarena_代理数据_底稿'!$A:$A,$C30)</f>
        <v>9752</v>
      </c>
      <c r="H30" s="328">
        <f>SUMIFS('jiliarena_代理数据_底稿'!$O:$O,'jiliarena_代理数据_底稿'!$B:$B,H$7,'jiliarena_代理数据_底稿'!$A:$A,$C30)</f>
        <v>0</v>
      </c>
      <c r="I30" s="328">
        <f>SUMIFS('jiliarena_代理数据_底稿'!$O:$O,'jiliarena_代理数据_底稿'!$B:$B,I$7,'jiliarena_代理数据_底稿'!$A:$A,$C30)</f>
        <v>0</v>
      </c>
      <c r="J30" s="329">
        <f t="shared" si="1"/>
        <v>75103</v>
      </c>
      <c r="K30" s="330">
        <f t="array" ref="K30">INDEX(jiliarena!$A$3:$M$39,MATCH($C30,jiliarena!$A$3:$A$39,0),MATCH("日充值",jiliarena!$A$3:$M$3,0))-J30</f>
        <v>0</v>
      </c>
      <c r="L30" s="327">
        <f t="shared" si="2"/>
        <v>46076</v>
      </c>
      <c r="M30" s="331">
        <f t="shared" ref="M30:R30" si="25">D30-D29</f>
        <v>-29740</v>
      </c>
      <c r="N30" s="331">
        <f t="shared" si="25"/>
        <v>-8329</v>
      </c>
      <c r="O30" s="331">
        <f t="shared" si="25"/>
        <v>-9570</v>
      </c>
      <c r="P30" s="331">
        <f t="shared" si="25"/>
        <v>-1048</v>
      </c>
      <c r="Q30" s="331">
        <f t="shared" si="25"/>
        <v>0</v>
      </c>
      <c r="R30" s="331">
        <f t="shared" si="25"/>
        <v>0</v>
      </c>
      <c r="S30" s="250"/>
    </row>
    <row r="31">
      <c r="C31" s="327">
        <f t="shared" si="4"/>
        <v>46077</v>
      </c>
      <c r="D31" s="328">
        <f>SUMIFS('jiliarena_代理数据_底稿'!$O:$O,'jiliarena_代理数据_底稿'!$B:$B,D$7,'jiliarena_代理数据_底稿'!$A:$A,$C31)</f>
        <v>27653</v>
      </c>
      <c r="E31" s="328">
        <f>SUMIFS('jiliarena_代理数据_底稿'!$O:$O,'jiliarena_代理数据_底稿'!$B:$B,E$7,'jiliarena_代理数据_底稿'!$A:$A,$C31)</f>
        <v>41483</v>
      </c>
      <c r="F31" s="328">
        <f>SUMIFS('jiliarena_代理数据_底稿'!$O:$O,'jiliarena_代理数据_底稿'!$B:$B,F$7,'jiliarena_代理数据_底稿'!$A:$A,$C31)</f>
        <v>38888</v>
      </c>
      <c r="G31" s="328">
        <f>SUMIFS('jiliarena_代理数据_底稿'!$O:$O,'jiliarena_代理数据_底稿'!$B:$B,G$7,'jiliarena_代理数据_底稿'!$A:$A,$C31)</f>
        <v>12819</v>
      </c>
      <c r="H31" s="328">
        <f>SUMIFS('jiliarena_代理数据_底稿'!$O:$O,'jiliarena_代理数据_底稿'!$B:$B,H$7,'jiliarena_代理数据_底稿'!$A:$A,$C31)</f>
        <v>0</v>
      </c>
      <c r="I31" s="328">
        <f>SUMIFS('jiliarena_代理数据_底稿'!$O:$O,'jiliarena_代理数据_底稿'!$B:$B,I$7,'jiliarena_代理数据_底稿'!$A:$A,$C31)</f>
        <v>0</v>
      </c>
      <c r="J31" s="329">
        <f t="shared" si="1"/>
        <v>120843</v>
      </c>
      <c r="K31" s="330">
        <f t="array" ref="K31">INDEX(jiliarena!$A$3:$M$39,MATCH($C31,jiliarena!$A$3:$A$39,0),MATCH("日充值",jiliarena!$A$3:$M$3,0))-J31</f>
        <v>0</v>
      </c>
      <c r="L31" s="327">
        <f t="shared" si="2"/>
        <v>46077</v>
      </c>
      <c r="M31" s="331">
        <f t="shared" ref="M31:R31" si="26">D31-D30</f>
        <v>15701</v>
      </c>
      <c r="N31" s="331">
        <f t="shared" si="26"/>
        <v>16542</v>
      </c>
      <c r="O31" s="331">
        <f t="shared" si="26"/>
        <v>10430</v>
      </c>
      <c r="P31" s="331">
        <f t="shared" si="26"/>
        <v>3067</v>
      </c>
      <c r="Q31" s="331">
        <f t="shared" si="26"/>
        <v>0</v>
      </c>
      <c r="R31" s="331">
        <f t="shared" si="26"/>
        <v>0</v>
      </c>
      <c r="S31" s="250"/>
    </row>
    <row r="32">
      <c r="C32" s="327">
        <f t="shared" si="4"/>
        <v>46078</v>
      </c>
      <c r="D32" s="328">
        <f>SUMIFS('jiliarena_代理数据_底稿'!$O:$O,'jiliarena_代理数据_底稿'!$B:$B,D$7,'jiliarena_代理数据_底稿'!$A:$A,$C32)</f>
        <v>18901</v>
      </c>
      <c r="E32" s="328">
        <f>SUMIFS('jiliarena_代理数据_底稿'!$O:$O,'jiliarena_代理数据_底稿'!$B:$B,E$7,'jiliarena_代理数据_底稿'!$A:$A,$C32)</f>
        <v>35551</v>
      </c>
      <c r="F32" s="328">
        <f>SUMIFS('jiliarena_代理数据_底稿'!$O:$O,'jiliarena_代理数据_底稿'!$B:$B,F$7,'jiliarena_代理数据_底稿'!$A:$A,$C32)</f>
        <v>28698</v>
      </c>
      <c r="G32" s="328">
        <f>SUMIFS('jiliarena_代理数据_底稿'!$O:$O,'jiliarena_代理数据_底稿'!$B:$B,G$7,'jiliarena_代理数据_底稿'!$A:$A,$C32)</f>
        <v>9569</v>
      </c>
      <c r="H32" s="328">
        <f>SUMIFS('jiliarena_代理数据_底稿'!$O:$O,'jiliarena_代理数据_底稿'!$B:$B,H$7,'jiliarena_代理数据_底稿'!$A:$A,$C32)</f>
        <v>0</v>
      </c>
      <c r="I32" s="328">
        <f>SUMIFS('jiliarena_代理数据_底稿'!$O:$O,'jiliarena_代理数据_底稿'!$B:$B,I$7,'jiliarena_代理数据_底稿'!$A:$A,$C32)</f>
        <v>0</v>
      </c>
      <c r="J32" s="329">
        <f t="shared" si="1"/>
        <v>92719</v>
      </c>
      <c r="K32" s="330">
        <f t="array" ref="K32">INDEX(jiliarena!$A$3:$M$39,MATCH($C32,jiliarena!$A$3:$A$39,0),MATCH("日充值",jiliarena!$A$3:$M$3,0))-J32</f>
        <v>0</v>
      </c>
      <c r="L32" s="327">
        <f t="shared" si="2"/>
        <v>46078</v>
      </c>
      <c r="M32" s="331">
        <f t="shared" ref="M32:R32" si="27">D32-D31</f>
        <v>-8752</v>
      </c>
      <c r="N32" s="331">
        <f t="shared" si="27"/>
        <v>-5932</v>
      </c>
      <c r="O32" s="331">
        <f t="shared" si="27"/>
        <v>-10190</v>
      </c>
      <c r="P32" s="331">
        <f t="shared" si="27"/>
        <v>-3250</v>
      </c>
      <c r="Q32" s="331">
        <f t="shared" si="27"/>
        <v>0</v>
      </c>
      <c r="R32" s="331">
        <f t="shared" si="27"/>
        <v>0</v>
      </c>
      <c r="S32" s="250"/>
    </row>
    <row r="33">
      <c r="C33" s="327">
        <f t="shared" si="4"/>
        <v>46079</v>
      </c>
      <c r="D33" s="328">
        <f>SUMIFS('jiliarena_代理数据_底稿'!$O:$O,'jiliarena_代理数据_底稿'!$B:$B,D$7,'jiliarena_代理数据_底稿'!$A:$A,$C33)</f>
        <v>12875</v>
      </c>
      <c r="E33" s="328">
        <f>SUMIFS('jiliarena_代理数据_底稿'!$O:$O,'jiliarena_代理数据_底稿'!$B:$B,E$7,'jiliarena_代理数据_底稿'!$A:$A,$C33)</f>
        <v>40952</v>
      </c>
      <c r="F33" s="328">
        <f>SUMIFS('jiliarena_代理数据_底稿'!$O:$O,'jiliarena_代理数据_底稿'!$B:$B,F$7,'jiliarena_代理数据_底稿'!$A:$A,$C33)</f>
        <v>30410</v>
      </c>
      <c r="G33" s="328">
        <f>SUMIFS('jiliarena_代理数据_底稿'!$O:$O,'jiliarena_代理数据_底稿'!$B:$B,G$7,'jiliarena_代理数据_底稿'!$A:$A,$C33)</f>
        <v>12236</v>
      </c>
      <c r="H33" s="328">
        <f>SUMIFS('jiliarena_代理数据_底稿'!$O:$O,'jiliarena_代理数据_底稿'!$B:$B,H$7,'jiliarena_代理数据_底稿'!$A:$A,$C33)</f>
        <v>0</v>
      </c>
      <c r="I33" s="328">
        <f>SUMIFS('jiliarena_代理数据_底稿'!$O:$O,'jiliarena_代理数据_底稿'!$B:$B,I$7,'jiliarena_代理数据_底稿'!$A:$A,$C33)</f>
        <v>0</v>
      </c>
      <c r="J33" s="329">
        <f t="shared" si="1"/>
        <v>96473</v>
      </c>
      <c r="K33" s="330">
        <f t="array" ref="K33">INDEX(jiliarena!$A$3:$M$39,MATCH($C33,jiliarena!$A$3:$A$39,0),MATCH("日充值",jiliarena!$A$3:$M$3,0))-J33</f>
        <v>0</v>
      </c>
      <c r="L33" s="327">
        <f t="shared" si="2"/>
        <v>46079</v>
      </c>
      <c r="M33" s="331">
        <f t="shared" ref="M33:R33" si="28">D33-D32</f>
        <v>-6026</v>
      </c>
      <c r="N33" s="331">
        <f t="shared" si="28"/>
        <v>5401</v>
      </c>
      <c r="O33" s="331">
        <f t="shared" si="28"/>
        <v>1712</v>
      </c>
      <c r="P33" s="331">
        <f t="shared" si="28"/>
        <v>2667</v>
      </c>
      <c r="Q33" s="331">
        <f t="shared" si="28"/>
        <v>0</v>
      </c>
      <c r="R33" s="331">
        <f t="shared" si="28"/>
        <v>0</v>
      </c>
      <c r="S33" s="250"/>
    </row>
    <row r="34">
      <c r="C34" s="327">
        <f t="shared" si="4"/>
        <v>46080</v>
      </c>
      <c r="D34" s="328">
        <f>SUMIFS('jiliarena_代理数据_底稿'!$O:$O,'jiliarena_代理数据_底稿'!$B:$B,D$7,'jiliarena_代理数据_底稿'!$A:$A,$C34)</f>
        <v>10881</v>
      </c>
      <c r="E34" s="328">
        <f>SUMIFS('jiliarena_代理数据_底稿'!$O:$O,'jiliarena_代理数据_底稿'!$B:$B,E$7,'jiliarena_代理数据_底稿'!$A:$A,$C34)</f>
        <v>38744</v>
      </c>
      <c r="F34" s="328">
        <f>SUMIFS('jiliarena_代理数据_底稿'!$O:$O,'jiliarena_代理数据_底稿'!$B:$B,F$7,'jiliarena_代理数据_底稿'!$A:$A,$C34)</f>
        <v>39684</v>
      </c>
      <c r="G34" s="328">
        <f>SUMIFS('jiliarena_代理数据_底稿'!$O:$O,'jiliarena_代理数据_底稿'!$B:$B,G$7,'jiliarena_代理数据_底稿'!$A:$A,$C34)</f>
        <v>5653</v>
      </c>
      <c r="H34" s="328">
        <f>SUMIFS('jiliarena_代理数据_底稿'!$O:$O,'jiliarena_代理数据_底稿'!$B:$B,H$7,'jiliarena_代理数据_底稿'!$A:$A,$C34)</f>
        <v>0</v>
      </c>
      <c r="I34" s="328">
        <f>SUMIFS('jiliarena_代理数据_底稿'!$O:$O,'jiliarena_代理数据_底稿'!$B:$B,I$7,'jiliarena_代理数据_底稿'!$A:$A,$C34)</f>
        <v>0</v>
      </c>
      <c r="J34" s="329">
        <f t="shared" si="1"/>
        <v>94962</v>
      </c>
      <c r="K34" s="330">
        <f t="array" ref="K34">INDEX(jiliarena!$A$3:$M$39,MATCH($C34,jiliarena!$A$3:$A$39,0),MATCH("日充值",jiliarena!$A$3:$M$3,0))-J34</f>
        <v>0</v>
      </c>
      <c r="L34" s="327">
        <f t="shared" si="2"/>
        <v>46080</v>
      </c>
      <c r="M34" s="331">
        <f t="shared" ref="M34:R34" si="29">D34-D33</f>
        <v>-1994</v>
      </c>
      <c r="N34" s="331">
        <f t="shared" si="29"/>
        <v>-2208</v>
      </c>
      <c r="O34" s="331">
        <f t="shared" si="29"/>
        <v>9274</v>
      </c>
      <c r="P34" s="331">
        <f t="shared" si="29"/>
        <v>-6583</v>
      </c>
      <c r="Q34" s="331">
        <f t="shared" si="29"/>
        <v>0</v>
      </c>
      <c r="R34" s="331">
        <f t="shared" si="29"/>
        <v>0</v>
      </c>
      <c r="S34" s="250"/>
    </row>
    <row r="35">
      <c r="C35" s="327">
        <f t="shared" si="4"/>
        <v>46081</v>
      </c>
      <c r="D35" s="328">
        <f>SUMIFS('jiliarena_代理数据_底稿'!$O:$O,'jiliarena_代理数据_底稿'!$B:$B,D$7,'jiliarena_代理数据_底稿'!$A:$A,$C35)</f>
        <v>14118</v>
      </c>
      <c r="E35" s="328">
        <f>SUMIFS('jiliarena_代理数据_底稿'!$O:$O,'jiliarena_代理数据_底稿'!$B:$B,E$7,'jiliarena_代理数据_底稿'!$A:$A,$C35)</f>
        <v>27691</v>
      </c>
      <c r="F35" s="328">
        <f>SUMIFS('jiliarena_代理数据_底稿'!$O:$O,'jiliarena_代理数据_底稿'!$B:$B,F$7,'jiliarena_代理数据_底稿'!$A:$A,$C35)</f>
        <v>53535</v>
      </c>
      <c r="G35" s="328">
        <f>SUMIFS('jiliarena_代理数据_底稿'!$O:$O,'jiliarena_代理数据_底稿'!$B:$B,G$7,'jiliarena_代理数据_底稿'!$A:$A,$C35)</f>
        <v>8401</v>
      </c>
      <c r="H35" s="328">
        <f>SUMIFS('jiliarena_代理数据_底稿'!$O:$O,'jiliarena_代理数据_底稿'!$B:$B,H$7,'jiliarena_代理数据_底稿'!$A:$A,$C35)</f>
        <v>0</v>
      </c>
      <c r="I35" s="328">
        <f>SUMIFS('jiliarena_代理数据_底稿'!$O:$O,'jiliarena_代理数据_底稿'!$B:$B,I$7,'jiliarena_代理数据_底稿'!$A:$A,$C35)</f>
        <v>0</v>
      </c>
      <c r="J35" s="329">
        <f t="shared" si="1"/>
        <v>103745</v>
      </c>
      <c r="K35" s="330">
        <f t="array" ref="K35">INDEX(jiliarena!$A$3:$M$39,MATCH($C35,jiliarena!$A$3:$A$39,0),MATCH("日充值",jiliarena!$A$3:$M$3,0))-J35</f>
        <v>0</v>
      </c>
      <c r="L35" s="327">
        <f t="shared" si="2"/>
        <v>46081</v>
      </c>
      <c r="M35" s="331">
        <f t="shared" ref="M35:R35" si="30">D35-D34</f>
        <v>3237</v>
      </c>
      <c r="N35" s="331">
        <f t="shared" si="30"/>
        <v>-11053</v>
      </c>
      <c r="O35" s="331">
        <f t="shared" si="30"/>
        <v>13851</v>
      </c>
      <c r="P35" s="331">
        <f t="shared" si="30"/>
        <v>2748</v>
      </c>
      <c r="Q35" s="331">
        <f t="shared" si="30"/>
        <v>0</v>
      </c>
      <c r="R35" s="331">
        <f t="shared" si="30"/>
        <v>0</v>
      </c>
      <c r="S35" s="250"/>
    </row>
    <row r="36">
      <c r="C36" s="332"/>
      <c r="D36" s="333">
        <f t="shared" ref="D36:J36" si="31">SUM(D8:D35)</f>
        <v>341564</v>
      </c>
      <c r="E36" s="333">
        <f t="shared" si="31"/>
        <v>747330</v>
      </c>
      <c r="F36" s="333">
        <f t="shared" si="31"/>
        <v>1951726</v>
      </c>
      <c r="G36" s="333">
        <f t="shared" si="31"/>
        <v>316914</v>
      </c>
      <c r="H36" s="333">
        <f t="shared" si="31"/>
        <v>0</v>
      </c>
      <c r="I36" s="333">
        <f t="shared" si="31"/>
        <v>0</v>
      </c>
      <c r="J36" s="329">
        <f t="shared" si="31"/>
        <v>3357534</v>
      </c>
      <c r="K36" s="334"/>
      <c r="L36" s="334"/>
      <c r="M36" s="333">
        <f t="shared" ref="M36:R36" si="32">SUM(M8:M35)</f>
        <v>14118</v>
      </c>
      <c r="N36" s="333">
        <f t="shared" si="32"/>
        <v>27691</v>
      </c>
      <c r="O36" s="333">
        <f t="shared" si="32"/>
        <v>53535</v>
      </c>
      <c r="P36" s="333">
        <f t="shared" si="32"/>
        <v>8401</v>
      </c>
      <c r="Q36" s="333">
        <f t="shared" si="32"/>
        <v>0</v>
      </c>
      <c r="R36" s="333">
        <f t="shared" si="32"/>
        <v>0</v>
      </c>
      <c r="S36" s="250"/>
    </row>
    <row r="37">
      <c r="A37" s="335"/>
      <c r="B37" s="335"/>
      <c r="C37" s="250"/>
      <c r="D37" s="250"/>
      <c r="E37" s="250"/>
      <c r="F37" s="250"/>
      <c r="G37" s="250"/>
      <c r="H37" s="250"/>
      <c r="I37" s="250"/>
      <c r="J37" s="250"/>
      <c r="K37" s="250"/>
      <c r="L37" s="250"/>
      <c r="M37" s="250"/>
      <c r="N37" s="250"/>
      <c r="O37" s="250"/>
      <c r="P37" s="250"/>
      <c r="Q37" s="250"/>
      <c r="R37" s="250"/>
      <c r="S37" s="250"/>
    </row>
    <row r="38">
      <c r="A38" s="250"/>
      <c r="B38" s="250"/>
      <c r="C38" s="253"/>
      <c r="D38" s="307"/>
      <c r="E38" s="307"/>
      <c r="F38" s="307"/>
      <c r="G38" s="250"/>
      <c r="H38" s="250"/>
      <c r="I38" s="250"/>
      <c r="J38" s="250"/>
      <c r="K38" s="250"/>
      <c r="L38" s="250"/>
      <c r="M38" s="250"/>
      <c r="N38" s="250"/>
      <c r="O38" s="250"/>
      <c r="P38" s="250"/>
      <c r="Q38" s="250"/>
      <c r="R38" s="250"/>
      <c r="S38" s="250"/>
    </row>
    <row r="39">
      <c r="A39" s="250"/>
      <c r="B39" s="250"/>
      <c r="C39" s="253"/>
      <c r="D39" s="307"/>
      <c r="E39" s="307"/>
      <c r="F39" s="307"/>
      <c r="G39" s="250"/>
      <c r="H39" s="250"/>
      <c r="I39" s="250"/>
      <c r="J39" s="250"/>
      <c r="K39" s="250"/>
      <c r="L39" s="250"/>
      <c r="M39" s="250"/>
      <c r="N39" s="250"/>
      <c r="O39" s="250"/>
      <c r="P39" s="250"/>
      <c r="Q39" s="250"/>
      <c r="R39" s="250"/>
      <c r="S39" s="250"/>
    </row>
    <row r="40">
      <c r="A40" s="250"/>
      <c r="B40" s="250"/>
      <c r="C40" s="250"/>
      <c r="D40" s="250"/>
      <c r="E40" s="250"/>
      <c r="F40" s="250"/>
      <c r="G40" s="250"/>
      <c r="H40" s="250"/>
      <c r="I40" s="250"/>
      <c r="J40" s="250"/>
      <c r="K40" s="250"/>
      <c r="L40" s="250"/>
      <c r="M40" s="250"/>
      <c r="N40" s="250"/>
      <c r="O40" s="250"/>
      <c r="P40" s="250"/>
      <c r="Q40" s="250"/>
      <c r="R40" s="250"/>
      <c r="S40" s="250"/>
    </row>
    <row r="41">
      <c r="A41" s="336"/>
      <c r="B41" s="337" t="s">
        <v>1</v>
      </c>
      <c r="C41" s="338"/>
      <c r="D41" s="338"/>
      <c r="E41" s="338"/>
      <c r="F41" s="338"/>
      <c r="G41" s="338"/>
      <c r="H41" s="338"/>
      <c r="I41" s="338"/>
      <c r="J41" s="338"/>
      <c r="K41" s="338"/>
      <c r="L41" s="338"/>
      <c r="M41" s="338"/>
      <c r="N41" s="338"/>
      <c r="O41" s="338"/>
      <c r="P41" s="250"/>
      <c r="Q41" s="250"/>
      <c r="R41" s="250"/>
      <c r="S41" s="250"/>
    </row>
    <row r="42">
      <c r="A42" s="319"/>
      <c r="B42" s="320" t="s">
        <v>568</v>
      </c>
      <c r="C42" s="321" t="s">
        <v>569</v>
      </c>
      <c r="D42" s="116" t="s">
        <v>562</v>
      </c>
      <c r="E42" s="116" t="s">
        <v>244</v>
      </c>
      <c r="F42" s="116" t="s">
        <v>563</v>
      </c>
      <c r="G42" s="116" t="s">
        <v>564</v>
      </c>
      <c r="H42" s="116" t="s">
        <v>565</v>
      </c>
      <c r="I42" s="116" t="s">
        <v>566</v>
      </c>
      <c r="J42" s="322" t="s">
        <v>570</v>
      </c>
      <c r="K42" s="323" t="s">
        <v>571</v>
      </c>
      <c r="L42" s="324" t="s">
        <v>568</v>
      </c>
      <c r="M42" s="321" t="s">
        <v>572</v>
      </c>
      <c r="N42" s="116" t="s">
        <v>562</v>
      </c>
      <c r="O42" s="116" t="s">
        <v>244</v>
      </c>
      <c r="P42" s="116" t="s">
        <v>563</v>
      </c>
      <c r="Q42" s="116" t="s">
        <v>564</v>
      </c>
      <c r="R42" s="116" t="s">
        <v>565</v>
      </c>
      <c r="S42" s="116" t="s">
        <v>566</v>
      </c>
    </row>
    <row r="43" hidden="1">
      <c r="A43" s="339">
        <f t="shared" ref="A43:A46" si="33">$B$43</f>
        <v>46054</v>
      </c>
      <c r="B43" s="340">
        <f>C8</f>
        <v>46054</v>
      </c>
      <c r="C43" s="341" t="s">
        <v>283</v>
      </c>
      <c r="D43" s="342">
        <f>sumifs('jiliarena_代理数据_底稿'!$I:$I,'jiliarena_代理数据_底稿'!$B:$B,D$42,'jiliarena_代理数据_底稿'!$A:$A,$B43)</f>
        <v>0</v>
      </c>
      <c r="E43" s="342">
        <f>sumifs('jiliarena_代理数据_底稿'!$I:$I,'jiliarena_代理数据_底稿'!$B:$B,E$42,'jiliarena_代理数据_底稿'!$A:$A,$B43)</f>
        <v>0</v>
      </c>
      <c r="F43" s="342">
        <f>sumifs('jiliarena_代理数据_底稿'!$I:$I,'jiliarena_代理数据_底稿'!$B:$B,F$42,'jiliarena_代理数据_底稿'!$A:$A,$B43)</f>
        <v>0</v>
      </c>
      <c r="G43" s="342"/>
      <c r="H43" s="342"/>
      <c r="I43" s="342"/>
      <c r="J43" s="342">
        <f>sumifs('jiliarena_代理数据_底稿'!$I:$I,'jiliarena_代理数据_底稿'!$B:$B,J$42,'jiliarena_代理数据_底稿'!$A:$A,$B43)</f>
        <v>0</v>
      </c>
      <c r="K43" s="343">
        <f t="array" ref="K43">INDEX(jiliarena!$A$3:$M$39,MATCH($A43,jiliarena!$A$3:$A$39,0),MATCH($C$43,jiliarena!$A$3:$M$3,0))-J43</f>
        <v>0</v>
      </c>
      <c r="L43" s="344">
        <f>B43</f>
        <v>46054</v>
      </c>
      <c r="M43" s="345" t="s">
        <v>283</v>
      </c>
      <c r="N43" s="346"/>
      <c r="O43" s="346"/>
      <c r="P43" s="346"/>
      <c r="Q43" s="346"/>
      <c r="R43" s="346"/>
      <c r="S43" s="346"/>
    </row>
    <row r="44" hidden="1">
      <c r="A44" s="339">
        <f t="shared" si="33"/>
        <v>46054</v>
      </c>
      <c r="B44" s="11"/>
      <c r="C44" s="347" t="s">
        <v>279</v>
      </c>
      <c r="D44" s="348">
        <f>sumifs('jiliarena_代理数据_底稿'!$E:$E,'jiliarena_代理数据_底稿'!$B:$B,D$42,'jiliarena_代理数据_底稿'!$A:$A,$B43)</f>
        <v>0</v>
      </c>
      <c r="E44" s="348">
        <f>sumifs('jiliarena_代理数据_底稿'!$E:$E,'jiliarena_代理数据_底稿'!$B:$B,E$42,'jiliarena_代理数据_底稿'!$A:$A,$B43)</f>
        <v>0</v>
      </c>
      <c r="F44" s="348">
        <f>sumifs('jiliarena_代理数据_底稿'!$E:$E,'jiliarena_代理数据_底稿'!$B:$B,F$42,'jiliarena_代理数据_底稿'!$A:$A,$B43)</f>
        <v>0</v>
      </c>
      <c r="G44" s="348"/>
      <c r="H44" s="348"/>
      <c r="I44" s="348"/>
      <c r="J44" s="348">
        <f>sumifs('jiliarena_代理数据_底稿'!$E:$E,'jiliarena_代理数据_底稿'!$B:$B,J$42,'jiliarena_代理数据_底稿'!$A:$A,$B43)</f>
        <v>0</v>
      </c>
      <c r="K44" s="349">
        <f t="array" ref="K44">INDEX(jiliarena!$A$3:$M$39,MATCH($A44,jiliarena!$A$3:$A$39,0),MATCH("登录人数",jiliarena!$A$3:$M$3,0))-J44</f>
        <v>0</v>
      </c>
      <c r="L44" s="11"/>
      <c r="M44" s="350" t="s">
        <v>279</v>
      </c>
      <c r="N44" s="351"/>
      <c r="O44" s="351"/>
      <c r="P44" s="351"/>
      <c r="Q44" s="351"/>
      <c r="R44" s="351"/>
      <c r="S44" s="351"/>
    </row>
    <row r="45" hidden="1">
      <c r="A45" s="339">
        <f t="shared" si="33"/>
        <v>46054</v>
      </c>
      <c r="B45" s="11"/>
      <c r="C45" s="352" t="s">
        <v>280</v>
      </c>
      <c r="D45" s="348">
        <f>sumifs('jiliarena_代理数据_底稿'!$F:$F,'jiliarena_代理数据_底稿'!$B:$B,D$42,'jiliarena_代理数据_底稿'!$A:$A,$B43)</f>
        <v>0</v>
      </c>
      <c r="E45" s="348">
        <f>sumifs('jiliarena_代理数据_底稿'!$F:$F,'jiliarena_代理数据_底稿'!$B:$B,E$42,'jiliarena_代理数据_底稿'!$A:$A,$B43)</f>
        <v>0</v>
      </c>
      <c r="F45" s="348">
        <f>sumifs('jiliarena_代理数据_底稿'!$F:$F,'jiliarena_代理数据_底稿'!$B:$B,F$42,'jiliarena_代理数据_底稿'!$A:$A,$B43)</f>
        <v>0</v>
      </c>
      <c r="G45" s="348"/>
      <c r="H45" s="348"/>
      <c r="I45" s="348"/>
      <c r="J45" s="348">
        <f>sumifs('jiliarena_代理数据_底稿'!$F:$F,'jiliarena_代理数据_底稿'!$B:$B,J$42,'jiliarena_代理数据_底稿'!$A:$A,$B43)</f>
        <v>0</v>
      </c>
      <c r="K45" s="349">
        <f t="array" ref="K45">INDEX(jiliarena!$A$3:$M$39,MATCH($A45,jiliarena!$A$3:$A$39,0),MATCH("投注人数",jiliarena!$A$3:$M$3,0))-J45</f>
        <v>0</v>
      </c>
      <c r="L45" s="11"/>
      <c r="M45" s="353" t="s">
        <v>280</v>
      </c>
      <c r="N45" s="351"/>
      <c r="O45" s="351"/>
      <c r="P45" s="351"/>
      <c r="Q45" s="351"/>
      <c r="R45" s="351"/>
      <c r="S45" s="351"/>
    </row>
    <row r="46" hidden="1">
      <c r="A46" s="339">
        <f t="shared" si="33"/>
        <v>46054</v>
      </c>
      <c r="B46" s="20"/>
      <c r="C46" s="354" t="s">
        <v>294</v>
      </c>
      <c r="D46" s="355">
        <f>sumifs('jiliarena_代理数据_底稿'!$G:$G,'jiliarena_代理数据_底稿'!$B:$B,D$42,'jiliarena_代理数据_底稿'!$A:$A,$B43)</f>
        <v>0</v>
      </c>
      <c r="E46" s="355">
        <f>sumifs('jiliarena_代理数据_底稿'!$G:$G,'jiliarena_代理数据_底稿'!$B:$B,E$42,'jiliarena_代理数据_底稿'!$A:$A,$B43)</f>
        <v>0</v>
      </c>
      <c r="F46" s="355">
        <f>sumifs('jiliarena_代理数据_底稿'!$G:$G,'jiliarena_代理数据_底稿'!$B:$B,F$42,'jiliarena_代理数据_底稿'!$A:$A,$B43)</f>
        <v>0</v>
      </c>
      <c r="G46" s="355"/>
      <c r="H46" s="355"/>
      <c r="I46" s="355"/>
      <c r="J46" s="355">
        <f>sumifs('jiliarena_代理数据_底稿'!$G:$G,'jiliarena_代理数据_底稿'!$B:$B,J$42,'jiliarena_代理数据_底稿'!$A:$A,$B43)</f>
        <v>0</v>
      </c>
      <c r="K46" s="356">
        <f t="array" ref="K46">INDEX(jiliarena!$A$3:$M$39,MATCH($A46,jiliarena!$A$3:$A$39,0),MATCH("存款人数",jiliarena!$A$3:$M$3,0))-J46</f>
        <v>0</v>
      </c>
      <c r="L46" s="20"/>
      <c r="M46" s="357" t="s">
        <v>294</v>
      </c>
      <c r="N46" s="351"/>
      <c r="O46" s="351"/>
      <c r="P46" s="351"/>
      <c r="Q46" s="351"/>
      <c r="R46" s="351"/>
      <c r="S46" s="351"/>
    </row>
    <row r="47" hidden="1">
      <c r="A47" s="339">
        <f t="shared" ref="A47:A50" si="35">$B$47</f>
        <v>46055</v>
      </c>
      <c r="B47" s="340">
        <f>B43+1</f>
        <v>46055</v>
      </c>
      <c r="C47" s="341" t="s">
        <v>283</v>
      </c>
      <c r="D47" s="342">
        <f>sumifs('jiliarena_代理数据_底稿'!$I:$I,'jiliarena_代理数据_底稿'!$B:$B,D$42,'jiliarena_代理数据_底稿'!$A:$A,$B47)</f>
        <v>0</v>
      </c>
      <c r="E47" s="342">
        <f>sumifs('jiliarena_代理数据_底稿'!$I:$I,'jiliarena_代理数据_底稿'!$B:$B,E$42,'jiliarena_代理数据_底稿'!$A:$A,$B47)</f>
        <v>0</v>
      </c>
      <c r="F47" s="342">
        <f>sumifs('jiliarena_代理数据_底稿'!$I:$I,'jiliarena_代理数据_底稿'!$B:$B,F$42,'jiliarena_代理数据_底稿'!$A:$A,$B47)</f>
        <v>0</v>
      </c>
      <c r="G47" s="342"/>
      <c r="H47" s="342"/>
      <c r="I47" s="342"/>
      <c r="J47" s="342">
        <f t="shared" ref="J47:J158" si="36">SUM(D47:F47)</f>
        <v>0</v>
      </c>
      <c r="K47" s="343">
        <f t="array" ref="K47">INDEX(jiliarena!$A$3:$M$39,MATCH($A47,jiliarena!$A$3:$A$39,0),MATCH($C$43,jiliarena!$A$3:$M$3,0))-J47</f>
        <v>0</v>
      </c>
      <c r="L47" s="344">
        <f>B47</f>
        <v>46055</v>
      </c>
      <c r="M47" s="345" t="s">
        <v>283</v>
      </c>
      <c r="N47" s="346">
        <f t="shared" ref="N47:O47" si="34">D43-D47</f>
        <v>0</v>
      </c>
      <c r="O47" s="346">
        <f t="shared" si="34"/>
        <v>0</v>
      </c>
      <c r="P47" s="346"/>
      <c r="Q47" s="346"/>
      <c r="R47" s="346"/>
      <c r="S47" s="346">
        <f t="shared" ref="S47:S82" si="38">F43-F47</f>
        <v>0</v>
      </c>
    </row>
    <row r="48" hidden="1">
      <c r="A48" s="339">
        <f t="shared" si="35"/>
        <v>46055</v>
      </c>
      <c r="B48" s="11"/>
      <c r="C48" s="347" t="s">
        <v>279</v>
      </c>
      <c r="D48" s="348">
        <f>sumifs('jiliarena_代理数据_底稿'!$E:$E,'jiliarena_代理数据_底稿'!$B:$B,D$42,'jiliarena_代理数据_底稿'!$A:$A,$B47)</f>
        <v>0</v>
      </c>
      <c r="E48" s="358">
        <f>sumifs('jiliarena_代理数据_底稿'!$E:$E,'jiliarena_代理数据_底稿'!$B:$B,E$42,'jiliarena_代理数据_底稿'!$A:$A,$B47)</f>
        <v>0</v>
      </c>
      <c r="F48" s="348">
        <f>sumifs('jiliarena_代理数据_底稿'!$E:$E,'jiliarena_代理数据_底稿'!$B:$B,F$42,'jiliarena_代理数据_底稿'!$A:$A,$B47)</f>
        <v>0</v>
      </c>
      <c r="G48" s="358"/>
      <c r="H48" s="358"/>
      <c r="I48" s="358"/>
      <c r="J48" s="348">
        <f t="shared" si="36"/>
        <v>0</v>
      </c>
      <c r="K48" s="349">
        <f t="array" ref="K48">INDEX(jiliarena!$A$3:$M$39,MATCH($A48,jiliarena!$A$3:$A$39,0),MATCH("登录人数",jiliarena!$A$3:$M$3,0))-J48</f>
        <v>0</v>
      </c>
      <c r="L48" s="11"/>
      <c r="M48" s="350" t="s">
        <v>279</v>
      </c>
      <c r="N48" s="359">
        <f t="shared" ref="N48:O48" si="37">D44-D48</f>
        <v>0</v>
      </c>
      <c r="O48" s="359">
        <f t="shared" si="37"/>
        <v>0</v>
      </c>
      <c r="P48" s="359"/>
      <c r="Q48" s="359"/>
      <c r="R48" s="359"/>
      <c r="S48" s="359">
        <f t="shared" si="38"/>
        <v>0</v>
      </c>
    </row>
    <row r="49" hidden="1">
      <c r="A49" s="339">
        <f t="shared" si="35"/>
        <v>46055</v>
      </c>
      <c r="B49" s="11"/>
      <c r="C49" s="352" t="s">
        <v>280</v>
      </c>
      <c r="D49" s="348">
        <f>sumifs('jiliarena_代理数据_底稿'!$F:$F,'jiliarena_代理数据_底稿'!$B:$B,D$42,'jiliarena_代理数据_底稿'!$A:$A,$B47)</f>
        <v>0</v>
      </c>
      <c r="E49" s="348">
        <f>sumifs('jiliarena_代理数据_底稿'!$F:$F,'jiliarena_代理数据_底稿'!$B:$B,E$42,'jiliarena_代理数据_底稿'!$A:$A,$B47)</f>
        <v>0</v>
      </c>
      <c r="F49" s="348">
        <f>sumifs('jiliarena_代理数据_底稿'!$F:$F,'jiliarena_代理数据_底稿'!$B:$B,F$42,'jiliarena_代理数据_底稿'!$A:$A,$B47)</f>
        <v>0</v>
      </c>
      <c r="G49" s="348"/>
      <c r="H49" s="348"/>
      <c r="I49" s="348"/>
      <c r="J49" s="348">
        <f t="shared" si="36"/>
        <v>0</v>
      </c>
      <c r="K49" s="349">
        <f t="array" ref="K49">INDEX(jiliarena!$A$3:$M$39,MATCH($A49,jiliarena!$A$3:$A$39,0),MATCH("投注人数",jiliarena!$A$3:$M$3,0))-J49</f>
        <v>0</v>
      </c>
      <c r="L49" s="11"/>
      <c r="M49" s="353" t="s">
        <v>280</v>
      </c>
      <c r="N49" s="359">
        <f t="shared" ref="N49:O49" si="39">D45-D49</f>
        <v>0</v>
      </c>
      <c r="O49" s="359">
        <f t="shared" si="39"/>
        <v>0</v>
      </c>
      <c r="P49" s="359"/>
      <c r="Q49" s="359"/>
      <c r="R49" s="359"/>
      <c r="S49" s="359">
        <f t="shared" si="38"/>
        <v>0</v>
      </c>
    </row>
    <row r="50" hidden="1">
      <c r="A50" s="339">
        <f t="shared" si="35"/>
        <v>46055</v>
      </c>
      <c r="B50" s="20"/>
      <c r="C50" s="354" t="s">
        <v>294</v>
      </c>
      <c r="D50" s="355">
        <f>sumifs('jiliarena_代理数据_底稿'!$G:$G,'jiliarena_代理数据_底稿'!$B:$B,D$42,'jiliarena_代理数据_底稿'!$A:$A,$B47)</f>
        <v>0</v>
      </c>
      <c r="E50" s="355">
        <f>sumifs('jiliarena_代理数据_底稿'!$G:$G,'jiliarena_代理数据_底稿'!$B:$B,E$42,'jiliarena_代理数据_底稿'!$A:$A,$B47)</f>
        <v>0</v>
      </c>
      <c r="F50" s="355">
        <f>sumifs('jiliarena_代理数据_底稿'!$G:$G,'jiliarena_代理数据_底稿'!$B:$B,F$42,'jiliarena_代理数据_底稿'!$A:$A,$B47)</f>
        <v>0</v>
      </c>
      <c r="G50" s="360"/>
      <c r="H50" s="360"/>
      <c r="I50" s="360"/>
      <c r="J50" s="361">
        <f t="shared" si="36"/>
        <v>0</v>
      </c>
      <c r="K50" s="356">
        <f t="array" ref="K50">INDEX(jiliarena!$A$3:$M$39,MATCH($A50,jiliarena!$A$3:$A$39,0),MATCH("存款人数",jiliarena!$A$3:$M$3,0))-J50</f>
        <v>0</v>
      </c>
      <c r="L50" s="20"/>
      <c r="M50" s="357" t="s">
        <v>294</v>
      </c>
      <c r="N50" s="362">
        <f t="shared" ref="N50:O50" si="40">D46-D50</f>
        <v>0</v>
      </c>
      <c r="O50" s="362">
        <f t="shared" si="40"/>
        <v>0</v>
      </c>
      <c r="P50" s="362"/>
      <c r="Q50" s="362"/>
      <c r="R50" s="362"/>
      <c r="S50" s="362">
        <f t="shared" si="38"/>
        <v>0</v>
      </c>
    </row>
    <row r="51" hidden="1">
      <c r="A51" s="339">
        <f t="shared" ref="A51:A54" si="42">$B$51</f>
        <v>46056</v>
      </c>
      <c r="B51" s="340">
        <f>B47+1</f>
        <v>46056</v>
      </c>
      <c r="C51" s="341" t="s">
        <v>283</v>
      </c>
      <c r="D51" s="342">
        <f>sumifs('jiliarena_代理数据_底稿'!$I:$I,'jiliarena_代理数据_底稿'!$B:$B,D$42,'jiliarena_代理数据_底稿'!$A:$A,$B51)</f>
        <v>0</v>
      </c>
      <c r="E51" s="342">
        <f>sumifs('jiliarena_代理数据_底稿'!$I:$I,'jiliarena_代理数据_底稿'!$B:$B,E$42,'jiliarena_代理数据_底稿'!$A:$A,$B51)</f>
        <v>0</v>
      </c>
      <c r="F51" s="342">
        <f>sumifs('jiliarena_代理数据_底稿'!$I:$I,'jiliarena_代理数据_底稿'!$B:$B,F$42,'jiliarena_代理数据_底稿'!$A:$A,$B51)</f>
        <v>0</v>
      </c>
      <c r="G51" s="342"/>
      <c r="H51" s="342"/>
      <c r="I51" s="342"/>
      <c r="J51" s="342">
        <f t="shared" si="36"/>
        <v>0</v>
      </c>
      <c r="K51" s="343">
        <f t="array" ref="K51">INDEX(jiliarena!$A$3:$M$39,MATCH($A51,jiliarena!$A$3:$A$39,0),MATCH($C$43,jiliarena!$A$3:$M$3,0))-J51</f>
        <v>0</v>
      </c>
      <c r="L51" s="344">
        <f>B51</f>
        <v>46056</v>
      </c>
      <c r="M51" s="341" t="s">
        <v>283</v>
      </c>
      <c r="N51" s="351">
        <f t="shared" ref="N51:O51" si="41">D47-D51</f>
        <v>0</v>
      </c>
      <c r="O51" s="351">
        <f t="shared" si="41"/>
        <v>0</v>
      </c>
      <c r="P51" s="351"/>
      <c r="Q51" s="351"/>
      <c r="R51" s="351"/>
      <c r="S51" s="351">
        <f t="shared" si="38"/>
        <v>0</v>
      </c>
    </row>
    <row r="52" hidden="1">
      <c r="A52" s="339">
        <f t="shared" si="42"/>
        <v>46056</v>
      </c>
      <c r="B52" s="11"/>
      <c r="C52" s="347" t="s">
        <v>279</v>
      </c>
      <c r="D52" s="348">
        <f>sumifs('jiliarena_代理数据_底稿'!$E:$E,'jiliarena_代理数据_底稿'!$B:$B,D$42,'jiliarena_代理数据_底稿'!$A:$A,$B51)</f>
        <v>0</v>
      </c>
      <c r="E52" s="358">
        <f>sumifs('jiliarena_代理数据_底稿'!$E:$E,'jiliarena_代理数据_底稿'!$B:$B,E$42,'jiliarena_代理数据_底稿'!$A:$A,$B51)</f>
        <v>0</v>
      </c>
      <c r="F52" s="348">
        <f>sumifs('jiliarena_代理数据_底稿'!$E:$E,'jiliarena_代理数据_底稿'!$B:$B,F$42,'jiliarena_代理数据_底稿'!$A:$A,$B51)</f>
        <v>0</v>
      </c>
      <c r="G52" s="358"/>
      <c r="H52" s="358"/>
      <c r="I52" s="358"/>
      <c r="J52" s="348">
        <f t="shared" si="36"/>
        <v>0</v>
      </c>
      <c r="K52" s="349">
        <f t="array" ref="K52">INDEX(jiliarena!$A$3:$M$39,MATCH($A52,jiliarena!$A$3:$A$39,0),MATCH("登录人数",jiliarena!$A$3:$M$3,0))-J52</f>
        <v>0</v>
      </c>
      <c r="L52" s="11"/>
      <c r="M52" s="347" t="s">
        <v>279</v>
      </c>
      <c r="N52" s="359">
        <f t="shared" ref="N52:O52" si="43">D48-D52</f>
        <v>0</v>
      </c>
      <c r="O52" s="351">
        <f t="shared" si="43"/>
        <v>0</v>
      </c>
      <c r="P52" s="351"/>
      <c r="Q52" s="351"/>
      <c r="R52" s="351"/>
      <c r="S52" s="359">
        <f t="shared" si="38"/>
        <v>0</v>
      </c>
    </row>
    <row r="53" hidden="1">
      <c r="A53" s="339">
        <f t="shared" si="42"/>
        <v>46056</v>
      </c>
      <c r="B53" s="11"/>
      <c r="C53" s="352" t="s">
        <v>280</v>
      </c>
      <c r="D53" s="348">
        <f>sumifs('jiliarena_代理数据_底稿'!$F:$F,'jiliarena_代理数据_底稿'!$B:$B,D$42,'jiliarena_代理数据_底稿'!$A:$A,$B51)</f>
        <v>0</v>
      </c>
      <c r="E53" s="348">
        <f>sumifs('jiliarena_代理数据_底稿'!$F:$F,'jiliarena_代理数据_底稿'!$B:$B,E$42,'jiliarena_代理数据_底稿'!$A:$A,$B51)</f>
        <v>0</v>
      </c>
      <c r="F53" s="348">
        <f>sumifs('jiliarena_代理数据_底稿'!$F:$F,'jiliarena_代理数据_底稿'!$B:$B,F$42,'jiliarena_代理数据_底稿'!$A:$A,$B51)</f>
        <v>0</v>
      </c>
      <c r="G53" s="348"/>
      <c r="H53" s="348"/>
      <c r="I53" s="348"/>
      <c r="J53" s="348">
        <f t="shared" si="36"/>
        <v>0</v>
      </c>
      <c r="K53" s="349">
        <f t="array" ref="K53">INDEX(jiliarena!$A$3:$M$39,MATCH($A53,jiliarena!$A$3:$A$39,0),MATCH("投注人数",jiliarena!$A$3:$M$3,0))-J53</f>
        <v>0</v>
      </c>
      <c r="L53" s="11"/>
      <c r="M53" s="352" t="s">
        <v>280</v>
      </c>
      <c r="N53" s="359">
        <f t="shared" ref="N53:O53" si="44">D49-D53</f>
        <v>0</v>
      </c>
      <c r="O53" s="359">
        <f t="shared" si="44"/>
        <v>0</v>
      </c>
      <c r="P53" s="351"/>
      <c r="Q53" s="351"/>
      <c r="R53" s="351"/>
      <c r="S53" s="359">
        <f t="shared" si="38"/>
        <v>0</v>
      </c>
    </row>
    <row r="54" hidden="1">
      <c r="A54" s="339">
        <f t="shared" si="42"/>
        <v>46056</v>
      </c>
      <c r="B54" s="20"/>
      <c r="C54" s="354" t="s">
        <v>294</v>
      </c>
      <c r="D54" s="355">
        <f>sumifs('jiliarena_代理数据_底稿'!$G:$G,'jiliarena_代理数据_底稿'!$B:$B,D$42,'jiliarena_代理数据_底稿'!$A:$A,$B51)</f>
        <v>0</v>
      </c>
      <c r="E54" s="355">
        <f>sumifs('jiliarena_代理数据_底稿'!$G:$G,'jiliarena_代理数据_底稿'!$B:$B,E$42,'jiliarena_代理数据_底稿'!$A:$A,$B51)</f>
        <v>0</v>
      </c>
      <c r="F54" s="355">
        <f>sumifs('jiliarena_代理数据_底稿'!$G:$G,'jiliarena_代理数据_底稿'!$B:$B,F$42,'jiliarena_代理数据_底稿'!$A:$A,$B51)</f>
        <v>0</v>
      </c>
      <c r="G54" s="360"/>
      <c r="H54" s="360"/>
      <c r="I54" s="360"/>
      <c r="J54" s="361">
        <f t="shared" si="36"/>
        <v>0</v>
      </c>
      <c r="K54" s="356">
        <f t="array" ref="K54">INDEX(jiliarena!$A$3:$M$39,MATCH($A54,jiliarena!$A$3:$A$39,0),MATCH("存款人数",jiliarena!$A$3:$M$3,0))-J54</f>
        <v>0</v>
      </c>
      <c r="L54" s="20"/>
      <c r="M54" s="354" t="s">
        <v>294</v>
      </c>
      <c r="N54" s="362">
        <f t="shared" ref="N54:O54" si="45">D50-D54</f>
        <v>0</v>
      </c>
      <c r="O54" s="362">
        <f t="shared" si="45"/>
        <v>0</v>
      </c>
      <c r="P54" s="338"/>
      <c r="Q54" s="338"/>
      <c r="R54" s="338"/>
      <c r="S54" s="362">
        <f t="shared" si="38"/>
        <v>0</v>
      </c>
    </row>
    <row r="55" hidden="1">
      <c r="A55" s="339">
        <f t="shared" ref="A55:A58" si="47">$B$55</f>
        <v>46057</v>
      </c>
      <c r="B55" s="340">
        <f>B51+1</f>
        <v>46057</v>
      </c>
      <c r="C55" s="341" t="s">
        <v>283</v>
      </c>
      <c r="D55" s="342">
        <f>sumifs('jiliarena_代理数据_底稿'!$I:$I,'jiliarena_代理数据_底稿'!$B:$B,D$42,'jiliarena_代理数据_底稿'!$A:$A,$B55)</f>
        <v>0</v>
      </c>
      <c r="E55" s="342">
        <f>sumifs('jiliarena_代理数据_底稿'!$I:$I,'jiliarena_代理数据_底稿'!$B:$B,E$42,'jiliarena_代理数据_底稿'!$A:$A,$B55)</f>
        <v>0</v>
      </c>
      <c r="F55" s="342">
        <f>sumifs('jiliarena_代理数据_底稿'!$I:$I,'jiliarena_代理数据_底稿'!$B:$B,F$42,'jiliarena_代理数据_底稿'!$A:$A,$B55)</f>
        <v>0</v>
      </c>
      <c r="G55" s="342"/>
      <c r="H55" s="342"/>
      <c r="I55" s="342"/>
      <c r="J55" s="342">
        <f t="shared" si="36"/>
        <v>0</v>
      </c>
      <c r="K55" s="343">
        <f t="array" ref="K55">INDEX(jiliarena!$A$3:$M$39,MATCH($A55,jiliarena!$A$3:$A$39,0),MATCH($C$43,jiliarena!$A$3:$M$3,0))-J55</f>
        <v>0</v>
      </c>
      <c r="L55" s="344">
        <f>B55</f>
        <v>46057</v>
      </c>
      <c r="M55" s="341" t="s">
        <v>283</v>
      </c>
      <c r="N55" s="346">
        <f t="shared" ref="N55:O55" si="46">D51-D55</f>
        <v>0</v>
      </c>
      <c r="O55" s="346">
        <f t="shared" si="46"/>
        <v>0</v>
      </c>
      <c r="P55" s="346"/>
      <c r="Q55" s="346"/>
      <c r="R55" s="346"/>
      <c r="S55" s="346">
        <f t="shared" si="38"/>
        <v>0</v>
      </c>
    </row>
    <row r="56" hidden="1">
      <c r="A56" s="339">
        <f t="shared" si="47"/>
        <v>46057</v>
      </c>
      <c r="B56" s="11"/>
      <c r="C56" s="347" t="s">
        <v>279</v>
      </c>
      <c r="D56" s="348">
        <f>sumifs('jiliarena_代理数据_底稿'!$E:$E,'jiliarena_代理数据_底稿'!$B:$B,D$42,'jiliarena_代理数据_底稿'!$A:$A,$B55)</f>
        <v>0</v>
      </c>
      <c r="E56" s="358">
        <f>sumifs('jiliarena_代理数据_底稿'!$E:$E,'jiliarena_代理数据_底稿'!$B:$B,E$42,'jiliarena_代理数据_底稿'!$A:$A,$B55)</f>
        <v>0</v>
      </c>
      <c r="F56" s="348">
        <f>sumifs('jiliarena_代理数据_底稿'!$E:$E,'jiliarena_代理数据_底稿'!$B:$B,F$42,'jiliarena_代理数据_底稿'!$A:$A,$B55)</f>
        <v>0</v>
      </c>
      <c r="G56" s="358"/>
      <c r="H56" s="358"/>
      <c r="I56" s="358"/>
      <c r="J56" s="348">
        <f t="shared" si="36"/>
        <v>0</v>
      </c>
      <c r="K56" s="349">
        <f t="array" ref="K56">INDEX(jiliarena!$A$3:$M$39,MATCH($A56,jiliarena!$A$3:$A$39,0),MATCH("登录人数",jiliarena!$A$3:$M$3,0))-J56</f>
        <v>0</v>
      </c>
      <c r="L56" s="11"/>
      <c r="M56" s="347" t="s">
        <v>279</v>
      </c>
      <c r="N56" s="359">
        <f t="shared" ref="N56:O56" si="48">D52-D56</f>
        <v>0</v>
      </c>
      <c r="O56" s="351">
        <f t="shared" si="48"/>
        <v>0</v>
      </c>
      <c r="P56" s="351"/>
      <c r="Q56" s="351"/>
      <c r="R56" s="351"/>
      <c r="S56" s="359">
        <f t="shared" si="38"/>
        <v>0</v>
      </c>
    </row>
    <row r="57" hidden="1">
      <c r="A57" s="339">
        <f t="shared" si="47"/>
        <v>46057</v>
      </c>
      <c r="B57" s="11"/>
      <c r="C57" s="352" t="s">
        <v>280</v>
      </c>
      <c r="D57" s="348">
        <f>sumifs('jiliarena_代理数据_底稿'!$F:$F,'jiliarena_代理数据_底稿'!$B:$B,D$42,'jiliarena_代理数据_底稿'!$A:$A,$B55)</f>
        <v>0</v>
      </c>
      <c r="E57" s="348">
        <f>sumifs('jiliarena_代理数据_底稿'!$F:$F,'jiliarena_代理数据_底稿'!$B:$B,E$42,'jiliarena_代理数据_底稿'!$A:$A,$B55)</f>
        <v>0</v>
      </c>
      <c r="F57" s="348">
        <f>sumifs('jiliarena_代理数据_底稿'!$F:$F,'jiliarena_代理数据_底稿'!$B:$B,F$42,'jiliarena_代理数据_底稿'!$A:$A,$B55)</f>
        <v>0</v>
      </c>
      <c r="G57" s="348"/>
      <c r="H57" s="348"/>
      <c r="I57" s="348"/>
      <c r="J57" s="348">
        <f t="shared" si="36"/>
        <v>0</v>
      </c>
      <c r="K57" s="349">
        <f t="array" ref="K57">INDEX(jiliarena!$A$3:$M$39,MATCH($A57,jiliarena!$A$3:$A$39,0),MATCH("投注人数",jiliarena!$A$3:$M$3,0))-J57</f>
        <v>0</v>
      </c>
      <c r="L57" s="11"/>
      <c r="M57" s="352" t="s">
        <v>280</v>
      </c>
      <c r="N57" s="359">
        <f t="shared" ref="N57:O57" si="49">D53-D57</f>
        <v>0</v>
      </c>
      <c r="O57" s="359">
        <f t="shared" si="49"/>
        <v>0</v>
      </c>
      <c r="P57" s="351"/>
      <c r="Q57" s="351"/>
      <c r="R57" s="351"/>
      <c r="S57" s="359">
        <f t="shared" si="38"/>
        <v>0</v>
      </c>
    </row>
    <row r="58" hidden="1">
      <c r="A58" s="339">
        <f t="shared" si="47"/>
        <v>46057</v>
      </c>
      <c r="B58" s="20"/>
      <c r="C58" s="354" t="s">
        <v>294</v>
      </c>
      <c r="D58" s="355">
        <f>sumifs('jiliarena_代理数据_底稿'!$G:$G,'jiliarena_代理数据_底稿'!$B:$B,D$42,'jiliarena_代理数据_底稿'!$A:$A,$B55)</f>
        <v>0</v>
      </c>
      <c r="E58" s="355">
        <f>sumifs('jiliarena_代理数据_底稿'!$G:$G,'jiliarena_代理数据_底稿'!$B:$B,E$42,'jiliarena_代理数据_底稿'!$A:$A,$B55)</f>
        <v>0</v>
      </c>
      <c r="F58" s="355">
        <f>sumifs('jiliarena_代理数据_底稿'!$G:$G,'jiliarena_代理数据_底稿'!$B:$B,F$42,'jiliarena_代理数据_底稿'!$A:$A,$B55)</f>
        <v>0</v>
      </c>
      <c r="G58" s="360"/>
      <c r="H58" s="360"/>
      <c r="I58" s="360"/>
      <c r="J58" s="361">
        <f t="shared" si="36"/>
        <v>0</v>
      </c>
      <c r="K58" s="356">
        <f t="array" ref="K58">INDEX(jiliarena!$A$3:$M$39,MATCH($A58,jiliarena!$A$3:$A$39,0),MATCH("存款人数",jiliarena!$A$3:$M$3,0))-J58</f>
        <v>0</v>
      </c>
      <c r="L58" s="20"/>
      <c r="M58" s="354" t="s">
        <v>294</v>
      </c>
      <c r="N58" s="362">
        <f t="shared" ref="N58:O58" si="50">D54-D58</f>
        <v>0</v>
      </c>
      <c r="O58" s="362">
        <f t="shared" si="50"/>
        <v>0</v>
      </c>
      <c r="P58" s="338"/>
      <c r="Q58" s="338"/>
      <c r="R58" s="338"/>
      <c r="S58" s="362">
        <f t="shared" si="38"/>
        <v>0</v>
      </c>
    </row>
    <row r="59" hidden="1">
      <c r="A59" s="339">
        <f t="shared" ref="A59:A62" si="52">$B$59</f>
        <v>46058</v>
      </c>
      <c r="B59" s="340">
        <f>B55+1</f>
        <v>46058</v>
      </c>
      <c r="C59" s="341" t="s">
        <v>283</v>
      </c>
      <c r="D59" s="342">
        <f>sumifs('jiliarena_代理数据_底稿'!$I:$I,'jiliarena_代理数据_底稿'!$B:$B,D$42,'jiliarena_代理数据_底稿'!$A:$A,$B59)</f>
        <v>0</v>
      </c>
      <c r="E59" s="342">
        <f>sumifs('jiliarena_代理数据_底稿'!$I:$I,'jiliarena_代理数据_底稿'!$B:$B,E$42,'jiliarena_代理数据_底稿'!$A:$A,$B59)</f>
        <v>0</v>
      </c>
      <c r="F59" s="342">
        <f>sumifs('jiliarena_代理数据_底稿'!$I:$I,'jiliarena_代理数据_底稿'!$B:$B,F$42,'jiliarena_代理数据_底稿'!$A:$A,$B59)</f>
        <v>0</v>
      </c>
      <c r="G59" s="342"/>
      <c r="H59" s="342"/>
      <c r="I59" s="342"/>
      <c r="J59" s="342">
        <f t="shared" si="36"/>
        <v>0</v>
      </c>
      <c r="K59" s="343">
        <f t="array" ref="K59">INDEX(jiliarena!$A$3:$M$39,MATCH($A59,jiliarena!$A$3:$A$39,0),MATCH($C$43,jiliarena!$A$3:$M$3,0))-J59</f>
        <v>0</v>
      </c>
      <c r="L59" s="344">
        <f>B59</f>
        <v>46058</v>
      </c>
      <c r="M59" s="341" t="s">
        <v>283</v>
      </c>
      <c r="N59" s="346">
        <f t="shared" ref="N59:O59" si="51">D55-D59</f>
        <v>0</v>
      </c>
      <c r="O59" s="346">
        <f t="shared" si="51"/>
        <v>0</v>
      </c>
      <c r="P59" s="346"/>
      <c r="Q59" s="346"/>
      <c r="R59" s="346"/>
      <c r="S59" s="346">
        <f t="shared" si="38"/>
        <v>0</v>
      </c>
    </row>
    <row r="60" hidden="1">
      <c r="A60" s="339">
        <f t="shared" si="52"/>
        <v>46058</v>
      </c>
      <c r="B60" s="11"/>
      <c r="C60" s="347" t="s">
        <v>279</v>
      </c>
      <c r="D60" s="348">
        <f>sumifs('jiliarena_代理数据_底稿'!$E:$E,'jiliarena_代理数据_底稿'!$B:$B,D$42,'jiliarena_代理数据_底稿'!$A:$A,$B59)</f>
        <v>0</v>
      </c>
      <c r="E60" s="358">
        <f>sumifs('jiliarena_代理数据_底稿'!$E:$E,'jiliarena_代理数据_底稿'!$B:$B,E$42,'jiliarena_代理数据_底稿'!$A:$A,$B59)</f>
        <v>0</v>
      </c>
      <c r="F60" s="348">
        <f>sumifs('jiliarena_代理数据_底稿'!$E:$E,'jiliarena_代理数据_底稿'!$B:$B,F$42,'jiliarena_代理数据_底稿'!$A:$A,$B59)</f>
        <v>0</v>
      </c>
      <c r="G60" s="358"/>
      <c r="H60" s="358"/>
      <c r="I60" s="358"/>
      <c r="J60" s="348">
        <f t="shared" si="36"/>
        <v>0</v>
      </c>
      <c r="K60" s="349">
        <f t="array" ref="K60">INDEX(jiliarena!$A$3:$M$39,MATCH($A60,jiliarena!$A$3:$A$39,0),MATCH("登录人数",jiliarena!$A$3:$M$3,0))-J60</f>
        <v>0</v>
      </c>
      <c r="L60" s="11"/>
      <c r="M60" s="347" t="s">
        <v>279</v>
      </c>
      <c r="N60" s="359">
        <f t="shared" ref="N60:O60" si="53">D56-D60</f>
        <v>0</v>
      </c>
      <c r="O60" s="351">
        <f t="shared" si="53"/>
        <v>0</v>
      </c>
      <c r="P60" s="351"/>
      <c r="Q60" s="351"/>
      <c r="R60" s="351"/>
      <c r="S60" s="359">
        <f t="shared" si="38"/>
        <v>0</v>
      </c>
    </row>
    <row r="61" hidden="1">
      <c r="A61" s="339">
        <f t="shared" si="52"/>
        <v>46058</v>
      </c>
      <c r="B61" s="11"/>
      <c r="C61" s="352" t="s">
        <v>280</v>
      </c>
      <c r="D61" s="348">
        <f>sumifs('jiliarena_代理数据_底稿'!$F:$F,'jiliarena_代理数据_底稿'!$B:$B,D$42,'jiliarena_代理数据_底稿'!$A:$A,$B59)</f>
        <v>0</v>
      </c>
      <c r="E61" s="348">
        <f>sumifs('jiliarena_代理数据_底稿'!$F:$F,'jiliarena_代理数据_底稿'!$B:$B,E$42,'jiliarena_代理数据_底稿'!$A:$A,$B59)</f>
        <v>0</v>
      </c>
      <c r="F61" s="348">
        <f>sumifs('jiliarena_代理数据_底稿'!$F:$F,'jiliarena_代理数据_底稿'!$B:$B,F$42,'jiliarena_代理数据_底稿'!$A:$A,$B59)</f>
        <v>0</v>
      </c>
      <c r="G61" s="348"/>
      <c r="H61" s="348"/>
      <c r="I61" s="348"/>
      <c r="J61" s="348">
        <f t="shared" si="36"/>
        <v>0</v>
      </c>
      <c r="K61" s="349">
        <f t="array" ref="K61">INDEX(jiliarena!$A$3:$M$39,MATCH($A61,jiliarena!$A$3:$A$39,0),MATCH("投注人数",jiliarena!$A$3:$M$3,0))-J61</f>
        <v>0</v>
      </c>
      <c r="L61" s="11"/>
      <c r="M61" s="352" t="s">
        <v>280</v>
      </c>
      <c r="N61" s="359">
        <f t="shared" ref="N61:O61" si="54">D57-D61</f>
        <v>0</v>
      </c>
      <c r="O61" s="359">
        <f t="shared" si="54"/>
        <v>0</v>
      </c>
      <c r="P61" s="351"/>
      <c r="Q61" s="351"/>
      <c r="R61" s="351"/>
      <c r="S61" s="359">
        <f t="shared" si="38"/>
        <v>0</v>
      </c>
    </row>
    <row r="62" hidden="1">
      <c r="A62" s="339">
        <f t="shared" si="52"/>
        <v>46058</v>
      </c>
      <c r="B62" s="20"/>
      <c r="C62" s="354" t="s">
        <v>294</v>
      </c>
      <c r="D62" s="355">
        <f>sumifs('jiliarena_代理数据_底稿'!$G:$G,'jiliarena_代理数据_底稿'!$B:$B,D$42,'jiliarena_代理数据_底稿'!$A:$A,$B59)</f>
        <v>0</v>
      </c>
      <c r="E62" s="355">
        <f>sumifs('jiliarena_代理数据_底稿'!$G:$G,'jiliarena_代理数据_底稿'!$B:$B,E$42,'jiliarena_代理数据_底稿'!$A:$A,$B59)</f>
        <v>0</v>
      </c>
      <c r="F62" s="355">
        <f>sumifs('jiliarena_代理数据_底稿'!$G:$G,'jiliarena_代理数据_底稿'!$B:$B,F$42,'jiliarena_代理数据_底稿'!$A:$A,$B59)</f>
        <v>0</v>
      </c>
      <c r="G62" s="360"/>
      <c r="H62" s="360"/>
      <c r="I62" s="360"/>
      <c r="J62" s="361">
        <f t="shared" si="36"/>
        <v>0</v>
      </c>
      <c r="K62" s="356">
        <f t="array" ref="K62">INDEX(jiliarena!$A$3:$M$39,MATCH($A62,jiliarena!$A$3:$A$39,0),MATCH("存款人数",jiliarena!$A$3:$M$3,0))-J62</f>
        <v>0</v>
      </c>
      <c r="L62" s="20"/>
      <c r="M62" s="354" t="s">
        <v>294</v>
      </c>
      <c r="N62" s="362">
        <f t="shared" ref="N62:O62" si="55">D58-D62</f>
        <v>0</v>
      </c>
      <c r="O62" s="362">
        <f t="shared" si="55"/>
        <v>0</v>
      </c>
      <c r="P62" s="338"/>
      <c r="Q62" s="338"/>
      <c r="R62" s="338"/>
      <c r="S62" s="362">
        <f t="shared" si="38"/>
        <v>0</v>
      </c>
    </row>
    <row r="63" hidden="1">
      <c r="A63" s="339">
        <f t="shared" ref="A63:A66" si="57">$B$63</f>
        <v>46059</v>
      </c>
      <c r="B63" s="340">
        <f>B59+1</f>
        <v>46059</v>
      </c>
      <c r="C63" s="341" t="s">
        <v>283</v>
      </c>
      <c r="D63" s="342">
        <f>sumifs('jiliarena_代理数据_底稿'!$I:$I,'jiliarena_代理数据_底稿'!$B:$B,D$42,'jiliarena_代理数据_底稿'!$A:$A,$B63)</f>
        <v>0</v>
      </c>
      <c r="E63" s="342">
        <f>sumifs('jiliarena_代理数据_底稿'!$I:$I,'jiliarena_代理数据_底稿'!$B:$B,E$42,'jiliarena_代理数据_底稿'!$A:$A,$B63)</f>
        <v>0</v>
      </c>
      <c r="F63" s="342">
        <f>sumifs('jiliarena_代理数据_底稿'!$I:$I,'jiliarena_代理数据_底稿'!$B:$B,F$42,'jiliarena_代理数据_底稿'!$A:$A,$B63)</f>
        <v>0</v>
      </c>
      <c r="G63" s="342"/>
      <c r="H63" s="342"/>
      <c r="I63" s="342"/>
      <c r="J63" s="342">
        <f t="shared" si="36"/>
        <v>0</v>
      </c>
      <c r="K63" s="343">
        <f t="array" ref="K63">INDEX(jiliarena!$A$3:$M$39,MATCH($A63,jiliarena!$A$3:$A$39,0),MATCH($C$43,jiliarena!$A$3:$M$3,0))-J63</f>
        <v>0</v>
      </c>
      <c r="L63" s="344">
        <f>B63</f>
        <v>46059</v>
      </c>
      <c r="M63" s="341" t="s">
        <v>283</v>
      </c>
      <c r="N63" s="346">
        <f t="shared" ref="N63:O63" si="56">D59-D63</f>
        <v>0</v>
      </c>
      <c r="O63" s="346">
        <f t="shared" si="56"/>
        <v>0</v>
      </c>
      <c r="P63" s="346"/>
      <c r="Q63" s="346"/>
      <c r="R63" s="346"/>
      <c r="S63" s="346">
        <f t="shared" si="38"/>
        <v>0</v>
      </c>
    </row>
    <row r="64" hidden="1">
      <c r="A64" s="339">
        <f t="shared" si="57"/>
        <v>46059</v>
      </c>
      <c r="B64" s="11"/>
      <c r="C64" s="347" t="s">
        <v>279</v>
      </c>
      <c r="D64" s="348">
        <f>sumifs('jiliarena_代理数据_底稿'!$E:$E,'jiliarena_代理数据_底稿'!$B:$B,D$42,'jiliarena_代理数据_底稿'!$A:$A,$B63)</f>
        <v>0</v>
      </c>
      <c r="E64" s="358">
        <f>sumifs('jiliarena_代理数据_底稿'!$E:$E,'jiliarena_代理数据_底稿'!$B:$B,E$42,'jiliarena_代理数据_底稿'!$A:$A,$B63)</f>
        <v>0</v>
      </c>
      <c r="F64" s="348">
        <f>sumifs('jiliarena_代理数据_底稿'!$E:$E,'jiliarena_代理数据_底稿'!$B:$B,F$42,'jiliarena_代理数据_底稿'!$A:$A,$B63)</f>
        <v>0</v>
      </c>
      <c r="G64" s="358"/>
      <c r="H64" s="358"/>
      <c r="I64" s="358"/>
      <c r="J64" s="348">
        <f t="shared" si="36"/>
        <v>0</v>
      </c>
      <c r="K64" s="349">
        <f t="array" ref="K64">INDEX(jiliarena!$A$3:$M$39,MATCH($A64,jiliarena!$A$3:$A$39,0),MATCH("登录人数",jiliarena!$A$3:$M$3,0))-J64</f>
        <v>0</v>
      </c>
      <c r="L64" s="11"/>
      <c r="M64" s="347" t="s">
        <v>279</v>
      </c>
      <c r="N64" s="359">
        <f t="shared" ref="N64:O64" si="58">D60-D64</f>
        <v>0</v>
      </c>
      <c r="O64" s="351">
        <f t="shared" si="58"/>
        <v>0</v>
      </c>
      <c r="P64" s="351"/>
      <c r="Q64" s="351"/>
      <c r="R64" s="351"/>
      <c r="S64" s="359">
        <f t="shared" si="38"/>
        <v>0</v>
      </c>
    </row>
    <row r="65" hidden="1">
      <c r="A65" s="339">
        <f t="shared" si="57"/>
        <v>46059</v>
      </c>
      <c r="B65" s="11"/>
      <c r="C65" s="352" t="s">
        <v>280</v>
      </c>
      <c r="D65" s="348">
        <f>sumifs('jiliarena_代理数据_底稿'!$F:$F,'jiliarena_代理数据_底稿'!$B:$B,D$42,'jiliarena_代理数据_底稿'!$A:$A,$B63)</f>
        <v>0</v>
      </c>
      <c r="E65" s="348">
        <f>sumifs('jiliarena_代理数据_底稿'!$F:$F,'jiliarena_代理数据_底稿'!$B:$B,E$42,'jiliarena_代理数据_底稿'!$A:$A,$B63)</f>
        <v>0</v>
      </c>
      <c r="F65" s="348">
        <f>sumifs('jiliarena_代理数据_底稿'!$F:$F,'jiliarena_代理数据_底稿'!$B:$B,F$42,'jiliarena_代理数据_底稿'!$A:$A,$B63)</f>
        <v>0</v>
      </c>
      <c r="G65" s="348"/>
      <c r="H65" s="348"/>
      <c r="I65" s="348"/>
      <c r="J65" s="348">
        <f t="shared" si="36"/>
        <v>0</v>
      </c>
      <c r="K65" s="349">
        <f t="array" ref="K65">INDEX(jiliarena!$A$3:$M$39,MATCH($A65,jiliarena!$A$3:$A$39,0),MATCH("投注人数",jiliarena!$A$3:$M$3,0))-J65</f>
        <v>0</v>
      </c>
      <c r="L65" s="11"/>
      <c r="M65" s="352" t="s">
        <v>280</v>
      </c>
      <c r="N65" s="359">
        <f t="shared" ref="N65:O65" si="59">D61-D65</f>
        <v>0</v>
      </c>
      <c r="O65" s="359">
        <f t="shared" si="59"/>
        <v>0</v>
      </c>
      <c r="P65" s="351"/>
      <c r="Q65" s="351"/>
      <c r="R65" s="351"/>
      <c r="S65" s="359">
        <f t="shared" si="38"/>
        <v>0</v>
      </c>
    </row>
    <row r="66" hidden="1">
      <c r="A66" s="339">
        <f t="shared" si="57"/>
        <v>46059</v>
      </c>
      <c r="B66" s="20"/>
      <c r="C66" s="354" t="s">
        <v>294</v>
      </c>
      <c r="D66" s="355">
        <f>sumifs('jiliarena_代理数据_底稿'!$G:$G,'jiliarena_代理数据_底稿'!$B:$B,D$42,'jiliarena_代理数据_底稿'!$A:$A,$B63)</f>
        <v>0</v>
      </c>
      <c r="E66" s="355">
        <f>sumifs('jiliarena_代理数据_底稿'!$G:$G,'jiliarena_代理数据_底稿'!$B:$B,E$42,'jiliarena_代理数据_底稿'!$A:$A,$B63)</f>
        <v>0</v>
      </c>
      <c r="F66" s="355">
        <f>sumifs('jiliarena_代理数据_底稿'!$G:$G,'jiliarena_代理数据_底稿'!$B:$B,F$42,'jiliarena_代理数据_底稿'!$A:$A,$B63)</f>
        <v>0</v>
      </c>
      <c r="G66" s="360"/>
      <c r="H66" s="360"/>
      <c r="I66" s="360"/>
      <c r="J66" s="361">
        <f t="shared" si="36"/>
        <v>0</v>
      </c>
      <c r="K66" s="356">
        <f t="array" ref="K66">INDEX(jiliarena!$A$3:$M$39,MATCH($A66,jiliarena!$A$3:$A$39,0),MATCH("存款人数",jiliarena!$A$3:$M$3,0))-J66</f>
        <v>0</v>
      </c>
      <c r="L66" s="20"/>
      <c r="M66" s="354" t="s">
        <v>294</v>
      </c>
      <c r="N66" s="362">
        <f t="shared" ref="N66:O66" si="60">D62-D66</f>
        <v>0</v>
      </c>
      <c r="O66" s="362">
        <f t="shared" si="60"/>
        <v>0</v>
      </c>
      <c r="P66" s="338"/>
      <c r="Q66" s="338"/>
      <c r="R66" s="338"/>
      <c r="S66" s="362">
        <f t="shared" si="38"/>
        <v>0</v>
      </c>
    </row>
    <row r="67" hidden="1">
      <c r="A67" s="339">
        <f t="shared" ref="A67:A70" si="62">$B$67</f>
        <v>46060</v>
      </c>
      <c r="B67" s="340">
        <f>B63+1</f>
        <v>46060</v>
      </c>
      <c r="C67" s="341" t="s">
        <v>283</v>
      </c>
      <c r="D67" s="342">
        <f>sumifs('jiliarena_代理数据_底稿'!$I:$I,'jiliarena_代理数据_底稿'!$B:$B,D$42,'jiliarena_代理数据_底稿'!$A:$A,$B67)</f>
        <v>0</v>
      </c>
      <c r="E67" s="342">
        <f>sumifs('jiliarena_代理数据_底稿'!$I:$I,'jiliarena_代理数据_底稿'!$B:$B,E$42,'jiliarena_代理数据_底稿'!$A:$A,$B67)</f>
        <v>0</v>
      </c>
      <c r="F67" s="342">
        <f>sumifs('jiliarena_代理数据_底稿'!$I:$I,'jiliarena_代理数据_底稿'!$B:$B,F$42,'jiliarena_代理数据_底稿'!$A:$A,$B67)</f>
        <v>0</v>
      </c>
      <c r="G67" s="342"/>
      <c r="H67" s="342"/>
      <c r="I67" s="342"/>
      <c r="J67" s="342">
        <f t="shared" si="36"/>
        <v>0</v>
      </c>
      <c r="K67" s="343">
        <f t="array" ref="K67">INDEX(jiliarena!$A$3:$M$39,MATCH($A67,jiliarena!$A$3:$A$39,0),MATCH($C$43,jiliarena!$A$3:$M$3,0))-J67</f>
        <v>0</v>
      </c>
      <c r="L67" s="344">
        <f>B67</f>
        <v>46060</v>
      </c>
      <c r="M67" s="341" t="s">
        <v>283</v>
      </c>
      <c r="N67" s="346">
        <f t="shared" ref="N67:O67" si="61">D63-D67</f>
        <v>0</v>
      </c>
      <c r="O67" s="346">
        <f t="shared" si="61"/>
        <v>0</v>
      </c>
      <c r="P67" s="346"/>
      <c r="Q67" s="346"/>
      <c r="R67" s="346"/>
      <c r="S67" s="346">
        <f t="shared" si="38"/>
        <v>0</v>
      </c>
    </row>
    <row r="68" hidden="1">
      <c r="A68" s="339">
        <f t="shared" si="62"/>
        <v>46060</v>
      </c>
      <c r="B68" s="11"/>
      <c r="C68" s="347" t="s">
        <v>279</v>
      </c>
      <c r="D68" s="348">
        <f>sumifs('jiliarena_代理数据_底稿'!$E:$E,'jiliarena_代理数据_底稿'!$B:$B,D$42,'jiliarena_代理数据_底稿'!$A:$A,$B67)</f>
        <v>0</v>
      </c>
      <c r="E68" s="358">
        <f>sumifs('jiliarena_代理数据_底稿'!$E:$E,'jiliarena_代理数据_底稿'!$B:$B,E$42,'jiliarena_代理数据_底稿'!$A:$A,$B67)</f>
        <v>0</v>
      </c>
      <c r="F68" s="348">
        <f>sumifs('jiliarena_代理数据_底稿'!$E:$E,'jiliarena_代理数据_底稿'!$B:$B,F$42,'jiliarena_代理数据_底稿'!$A:$A,$B67)</f>
        <v>0</v>
      </c>
      <c r="G68" s="358"/>
      <c r="H68" s="358"/>
      <c r="I68" s="358"/>
      <c r="J68" s="348">
        <f t="shared" si="36"/>
        <v>0</v>
      </c>
      <c r="K68" s="349">
        <f t="array" ref="K68">INDEX(jiliarena!$A$3:$M$39,MATCH($A68,jiliarena!$A$3:$A$39,0),MATCH("登录人数",jiliarena!$A$3:$M$3,0))-J68</f>
        <v>0</v>
      </c>
      <c r="L68" s="11"/>
      <c r="M68" s="347" t="s">
        <v>279</v>
      </c>
      <c r="N68" s="359">
        <f t="shared" ref="N68:O68" si="63">D64-D68</f>
        <v>0</v>
      </c>
      <c r="O68" s="351">
        <f t="shared" si="63"/>
        <v>0</v>
      </c>
      <c r="P68" s="351"/>
      <c r="Q68" s="351"/>
      <c r="R68" s="351"/>
      <c r="S68" s="359">
        <f t="shared" si="38"/>
        <v>0</v>
      </c>
    </row>
    <row r="69" hidden="1">
      <c r="A69" s="339">
        <f t="shared" si="62"/>
        <v>46060</v>
      </c>
      <c r="B69" s="11"/>
      <c r="C69" s="352" t="s">
        <v>280</v>
      </c>
      <c r="D69" s="348">
        <f>sumifs('jiliarena_代理数据_底稿'!$F:$F,'jiliarena_代理数据_底稿'!$B:$B,D$42,'jiliarena_代理数据_底稿'!$A:$A,$B67)</f>
        <v>0</v>
      </c>
      <c r="E69" s="348">
        <f>sumifs('jiliarena_代理数据_底稿'!$F:$F,'jiliarena_代理数据_底稿'!$B:$B,E$42,'jiliarena_代理数据_底稿'!$A:$A,$B67)</f>
        <v>0</v>
      </c>
      <c r="F69" s="348">
        <f>sumifs('jiliarena_代理数据_底稿'!$F:$F,'jiliarena_代理数据_底稿'!$B:$B,F$42,'jiliarena_代理数据_底稿'!$A:$A,$B67)</f>
        <v>0</v>
      </c>
      <c r="G69" s="348"/>
      <c r="H69" s="348"/>
      <c r="I69" s="348"/>
      <c r="J69" s="348">
        <f t="shared" si="36"/>
        <v>0</v>
      </c>
      <c r="K69" s="349">
        <f t="array" ref="K69">INDEX(jiliarena!$A$3:$M$39,MATCH($A69,jiliarena!$A$3:$A$39,0),MATCH("投注人数",jiliarena!$A$3:$M$3,0))-J69</f>
        <v>0</v>
      </c>
      <c r="L69" s="11"/>
      <c r="M69" s="352" t="s">
        <v>280</v>
      </c>
      <c r="N69" s="359">
        <f t="shared" ref="N69:O69" si="64">D65-D69</f>
        <v>0</v>
      </c>
      <c r="O69" s="359">
        <f t="shared" si="64"/>
        <v>0</v>
      </c>
      <c r="P69" s="351"/>
      <c r="Q69" s="351"/>
      <c r="R69" s="351"/>
      <c r="S69" s="359">
        <f t="shared" si="38"/>
        <v>0</v>
      </c>
    </row>
    <row r="70" hidden="1">
      <c r="A70" s="339">
        <f t="shared" si="62"/>
        <v>46060</v>
      </c>
      <c r="B70" s="20"/>
      <c r="C70" s="354" t="s">
        <v>294</v>
      </c>
      <c r="D70" s="355">
        <f>sumifs('jiliarena_代理数据_底稿'!$G:$G,'jiliarena_代理数据_底稿'!$B:$B,D$42,'jiliarena_代理数据_底稿'!$A:$A,$B67)</f>
        <v>0</v>
      </c>
      <c r="E70" s="355">
        <f>sumifs('jiliarena_代理数据_底稿'!$G:$G,'jiliarena_代理数据_底稿'!$B:$B,E$42,'jiliarena_代理数据_底稿'!$A:$A,$B67)</f>
        <v>0</v>
      </c>
      <c r="F70" s="355">
        <f>sumifs('jiliarena_代理数据_底稿'!$G:$G,'jiliarena_代理数据_底稿'!$B:$B,F$42,'jiliarena_代理数据_底稿'!$A:$A,$B67)</f>
        <v>0</v>
      </c>
      <c r="G70" s="360"/>
      <c r="H70" s="360"/>
      <c r="I70" s="360"/>
      <c r="J70" s="361">
        <f t="shared" si="36"/>
        <v>0</v>
      </c>
      <c r="K70" s="356">
        <f t="array" ref="K70">INDEX(jiliarena!$A$3:$M$39,MATCH($A70,jiliarena!$A$3:$A$39,0),MATCH("存款人数",jiliarena!$A$3:$M$3,0))-J70</f>
        <v>0</v>
      </c>
      <c r="L70" s="20"/>
      <c r="M70" s="354" t="s">
        <v>294</v>
      </c>
      <c r="N70" s="362">
        <f t="shared" ref="N70:O70" si="65">D66-D70</f>
        <v>0</v>
      </c>
      <c r="O70" s="362">
        <f t="shared" si="65"/>
        <v>0</v>
      </c>
      <c r="P70" s="338"/>
      <c r="Q70" s="338"/>
      <c r="R70" s="338"/>
      <c r="S70" s="362">
        <f t="shared" si="38"/>
        <v>0</v>
      </c>
    </row>
    <row r="71" hidden="1">
      <c r="A71" s="339">
        <f t="shared" ref="A71:A74" si="67">$B$71</f>
        <v>46061</v>
      </c>
      <c r="B71" s="340">
        <f>B67+1</f>
        <v>46061</v>
      </c>
      <c r="C71" s="341" t="s">
        <v>283</v>
      </c>
      <c r="D71" s="342">
        <f>sumifs('jiliarena_代理数据_底稿'!$I:$I,'jiliarena_代理数据_底稿'!$B:$B,D$42,'jiliarena_代理数据_底稿'!$A:$A,$B71)</f>
        <v>0</v>
      </c>
      <c r="E71" s="342">
        <f>sumifs('jiliarena_代理数据_底稿'!$I:$I,'jiliarena_代理数据_底稿'!$B:$B,E$42,'jiliarena_代理数据_底稿'!$A:$A,$B71)</f>
        <v>0</v>
      </c>
      <c r="F71" s="342">
        <f>sumifs('jiliarena_代理数据_底稿'!$I:$I,'jiliarena_代理数据_底稿'!$B:$B,F$42,'jiliarena_代理数据_底稿'!$A:$A,$B71)</f>
        <v>0</v>
      </c>
      <c r="G71" s="342"/>
      <c r="H71" s="342"/>
      <c r="I71" s="342"/>
      <c r="J71" s="342">
        <f t="shared" si="36"/>
        <v>0</v>
      </c>
      <c r="K71" s="343">
        <f t="array" ref="K71">INDEX(jiliarena!$A$3:$M$39,MATCH($A71,jiliarena!$A$3:$A$39,0),MATCH($C$43,jiliarena!$A$3:$M$3,0))-J71</f>
        <v>0</v>
      </c>
      <c r="L71" s="344">
        <f>B71</f>
        <v>46061</v>
      </c>
      <c r="M71" s="341" t="s">
        <v>283</v>
      </c>
      <c r="N71" s="346">
        <f t="shared" ref="N71:O71" si="66">D67-D71</f>
        <v>0</v>
      </c>
      <c r="O71" s="346">
        <f t="shared" si="66"/>
        <v>0</v>
      </c>
      <c r="P71" s="346"/>
      <c r="Q71" s="346"/>
      <c r="R71" s="346"/>
      <c r="S71" s="346">
        <f t="shared" si="38"/>
        <v>0</v>
      </c>
    </row>
    <row r="72" hidden="1">
      <c r="A72" s="339">
        <f t="shared" si="67"/>
        <v>46061</v>
      </c>
      <c r="B72" s="11"/>
      <c r="C72" s="347" t="s">
        <v>279</v>
      </c>
      <c r="D72" s="348">
        <f>sumifs('jiliarena_代理数据_底稿'!$E:$E,'jiliarena_代理数据_底稿'!$B:$B,D$42,'jiliarena_代理数据_底稿'!$A:$A,$B71)</f>
        <v>0</v>
      </c>
      <c r="E72" s="358">
        <f>sumifs('jiliarena_代理数据_底稿'!$E:$E,'jiliarena_代理数据_底稿'!$B:$B,E$42,'jiliarena_代理数据_底稿'!$A:$A,$B71)</f>
        <v>0</v>
      </c>
      <c r="F72" s="348">
        <f>sumifs('jiliarena_代理数据_底稿'!$E:$E,'jiliarena_代理数据_底稿'!$B:$B,F$42,'jiliarena_代理数据_底稿'!$A:$A,$B71)</f>
        <v>0</v>
      </c>
      <c r="G72" s="358"/>
      <c r="H72" s="358"/>
      <c r="I72" s="358"/>
      <c r="J72" s="348">
        <f t="shared" si="36"/>
        <v>0</v>
      </c>
      <c r="K72" s="349">
        <f t="array" ref="K72">INDEX(jiliarena!$A$3:$M$39,MATCH($A72,jiliarena!$A$3:$A$39,0),MATCH("登录人数",jiliarena!$A$3:$M$3,0))-J72</f>
        <v>0</v>
      </c>
      <c r="L72" s="11"/>
      <c r="M72" s="347" t="s">
        <v>279</v>
      </c>
      <c r="N72" s="359">
        <f t="shared" ref="N72:O72" si="68">D68-D72</f>
        <v>0</v>
      </c>
      <c r="O72" s="351">
        <f t="shared" si="68"/>
        <v>0</v>
      </c>
      <c r="P72" s="351"/>
      <c r="Q72" s="351"/>
      <c r="R72" s="351"/>
      <c r="S72" s="359">
        <f t="shared" si="38"/>
        <v>0</v>
      </c>
    </row>
    <row r="73" hidden="1">
      <c r="A73" s="339">
        <f t="shared" si="67"/>
        <v>46061</v>
      </c>
      <c r="B73" s="11"/>
      <c r="C73" s="352" t="s">
        <v>280</v>
      </c>
      <c r="D73" s="348">
        <f>sumifs('jiliarena_代理数据_底稿'!$F:$F,'jiliarena_代理数据_底稿'!$B:$B,D$42,'jiliarena_代理数据_底稿'!$A:$A,$B71)</f>
        <v>0</v>
      </c>
      <c r="E73" s="348">
        <f>sumifs('jiliarena_代理数据_底稿'!$F:$F,'jiliarena_代理数据_底稿'!$B:$B,E$42,'jiliarena_代理数据_底稿'!$A:$A,$B71)</f>
        <v>0</v>
      </c>
      <c r="F73" s="348">
        <f>sumifs('jiliarena_代理数据_底稿'!$F:$F,'jiliarena_代理数据_底稿'!$B:$B,F$42,'jiliarena_代理数据_底稿'!$A:$A,$B71)</f>
        <v>0</v>
      </c>
      <c r="G73" s="348"/>
      <c r="H73" s="348"/>
      <c r="I73" s="348"/>
      <c r="J73" s="348">
        <f t="shared" si="36"/>
        <v>0</v>
      </c>
      <c r="K73" s="349">
        <f t="array" ref="K73">INDEX(jiliarena!$A$3:$M$39,MATCH($A73,jiliarena!$A$3:$A$39,0),MATCH("投注人数",jiliarena!$A$3:$M$3,0))-J73</f>
        <v>0</v>
      </c>
      <c r="L73" s="11"/>
      <c r="M73" s="352" t="s">
        <v>280</v>
      </c>
      <c r="N73" s="359">
        <f t="shared" ref="N73:O73" si="69">D69-D73</f>
        <v>0</v>
      </c>
      <c r="O73" s="359">
        <f t="shared" si="69"/>
        <v>0</v>
      </c>
      <c r="P73" s="351"/>
      <c r="Q73" s="351"/>
      <c r="R73" s="351"/>
      <c r="S73" s="359">
        <f t="shared" si="38"/>
        <v>0</v>
      </c>
    </row>
    <row r="74" hidden="1">
      <c r="A74" s="339">
        <f t="shared" si="67"/>
        <v>46061</v>
      </c>
      <c r="B74" s="20"/>
      <c r="C74" s="354" t="s">
        <v>294</v>
      </c>
      <c r="D74" s="355">
        <f>sumifs('jiliarena_代理数据_底稿'!$G:$G,'jiliarena_代理数据_底稿'!$B:$B,D$42,'jiliarena_代理数据_底稿'!$A:$A,$B71)</f>
        <v>0</v>
      </c>
      <c r="E74" s="355">
        <f>sumifs('jiliarena_代理数据_底稿'!$G:$G,'jiliarena_代理数据_底稿'!$B:$B,E$42,'jiliarena_代理数据_底稿'!$A:$A,$B71)</f>
        <v>0</v>
      </c>
      <c r="F74" s="355">
        <f>sumifs('jiliarena_代理数据_底稿'!$G:$G,'jiliarena_代理数据_底稿'!$B:$B,F$42,'jiliarena_代理数据_底稿'!$A:$A,$B71)</f>
        <v>0</v>
      </c>
      <c r="G74" s="360"/>
      <c r="H74" s="360"/>
      <c r="I74" s="360"/>
      <c r="J74" s="361">
        <f t="shared" si="36"/>
        <v>0</v>
      </c>
      <c r="K74" s="356">
        <f t="array" ref="K74">INDEX(jiliarena!$A$3:$M$39,MATCH($A74,jiliarena!$A$3:$A$39,0),MATCH("存款人数",jiliarena!$A$3:$M$3,0))-J74</f>
        <v>0</v>
      </c>
      <c r="L74" s="20"/>
      <c r="M74" s="354" t="s">
        <v>294</v>
      </c>
      <c r="N74" s="362">
        <f t="shared" ref="N74:O74" si="70">D70-D74</f>
        <v>0</v>
      </c>
      <c r="O74" s="362">
        <f t="shared" si="70"/>
        <v>0</v>
      </c>
      <c r="P74" s="338"/>
      <c r="Q74" s="338"/>
      <c r="R74" s="338"/>
      <c r="S74" s="362">
        <f t="shared" si="38"/>
        <v>0</v>
      </c>
    </row>
    <row r="75" hidden="1">
      <c r="A75" s="339">
        <f t="shared" ref="A75:A78" si="72">$B$75</f>
        <v>46062</v>
      </c>
      <c r="B75" s="340">
        <f>B71+1</f>
        <v>46062</v>
      </c>
      <c r="C75" s="341" t="s">
        <v>283</v>
      </c>
      <c r="D75" s="342">
        <f>sumifs('jiliarena_代理数据_底稿'!$I:$I,'jiliarena_代理数据_底稿'!$B:$B,D$42,'jiliarena_代理数据_底稿'!$A:$A,$B75)</f>
        <v>0</v>
      </c>
      <c r="E75" s="342">
        <f>sumifs('jiliarena_代理数据_底稿'!$I:$I,'jiliarena_代理数据_底稿'!$B:$B,E$42,'jiliarena_代理数据_底稿'!$A:$A,$B75)</f>
        <v>0</v>
      </c>
      <c r="F75" s="342">
        <f>sumifs('jiliarena_代理数据_底稿'!$I:$I,'jiliarena_代理数据_底稿'!$B:$B,F$42,'jiliarena_代理数据_底稿'!$A:$A,$B75)</f>
        <v>0</v>
      </c>
      <c r="G75" s="342"/>
      <c r="H75" s="342"/>
      <c r="I75" s="342"/>
      <c r="J75" s="342">
        <f t="shared" si="36"/>
        <v>0</v>
      </c>
      <c r="K75" s="343">
        <f t="array" ref="K75">INDEX(jiliarena!$A$3:$M$39,MATCH($A75,jiliarena!$A$3:$A$39,0),MATCH($C$43,jiliarena!$A$3:$M$3,0))-J75</f>
        <v>0</v>
      </c>
      <c r="L75" s="344">
        <f>B75</f>
        <v>46062</v>
      </c>
      <c r="M75" s="341" t="s">
        <v>283</v>
      </c>
      <c r="N75" s="346">
        <f t="shared" ref="N75:O75" si="71">D71-D75</f>
        <v>0</v>
      </c>
      <c r="O75" s="346">
        <f t="shared" si="71"/>
        <v>0</v>
      </c>
      <c r="P75" s="346"/>
      <c r="Q75" s="346"/>
      <c r="R75" s="346"/>
      <c r="S75" s="346">
        <f t="shared" si="38"/>
        <v>0</v>
      </c>
    </row>
    <row r="76" hidden="1">
      <c r="A76" s="339">
        <f t="shared" si="72"/>
        <v>46062</v>
      </c>
      <c r="B76" s="11"/>
      <c r="C76" s="347" t="s">
        <v>279</v>
      </c>
      <c r="D76" s="348">
        <f>sumifs('jiliarena_代理数据_底稿'!$E:$E,'jiliarena_代理数据_底稿'!$B:$B,D$42,'jiliarena_代理数据_底稿'!$A:$A,$B75)</f>
        <v>0</v>
      </c>
      <c r="E76" s="358">
        <f>sumifs('jiliarena_代理数据_底稿'!$E:$E,'jiliarena_代理数据_底稿'!$B:$B,E$42,'jiliarena_代理数据_底稿'!$A:$A,$B75)</f>
        <v>0</v>
      </c>
      <c r="F76" s="348">
        <f>sumifs('jiliarena_代理数据_底稿'!$E:$E,'jiliarena_代理数据_底稿'!$B:$B,F$42,'jiliarena_代理数据_底稿'!$A:$A,$B75)</f>
        <v>0</v>
      </c>
      <c r="G76" s="358"/>
      <c r="H76" s="358"/>
      <c r="I76" s="358"/>
      <c r="J76" s="348">
        <f t="shared" si="36"/>
        <v>0</v>
      </c>
      <c r="K76" s="349">
        <f t="array" ref="K76">INDEX(jiliarena!$A$3:$M$39,MATCH($A76,jiliarena!$A$3:$A$39,0),MATCH("登录人数",jiliarena!$A$3:$M$3,0))-J76</f>
        <v>0</v>
      </c>
      <c r="L76" s="11"/>
      <c r="M76" s="347" t="s">
        <v>279</v>
      </c>
      <c r="N76" s="359">
        <f t="shared" ref="N76:O76" si="73">D72-D76</f>
        <v>0</v>
      </c>
      <c r="O76" s="351">
        <f t="shared" si="73"/>
        <v>0</v>
      </c>
      <c r="P76" s="351"/>
      <c r="Q76" s="351"/>
      <c r="R76" s="351"/>
      <c r="S76" s="359">
        <f t="shared" si="38"/>
        <v>0</v>
      </c>
    </row>
    <row r="77" hidden="1">
      <c r="A77" s="339">
        <f t="shared" si="72"/>
        <v>46062</v>
      </c>
      <c r="B77" s="11"/>
      <c r="C77" s="352" t="s">
        <v>280</v>
      </c>
      <c r="D77" s="348">
        <f>sumifs('jiliarena_代理数据_底稿'!$F:$F,'jiliarena_代理数据_底稿'!$B:$B,D$42,'jiliarena_代理数据_底稿'!$A:$A,$B75)</f>
        <v>0</v>
      </c>
      <c r="E77" s="348">
        <f>sumifs('jiliarena_代理数据_底稿'!$F:$F,'jiliarena_代理数据_底稿'!$B:$B,E$42,'jiliarena_代理数据_底稿'!$A:$A,$B75)</f>
        <v>0</v>
      </c>
      <c r="F77" s="348">
        <f>sumifs('jiliarena_代理数据_底稿'!$F:$F,'jiliarena_代理数据_底稿'!$B:$B,F$42,'jiliarena_代理数据_底稿'!$A:$A,$B75)</f>
        <v>0</v>
      </c>
      <c r="G77" s="348"/>
      <c r="H77" s="348"/>
      <c r="I77" s="348"/>
      <c r="J77" s="348">
        <f t="shared" si="36"/>
        <v>0</v>
      </c>
      <c r="K77" s="349">
        <f t="array" ref="K77">INDEX(jiliarena!$A$3:$M$39,MATCH($A77,jiliarena!$A$3:$A$39,0),MATCH("投注人数",jiliarena!$A$3:$M$3,0))-J77</f>
        <v>0</v>
      </c>
      <c r="L77" s="11"/>
      <c r="M77" s="352" t="s">
        <v>280</v>
      </c>
      <c r="N77" s="359">
        <f t="shared" ref="N77:O77" si="74">D73-D77</f>
        <v>0</v>
      </c>
      <c r="O77" s="359">
        <f t="shared" si="74"/>
        <v>0</v>
      </c>
      <c r="P77" s="351"/>
      <c r="Q77" s="351"/>
      <c r="R77" s="351"/>
      <c r="S77" s="359">
        <f t="shared" si="38"/>
        <v>0</v>
      </c>
    </row>
    <row r="78" hidden="1">
      <c r="A78" s="339">
        <f t="shared" si="72"/>
        <v>46062</v>
      </c>
      <c r="B78" s="20"/>
      <c r="C78" s="354" t="s">
        <v>294</v>
      </c>
      <c r="D78" s="355">
        <f>sumifs('jiliarena_代理数据_底稿'!$G:$G,'jiliarena_代理数据_底稿'!$B:$B,D$42,'jiliarena_代理数据_底稿'!$A:$A,$B75)</f>
        <v>0</v>
      </c>
      <c r="E78" s="355">
        <f>sumifs('jiliarena_代理数据_底稿'!$G:$G,'jiliarena_代理数据_底稿'!$B:$B,E$42,'jiliarena_代理数据_底稿'!$A:$A,$B75)</f>
        <v>0</v>
      </c>
      <c r="F78" s="355">
        <f>sumifs('jiliarena_代理数据_底稿'!$G:$G,'jiliarena_代理数据_底稿'!$B:$B,F$42,'jiliarena_代理数据_底稿'!$A:$A,$B75)</f>
        <v>0</v>
      </c>
      <c r="G78" s="360"/>
      <c r="H78" s="360"/>
      <c r="I78" s="360"/>
      <c r="J78" s="361">
        <f t="shared" si="36"/>
        <v>0</v>
      </c>
      <c r="K78" s="356">
        <f t="array" ref="K78">INDEX(jiliarena!$A$3:$M$39,MATCH($A78,jiliarena!$A$3:$A$39,0),MATCH("存款人数",jiliarena!$A$3:$M$3,0))-J78</f>
        <v>0</v>
      </c>
      <c r="L78" s="20"/>
      <c r="M78" s="354" t="s">
        <v>294</v>
      </c>
      <c r="N78" s="362">
        <f t="shared" ref="N78:O78" si="75">D74-D78</f>
        <v>0</v>
      </c>
      <c r="O78" s="362">
        <f t="shared" si="75"/>
        <v>0</v>
      </c>
      <c r="P78" s="338"/>
      <c r="Q78" s="338"/>
      <c r="R78" s="338"/>
      <c r="S78" s="362">
        <f t="shared" si="38"/>
        <v>0</v>
      </c>
    </row>
    <row r="79" hidden="1">
      <c r="A79" s="339">
        <f t="shared" ref="A79:A82" si="77">$B$79</f>
        <v>46063</v>
      </c>
      <c r="B79" s="340">
        <f>B75+1</f>
        <v>46063</v>
      </c>
      <c r="C79" s="341" t="s">
        <v>283</v>
      </c>
      <c r="D79" s="342">
        <f>sumifs('jiliarena_代理数据_底稿'!$I:$I,'jiliarena_代理数据_底稿'!$B:$B,D$42,'jiliarena_代理数据_底稿'!$A:$A,$B79)</f>
        <v>0</v>
      </c>
      <c r="E79" s="342">
        <f>sumifs('jiliarena_代理数据_底稿'!$I:$I,'jiliarena_代理数据_底稿'!$B:$B,E$42,'jiliarena_代理数据_底稿'!$A:$A,$B79)</f>
        <v>0</v>
      </c>
      <c r="F79" s="342">
        <f>sumifs('jiliarena_代理数据_底稿'!$I:$I,'jiliarena_代理数据_底稿'!$B:$B,F$42,'jiliarena_代理数据_底稿'!$A:$A,$B79)</f>
        <v>0</v>
      </c>
      <c r="G79" s="342"/>
      <c r="H79" s="342"/>
      <c r="I79" s="342"/>
      <c r="J79" s="342">
        <f t="shared" si="36"/>
        <v>0</v>
      </c>
      <c r="K79" s="343">
        <f t="array" ref="K79">INDEX(jiliarena!$A$3:$M$39,MATCH($A79,jiliarena!$A$3:$A$39,0),MATCH($C$43,jiliarena!$A$3:$M$3,0))-J79</f>
        <v>1</v>
      </c>
      <c r="L79" s="344">
        <f>B79</f>
        <v>46063</v>
      </c>
      <c r="M79" s="341" t="s">
        <v>283</v>
      </c>
      <c r="N79" s="346">
        <f t="shared" ref="N79:O79" si="76">D75-D79</f>
        <v>0</v>
      </c>
      <c r="O79" s="346">
        <f t="shared" si="76"/>
        <v>0</v>
      </c>
      <c r="P79" s="346"/>
      <c r="Q79" s="346"/>
      <c r="R79" s="346"/>
      <c r="S79" s="346">
        <f t="shared" si="38"/>
        <v>0</v>
      </c>
    </row>
    <row r="80" hidden="1">
      <c r="A80" s="339">
        <f t="shared" si="77"/>
        <v>46063</v>
      </c>
      <c r="B80" s="11"/>
      <c r="C80" s="347" t="s">
        <v>279</v>
      </c>
      <c r="D80" s="348">
        <f>sumifs('jiliarena_代理数据_底稿'!$E:$E,'jiliarena_代理数据_底稿'!$B:$B,D$42,'jiliarena_代理数据_底稿'!$A:$A,$B79)</f>
        <v>0</v>
      </c>
      <c r="E80" s="358">
        <f>sumifs('jiliarena_代理数据_底稿'!$E:$E,'jiliarena_代理数据_底稿'!$B:$B,E$42,'jiliarena_代理数据_底稿'!$A:$A,$B79)</f>
        <v>0</v>
      </c>
      <c r="F80" s="348">
        <f>sumifs('jiliarena_代理数据_底稿'!$E:$E,'jiliarena_代理数据_底稿'!$B:$B,F$42,'jiliarena_代理数据_底稿'!$A:$A,$B79)</f>
        <v>0</v>
      </c>
      <c r="G80" s="358"/>
      <c r="H80" s="358"/>
      <c r="I80" s="358"/>
      <c r="J80" s="348">
        <f t="shared" si="36"/>
        <v>0</v>
      </c>
      <c r="K80" s="349">
        <f t="array" ref="K80">INDEX(jiliarena!$A$3:$M$39,MATCH($A80,jiliarena!$A$3:$A$39,0),MATCH("登录人数",jiliarena!$A$3:$M$3,0))-J80</f>
        <v>4</v>
      </c>
      <c r="L80" s="11"/>
      <c r="M80" s="347" t="s">
        <v>279</v>
      </c>
      <c r="N80" s="359">
        <f t="shared" ref="N80:O80" si="78">D76-D80</f>
        <v>0</v>
      </c>
      <c r="O80" s="351">
        <f t="shared" si="78"/>
        <v>0</v>
      </c>
      <c r="P80" s="351"/>
      <c r="Q80" s="351"/>
      <c r="R80" s="351"/>
      <c r="S80" s="359">
        <f t="shared" si="38"/>
        <v>0</v>
      </c>
    </row>
    <row r="81" hidden="1">
      <c r="A81" s="339">
        <f t="shared" si="77"/>
        <v>46063</v>
      </c>
      <c r="B81" s="11"/>
      <c r="C81" s="352" t="s">
        <v>280</v>
      </c>
      <c r="D81" s="348">
        <f>sumifs('jiliarena_代理数据_底稿'!$F:$F,'jiliarena_代理数据_底稿'!$B:$B,D$42,'jiliarena_代理数据_底稿'!$A:$A,$B79)</f>
        <v>0</v>
      </c>
      <c r="E81" s="348">
        <f>sumifs('jiliarena_代理数据_底稿'!$F:$F,'jiliarena_代理数据_底稿'!$B:$B,E$42,'jiliarena_代理数据_底稿'!$A:$A,$B79)</f>
        <v>0</v>
      </c>
      <c r="F81" s="348">
        <f>sumifs('jiliarena_代理数据_底稿'!$F:$F,'jiliarena_代理数据_底稿'!$B:$B,F$42,'jiliarena_代理数据_底稿'!$A:$A,$B79)</f>
        <v>0</v>
      </c>
      <c r="G81" s="348"/>
      <c r="H81" s="348"/>
      <c r="I81" s="348"/>
      <c r="J81" s="348">
        <f t="shared" si="36"/>
        <v>0</v>
      </c>
      <c r="K81" s="349">
        <f t="array" ref="K81">INDEX(jiliarena!$A$3:$M$39,MATCH($A81,jiliarena!$A$3:$A$39,0),MATCH("投注人数",jiliarena!$A$3:$M$3,0))-J81</f>
        <v>0</v>
      </c>
      <c r="L81" s="11"/>
      <c r="M81" s="352" t="s">
        <v>280</v>
      </c>
      <c r="N81" s="359">
        <f t="shared" ref="N81:O81" si="79">D77-D81</f>
        <v>0</v>
      </c>
      <c r="O81" s="359">
        <f t="shared" si="79"/>
        <v>0</v>
      </c>
      <c r="P81" s="351"/>
      <c r="Q81" s="351"/>
      <c r="R81" s="351"/>
      <c r="S81" s="359">
        <f t="shared" si="38"/>
        <v>0</v>
      </c>
    </row>
    <row r="82" hidden="1">
      <c r="A82" s="339">
        <f t="shared" si="77"/>
        <v>46063</v>
      </c>
      <c r="B82" s="20"/>
      <c r="C82" s="354" t="s">
        <v>294</v>
      </c>
      <c r="D82" s="355">
        <f>sumifs('jiliarena_代理数据_底稿'!$G:$G,'jiliarena_代理数据_底稿'!$B:$B,D$42,'jiliarena_代理数据_底稿'!$A:$A,$B79)</f>
        <v>0</v>
      </c>
      <c r="E82" s="355">
        <f>sumifs('jiliarena_代理数据_底稿'!$G:$G,'jiliarena_代理数据_底稿'!$B:$B,E$42,'jiliarena_代理数据_底稿'!$A:$A,$B79)</f>
        <v>0</v>
      </c>
      <c r="F82" s="355">
        <f>sumifs('jiliarena_代理数据_底稿'!$G:$G,'jiliarena_代理数据_底稿'!$B:$B,F$42,'jiliarena_代理数据_底稿'!$A:$A,$B79)</f>
        <v>0</v>
      </c>
      <c r="G82" s="360"/>
      <c r="H82" s="360"/>
      <c r="I82" s="360"/>
      <c r="J82" s="361">
        <f t="shared" si="36"/>
        <v>0</v>
      </c>
      <c r="K82" s="356">
        <f t="array" ref="K82">INDEX(jiliarena!$A$3:$M$39,MATCH($A82,jiliarena!$A$3:$A$39,0),MATCH("存款人数",jiliarena!$A$3:$M$3,0))-J82</f>
        <v>0</v>
      </c>
      <c r="L82" s="20"/>
      <c r="M82" s="354" t="s">
        <v>294</v>
      </c>
      <c r="N82" s="362">
        <f t="shared" ref="N82:O82" si="80">D78-D82</f>
        <v>0</v>
      </c>
      <c r="O82" s="362">
        <f t="shared" si="80"/>
        <v>0</v>
      </c>
      <c r="P82" s="338"/>
      <c r="Q82" s="338"/>
      <c r="R82" s="338"/>
      <c r="S82" s="362">
        <f t="shared" si="38"/>
        <v>0</v>
      </c>
    </row>
    <row r="83">
      <c r="A83" s="339">
        <f t="shared" ref="A83:A86" si="82">$B$83</f>
        <v>46064</v>
      </c>
      <c r="B83" s="340">
        <f>B79+1</f>
        <v>46064</v>
      </c>
      <c r="C83" s="341" t="s">
        <v>283</v>
      </c>
      <c r="D83" s="342">
        <f>sumifs('jiliarena_代理数据_底稿'!$I:$I,'jiliarena_代理数据_底稿'!$B:$B,D$42,'jiliarena_代理数据_底稿'!$A:$A,$B83)</f>
        <v>0</v>
      </c>
      <c r="E83" s="342">
        <f>sumifs('jiliarena_代理数据_底稿'!$I:$I,'jiliarena_代理数据_底稿'!$B:$B,E$42,'jiliarena_代理数据_底稿'!$A:$A,$B83)</f>
        <v>12</v>
      </c>
      <c r="F83" s="342">
        <f>sumifs('jiliarena_代理数据_底稿'!$I:$I,'jiliarena_代理数据_底稿'!$B:$B,F$42,'jiliarena_代理数据_底稿'!$A:$A,$B83)</f>
        <v>1014</v>
      </c>
      <c r="G83" s="342">
        <f>sumifs('jiliarena_代理数据_底稿'!$I:$I,'jiliarena_代理数据_底稿'!$B:$B,G$42,'jiliarena_代理数据_底稿'!$A:$A,$B83)</f>
        <v>130</v>
      </c>
      <c r="H83" s="342">
        <f>sumifs('jiliarena_代理数据_底稿'!$I:$I,'jiliarena_代理数据_底稿'!$B:$B,H$42,'jiliarena_代理数据_底稿'!$A:$A,$B83)</f>
        <v>0</v>
      </c>
      <c r="I83" s="342">
        <f>sumifs('jiliarena_代理数据_底稿'!$I:$I,'jiliarena_代理数据_底稿'!$B:$B,I$42,'jiliarena_代理数据_底稿'!$A:$A,$B83)</f>
        <v>0</v>
      </c>
      <c r="J83" s="342">
        <f t="shared" si="36"/>
        <v>1026</v>
      </c>
      <c r="K83" s="343">
        <f t="array" ref="K83">INDEX(jiliarena!$A$3:$M$39,MATCH($A83,jiliarena!$A$3:$A$39,0),MATCH($C$43,jiliarena!$A$3:$M$3,0))-J83</f>
        <v>130</v>
      </c>
      <c r="L83" s="344">
        <f>B83</f>
        <v>46064</v>
      </c>
      <c r="M83" s="341" t="s">
        <v>283</v>
      </c>
      <c r="N83" s="346">
        <f t="shared" ref="N83:S83" si="81">D79-D83</f>
        <v>0</v>
      </c>
      <c r="O83" s="346">
        <f t="shared" si="81"/>
        <v>-12</v>
      </c>
      <c r="P83" s="346">
        <f t="shared" si="81"/>
        <v>-1014</v>
      </c>
      <c r="Q83" s="346">
        <f t="shared" si="81"/>
        <v>-130</v>
      </c>
      <c r="R83" s="346">
        <f t="shared" si="81"/>
        <v>0</v>
      </c>
      <c r="S83" s="346">
        <f t="shared" si="81"/>
        <v>0</v>
      </c>
    </row>
    <row r="84">
      <c r="A84" s="339">
        <f t="shared" si="82"/>
        <v>46064</v>
      </c>
      <c r="B84" s="11"/>
      <c r="C84" s="347" t="s">
        <v>279</v>
      </c>
      <c r="D84" s="348">
        <f>sumifs('jiliarena_代理数据_底稿'!$E:$E,'jiliarena_代理数据_底稿'!$B:$B,D$42,'jiliarena_代理数据_底稿'!$A:$A,$B83)</f>
        <v>0</v>
      </c>
      <c r="E84" s="348">
        <f>sumifs('jiliarena_代理数据_底稿'!$E:$E,'jiliarena_代理数据_底稿'!$B:$B,E$42,'jiliarena_代理数据_底稿'!$A:$A,$B83)</f>
        <v>11</v>
      </c>
      <c r="F84" s="348">
        <f>sumifs('jiliarena_代理数据_底稿'!$E:$E,'jiliarena_代理数据_底稿'!$B:$B,F$42,'jiliarena_代理数据_底稿'!$A:$A,$B83)</f>
        <v>1016</v>
      </c>
      <c r="G84" s="348">
        <f>sumifs('jiliarena_代理数据_底稿'!$E:$E,'jiliarena_代理数据_底稿'!$B:$B,G$42,'jiliarena_代理数据_底稿'!$A:$A,$B83)</f>
        <v>130</v>
      </c>
      <c r="H84" s="348">
        <f>sumifs('jiliarena_代理数据_底稿'!$E:$E,'jiliarena_代理数据_底稿'!$B:$B,H$42,'jiliarena_代理数据_底稿'!$A:$A,$B83)</f>
        <v>0</v>
      </c>
      <c r="I84" s="348">
        <f>sumifs('jiliarena_代理数据_底稿'!$E:$E,'jiliarena_代理数据_底稿'!$B:$B,I$42,'jiliarena_代理数据_底稿'!$A:$A,$B83)</f>
        <v>0</v>
      </c>
      <c r="J84" s="348">
        <f t="shared" si="36"/>
        <v>1027</v>
      </c>
      <c r="K84" s="349">
        <f t="array" ref="K84">INDEX(jiliarena!$A$3:$M$39,MATCH($A84,jiliarena!$A$3:$A$39,0),MATCH("登录人数",jiliarena!$A$3:$M$3,0))-J84</f>
        <v>131</v>
      </c>
      <c r="L84" s="11"/>
      <c r="M84" s="347" t="s">
        <v>279</v>
      </c>
      <c r="N84" s="359">
        <f t="shared" ref="N84:S84" si="83">D80-D84</f>
        <v>0</v>
      </c>
      <c r="O84" s="359">
        <f t="shared" si="83"/>
        <v>-11</v>
      </c>
      <c r="P84" s="359">
        <f t="shared" si="83"/>
        <v>-1016</v>
      </c>
      <c r="Q84" s="359">
        <f t="shared" si="83"/>
        <v>-130</v>
      </c>
      <c r="R84" s="359">
        <f t="shared" si="83"/>
        <v>0</v>
      </c>
      <c r="S84" s="359">
        <f t="shared" si="83"/>
        <v>0</v>
      </c>
    </row>
    <row r="85">
      <c r="A85" s="339">
        <f t="shared" si="82"/>
        <v>46064</v>
      </c>
      <c r="B85" s="11"/>
      <c r="C85" s="352" t="s">
        <v>280</v>
      </c>
      <c r="D85" s="348">
        <f>sumifs('jiliarena_代理数据_底稿'!$F:$F,'jiliarena_代理数据_底稿'!$B:$B,D$42,'jiliarena_代理数据_底稿'!$A:$A,$B83)</f>
        <v>0</v>
      </c>
      <c r="E85" s="348">
        <f>sumifs('jiliarena_代理数据_底稿'!$F:$F,'jiliarena_代理数据_底稿'!$B:$B,E$42,'jiliarena_代理数据_底稿'!$A:$A,$B83)</f>
        <v>10</v>
      </c>
      <c r="F85" s="348">
        <f>sumifs('jiliarena_代理数据_底稿'!$F:$F,'jiliarena_代理数据_底稿'!$B:$B,F$42,'jiliarena_代理数据_底稿'!$A:$A,$B83)</f>
        <v>853</v>
      </c>
      <c r="G85" s="348">
        <f>sumifs('jiliarena_代理数据_底稿'!$F:$F,'jiliarena_代理数据_底稿'!$B:$B,G$42,'jiliarena_代理数据_底稿'!$A:$A,$B83)</f>
        <v>117</v>
      </c>
      <c r="H85" s="348">
        <f>sumifs('jiliarena_代理数据_底稿'!$F:$F,'jiliarena_代理数据_底稿'!$B:$B,H$42,'jiliarena_代理数据_底稿'!$A:$A,$B83)</f>
        <v>0</v>
      </c>
      <c r="I85" s="348">
        <f>sumifs('jiliarena_代理数据_底稿'!$F:$F,'jiliarena_代理数据_底稿'!$B:$B,I$42,'jiliarena_代理数据_底稿'!$A:$A,$B83)</f>
        <v>0</v>
      </c>
      <c r="J85" s="348">
        <f t="shared" si="36"/>
        <v>863</v>
      </c>
      <c r="K85" s="349">
        <f t="array" ref="K85">INDEX(jiliarena!$A$3:$M$39,MATCH($A85,jiliarena!$A$3:$A$39,0),MATCH("投注人数",jiliarena!$A$3:$M$3,0))-J85</f>
        <v>117</v>
      </c>
      <c r="L85" s="11"/>
      <c r="M85" s="352" t="s">
        <v>280</v>
      </c>
      <c r="N85" s="359">
        <f t="shared" ref="N85:S85" si="84">D81-D85</f>
        <v>0</v>
      </c>
      <c r="O85" s="359">
        <f t="shared" si="84"/>
        <v>-10</v>
      </c>
      <c r="P85" s="359">
        <f t="shared" si="84"/>
        <v>-853</v>
      </c>
      <c r="Q85" s="359">
        <f t="shared" si="84"/>
        <v>-117</v>
      </c>
      <c r="R85" s="359">
        <f t="shared" si="84"/>
        <v>0</v>
      </c>
      <c r="S85" s="359">
        <f t="shared" si="84"/>
        <v>0</v>
      </c>
    </row>
    <row r="86">
      <c r="A86" s="339">
        <f t="shared" si="82"/>
        <v>46064</v>
      </c>
      <c r="B86" s="20"/>
      <c r="C86" s="354" t="s">
        <v>294</v>
      </c>
      <c r="D86" s="355">
        <f>sumifs('jiliarena_代理数据_底稿'!$G:$G,'jiliarena_代理数据_底稿'!$B:$B,D$42,'jiliarena_代理数据_底稿'!$A:$A,$B83)</f>
        <v>0</v>
      </c>
      <c r="E86" s="355">
        <f>sumifs('jiliarena_代理数据_底稿'!$G:$G,'jiliarena_代理数据_底稿'!$B:$B,E$42,'jiliarena_代理数据_底稿'!$A:$A,$B83)</f>
        <v>1</v>
      </c>
      <c r="F86" s="355">
        <f>sumifs('jiliarena_代理数据_底稿'!$G:$G,'jiliarena_代理数据_底稿'!$B:$B,F$42,'jiliarena_代理数据_底稿'!$A:$A,$B83)</f>
        <v>252</v>
      </c>
      <c r="G86" s="355">
        <f>sumifs('jiliarena_代理数据_底稿'!$G:$G,'jiliarena_代理数据_底稿'!$B:$B,G$42,'jiliarena_代理数据_底稿'!$A:$A,$B83)</f>
        <v>41</v>
      </c>
      <c r="H86" s="355">
        <f>sumifs('jiliarena_代理数据_底稿'!$G:$G,'jiliarena_代理数据_底稿'!$B:$B,H$42,'jiliarena_代理数据_底稿'!$A:$A,$B83)</f>
        <v>0</v>
      </c>
      <c r="I86" s="355">
        <f>sumifs('jiliarena_代理数据_底稿'!$G:$G,'jiliarena_代理数据_底稿'!$B:$B,I$42,'jiliarena_代理数据_底稿'!$A:$A,$B83)</f>
        <v>0</v>
      </c>
      <c r="J86" s="361">
        <f t="shared" si="36"/>
        <v>253</v>
      </c>
      <c r="K86" s="356">
        <f t="array" ref="K86">INDEX(jiliarena!$A$3:$M$39,MATCH($A86,jiliarena!$A$3:$A$39,0),MATCH("存款人数",jiliarena!$A$3:$M$3,0))-J86</f>
        <v>41</v>
      </c>
      <c r="L86" s="20"/>
      <c r="M86" s="354" t="s">
        <v>294</v>
      </c>
      <c r="N86" s="362">
        <f t="shared" ref="N86:S86" si="85">D82-D86</f>
        <v>0</v>
      </c>
      <c r="O86" s="362">
        <f t="shared" si="85"/>
        <v>-1</v>
      </c>
      <c r="P86" s="362">
        <f t="shared" si="85"/>
        <v>-252</v>
      </c>
      <c r="Q86" s="362">
        <f t="shared" si="85"/>
        <v>-41</v>
      </c>
      <c r="R86" s="362">
        <f t="shared" si="85"/>
        <v>0</v>
      </c>
      <c r="S86" s="362">
        <f t="shared" si="85"/>
        <v>0</v>
      </c>
    </row>
    <row r="87">
      <c r="A87" s="339">
        <f t="shared" ref="A87:A90" si="87">$B$87</f>
        <v>46065</v>
      </c>
      <c r="B87" s="340">
        <f>B83+1</f>
        <v>46065</v>
      </c>
      <c r="C87" s="341" t="s">
        <v>283</v>
      </c>
      <c r="D87" s="342">
        <f>sumifs('jiliarena_代理数据_底稿'!$I:$I,'jiliarena_代理数据_底稿'!$B:$B,D$42,'jiliarena_代理数据_底稿'!$A:$A,$B87)</f>
        <v>0</v>
      </c>
      <c r="E87" s="342">
        <f>sumifs('jiliarena_代理数据_底稿'!$I:$I,'jiliarena_代理数据_底稿'!$B:$B,E$42,'jiliarena_代理数据_底稿'!$A:$A,$B87)</f>
        <v>2050</v>
      </c>
      <c r="F87" s="342">
        <f>sumifs('jiliarena_代理数据_底稿'!$I:$I,'jiliarena_代理数据_底稿'!$B:$B,F$42,'jiliarena_代理数据_底稿'!$A:$A,$B87)</f>
        <v>21286</v>
      </c>
      <c r="G87" s="342">
        <f>sumifs('jiliarena_代理数据_底稿'!$I:$I,'jiliarena_代理数据_底稿'!$B:$B,G$42,'jiliarena_代理数据_底稿'!$A:$A,$B87)</f>
        <v>1031</v>
      </c>
      <c r="H87" s="342">
        <f>sumifs('jiliarena_代理数据_底稿'!$I:$I,'jiliarena_代理数据_底稿'!$B:$B,H$42,'jiliarena_代理数据_底稿'!$A:$A,$B87)</f>
        <v>0</v>
      </c>
      <c r="I87" s="342">
        <f>sumifs('jiliarena_代理数据_底稿'!$I:$I,'jiliarena_代理数据_底稿'!$B:$B,I$42,'jiliarena_代理数据_底稿'!$A:$A,$B87)</f>
        <v>0</v>
      </c>
      <c r="J87" s="342">
        <f t="shared" si="36"/>
        <v>23336</v>
      </c>
      <c r="K87" s="343">
        <f t="array" ref="K87">INDEX(jiliarena!$A$3:$M$39,MATCH($A87,jiliarena!$A$3:$A$39,0),MATCH($C$43,jiliarena!$A$3:$M$3,0))-J87</f>
        <v>1031</v>
      </c>
      <c r="L87" s="344">
        <f>B87</f>
        <v>46065</v>
      </c>
      <c r="M87" s="341" t="s">
        <v>283</v>
      </c>
      <c r="N87" s="346">
        <f t="shared" ref="N87:S87" si="86">D83-D87</f>
        <v>0</v>
      </c>
      <c r="O87" s="346">
        <f t="shared" si="86"/>
        <v>-2038</v>
      </c>
      <c r="P87" s="346">
        <f t="shared" si="86"/>
        <v>-20272</v>
      </c>
      <c r="Q87" s="346">
        <f t="shared" si="86"/>
        <v>-901</v>
      </c>
      <c r="R87" s="346">
        <f t="shared" si="86"/>
        <v>0</v>
      </c>
      <c r="S87" s="346">
        <f t="shared" si="86"/>
        <v>0</v>
      </c>
    </row>
    <row r="88">
      <c r="A88" s="339">
        <f t="shared" si="87"/>
        <v>46065</v>
      </c>
      <c r="B88" s="11"/>
      <c r="C88" s="347" t="s">
        <v>279</v>
      </c>
      <c r="D88" s="348">
        <f>sumifs('jiliarena_代理数据_底稿'!$E:$E,'jiliarena_代理数据_底稿'!$B:$B,D$42,'jiliarena_代理数据_底稿'!$A:$A,$B87)</f>
        <v>0</v>
      </c>
      <c r="E88" s="348">
        <f>sumifs('jiliarena_代理数据_底稿'!$E:$E,'jiliarena_代理数据_底稿'!$B:$B,E$42,'jiliarena_代理数据_底稿'!$A:$A,$B87)</f>
        <v>2050</v>
      </c>
      <c r="F88" s="348">
        <f>sumifs('jiliarena_代理数据_底稿'!$E:$E,'jiliarena_代理数据_底稿'!$B:$B,F$42,'jiliarena_代理数据_底稿'!$A:$A,$B87)</f>
        <v>20999</v>
      </c>
      <c r="G88" s="348">
        <f>sumifs('jiliarena_代理数据_底稿'!$E:$E,'jiliarena_代理数据_底稿'!$B:$B,G$42,'jiliarena_代理数据_底稿'!$A:$A,$B87)</f>
        <v>1127</v>
      </c>
      <c r="H88" s="348">
        <f>sumifs('jiliarena_代理数据_底稿'!$E:$E,'jiliarena_代理数据_底稿'!$B:$B,H$42,'jiliarena_代理数据_底稿'!$A:$A,$B87)</f>
        <v>0</v>
      </c>
      <c r="I88" s="348">
        <f>sumifs('jiliarena_代理数据_底稿'!$E:$E,'jiliarena_代理数据_底稿'!$B:$B,I$42,'jiliarena_代理数据_底稿'!$A:$A,$B87)</f>
        <v>0</v>
      </c>
      <c r="J88" s="348">
        <f t="shared" si="36"/>
        <v>23049</v>
      </c>
      <c r="K88" s="349">
        <f t="array" ref="K88">INDEX(jiliarena!$A$3:$M$39,MATCH($A88,jiliarena!$A$3:$A$39,0),MATCH("登录人数",jiliarena!$A$3:$M$3,0))-J88</f>
        <v>1127</v>
      </c>
      <c r="L88" s="11"/>
      <c r="M88" s="347" t="s">
        <v>279</v>
      </c>
      <c r="N88" s="359">
        <f t="shared" ref="N88:S88" si="88">D84-D88</f>
        <v>0</v>
      </c>
      <c r="O88" s="359">
        <f t="shared" si="88"/>
        <v>-2039</v>
      </c>
      <c r="P88" s="359">
        <f t="shared" si="88"/>
        <v>-19983</v>
      </c>
      <c r="Q88" s="359">
        <f t="shared" si="88"/>
        <v>-997</v>
      </c>
      <c r="R88" s="359">
        <f t="shared" si="88"/>
        <v>0</v>
      </c>
      <c r="S88" s="359">
        <f t="shared" si="88"/>
        <v>0</v>
      </c>
    </row>
    <row r="89">
      <c r="A89" s="339">
        <f t="shared" si="87"/>
        <v>46065</v>
      </c>
      <c r="B89" s="11"/>
      <c r="C89" s="352" t="s">
        <v>280</v>
      </c>
      <c r="D89" s="348">
        <f>sumifs('jiliarena_代理数据_底稿'!$F:$F,'jiliarena_代理数据_底稿'!$B:$B,D$42,'jiliarena_代理数据_底稿'!$A:$A,$B87)</f>
        <v>0</v>
      </c>
      <c r="E89" s="348">
        <f>sumifs('jiliarena_代理数据_底稿'!$F:$F,'jiliarena_代理数据_底稿'!$B:$B,E$42,'jiliarena_代理数据_底稿'!$A:$A,$B87)</f>
        <v>1775</v>
      </c>
      <c r="F89" s="348">
        <f>sumifs('jiliarena_代理数据_底稿'!$F:$F,'jiliarena_代理数据_底稿'!$B:$B,F$42,'jiliarena_代理数据_底稿'!$A:$A,$B87)</f>
        <v>19758</v>
      </c>
      <c r="G89" s="348">
        <f>sumifs('jiliarena_代理数据_底稿'!$F:$F,'jiliarena_代理数据_底稿'!$B:$B,G$42,'jiliarena_代理数据_底稿'!$A:$A,$B87)</f>
        <v>1060</v>
      </c>
      <c r="H89" s="348">
        <f>sumifs('jiliarena_代理数据_底稿'!$F:$F,'jiliarena_代理数据_底稿'!$B:$B,H$42,'jiliarena_代理数据_底稿'!$A:$A,$B87)</f>
        <v>0</v>
      </c>
      <c r="I89" s="348">
        <f>sumifs('jiliarena_代理数据_底稿'!$F:$F,'jiliarena_代理数据_底稿'!$B:$B,I$42,'jiliarena_代理数据_底稿'!$A:$A,$B87)</f>
        <v>0</v>
      </c>
      <c r="J89" s="348">
        <f t="shared" si="36"/>
        <v>21533</v>
      </c>
      <c r="K89" s="349">
        <f t="array" ref="K89">INDEX(jiliarena!$A$3:$M$39,MATCH($A89,jiliarena!$A$3:$A$39,0),MATCH("投注人数",jiliarena!$A$3:$M$3,0))-J89</f>
        <v>1060</v>
      </c>
      <c r="L89" s="11"/>
      <c r="M89" s="352" t="s">
        <v>280</v>
      </c>
      <c r="N89" s="359">
        <f t="shared" ref="N89:S89" si="89">D85-D89</f>
        <v>0</v>
      </c>
      <c r="O89" s="359">
        <f t="shared" si="89"/>
        <v>-1765</v>
      </c>
      <c r="P89" s="359">
        <f t="shared" si="89"/>
        <v>-18905</v>
      </c>
      <c r="Q89" s="359">
        <f t="shared" si="89"/>
        <v>-943</v>
      </c>
      <c r="R89" s="359">
        <f t="shared" si="89"/>
        <v>0</v>
      </c>
      <c r="S89" s="359">
        <f t="shared" si="89"/>
        <v>0</v>
      </c>
    </row>
    <row r="90">
      <c r="A90" s="339">
        <f t="shared" si="87"/>
        <v>46065</v>
      </c>
      <c r="B90" s="20"/>
      <c r="C90" s="354" t="s">
        <v>294</v>
      </c>
      <c r="D90" s="355">
        <f>sumifs('jiliarena_代理数据_底稿'!$G:$G,'jiliarena_代理数据_底稿'!$B:$B,D$42,'jiliarena_代理数据_底稿'!$A:$A,$B87)</f>
        <v>0</v>
      </c>
      <c r="E90" s="355">
        <f>sumifs('jiliarena_代理数据_底稿'!$G:$G,'jiliarena_代理数据_底稿'!$B:$B,E$42,'jiliarena_代理数据_底稿'!$A:$A,$B87)</f>
        <v>496</v>
      </c>
      <c r="F90" s="355">
        <f>sumifs('jiliarena_代理数据_底稿'!$G:$G,'jiliarena_代理数据_底稿'!$B:$B,F$42,'jiliarena_代理数据_底稿'!$A:$A,$B87)</f>
        <v>2036</v>
      </c>
      <c r="G90" s="355">
        <f>sumifs('jiliarena_代理数据_底稿'!$G:$G,'jiliarena_代理数据_底稿'!$B:$B,G$42,'jiliarena_代理数据_底稿'!$A:$A,$B87)</f>
        <v>193</v>
      </c>
      <c r="H90" s="355">
        <f>sumifs('jiliarena_代理数据_底稿'!$G:$G,'jiliarena_代理数据_底稿'!$B:$B,H$42,'jiliarena_代理数据_底稿'!$A:$A,$B87)</f>
        <v>0</v>
      </c>
      <c r="I90" s="355">
        <f>sumifs('jiliarena_代理数据_底稿'!$G:$G,'jiliarena_代理数据_底稿'!$B:$B,I$42,'jiliarena_代理数据_底稿'!$A:$A,$B87)</f>
        <v>0</v>
      </c>
      <c r="J90" s="361">
        <f t="shared" si="36"/>
        <v>2532</v>
      </c>
      <c r="K90" s="356">
        <f t="array" ref="K90">INDEX(jiliarena!$A$3:$M$39,MATCH($A90,jiliarena!$A$3:$A$39,0),MATCH("存款人数",jiliarena!$A$3:$M$3,0))-J90</f>
        <v>193</v>
      </c>
      <c r="L90" s="20"/>
      <c r="M90" s="354" t="s">
        <v>294</v>
      </c>
      <c r="N90" s="362">
        <f t="shared" ref="N90:S90" si="90">D86-D90</f>
        <v>0</v>
      </c>
      <c r="O90" s="362">
        <f t="shared" si="90"/>
        <v>-495</v>
      </c>
      <c r="P90" s="362">
        <f t="shared" si="90"/>
        <v>-1784</v>
      </c>
      <c r="Q90" s="362">
        <f t="shared" si="90"/>
        <v>-152</v>
      </c>
      <c r="R90" s="362">
        <f t="shared" si="90"/>
        <v>0</v>
      </c>
      <c r="S90" s="362">
        <f t="shared" si="90"/>
        <v>0</v>
      </c>
    </row>
    <row r="91">
      <c r="A91" s="339">
        <f t="shared" ref="A91:A94" si="92">$B$91</f>
        <v>46066</v>
      </c>
      <c r="B91" s="340">
        <f>B87+1</f>
        <v>46066</v>
      </c>
      <c r="C91" s="341" t="s">
        <v>283</v>
      </c>
      <c r="D91" s="342">
        <f>sumifs('jiliarena_代理数据_底稿'!$I:$I,'jiliarena_代理数据_底稿'!$B:$B,D$42,'jiliarena_代理数据_底稿'!$A:$A,$B91)</f>
        <v>67</v>
      </c>
      <c r="E91" s="342">
        <f>sumifs('jiliarena_代理数据_底稿'!$I:$I,'jiliarena_代理数据_底稿'!$B:$B,E$42,'jiliarena_代理数据_底稿'!$A:$A,$B91)</f>
        <v>2402</v>
      </c>
      <c r="F91" s="342">
        <f>sumifs('jiliarena_代理数据_底稿'!$I:$I,'jiliarena_代理数据_底稿'!$B:$B,F$42,'jiliarena_代理数据_底稿'!$A:$A,$B91)</f>
        <v>3151</v>
      </c>
      <c r="G91" s="342">
        <f>sumifs('jiliarena_代理数据_底稿'!$I:$I,'jiliarena_代理数据_底稿'!$B:$B,G$42,'jiliarena_代理数据_底稿'!$A:$A,$B91)</f>
        <v>297</v>
      </c>
      <c r="H91" s="342">
        <f>sumifs('jiliarena_代理数据_底稿'!$I:$I,'jiliarena_代理数据_底稿'!$B:$B,H$42,'jiliarena_代理数据_底稿'!$A:$A,$B91)</f>
        <v>0</v>
      </c>
      <c r="I91" s="342">
        <f>sumifs('jiliarena_代理数据_底稿'!$I:$I,'jiliarena_代理数据_底稿'!$B:$B,I$42,'jiliarena_代理数据_底稿'!$A:$A,$B91)</f>
        <v>1</v>
      </c>
      <c r="J91" s="342">
        <f t="shared" si="36"/>
        <v>5620</v>
      </c>
      <c r="K91" s="343">
        <f t="array" ref="K91">INDEX(jiliarena!$A$3:$M$39,MATCH($A91,jiliarena!$A$3:$A$39,0),MATCH($C$43,jiliarena!$A$3:$M$3,0))-J91</f>
        <v>298</v>
      </c>
      <c r="L91" s="344">
        <f>B91</f>
        <v>46066</v>
      </c>
      <c r="M91" s="341" t="s">
        <v>283</v>
      </c>
      <c r="N91" s="346">
        <f t="shared" ref="N91:S91" si="91">D87-D91</f>
        <v>-67</v>
      </c>
      <c r="O91" s="346">
        <f t="shared" si="91"/>
        <v>-352</v>
      </c>
      <c r="P91" s="346">
        <f t="shared" si="91"/>
        <v>18135</v>
      </c>
      <c r="Q91" s="346">
        <f t="shared" si="91"/>
        <v>734</v>
      </c>
      <c r="R91" s="346">
        <f t="shared" si="91"/>
        <v>0</v>
      </c>
      <c r="S91" s="346">
        <f t="shared" si="91"/>
        <v>-1</v>
      </c>
    </row>
    <row r="92">
      <c r="A92" s="339">
        <f t="shared" si="92"/>
        <v>46066</v>
      </c>
      <c r="B92" s="11"/>
      <c r="C92" s="347" t="s">
        <v>279</v>
      </c>
      <c r="D92" s="348">
        <f>sumifs('jiliarena_代理数据_底稿'!$E:$E,'jiliarena_代理数据_底稿'!$B:$B,D$42,'jiliarena_代理数据_底稿'!$A:$A,$B91)</f>
        <v>66</v>
      </c>
      <c r="E92" s="348">
        <f>sumifs('jiliarena_代理数据_底稿'!$E:$E,'jiliarena_代理数据_底稿'!$B:$B,E$42,'jiliarena_代理数据_底稿'!$A:$A,$B91)</f>
        <v>3162</v>
      </c>
      <c r="F92" s="348">
        <f>sumifs('jiliarena_代理数据_底稿'!$E:$E,'jiliarena_代理数据_底稿'!$B:$B,F$42,'jiliarena_代理数据_底稿'!$A:$A,$B91)</f>
        <v>5959</v>
      </c>
      <c r="G92" s="348">
        <f>sumifs('jiliarena_代理数据_底稿'!$E:$E,'jiliarena_代理数据_底稿'!$B:$B,G$42,'jiliarena_代理数据_底稿'!$A:$A,$B91)</f>
        <v>637</v>
      </c>
      <c r="H92" s="348">
        <f>sumifs('jiliarena_代理数据_底稿'!$E:$E,'jiliarena_代理数据_底稿'!$B:$B,H$42,'jiliarena_代理数据_底稿'!$A:$A,$B91)</f>
        <v>0</v>
      </c>
      <c r="I92" s="348">
        <f>sumifs('jiliarena_代理数据_底稿'!$E:$E,'jiliarena_代理数据_底稿'!$B:$B,I$42,'jiliarena_代理数据_底稿'!$A:$A,$B91)</f>
        <v>0</v>
      </c>
      <c r="J92" s="348">
        <f t="shared" si="36"/>
        <v>9187</v>
      </c>
      <c r="K92" s="349">
        <f t="array" ref="K92">INDEX(jiliarena!$A$3:$M$39,MATCH($A92,jiliarena!$A$3:$A$39,0),MATCH("登录人数",jiliarena!$A$3:$M$3,0))-J92</f>
        <v>638</v>
      </c>
      <c r="L92" s="11"/>
      <c r="M92" s="347" t="s">
        <v>279</v>
      </c>
      <c r="N92" s="359">
        <f t="shared" ref="N92:S92" si="93">D88-D92</f>
        <v>-66</v>
      </c>
      <c r="O92" s="359">
        <f t="shared" si="93"/>
        <v>-1112</v>
      </c>
      <c r="P92" s="359">
        <f t="shared" si="93"/>
        <v>15040</v>
      </c>
      <c r="Q92" s="359">
        <f t="shared" si="93"/>
        <v>490</v>
      </c>
      <c r="R92" s="359">
        <f t="shared" si="93"/>
        <v>0</v>
      </c>
      <c r="S92" s="359">
        <f t="shared" si="93"/>
        <v>0</v>
      </c>
    </row>
    <row r="93">
      <c r="A93" s="339">
        <f t="shared" si="92"/>
        <v>46066</v>
      </c>
      <c r="B93" s="11"/>
      <c r="C93" s="352" t="s">
        <v>280</v>
      </c>
      <c r="D93" s="348">
        <f>sumifs('jiliarena_代理数据_底稿'!$F:$F,'jiliarena_代理数据_底稿'!$B:$B,D$42,'jiliarena_代理数据_底稿'!$A:$A,$B91)</f>
        <v>53</v>
      </c>
      <c r="E93" s="348">
        <f>sumifs('jiliarena_代理数据_底稿'!$F:$F,'jiliarena_代理数据_底稿'!$B:$B,E$42,'jiliarena_代理数据_底稿'!$A:$A,$B91)</f>
        <v>2201</v>
      </c>
      <c r="F93" s="348">
        <f>sumifs('jiliarena_代理数据_底稿'!$F:$F,'jiliarena_代理数据_底稿'!$B:$B,F$42,'jiliarena_代理数据_底稿'!$A:$A,$B91)</f>
        <v>4720</v>
      </c>
      <c r="G93" s="348">
        <f>sumifs('jiliarena_代理数据_底稿'!$F:$F,'jiliarena_代理数据_底稿'!$B:$B,G$42,'jiliarena_代理数据_底稿'!$A:$A,$B91)</f>
        <v>522</v>
      </c>
      <c r="H93" s="348">
        <f>sumifs('jiliarena_代理数据_底稿'!$F:$F,'jiliarena_代理数据_底稿'!$B:$B,H$42,'jiliarena_代理数据_底稿'!$A:$A,$B91)</f>
        <v>0</v>
      </c>
      <c r="I93" s="348">
        <f>sumifs('jiliarena_代理数据_底稿'!$F:$F,'jiliarena_代理数据_底稿'!$B:$B,I$42,'jiliarena_代理数据_底稿'!$A:$A,$B91)</f>
        <v>0</v>
      </c>
      <c r="J93" s="348">
        <f t="shared" si="36"/>
        <v>6974</v>
      </c>
      <c r="K93" s="349">
        <f t="array" ref="K93">INDEX(jiliarena!$A$3:$M$39,MATCH($A93,jiliarena!$A$3:$A$39,0),MATCH("投注人数",jiliarena!$A$3:$M$3,0))-J93</f>
        <v>522</v>
      </c>
      <c r="L93" s="11"/>
      <c r="M93" s="352" t="s">
        <v>280</v>
      </c>
      <c r="N93" s="359">
        <f t="shared" ref="N93:S93" si="94">D89-D93</f>
        <v>-53</v>
      </c>
      <c r="O93" s="359">
        <f t="shared" si="94"/>
        <v>-426</v>
      </c>
      <c r="P93" s="359">
        <f t="shared" si="94"/>
        <v>15038</v>
      </c>
      <c r="Q93" s="359">
        <f t="shared" si="94"/>
        <v>538</v>
      </c>
      <c r="R93" s="359">
        <f t="shared" si="94"/>
        <v>0</v>
      </c>
      <c r="S93" s="359">
        <f t="shared" si="94"/>
        <v>0</v>
      </c>
    </row>
    <row r="94">
      <c r="A94" s="339">
        <f t="shared" si="92"/>
        <v>46066</v>
      </c>
      <c r="B94" s="20"/>
      <c r="C94" s="354" t="s">
        <v>294</v>
      </c>
      <c r="D94" s="355">
        <f>sumifs('jiliarena_代理数据_底稿'!$G:$G,'jiliarena_代理数据_底稿'!$B:$B,D$42,'jiliarena_代理数据_底稿'!$A:$A,$B91)</f>
        <v>26</v>
      </c>
      <c r="E94" s="355">
        <f>sumifs('jiliarena_代理数据_底稿'!$G:$G,'jiliarena_代理数据_底稿'!$B:$B,E$42,'jiliarena_代理数据_底稿'!$A:$A,$B91)</f>
        <v>492</v>
      </c>
      <c r="F94" s="355">
        <f>sumifs('jiliarena_代理数据_底稿'!$G:$G,'jiliarena_代理数据_底稿'!$B:$B,F$42,'jiliarena_代理数据_底稿'!$A:$A,$B91)</f>
        <v>2040</v>
      </c>
      <c r="G94" s="355">
        <f>sumifs('jiliarena_代理数据_底稿'!$G:$G,'jiliarena_代理数据_底稿'!$B:$B,G$42,'jiliarena_代理数据_底稿'!$A:$A,$B91)</f>
        <v>197</v>
      </c>
      <c r="H94" s="355">
        <f>sumifs('jiliarena_代理数据_底稿'!$G:$G,'jiliarena_代理数据_底稿'!$B:$B,H$42,'jiliarena_代理数据_底稿'!$A:$A,$B91)</f>
        <v>0</v>
      </c>
      <c r="I94" s="355">
        <f>sumifs('jiliarena_代理数据_底稿'!$G:$G,'jiliarena_代理数据_底稿'!$B:$B,I$42,'jiliarena_代理数据_底稿'!$A:$A,$B91)</f>
        <v>0</v>
      </c>
      <c r="J94" s="361">
        <f t="shared" si="36"/>
        <v>2558</v>
      </c>
      <c r="K94" s="356">
        <f t="array" ref="K94">INDEX(jiliarena!$A$3:$M$39,MATCH($A94,jiliarena!$A$3:$A$39,0),MATCH("存款人数",jiliarena!$A$3:$M$3,0))-J94</f>
        <v>197</v>
      </c>
      <c r="L94" s="20"/>
      <c r="M94" s="354" t="s">
        <v>294</v>
      </c>
      <c r="N94" s="362">
        <f t="shared" ref="N94:S94" si="95">D90-D94</f>
        <v>-26</v>
      </c>
      <c r="O94" s="362">
        <f t="shared" si="95"/>
        <v>4</v>
      </c>
      <c r="P94" s="362">
        <f t="shared" si="95"/>
        <v>-4</v>
      </c>
      <c r="Q94" s="362">
        <f t="shared" si="95"/>
        <v>-4</v>
      </c>
      <c r="R94" s="362">
        <f t="shared" si="95"/>
        <v>0</v>
      </c>
      <c r="S94" s="362">
        <f t="shared" si="95"/>
        <v>0</v>
      </c>
    </row>
    <row r="95">
      <c r="A95" s="339">
        <f t="shared" ref="A95:A98" si="97">$B$95</f>
        <v>46067</v>
      </c>
      <c r="B95" s="340">
        <f>B91+1</f>
        <v>46067</v>
      </c>
      <c r="C95" s="341" t="s">
        <v>283</v>
      </c>
      <c r="D95" s="342">
        <f>sumifs('jiliarena_代理数据_底稿'!$I:$I,'jiliarena_代理数据_底稿'!$B:$B,D$42,'jiliarena_代理数据_底稿'!$A:$A,$B95)</f>
        <v>261</v>
      </c>
      <c r="E95" s="342">
        <f>sumifs('jiliarena_代理数据_底稿'!$I:$I,'jiliarena_代理数据_底稿'!$B:$B,E$42,'jiliarena_代理数据_底稿'!$A:$A,$B95)</f>
        <v>1036</v>
      </c>
      <c r="F95" s="342">
        <f>sumifs('jiliarena_代理数据_底稿'!$I:$I,'jiliarena_代理数据_底稿'!$B:$B,F$42,'jiliarena_代理数据_底稿'!$A:$A,$B95)</f>
        <v>1048</v>
      </c>
      <c r="G95" s="342">
        <f>sumifs('jiliarena_代理数据_底稿'!$I:$I,'jiliarena_代理数据_底稿'!$B:$B,G$42,'jiliarena_代理数据_底稿'!$A:$A,$B95)</f>
        <v>136</v>
      </c>
      <c r="H95" s="342">
        <f>sumifs('jiliarena_代理数据_底稿'!$I:$I,'jiliarena_代理数据_底稿'!$B:$B,H$42,'jiliarena_代理数据_底稿'!$A:$A,$B95)</f>
        <v>0</v>
      </c>
      <c r="I95" s="342">
        <f>sumifs('jiliarena_代理数据_底稿'!$I:$I,'jiliarena_代理数据_底稿'!$B:$B,I$42,'jiliarena_代理数据_底稿'!$A:$A,$B95)</f>
        <v>0</v>
      </c>
      <c r="J95" s="342">
        <f t="shared" si="36"/>
        <v>2345</v>
      </c>
      <c r="K95" s="343">
        <f t="array" ref="K95">INDEX(jiliarena!$A$3:$M$39,MATCH($A95,jiliarena!$A$3:$A$39,0),MATCH($C$43,jiliarena!$A$3:$M$3,0))-J95</f>
        <v>136</v>
      </c>
      <c r="L95" s="344">
        <f>B95</f>
        <v>46067</v>
      </c>
      <c r="M95" s="341" t="s">
        <v>283</v>
      </c>
      <c r="N95" s="346">
        <f t="shared" ref="N95:S95" si="96">D91-D95</f>
        <v>-194</v>
      </c>
      <c r="O95" s="346">
        <f t="shared" si="96"/>
        <v>1366</v>
      </c>
      <c r="P95" s="346">
        <f t="shared" si="96"/>
        <v>2103</v>
      </c>
      <c r="Q95" s="346">
        <f t="shared" si="96"/>
        <v>161</v>
      </c>
      <c r="R95" s="346">
        <f t="shared" si="96"/>
        <v>0</v>
      </c>
      <c r="S95" s="346">
        <f t="shared" si="96"/>
        <v>1</v>
      </c>
    </row>
    <row r="96">
      <c r="A96" s="339">
        <f t="shared" si="97"/>
        <v>46067</v>
      </c>
      <c r="B96" s="11"/>
      <c r="C96" s="347" t="s">
        <v>279</v>
      </c>
      <c r="D96" s="348">
        <f>sumifs('jiliarena_代理数据_底稿'!$E:$E,'jiliarena_代理数据_底稿'!$B:$B,D$42,'jiliarena_代理数据_底稿'!$A:$A,$B95)</f>
        <v>289</v>
      </c>
      <c r="E96" s="348">
        <f>sumifs('jiliarena_代理数据_底稿'!$E:$E,'jiliarena_代理数据_底稿'!$B:$B,E$42,'jiliarena_代理数据_底稿'!$A:$A,$B95)</f>
        <v>1977</v>
      </c>
      <c r="F96" s="348">
        <f>sumifs('jiliarena_代理数据_底稿'!$E:$E,'jiliarena_代理数据_底稿'!$B:$B,F$42,'jiliarena_代理数据_底稿'!$A:$A,$B95)</f>
        <v>3990</v>
      </c>
      <c r="G96" s="348">
        <f>sumifs('jiliarena_代理数据_底稿'!$E:$E,'jiliarena_代理数据_底稿'!$B:$B,G$42,'jiliarena_代理数据_底稿'!$A:$A,$B95)</f>
        <v>512</v>
      </c>
      <c r="H96" s="348">
        <f>sumifs('jiliarena_代理数据_底稿'!$E:$E,'jiliarena_代理数据_底稿'!$B:$B,H$42,'jiliarena_代理数据_底稿'!$A:$A,$B95)</f>
        <v>0</v>
      </c>
      <c r="I96" s="348">
        <f>sumifs('jiliarena_代理数据_底稿'!$E:$E,'jiliarena_代理数据_底稿'!$B:$B,I$42,'jiliarena_代理数据_底稿'!$A:$A,$B95)</f>
        <v>0</v>
      </c>
      <c r="J96" s="348">
        <f t="shared" si="36"/>
        <v>6256</v>
      </c>
      <c r="K96" s="349">
        <f t="array" ref="K96">INDEX(jiliarena!$A$3:$M$39,MATCH($A96,jiliarena!$A$3:$A$39,0),MATCH("登录人数",jiliarena!$A$3:$M$3,0))-J96</f>
        <v>512</v>
      </c>
      <c r="L96" s="11"/>
      <c r="M96" s="347" t="s">
        <v>279</v>
      </c>
      <c r="N96" s="359">
        <f t="shared" ref="N96:S96" si="98">D92-D96</f>
        <v>-223</v>
      </c>
      <c r="O96" s="359">
        <f t="shared" si="98"/>
        <v>1185</v>
      </c>
      <c r="P96" s="359">
        <f t="shared" si="98"/>
        <v>1969</v>
      </c>
      <c r="Q96" s="359">
        <f t="shared" si="98"/>
        <v>125</v>
      </c>
      <c r="R96" s="359">
        <f t="shared" si="98"/>
        <v>0</v>
      </c>
      <c r="S96" s="359">
        <f t="shared" si="98"/>
        <v>0</v>
      </c>
    </row>
    <row r="97">
      <c r="A97" s="339">
        <f t="shared" si="97"/>
        <v>46067</v>
      </c>
      <c r="B97" s="11"/>
      <c r="C97" s="352" t="s">
        <v>280</v>
      </c>
      <c r="D97" s="348">
        <f>sumifs('jiliarena_代理数据_底稿'!$F:$F,'jiliarena_代理数据_底稿'!$B:$B,D$42,'jiliarena_代理数据_底稿'!$A:$A,$B95)</f>
        <v>202</v>
      </c>
      <c r="E97" s="348">
        <f>sumifs('jiliarena_代理数据_底稿'!$F:$F,'jiliarena_代理数据_底稿'!$B:$B,E$42,'jiliarena_代理数据_底稿'!$A:$A,$B95)</f>
        <v>1404</v>
      </c>
      <c r="F97" s="348">
        <f>sumifs('jiliarena_代理数据_底稿'!$F:$F,'jiliarena_代理数据_底稿'!$B:$B,F$42,'jiliarena_代理数据_底稿'!$A:$A,$B95)</f>
        <v>2949</v>
      </c>
      <c r="G97" s="348">
        <f>sumifs('jiliarena_代理数据_底稿'!$F:$F,'jiliarena_代理数据_底稿'!$B:$B,G$42,'jiliarena_代理数据_底稿'!$A:$A,$B95)</f>
        <v>398</v>
      </c>
      <c r="H97" s="348">
        <f>sumifs('jiliarena_代理数据_底稿'!$F:$F,'jiliarena_代理数据_底稿'!$B:$B,H$42,'jiliarena_代理数据_底稿'!$A:$A,$B95)</f>
        <v>0</v>
      </c>
      <c r="I97" s="348">
        <f>sumifs('jiliarena_代理数据_底稿'!$F:$F,'jiliarena_代理数据_底稿'!$B:$B,I$42,'jiliarena_代理数据_底稿'!$A:$A,$B95)</f>
        <v>0</v>
      </c>
      <c r="J97" s="348">
        <f t="shared" si="36"/>
        <v>4555</v>
      </c>
      <c r="K97" s="349">
        <f t="array" ref="K97">INDEX(jiliarena!$A$3:$M$39,MATCH($A97,jiliarena!$A$3:$A$39,0),MATCH("投注人数",jiliarena!$A$3:$M$3,0))-J97</f>
        <v>398</v>
      </c>
      <c r="L97" s="11"/>
      <c r="M97" s="352" t="s">
        <v>280</v>
      </c>
      <c r="N97" s="359">
        <f t="shared" ref="N97:S97" si="99">D93-D97</f>
        <v>-149</v>
      </c>
      <c r="O97" s="359">
        <f t="shared" si="99"/>
        <v>797</v>
      </c>
      <c r="P97" s="359">
        <f t="shared" si="99"/>
        <v>1771</v>
      </c>
      <c r="Q97" s="359">
        <f t="shared" si="99"/>
        <v>124</v>
      </c>
      <c r="R97" s="359">
        <f t="shared" si="99"/>
        <v>0</v>
      </c>
      <c r="S97" s="359">
        <f t="shared" si="99"/>
        <v>0</v>
      </c>
    </row>
    <row r="98">
      <c r="A98" s="339">
        <f t="shared" si="97"/>
        <v>46067</v>
      </c>
      <c r="B98" s="20"/>
      <c r="C98" s="354" t="s">
        <v>294</v>
      </c>
      <c r="D98" s="355">
        <f>sumifs('jiliarena_代理数据_底稿'!$G:$G,'jiliarena_代理数据_底稿'!$B:$B,D$42,'jiliarena_代理数据_底稿'!$A:$A,$B95)</f>
        <v>100</v>
      </c>
      <c r="E98" s="355">
        <f>sumifs('jiliarena_代理数据_底稿'!$G:$G,'jiliarena_代理数据_底稿'!$B:$B,E$42,'jiliarena_代理数据_底稿'!$A:$A,$B95)</f>
        <v>331</v>
      </c>
      <c r="F98" s="355">
        <f>sumifs('jiliarena_代理数据_底稿'!$G:$G,'jiliarena_代理数据_底稿'!$B:$B,F$42,'jiliarena_代理数据_底稿'!$A:$A,$B95)</f>
        <v>1144</v>
      </c>
      <c r="G98" s="355">
        <f>sumifs('jiliarena_代理数据_底稿'!$G:$G,'jiliarena_代理数据_底稿'!$B:$B,G$42,'jiliarena_代理数据_底稿'!$A:$A,$B95)</f>
        <v>168</v>
      </c>
      <c r="H98" s="355">
        <f>sumifs('jiliarena_代理数据_底稿'!$G:$G,'jiliarena_代理数据_底稿'!$B:$B,H$42,'jiliarena_代理数据_底稿'!$A:$A,$B95)</f>
        <v>0</v>
      </c>
      <c r="I98" s="355">
        <f>sumifs('jiliarena_代理数据_底稿'!$G:$G,'jiliarena_代理数据_底稿'!$B:$B,I$42,'jiliarena_代理数据_底稿'!$A:$A,$B95)</f>
        <v>0</v>
      </c>
      <c r="J98" s="361">
        <f t="shared" si="36"/>
        <v>1575</v>
      </c>
      <c r="K98" s="356">
        <f t="array" ref="K98">INDEX(jiliarena!$A$3:$M$39,MATCH($A98,jiliarena!$A$3:$A$39,0),MATCH("存款人数",jiliarena!$A$3:$M$3,0))-J98</f>
        <v>168</v>
      </c>
      <c r="L98" s="20"/>
      <c r="M98" s="354" t="s">
        <v>294</v>
      </c>
      <c r="N98" s="362">
        <f t="shared" ref="N98:S98" si="100">D94-D98</f>
        <v>-74</v>
      </c>
      <c r="O98" s="362">
        <f t="shared" si="100"/>
        <v>161</v>
      </c>
      <c r="P98" s="362">
        <f t="shared" si="100"/>
        <v>896</v>
      </c>
      <c r="Q98" s="362">
        <f t="shared" si="100"/>
        <v>29</v>
      </c>
      <c r="R98" s="362">
        <f t="shared" si="100"/>
        <v>0</v>
      </c>
      <c r="S98" s="362">
        <f t="shared" si="100"/>
        <v>0</v>
      </c>
    </row>
    <row r="99">
      <c r="A99" s="339">
        <f t="shared" ref="A99:A102" si="102">$B$99</f>
        <v>46068</v>
      </c>
      <c r="B99" s="340">
        <f>B95+1</f>
        <v>46068</v>
      </c>
      <c r="C99" s="341" t="s">
        <v>283</v>
      </c>
      <c r="D99" s="342">
        <f>sumifs('jiliarena_代理数据_底稿'!$I:$I,'jiliarena_代理数据_底稿'!$B:$B,D$42,'jiliarena_代理数据_底稿'!$A:$A,$B99)</f>
        <v>236</v>
      </c>
      <c r="E99" s="342">
        <f>sumifs('jiliarena_代理数据_底稿'!$I:$I,'jiliarena_代理数据_底稿'!$B:$B,E$42,'jiliarena_代理数据_底稿'!$A:$A,$B99)</f>
        <v>527</v>
      </c>
      <c r="F99" s="342">
        <f>sumifs('jiliarena_代理数据_底稿'!$I:$I,'jiliarena_代理数据_底稿'!$B:$B,F$42,'jiliarena_代理数据_底稿'!$A:$A,$B99)</f>
        <v>442</v>
      </c>
      <c r="G99" s="342">
        <f>sumifs('jiliarena_代理数据_底稿'!$I:$I,'jiliarena_代理数据_底稿'!$B:$B,G$42,'jiliarena_代理数据_底稿'!$A:$A,$B99)</f>
        <v>59</v>
      </c>
      <c r="H99" s="342">
        <f>sumifs('jiliarena_代理数据_底稿'!$I:$I,'jiliarena_代理数据_底稿'!$B:$B,H$42,'jiliarena_代理数据_底稿'!$A:$A,$B99)</f>
        <v>0</v>
      </c>
      <c r="I99" s="342">
        <f>sumifs('jiliarena_代理数据_底稿'!$I:$I,'jiliarena_代理数据_底稿'!$B:$B,I$42,'jiliarena_代理数据_底稿'!$A:$A,$B99)</f>
        <v>0</v>
      </c>
      <c r="J99" s="342">
        <f t="shared" si="36"/>
        <v>1205</v>
      </c>
      <c r="K99" s="343">
        <f t="array" ref="K99">INDEX(jiliarena!$A$3:$M$39,MATCH($A99,jiliarena!$A$3:$A$39,0),MATCH($C$43,jiliarena!$A$3:$M$3,0))-J99</f>
        <v>59</v>
      </c>
      <c r="L99" s="344">
        <f>B99</f>
        <v>46068</v>
      </c>
      <c r="M99" s="341" t="s">
        <v>283</v>
      </c>
      <c r="N99" s="346">
        <f t="shared" ref="N99:S99" si="101">D95-D99</f>
        <v>25</v>
      </c>
      <c r="O99" s="346">
        <f t="shared" si="101"/>
        <v>509</v>
      </c>
      <c r="P99" s="346">
        <f t="shared" si="101"/>
        <v>606</v>
      </c>
      <c r="Q99" s="346">
        <f t="shared" si="101"/>
        <v>77</v>
      </c>
      <c r="R99" s="346">
        <f t="shared" si="101"/>
        <v>0</v>
      </c>
      <c r="S99" s="346">
        <f t="shared" si="101"/>
        <v>0</v>
      </c>
    </row>
    <row r="100">
      <c r="A100" s="339">
        <f t="shared" si="102"/>
        <v>46068</v>
      </c>
      <c r="B100" s="11"/>
      <c r="C100" s="347" t="s">
        <v>279</v>
      </c>
      <c r="D100" s="348">
        <f>sumifs('jiliarena_代理数据_底稿'!$E:$E,'jiliarena_代理数据_底稿'!$B:$B,D$42,'jiliarena_代理数据_底稿'!$A:$A,$B99)</f>
        <v>329</v>
      </c>
      <c r="E100" s="348">
        <f>sumifs('jiliarena_代理数据_底稿'!$E:$E,'jiliarena_代理数据_底稿'!$B:$B,E$42,'jiliarena_代理数据_底稿'!$A:$A,$B99)</f>
        <v>1389</v>
      </c>
      <c r="F100" s="348">
        <f>sumifs('jiliarena_代理数据_底稿'!$E:$E,'jiliarena_代理数据_底稿'!$B:$B,F$42,'jiliarena_代理数据_底稿'!$A:$A,$B99)</f>
        <v>3004</v>
      </c>
      <c r="G100" s="348">
        <f>sumifs('jiliarena_代理数据_底稿'!$E:$E,'jiliarena_代理数据_底稿'!$B:$B,G$42,'jiliarena_代理数据_底稿'!$A:$A,$B99)</f>
        <v>400</v>
      </c>
      <c r="H100" s="348">
        <f>sumifs('jiliarena_代理数据_底稿'!$E:$E,'jiliarena_代理数据_底稿'!$B:$B,H$42,'jiliarena_代理数据_底稿'!$A:$A,$B99)</f>
        <v>0</v>
      </c>
      <c r="I100" s="348">
        <f>sumifs('jiliarena_代理数据_底稿'!$E:$E,'jiliarena_代理数据_底稿'!$B:$B,I$42,'jiliarena_代理数据_底稿'!$A:$A,$B99)</f>
        <v>0</v>
      </c>
      <c r="J100" s="348">
        <f t="shared" si="36"/>
        <v>4722</v>
      </c>
      <c r="K100" s="349">
        <f t="array" ref="K100">INDEX(jiliarena!$A$3:$M$39,MATCH($A100,jiliarena!$A$3:$A$39,0),MATCH("登录人数",jiliarena!$A$3:$M$3,0))-J100</f>
        <v>400</v>
      </c>
      <c r="L100" s="11"/>
      <c r="M100" s="347" t="s">
        <v>279</v>
      </c>
      <c r="N100" s="359">
        <f t="shared" ref="N100:S100" si="103">D96-D100</f>
        <v>-40</v>
      </c>
      <c r="O100" s="359">
        <f t="shared" si="103"/>
        <v>588</v>
      </c>
      <c r="P100" s="359">
        <f t="shared" si="103"/>
        <v>986</v>
      </c>
      <c r="Q100" s="359">
        <f t="shared" si="103"/>
        <v>112</v>
      </c>
      <c r="R100" s="359">
        <f t="shared" si="103"/>
        <v>0</v>
      </c>
      <c r="S100" s="359">
        <f t="shared" si="103"/>
        <v>0</v>
      </c>
    </row>
    <row r="101">
      <c r="A101" s="339">
        <f t="shared" si="102"/>
        <v>46068</v>
      </c>
      <c r="B101" s="11"/>
      <c r="C101" s="352" t="s">
        <v>280</v>
      </c>
      <c r="D101" s="348">
        <f>sumifs('jiliarena_代理数据_底稿'!$F:$F,'jiliarena_代理数据_底稿'!$B:$B,D$42,'jiliarena_代理数据_底稿'!$A:$A,$B99)</f>
        <v>245</v>
      </c>
      <c r="E101" s="348">
        <f>sumifs('jiliarena_代理数据_底稿'!$F:$F,'jiliarena_代理数据_底稿'!$B:$B,E$42,'jiliarena_代理数据_底稿'!$A:$A,$B99)</f>
        <v>1004</v>
      </c>
      <c r="F101" s="348">
        <f>sumifs('jiliarena_代理数据_底稿'!$F:$F,'jiliarena_代理数据_底稿'!$B:$B,F$42,'jiliarena_代理数据_底稿'!$A:$A,$B99)</f>
        <v>2171</v>
      </c>
      <c r="G101" s="348">
        <f>sumifs('jiliarena_代理数据_底稿'!$F:$F,'jiliarena_代理数据_底稿'!$B:$B,G$42,'jiliarena_代理数据_底稿'!$A:$A,$B99)</f>
        <v>294</v>
      </c>
      <c r="H101" s="348">
        <f>sumifs('jiliarena_代理数据_底稿'!$F:$F,'jiliarena_代理数据_底稿'!$B:$B,H$42,'jiliarena_代理数据_底稿'!$A:$A,$B99)</f>
        <v>0</v>
      </c>
      <c r="I101" s="348">
        <f>sumifs('jiliarena_代理数据_底稿'!$F:$F,'jiliarena_代理数据_底稿'!$B:$B,I$42,'jiliarena_代理数据_底稿'!$A:$A,$B99)</f>
        <v>0</v>
      </c>
      <c r="J101" s="348">
        <f t="shared" si="36"/>
        <v>3420</v>
      </c>
      <c r="K101" s="349">
        <f t="array" ref="K101">INDEX(jiliarena!$A$3:$M$39,MATCH($A101,jiliarena!$A$3:$A$39,0),MATCH("投注人数",jiliarena!$A$3:$M$3,0))-J101</f>
        <v>294</v>
      </c>
      <c r="L101" s="11"/>
      <c r="M101" s="352" t="s">
        <v>280</v>
      </c>
      <c r="N101" s="359">
        <f t="shared" ref="N101:S101" si="104">D97-D101</f>
        <v>-43</v>
      </c>
      <c r="O101" s="359">
        <f t="shared" si="104"/>
        <v>400</v>
      </c>
      <c r="P101" s="359">
        <f t="shared" si="104"/>
        <v>778</v>
      </c>
      <c r="Q101" s="359">
        <f t="shared" si="104"/>
        <v>104</v>
      </c>
      <c r="R101" s="359">
        <f t="shared" si="104"/>
        <v>0</v>
      </c>
      <c r="S101" s="359">
        <f t="shared" si="104"/>
        <v>0</v>
      </c>
    </row>
    <row r="102">
      <c r="A102" s="339">
        <f t="shared" si="102"/>
        <v>46068</v>
      </c>
      <c r="B102" s="20"/>
      <c r="C102" s="354" t="s">
        <v>294</v>
      </c>
      <c r="D102" s="355">
        <f>sumifs('jiliarena_代理数据_底稿'!$G:$G,'jiliarena_代理数据_底稿'!$B:$B,D$42,'jiliarena_代理数据_底稿'!$A:$A,$B99)</f>
        <v>100</v>
      </c>
      <c r="E102" s="355">
        <f>sumifs('jiliarena_代理数据_底稿'!$G:$G,'jiliarena_代理数据_底稿'!$B:$B,E$42,'jiliarena_代理数据_底稿'!$A:$A,$B99)</f>
        <v>203</v>
      </c>
      <c r="F102" s="355">
        <f>sumifs('jiliarena_代理数据_底稿'!$G:$G,'jiliarena_代理数据_底稿'!$B:$B,F$42,'jiliarena_代理数据_底稿'!$A:$A,$B99)</f>
        <v>542</v>
      </c>
      <c r="G102" s="355">
        <f>sumifs('jiliarena_代理数据_底稿'!$G:$G,'jiliarena_代理数据_底稿'!$B:$B,G$42,'jiliarena_代理数据_底稿'!$A:$A,$B99)</f>
        <v>70</v>
      </c>
      <c r="H102" s="355">
        <f>sumifs('jiliarena_代理数据_底稿'!$G:$G,'jiliarena_代理数据_底稿'!$B:$B,H$42,'jiliarena_代理数据_底稿'!$A:$A,$B99)</f>
        <v>0</v>
      </c>
      <c r="I102" s="355">
        <f>sumifs('jiliarena_代理数据_底稿'!$G:$G,'jiliarena_代理数据_底稿'!$B:$B,I$42,'jiliarena_代理数据_底稿'!$A:$A,$B99)</f>
        <v>0</v>
      </c>
      <c r="J102" s="361">
        <f t="shared" si="36"/>
        <v>845</v>
      </c>
      <c r="K102" s="356">
        <f t="array" ref="K102">INDEX(jiliarena!$A$3:$M$39,MATCH($A102,jiliarena!$A$3:$A$39,0),MATCH("存款人数",jiliarena!$A$3:$M$3,0))-J102</f>
        <v>70</v>
      </c>
      <c r="L102" s="20"/>
      <c r="M102" s="354" t="s">
        <v>294</v>
      </c>
      <c r="N102" s="362">
        <f t="shared" ref="N102:S102" si="105">D98-D102</f>
        <v>0</v>
      </c>
      <c r="O102" s="362">
        <f t="shared" si="105"/>
        <v>128</v>
      </c>
      <c r="P102" s="362">
        <f t="shared" si="105"/>
        <v>602</v>
      </c>
      <c r="Q102" s="362">
        <f t="shared" si="105"/>
        <v>98</v>
      </c>
      <c r="R102" s="362">
        <f t="shared" si="105"/>
        <v>0</v>
      </c>
      <c r="S102" s="362">
        <f t="shared" si="105"/>
        <v>0</v>
      </c>
    </row>
    <row r="103">
      <c r="A103" s="339">
        <f t="shared" ref="A103:A106" si="107">$B$103</f>
        <v>46069</v>
      </c>
      <c r="B103" s="340">
        <f>B99+1</f>
        <v>46069</v>
      </c>
      <c r="C103" s="341" t="s">
        <v>283</v>
      </c>
      <c r="D103" s="342">
        <f>sumifs('jiliarena_代理数据_底稿'!$I:$I,'jiliarena_代理数据_底稿'!$B:$B,D$42,'jiliarena_代理数据_底稿'!$A:$A,$B103)</f>
        <v>183</v>
      </c>
      <c r="E103" s="342">
        <f>sumifs('jiliarena_代理数据_底稿'!$I:$I,'jiliarena_代理数据_底稿'!$B:$B,E$42,'jiliarena_代理数据_底稿'!$A:$A,$B103)</f>
        <v>435</v>
      </c>
      <c r="F103" s="342">
        <f>sumifs('jiliarena_代理数据_底稿'!$I:$I,'jiliarena_代理数据_底稿'!$B:$B,F$42,'jiliarena_代理数据_底稿'!$A:$A,$B103)</f>
        <v>344</v>
      </c>
      <c r="G103" s="342">
        <f>sumifs('jiliarena_代理数据_底稿'!$I:$I,'jiliarena_代理数据_底稿'!$B:$B,G$42,'jiliarena_代理数据_底稿'!$A:$A,$B103)</f>
        <v>68</v>
      </c>
      <c r="H103" s="342">
        <f>sumifs('jiliarena_代理数据_底稿'!$I:$I,'jiliarena_代理数据_底稿'!$B:$B,H$42,'jiliarena_代理数据_底稿'!$A:$A,$B103)</f>
        <v>1</v>
      </c>
      <c r="I103" s="342">
        <f>sumifs('jiliarena_代理数据_底稿'!$I:$I,'jiliarena_代理数据_底稿'!$B:$B,I$42,'jiliarena_代理数据_底稿'!$A:$A,$B103)</f>
        <v>0</v>
      </c>
      <c r="J103" s="342">
        <f t="shared" si="36"/>
        <v>962</v>
      </c>
      <c r="K103" s="343">
        <f t="array" ref="K103">INDEX(jiliarena!$A$3:$M$39,MATCH($A103,jiliarena!$A$3:$A$39,0),MATCH($C$43,jiliarena!$A$3:$M$3,0))-J103</f>
        <v>69</v>
      </c>
      <c r="L103" s="344">
        <f>B103</f>
        <v>46069</v>
      </c>
      <c r="M103" s="341" t="s">
        <v>283</v>
      </c>
      <c r="N103" s="346">
        <f t="shared" ref="N103:S103" si="106">D99-D103</f>
        <v>53</v>
      </c>
      <c r="O103" s="346">
        <f t="shared" si="106"/>
        <v>92</v>
      </c>
      <c r="P103" s="346">
        <f t="shared" si="106"/>
        <v>98</v>
      </c>
      <c r="Q103" s="346">
        <f t="shared" si="106"/>
        <v>-9</v>
      </c>
      <c r="R103" s="346">
        <f t="shared" si="106"/>
        <v>-1</v>
      </c>
      <c r="S103" s="346">
        <f t="shared" si="106"/>
        <v>0</v>
      </c>
    </row>
    <row r="104">
      <c r="A104" s="339">
        <f t="shared" si="107"/>
        <v>46069</v>
      </c>
      <c r="B104" s="11"/>
      <c r="C104" s="347" t="s">
        <v>279</v>
      </c>
      <c r="D104" s="348">
        <f>sumifs('jiliarena_代理数据_底稿'!$E:$E,'jiliarena_代理数据_底稿'!$B:$B,D$42,'jiliarena_代理数据_底稿'!$A:$A,$B103)</f>
        <v>312</v>
      </c>
      <c r="E104" s="348">
        <f>sumifs('jiliarena_代理数据_底稿'!$E:$E,'jiliarena_代理数据_底稿'!$B:$B,E$42,'jiliarena_代理数据_底稿'!$A:$A,$B103)</f>
        <v>1315</v>
      </c>
      <c r="F104" s="348">
        <f>sumifs('jiliarena_代理数据_底稿'!$E:$E,'jiliarena_代理数据_底稿'!$B:$B,F$42,'jiliarena_代理数据_底稿'!$A:$A,$B103)</f>
        <v>3005</v>
      </c>
      <c r="G104" s="348">
        <f>sumifs('jiliarena_代理数据_底稿'!$E:$E,'jiliarena_代理数据_底稿'!$B:$B,G$42,'jiliarena_代理数据_底稿'!$A:$A,$B103)</f>
        <v>407</v>
      </c>
      <c r="H104" s="348">
        <f>sumifs('jiliarena_代理数据_底稿'!$E:$E,'jiliarena_代理数据_底稿'!$B:$B,H$42,'jiliarena_代理数据_底稿'!$A:$A,$B103)</f>
        <v>0</v>
      </c>
      <c r="I104" s="348">
        <f>sumifs('jiliarena_代理数据_底稿'!$E:$E,'jiliarena_代理数据_底稿'!$B:$B,I$42,'jiliarena_代理数据_底稿'!$A:$A,$B103)</f>
        <v>0</v>
      </c>
      <c r="J104" s="348">
        <f t="shared" si="36"/>
        <v>4632</v>
      </c>
      <c r="K104" s="349">
        <f t="array" ref="K104">INDEX(jiliarena!$A$3:$M$39,MATCH($A104,jiliarena!$A$3:$A$39,0),MATCH("登录人数",jiliarena!$A$3:$M$3,0))-J104</f>
        <v>407</v>
      </c>
      <c r="L104" s="11"/>
      <c r="M104" s="347" t="s">
        <v>279</v>
      </c>
      <c r="N104" s="359">
        <f t="shared" ref="N104:S104" si="108">D100-D104</f>
        <v>17</v>
      </c>
      <c r="O104" s="359">
        <f t="shared" si="108"/>
        <v>74</v>
      </c>
      <c r="P104" s="359">
        <f t="shared" si="108"/>
        <v>-1</v>
      </c>
      <c r="Q104" s="359">
        <f t="shared" si="108"/>
        <v>-7</v>
      </c>
      <c r="R104" s="359">
        <f t="shared" si="108"/>
        <v>0</v>
      </c>
      <c r="S104" s="359">
        <f t="shared" si="108"/>
        <v>0</v>
      </c>
    </row>
    <row r="105">
      <c r="A105" s="339">
        <f t="shared" si="107"/>
        <v>46069</v>
      </c>
      <c r="B105" s="11"/>
      <c r="C105" s="352" t="s">
        <v>280</v>
      </c>
      <c r="D105" s="348">
        <f>sumifs('jiliarena_代理数据_底稿'!$F:$F,'jiliarena_代理数据_底稿'!$B:$B,D$42,'jiliarena_代理数据_底稿'!$A:$A,$B103)</f>
        <v>246</v>
      </c>
      <c r="E105" s="348">
        <f>sumifs('jiliarena_代理数据_底稿'!$F:$F,'jiliarena_代理数据_底稿'!$B:$B,E$42,'jiliarena_代理数据_底稿'!$A:$A,$B103)</f>
        <v>948</v>
      </c>
      <c r="F105" s="348">
        <f>sumifs('jiliarena_代理数据_底稿'!$F:$F,'jiliarena_代理数据_底稿'!$B:$B,F$42,'jiliarena_代理数据_底稿'!$A:$A,$B103)</f>
        <v>2112</v>
      </c>
      <c r="G105" s="348">
        <f>sumifs('jiliarena_代理数据_底稿'!$F:$F,'jiliarena_代理数据_底稿'!$B:$B,G$42,'jiliarena_代理数据_底稿'!$A:$A,$B103)</f>
        <v>291</v>
      </c>
      <c r="H105" s="348">
        <f>sumifs('jiliarena_代理数据_底稿'!$F:$F,'jiliarena_代理数据_底稿'!$B:$B,H$42,'jiliarena_代理数据_底稿'!$A:$A,$B103)</f>
        <v>0</v>
      </c>
      <c r="I105" s="348">
        <f>sumifs('jiliarena_代理数据_底稿'!$F:$F,'jiliarena_代理数据_底稿'!$B:$B,I$42,'jiliarena_代理数据_底稿'!$A:$A,$B103)</f>
        <v>0</v>
      </c>
      <c r="J105" s="348">
        <f t="shared" si="36"/>
        <v>3306</v>
      </c>
      <c r="K105" s="349">
        <f t="array" ref="K105">INDEX(jiliarena!$A$3:$M$39,MATCH($A105,jiliarena!$A$3:$A$39,0),MATCH("投注人数",jiliarena!$A$3:$M$3,0))-J105</f>
        <v>291</v>
      </c>
      <c r="L105" s="11"/>
      <c r="M105" s="352" t="s">
        <v>280</v>
      </c>
      <c r="N105" s="359">
        <f t="shared" ref="N105:S105" si="109">D101-D105</f>
        <v>-1</v>
      </c>
      <c r="O105" s="359">
        <f t="shared" si="109"/>
        <v>56</v>
      </c>
      <c r="P105" s="359">
        <f t="shared" si="109"/>
        <v>59</v>
      </c>
      <c r="Q105" s="359">
        <f t="shared" si="109"/>
        <v>3</v>
      </c>
      <c r="R105" s="359">
        <f t="shared" si="109"/>
        <v>0</v>
      </c>
      <c r="S105" s="359">
        <f t="shared" si="109"/>
        <v>0</v>
      </c>
    </row>
    <row r="106">
      <c r="A106" s="339">
        <f t="shared" si="107"/>
        <v>46069</v>
      </c>
      <c r="B106" s="20"/>
      <c r="C106" s="354" t="s">
        <v>294</v>
      </c>
      <c r="D106" s="355">
        <f>sumifs('jiliarena_代理数据_底稿'!$G:$G,'jiliarena_代理数据_底稿'!$B:$B,D$42,'jiliarena_代理数据_底稿'!$A:$A,$B103)</f>
        <v>101</v>
      </c>
      <c r="E106" s="355">
        <f>sumifs('jiliarena_代理数据_底稿'!$G:$G,'jiliarena_代理数据_底稿'!$B:$B,E$42,'jiliarena_代理数据_底稿'!$A:$A,$B103)</f>
        <v>179</v>
      </c>
      <c r="F106" s="355">
        <f>sumifs('jiliarena_代理数据_底稿'!$G:$G,'jiliarena_代理数据_底稿'!$B:$B,F$42,'jiliarena_代理数据_底稿'!$A:$A,$B103)</f>
        <v>467</v>
      </c>
      <c r="G106" s="355">
        <f>sumifs('jiliarena_代理数据_底稿'!$G:$G,'jiliarena_代理数据_底稿'!$B:$B,G$42,'jiliarena_代理数据_底稿'!$A:$A,$B103)</f>
        <v>74</v>
      </c>
      <c r="H106" s="355">
        <f>sumifs('jiliarena_代理数据_底稿'!$G:$G,'jiliarena_代理数据_底稿'!$B:$B,H$42,'jiliarena_代理数据_底稿'!$A:$A,$B103)</f>
        <v>0</v>
      </c>
      <c r="I106" s="355">
        <f>sumifs('jiliarena_代理数据_底稿'!$G:$G,'jiliarena_代理数据_底稿'!$B:$B,I$42,'jiliarena_代理数据_底稿'!$A:$A,$B103)</f>
        <v>0</v>
      </c>
      <c r="J106" s="361">
        <f t="shared" si="36"/>
        <v>747</v>
      </c>
      <c r="K106" s="356">
        <f t="array" ref="K106">INDEX(jiliarena!$A$3:$M$39,MATCH($A106,jiliarena!$A$3:$A$39,0),MATCH("存款人数",jiliarena!$A$3:$M$3,0))-J106</f>
        <v>74</v>
      </c>
      <c r="L106" s="20"/>
      <c r="M106" s="354" t="s">
        <v>294</v>
      </c>
      <c r="N106" s="362">
        <f t="shared" ref="N106:S106" si="110">D102-D106</f>
        <v>-1</v>
      </c>
      <c r="O106" s="362">
        <f t="shared" si="110"/>
        <v>24</v>
      </c>
      <c r="P106" s="362">
        <f t="shared" si="110"/>
        <v>75</v>
      </c>
      <c r="Q106" s="362">
        <f t="shared" si="110"/>
        <v>-4</v>
      </c>
      <c r="R106" s="362">
        <f t="shared" si="110"/>
        <v>0</v>
      </c>
      <c r="S106" s="362">
        <f t="shared" si="110"/>
        <v>0</v>
      </c>
    </row>
    <row r="107">
      <c r="A107" s="339">
        <f t="shared" ref="A107:A110" si="112">$B$107</f>
        <v>46070</v>
      </c>
      <c r="B107" s="340">
        <f>B103+1</f>
        <v>46070</v>
      </c>
      <c r="C107" s="341" t="s">
        <v>283</v>
      </c>
      <c r="D107" s="342">
        <f>sumifs('jiliarena_代理数据_底稿'!$I:$I,'jiliarena_代理数据_底稿'!$B:$B,D$42,'jiliarena_代理数据_底稿'!$A:$A,$B107)</f>
        <v>161</v>
      </c>
      <c r="E107" s="342">
        <f>sumifs('jiliarena_代理数据_底稿'!$I:$I,'jiliarena_代理数据_底稿'!$B:$B,E$42,'jiliarena_代理数据_底稿'!$A:$A,$B107)</f>
        <v>403</v>
      </c>
      <c r="F107" s="342">
        <f>sumifs('jiliarena_代理数据_底稿'!$I:$I,'jiliarena_代理数据_底稿'!$B:$B,F$42,'jiliarena_代理数据_底稿'!$A:$A,$B107)</f>
        <v>269</v>
      </c>
      <c r="G107" s="342">
        <f>sumifs('jiliarena_代理数据_底稿'!$I:$I,'jiliarena_代理数据_底稿'!$B:$B,G$42,'jiliarena_代理数据_底稿'!$A:$A,$B107)</f>
        <v>48</v>
      </c>
      <c r="H107" s="342">
        <f>sumifs('jiliarena_代理数据_底稿'!$I:$I,'jiliarena_代理数据_底稿'!$B:$B,H$42,'jiliarena_代理数据_底稿'!$A:$A,$B107)</f>
        <v>0</v>
      </c>
      <c r="I107" s="342">
        <f>sumifs('jiliarena_代理数据_底稿'!$I:$I,'jiliarena_代理数据_底稿'!$B:$B,I$42,'jiliarena_代理数据_底稿'!$A:$A,$B107)</f>
        <v>0</v>
      </c>
      <c r="J107" s="342">
        <f t="shared" si="36"/>
        <v>833</v>
      </c>
      <c r="K107" s="343">
        <f t="array" ref="K107">INDEX(jiliarena!$A$3:$M$39,MATCH($A107,jiliarena!$A$3:$A$39,0),MATCH($C$43,jiliarena!$A$3:$M$3,0))-J107</f>
        <v>48</v>
      </c>
      <c r="L107" s="344">
        <f>B107</f>
        <v>46070</v>
      </c>
      <c r="M107" s="341" t="s">
        <v>283</v>
      </c>
      <c r="N107" s="346">
        <f t="shared" ref="N107:S107" si="111">D103-D107</f>
        <v>22</v>
      </c>
      <c r="O107" s="346">
        <f t="shared" si="111"/>
        <v>32</v>
      </c>
      <c r="P107" s="346">
        <f t="shared" si="111"/>
        <v>75</v>
      </c>
      <c r="Q107" s="346">
        <f t="shared" si="111"/>
        <v>20</v>
      </c>
      <c r="R107" s="346">
        <f t="shared" si="111"/>
        <v>1</v>
      </c>
      <c r="S107" s="346">
        <f t="shared" si="111"/>
        <v>0</v>
      </c>
    </row>
    <row r="108">
      <c r="A108" s="339">
        <f t="shared" si="112"/>
        <v>46070</v>
      </c>
      <c r="B108" s="11"/>
      <c r="C108" s="347" t="s">
        <v>279</v>
      </c>
      <c r="D108" s="348">
        <f>sumifs('jiliarena_代理数据_底稿'!$E:$E,'jiliarena_代理数据_底稿'!$B:$B,D$42,'jiliarena_代理数据_底稿'!$A:$A,$B107)</f>
        <v>336</v>
      </c>
      <c r="E108" s="348">
        <f>sumifs('jiliarena_代理数据_底稿'!$E:$E,'jiliarena_代理数据_底稿'!$B:$B,E$42,'jiliarena_代理数据_底稿'!$A:$A,$B107)</f>
        <v>1358</v>
      </c>
      <c r="F108" s="348">
        <f>sumifs('jiliarena_代理数据_底稿'!$E:$E,'jiliarena_代理数据_底稿'!$B:$B,F$42,'jiliarena_代理数据_底稿'!$A:$A,$B107)</f>
        <v>3137</v>
      </c>
      <c r="G108" s="348">
        <f>sumifs('jiliarena_代理数据_底稿'!$E:$E,'jiliarena_代理数据_底稿'!$B:$B,G$42,'jiliarena_代理数据_底稿'!$A:$A,$B107)</f>
        <v>385</v>
      </c>
      <c r="H108" s="348">
        <f>sumifs('jiliarena_代理数据_底稿'!$E:$E,'jiliarena_代理数据_底稿'!$B:$B,H$42,'jiliarena_代理数据_底稿'!$A:$A,$B107)</f>
        <v>0</v>
      </c>
      <c r="I108" s="348">
        <f>sumifs('jiliarena_代理数据_底稿'!$E:$E,'jiliarena_代理数据_底稿'!$B:$B,I$42,'jiliarena_代理数据_底稿'!$A:$A,$B107)</f>
        <v>0</v>
      </c>
      <c r="J108" s="348">
        <f t="shared" si="36"/>
        <v>4831</v>
      </c>
      <c r="K108" s="349">
        <f t="array" ref="K108">INDEX(jiliarena!$A$3:$M$39,MATCH($A108,jiliarena!$A$3:$A$39,0),MATCH("登录人数",jiliarena!$A$3:$M$3,0))-J108</f>
        <v>385</v>
      </c>
      <c r="L108" s="11"/>
      <c r="M108" s="347" t="s">
        <v>279</v>
      </c>
      <c r="N108" s="359">
        <f t="shared" ref="N108:S108" si="113">D104-D108</f>
        <v>-24</v>
      </c>
      <c r="O108" s="359">
        <f t="shared" si="113"/>
        <v>-43</v>
      </c>
      <c r="P108" s="359">
        <f t="shared" si="113"/>
        <v>-132</v>
      </c>
      <c r="Q108" s="359">
        <f t="shared" si="113"/>
        <v>22</v>
      </c>
      <c r="R108" s="359">
        <f t="shared" si="113"/>
        <v>0</v>
      </c>
      <c r="S108" s="359">
        <f t="shared" si="113"/>
        <v>0</v>
      </c>
    </row>
    <row r="109">
      <c r="A109" s="339">
        <f t="shared" si="112"/>
        <v>46070</v>
      </c>
      <c r="B109" s="11"/>
      <c r="C109" s="352" t="s">
        <v>280</v>
      </c>
      <c r="D109" s="348">
        <f>sumifs('jiliarena_代理数据_底稿'!$F:$F,'jiliarena_代理数据_底稿'!$B:$B,D$42,'jiliarena_代理数据_底稿'!$A:$A,$B107)</f>
        <v>244</v>
      </c>
      <c r="E109" s="348">
        <f>sumifs('jiliarena_代理数据_底稿'!$F:$F,'jiliarena_代理数据_底稿'!$B:$B,E$42,'jiliarena_代理数据_底稿'!$A:$A,$B107)</f>
        <v>975</v>
      </c>
      <c r="F109" s="348">
        <f>sumifs('jiliarena_代理数据_底稿'!$F:$F,'jiliarena_代理数据_底稿'!$B:$B,F$42,'jiliarena_代理数据_底稿'!$A:$A,$B107)</f>
        <v>2240</v>
      </c>
      <c r="G109" s="348">
        <f>sumifs('jiliarena_代理数据_底稿'!$F:$F,'jiliarena_代理数据_底稿'!$B:$B,G$42,'jiliarena_代理数据_底稿'!$A:$A,$B107)</f>
        <v>305</v>
      </c>
      <c r="H109" s="348">
        <f>sumifs('jiliarena_代理数据_底稿'!$F:$F,'jiliarena_代理数据_底稿'!$B:$B,H$42,'jiliarena_代理数据_底稿'!$A:$A,$B107)</f>
        <v>0</v>
      </c>
      <c r="I109" s="348">
        <f>sumifs('jiliarena_代理数据_底稿'!$F:$F,'jiliarena_代理数据_底稿'!$B:$B,I$42,'jiliarena_代理数据_底稿'!$A:$A,$B107)</f>
        <v>0</v>
      </c>
      <c r="J109" s="348">
        <f t="shared" si="36"/>
        <v>3459</v>
      </c>
      <c r="K109" s="349">
        <f t="array" ref="K109">INDEX(jiliarena!$A$3:$M$39,MATCH($A109,jiliarena!$A$3:$A$39,0),MATCH("投注人数",jiliarena!$A$3:$M$3,0))-J109</f>
        <v>305</v>
      </c>
      <c r="L109" s="11"/>
      <c r="M109" s="352" t="s">
        <v>280</v>
      </c>
      <c r="N109" s="359">
        <f t="shared" ref="N109:S109" si="114">D105-D109</f>
        <v>2</v>
      </c>
      <c r="O109" s="359">
        <f t="shared" si="114"/>
        <v>-27</v>
      </c>
      <c r="P109" s="359">
        <f t="shared" si="114"/>
        <v>-128</v>
      </c>
      <c r="Q109" s="359">
        <f t="shared" si="114"/>
        <v>-14</v>
      </c>
      <c r="R109" s="359">
        <f t="shared" si="114"/>
        <v>0</v>
      </c>
      <c r="S109" s="359">
        <f t="shared" si="114"/>
        <v>0</v>
      </c>
    </row>
    <row r="110">
      <c r="A110" s="339">
        <f t="shared" si="112"/>
        <v>46070</v>
      </c>
      <c r="B110" s="20"/>
      <c r="C110" s="354" t="s">
        <v>294</v>
      </c>
      <c r="D110" s="355">
        <f>sumifs('jiliarena_代理数据_底稿'!$G:$G,'jiliarena_代理数据_底稿'!$B:$B,D$42,'jiliarena_代理数据_底稿'!$A:$A,$B107)</f>
        <v>89</v>
      </c>
      <c r="E110" s="355">
        <f>sumifs('jiliarena_代理数据_底稿'!$G:$G,'jiliarena_代理数据_底稿'!$B:$B,E$42,'jiliarena_代理数据_底稿'!$A:$A,$B107)</f>
        <v>181</v>
      </c>
      <c r="F110" s="355">
        <f>sumifs('jiliarena_代理数据_底稿'!$G:$G,'jiliarena_代理数据_底稿'!$B:$B,F$42,'jiliarena_代理数据_底稿'!$A:$A,$B107)</f>
        <v>444</v>
      </c>
      <c r="G110" s="355">
        <f>sumifs('jiliarena_代理数据_底稿'!$G:$G,'jiliarena_代理数据_底稿'!$B:$B,G$42,'jiliarena_代理数据_底稿'!$A:$A,$B107)</f>
        <v>73</v>
      </c>
      <c r="H110" s="355">
        <f>sumifs('jiliarena_代理数据_底稿'!$G:$G,'jiliarena_代理数据_底稿'!$B:$B,H$42,'jiliarena_代理数据_底稿'!$A:$A,$B107)</f>
        <v>0</v>
      </c>
      <c r="I110" s="355">
        <f>sumifs('jiliarena_代理数据_底稿'!$G:$G,'jiliarena_代理数据_底稿'!$B:$B,I$42,'jiliarena_代理数据_底稿'!$A:$A,$B107)</f>
        <v>0</v>
      </c>
      <c r="J110" s="361">
        <f t="shared" si="36"/>
        <v>714</v>
      </c>
      <c r="K110" s="356">
        <f t="array" ref="K110">INDEX(jiliarena!$A$3:$M$39,MATCH($A110,jiliarena!$A$3:$A$39,0),MATCH("存款人数",jiliarena!$A$3:$M$3,0))-J110</f>
        <v>73</v>
      </c>
      <c r="L110" s="20"/>
      <c r="M110" s="354" t="s">
        <v>294</v>
      </c>
      <c r="N110" s="362">
        <f t="shared" ref="N110:S110" si="115">D106-D110</f>
        <v>12</v>
      </c>
      <c r="O110" s="362">
        <f t="shared" si="115"/>
        <v>-2</v>
      </c>
      <c r="P110" s="362">
        <f t="shared" si="115"/>
        <v>23</v>
      </c>
      <c r="Q110" s="362">
        <f t="shared" si="115"/>
        <v>1</v>
      </c>
      <c r="R110" s="362">
        <f t="shared" si="115"/>
        <v>0</v>
      </c>
      <c r="S110" s="362">
        <f t="shared" si="115"/>
        <v>0</v>
      </c>
    </row>
    <row r="111">
      <c r="A111" s="339">
        <f t="shared" ref="A111:A114" si="117">$B$111</f>
        <v>46071</v>
      </c>
      <c r="B111" s="340">
        <f>B107+1</f>
        <v>46071</v>
      </c>
      <c r="C111" s="341" t="s">
        <v>283</v>
      </c>
      <c r="D111" s="342">
        <f>sumifs('jiliarena_代理数据_底稿'!$I:$I,'jiliarena_代理数据_底稿'!$B:$B,D$42,'jiliarena_代理数据_底稿'!$A:$A,$B111)</f>
        <v>142</v>
      </c>
      <c r="E111" s="342">
        <f>sumifs('jiliarena_代理数据_底稿'!$I:$I,'jiliarena_代理数据_底稿'!$B:$B,E$42,'jiliarena_代理数据_底稿'!$A:$A,$B111)</f>
        <v>432</v>
      </c>
      <c r="F111" s="342">
        <f>sumifs('jiliarena_代理数据_底稿'!$I:$I,'jiliarena_代理数据_底稿'!$B:$B,F$42,'jiliarena_代理数据_底稿'!$A:$A,$B111)</f>
        <v>209</v>
      </c>
      <c r="G111" s="342">
        <f>sumifs('jiliarena_代理数据_底稿'!$I:$I,'jiliarena_代理数据_底稿'!$B:$B,G$42,'jiliarena_代理数据_底稿'!$A:$A,$B111)</f>
        <v>46</v>
      </c>
      <c r="H111" s="342">
        <f>sumifs('jiliarena_代理数据_底稿'!$I:$I,'jiliarena_代理数据_底稿'!$B:$B,H$42,'jiliarena_代理数据_底稿'!$A:$A,$B111)</f>
        <v>0</v>
      </c>
      <c r="I111" s="342">
        <f>sumifs('jiliarena_代理数据_底稿'!$I:$I,'jiliarena_代理数据_底稿'!$B:$B,I$42,'jiliarena_代理数据_底稿'!$A:$A,$B111)</f>
        <v>0</v>
      </c>
      <c r="J111" s="342">
        <f t="shared" si="36"/>
        <v>783</v>
      </c>
      <c r="K111" s="343">
        <f t="array" ref="K111">INDEX(jiliarena!$A$3:$M$39,MATCH($A111,jiliarena!$A$3:$A$39,0),MATCH($C$43,jiliarena!$A$3:$M$3,0))-J111</f>
        <v>46</v>
      </c>
      <c r="L111" s="344">
        <f>B111</f>
        <v>46071</v>
      </c>
      <c r="M111" s="341" t="s">
        <v>283</v>
      </c>
      <c r="N111" s="346">
        <f t="shared" ref="N111:S111" si="116">D107-D111</f>
        <v>19</v>
      </c>
      <c r="O111" s="346">
        <f t="shared" si="116"/>
        <v>-29</v>
      </c>
      <c r="P111" s="346">
        <f t="shared" si="116"/>
        <v>60</v>
      </c>
      <c r="Q111" s="346">
        <f t="shared" si="116"/>
        <v>2</v>
      </c>
      <c r="R111" s="346">
        <f t="shared" si="116"/>
        <v>0</v>
      </c>
      <c r="S111" s="346">
        <f t="shared" si="116"/>
        <v>0</v>
      </c>
    </row>
    <row r="112">
      <c r="A112" s="339">
        <f t="shared" si="117"/>
        <v>46071</v>
      </c>
      <c r="B112" s="11"/>
      <c r="C112" s="347" t="s">
        <v>279</v>
      </c>
      <c r="D112" s="348">
        <f>sumifs('jiliarena_代理数据_底稿'!$E:$E,'jiliarena_代理数据_底稿'!$B:$B,D$42,'jiliarena_代理数据_底稿'!$A:$A,$B111)</f>
        <v>324</v>
      </c>
      <c r="E112" s="348">
        <f>sumifs('jiliarena_代理数据_底稿'!$E:$E,'jiliarena_代理数据_底稿'!$B:$B,E$42,'jiliarena_代理数据_底稿'!$A:$A,$B111)</f>
        <v>1234</v>
      </c>
      <c r="F112" s="348">
        <f>sumifs('jiliarena_代理数据_底稿'!$E:$E,'jiliarena_代理数据_底稿'!$B:$B,F$42,'jiliarena_代理数据_底稿'!$A:$A,$B111)</f>
        <v>2554</v>
      </c>
      <c r="G112" s="348">
        <f>sumifs('jiliarena_代理数据_底稿'!$E:$E,'jiliarena_代理数据_底稿'!$B:$B,G$42,'jiliarena_代理数据_底稿'!$A:$A,$B111)</f>
        <v>332</v>
      </c>
      <c r="H112" s="348">
        <f>sumifs('jiliarena_代理数据_底稿'!$E:$E,'jiliarena_代理数据_底稿'!$B:$B,H$42,'jiliarena_代理数据_底稿'!$A:$A,$B111)</f>
        <v>0</v>
      </c>
      <c r="I112" s="348">
        <f>sumifs('jiliarena_代理数据_底稿'!$E:$E,'jiliarena_代理数据_底稿'!$B:$B,I$42,'jiliarena_代理数据_底稿'!$A:$A,$B111)</f>
        <v>0</v>
      </c>
      <c r="J112" s="348">
        <f t="shared" si="36"/>
        <v>4112</v>
      </c>
      <c r="K112" s="349">
        <f t="array" ref="K112">INDEX(jiliarena!$A$3:$M$39,MATCH($A112,jiliarena!$A$3:$A$39,0),MATCH("登录人数",jiliarena!$A$3:$M$3,0))-J112</f>
        <v>332</v>
      </c>
      <c r="L112" s="11"/>
      <c r="M112" s="347" t="s">
        <v>279</v>
      </c>
      <c r="N112" s="359">
        <f t="shared" ref="N112:S112" si="118">D108-D112</f>
        <v>12</v>
      </c>
      <c r="O112" s="359">
        <f t="shared" si="118"/>
        <v>124</v>
      </c>
      <c r="P112" s="359">
        <f t="shared" si="118"/>
        <v>583</v>
      </c>
      <c r="Q112" s="359">
        <f t="shared" si="118"/>
        <v>53</v>
      </c>
      <c r="R112" s="359">
        <f t="shared" si="118"/>
        <v>0</v>
      </c>
      <c r="S112" s="359">
        <f t="shared" si="118"/>
        <v>0</v>
      </c>
    </row>
    <row r="113">
      <c r="A113" s="339">
        <f t="shared" si="117"/>
        <v>46071</v>
      </c>
      <c r="B113" s="11"/>
      <c r="C113" s="352" t="s">
        <v>280</v>
      </c>
      <c r="D113" s="348">
        <f>sumifs('jiliarena_代理数据_底稿'!$F:$F,'jiliarena_代理数据_底稿'!$B:$B,D$42,'jiliarena_代理数据_底稿'!$A:$A,$B111)</f>
        <v>240</v>
      </c>
      <c r="E113" s="348">
        <f>sumifs('jiliarena_代理数据_底稿'!$F:$F,'jiliarena_代理数据_底稿'!$B:$B,E$42,'jiliarena_代理数据_底稿'!$A:$A,$B111)</f>
        <v>847</v>
      </c>
      <c r="F113" s="348">
        <f>sumifs('jiliarena_代理数据_底稿'!$F:$F,'jiliarena_代理数据_底稿'!$B:$B,F$42,'jiliarena_代理数据_底稿'!$A:$A,$B111)</f>
        <v>1930</v>
      </c>
      <c r="G113" s="348">
        <f>sumifs('jiliarena_代理数据_底稿'!$F:$F,'jiliarena_代理数据_底稿'!$B:$B,G$42,'jiliarena_代理数据_底稿'!$A:$A,$B111)</f>
        <v>234</v>
      </c>
      <c r="H113" s="348">
        <f>sumifs('jiliarena_代理数据_底稿'!$F:$F,'jiliarena_代理数据_底稿'!$B:$B,H$42,'jiliarena_代理数据_底稿'!$A:$A,$B111)</f>
        <v>0</v>
      </c>
      <c r="I113" s="348">
        <f>sumifs('jiliarena_代理数据_底稿'!$F:$F,'jiliarena_代理数据_底稿'!$B:$B,I$42,'jiliarena_代理数据_底稿'!$A:$A,$B111)</f>
        <v>0</v>
      </c>
      <c r="J113" s="348">
        <f t="shared" si="36"/>
        <v>3017</v>
      </c>
      <c r="K113" s="349">
        <f t="array" ref="K113">INDEX(jiliarena!$A$3:$M$39,MATCH($A113,jiliarena!$A$3:$A$39,0),MATCH("投注人数",jiliarena!$A$3:$M$3,0))-J113</f>
        <v>234</v>
      </c>
      <c r="L113" s="11"/>
      <c r="M113" s="352" t="s">
        <v>280</v>
      </c>
      <c r="N113" s="359">
        <f t="shared" ref="N113:S113" si="119">D109-D113</f>
        <v>4</v>
      </c>
      <c r="O113" s="359">
        <f t="shared" si="119"/>
        <v>128</v>
      </c>
      <c r="P113" s="359">
        <f t="shared" si="119"/>
        <v>310</v>
      </c>
      <c r="Q113" s="359">
        <f t="shared" si="119"/>
        <v>71</v>
      </c>
      <c r="R113" s="359">
        <f t="shared" si="119"/>
        <v>0</v>
      </c>
      <c r="S113" s="359">
        <f t="shared" si="119"/>
        <v>0</v>
      </c>
    </row>
    <row r="114">
      <c r="A114" s="339">
        <f t="shared" si="117"/>
        <v>46071</v>
      </c>
      <c r="B114" s="20"/>
      <c r="C114" s="354" t="s">
        <v>294</v>
      </c>
      <c r="D114" s="355">
        <f>sumifs('jiliarena_代理数据_底稿'!$G:$G,'jiliarena_代理数据_底稿'!$B:$B,D$42,'jiliarena_代理数据_底稿'!$A:$A,$B111)</f>
        <v>102</v>
      </c>
      <c r="E114" s="355">
        <f>sumifs('jiliarena_代理数据_底稿'!$G:$G,'jiliarena_代理数据_底稿'!$B:$B,E$42,'jiliarena_代理数据_底稿'!$A:$A,$B111)</f>
        <v>165</v>
      </c>
      <c r="F114" s="355">
        <f>sumifs('jiliarena_代理数据_底稿'!$G:$G,'jiliarena_代理数据_底稿'!$B:$B,F$42,'jiliarena_代理数据_底稿'!$A:$A,$B111)</f>
        <v>346</v>
      </c>
      <c r="G114" s="355">
        <f>sumifs('jiliarena_代理数据_底稿'!$G:$G,'jiliarena_代理数据_底稿'!$B:$B,G$42,'jiliarena_代理数据_底稿'!$A:$A,$B111)</f>
        <v>57</v>
      </c>
      <c r="H114" s="355">
        <f>sumifs('jiliarena_代理数据_底稿'!$G:$G,'jiliarena_代理数据_底稿'!$B:$B,H$42,'jiliarena_代理数据_底稿'!$A:$A,$B111)</f>
        <v>0</v>
      </c>
      <c r="I114" s="355">
        <f>sumifs('jiliarena_代理数据_底稿'!$G:$G,'jiliarena_代理数据_底稿'!$B:$B,I$42,'jiliarena_代理数据_底稿'!$A:$A,$B111)</f>
        <v>0</v>
      </c>
      <c r="J114" s="361">
        <f t="shared" si="36"/>
        <v>613</v>
      </c>
      <c r="K114" s="356">
        <f t="array" ref="K114">INDEX(jiliarena!$A$3:$M$39,MATCH($A114,jiliarena!$A$3:$A$39,0),MATCH("存款人数",jiliarena!$A$3:$M$3,0))-J114</f>
        <v>57</v>
      </c>
      <c r="L114" s="20"/>
      <c r="M114" s="354" t="s">
        <v>294</v>
      </c>
      <c r="N114" s="362">
        <f t="shared" ref="N114:S114" si="120">D110-D114</f>
        <v>-13</v>
      </c>
      <c r="O114" s="362">
        <f t="shared" si="120"/>
        <v>16</v>
      </c>
      <c r="P114" s="362">
        <f t="shared" si="120"/>
        <v>98</v>
      </c>
      <c r="Q114" s="362">
        <f t="shared" si="120"/>
        <v>16</v>
      </c>
      <c r="R114" s="362">
        <f t="shared" si="120"/>
        <v>0</v>
      </c>
      <c r="S114" s="362">
        <f t="shared" si="120"/>
        <v>0</v>
      </c>
    </row>
    <row r="115">
      <c r="A115" s="339">
        <f t="shared" ref="A115:A118" si="122">$B$115</f>
        <v>46072</v>
      </c>
      <c r="B115" s="340">
        <f>B111+1</f>
        <v>46072</v>
      </c>
      <c r="C115" s="341" t="s">
        <v>283</v>
      </c>
      <c r="D115" s="342">
        <f>sumifs('jiliarena_代理数据_底稿'!$I:$I,'jiliarena_代理数据_底稿'!$B:$B,D$42,'jiliarena_代理数据_底稿'!$A:$A,$B115)</f>
        <v>149</v>
      </c>
      <c r="E115" s="342">
        <f>sumifs('jiliarena_代理数据_底稿'!$I:$I,'jiliarena_代理数据_底稿'!$B:$B,E$42,'jiliarena_代理数据_底稿'!$A:$A,$B115)</f>
        <v>817</v>
      </c>
      <c r="F115" s="342">
        <f>sumifs('jiliarena_代理数据_底稿'!$I:$I,'jiliarena_代理数据_底稿'!$B:$B,F$42,'jiliarena_代理数据_底稿'!$A:$A,$B115)</f>
        <v>180</v>
      </c>
      <c r="G115" s="342">
        <f>sumifs('jiliarena_代理数据_底稿'!$I:$I,'jiliarena_代理数据_底稿'!$B:$B,G$42,'jiliarena_代理数据_底稿'!$A:$A,$B115)</f>
        <v>39</v>
      </c>
      <c r="H115" s="342">
        <f>sumifs('jiliarena_代理数据_底稿'!$I:$I,'jiliarena_代理数据_底稿'!$B:$B,H$42,'jiliarena_代理数据_底稿'!$A:$A,$B115)</f>
        <v>0</v>
      </c>
      <c r="I115" s="342">
        <f>sumifs('jiliarena_代理数据_底稿'!$I:$I,'jiliarena_代理数据_底稿'!$B:$B,I$42,'jiliarena_代理数据_底稿'!$A:$A,$B115)</f>
        <v>1</v>
      </c>
      <c r="J115" s="342">
        <f t="shared" si="36"/>
        <v>1146</v>
      </c>
      <c r="K115" s="343">
        <f t="array" ref="K115">INDEX(jiliarena!$A$3:$M$39,MATCH($A115,jiliarena!$A$3:$A$39,0),MATCH($C$43,jiliarena!$A$3:$M$3,0))-J115</f>
        <v>40</v>
      </c>
      <c r="L115" s="344">
        <f>B115</f>
        <v>46072</v>
      </c>
      <c r="M115" s="341" t="s">
        <v>283</v>
      </c>
      <c r="N115" s="346">
        <f t="shared" ref="N115:S115" si="121">D111-D115</f>
        <v>-7</v>
      </c>
      <c r="O115" s="346">
        <f t="shared" si="121"/>
        <v>-385</v>
      </c>
      <c r="P115" s="346">
        <f t="shared" si="121"/>
        <v>29</v>
      </c>
      <c r="Q115" s="346">
        <f t="shared" si="121"/>
        <v>7</v>
      </c>
      <c r="R115" s="346">
        <f t="shared" si="121"/>
        <v>0</v>
      </c>
      <c r="S115" s="346">
        <f t="shared" si="121"/>
        <v>-1</v>
      </c>
    </row>
    <row r="116">
      <c r="A116" s="339">
        <f t="shared" si="122"/>
        <v>46072</v>
      </c>
      <c r="B116" s="11"/>
      <c r="C116" s="347" t="s">
        <v>279</v>
      </c>
      <c r="D116" s="348">
        <f>sumifs('jiliarena_代理数据_底稿'!$E:$E,'jiliarena_代理数据_底稿'!$B:$B,D$42,'jiliarena_代理数据_底稿'!$A:$A,$B115)</f>
        <v>339</v>
      </c>
      <c r="E116" s="348">
        <f>sumifs('jiliarena_代理数据_底稿'!$E:$E,'jiliarena_代理数据_底稿'!$B:$B,E$42,'jiliarena_代理数据_底稿'!$A:$A,$B115)</f>
        <v>1594</v>
      </c>
      <c r="F116" s="348">
        <f>sumifs('jiliarena_代理数据_底稿'!$E:$E,'jiliarena_代理数据_底稿'!$B:$B,F$42,'jiliarena_代理数据_底稿'!$A:$A,$B115)</f>
        <v>2436</v>
      </c>
      <c r="G116" s="348">
        <f>sumifs('jiliarena_代理数据_底稿'!$E:$E,'jiliarena_代理数据_底稿'!$B:$B,G$42,'jiliarena_代理数据_底稿'!$A:$A,$B115)</f>
        <v>340</v>
      </c>
      <c r="H116" s="348">
        <f>sumifs('jiliarena_代理数据_底稿'!$E:$E,'jiliarena_代理数据_底稿'!$B:$B,H$42,'jiliarena_代理数据_底稿'!$A:$A,$B115)</f>
        <v>0</v>
      </c>
      <c r="I116" s="348">
        <f>sumifs('jiliarena_代理数据_底稿'!$E:$E,'jiliarena_代理数据_底稿'!$B:$B,I$42,'jiliarena_代理数据_底稿'!$A:$A,$B115)</f>
        <v>1</v>
      </c>
      <c r="J116" s="348">
        <f t="shared" si="36"/>
        <v>4369</v>
      </c>
      <c r="K116" s="349">
        <f t="array" ref="K116">INDEX(jiliarena!$A$3:$M$39,MATCH($A116,jiliarena!$A$3:$A$39,0),MATCH("登录人数",jiliarena!$A$3:$M$3,0))-J116</f>
        <v>341</v>
      </c>
      <c r="L116" s="11"/>
      <c r="M116" s="347" t="s">
        <v>279</v>
      </c>
      <c r="N116" s="359">
        <f t="shared" ref="N116:S116" si="123">D112-D116</f>
        <v>-15</v>
      </c>
      <c r="O116" s="359">
        <f t="shared" si="123"/>
        <v>-360</v>
      </c>
      <c r="P116" s="359">
        <f t="shared" si="123"/>
        <v>118</v>
      </c>
      <c r="Q116" s="359">
        <f t="shared" si="123"/>
        <v>-8</v>
      </c>
      <c r="R116" s="359">
        <f t="shared" si="123"/>
        <v>0</v>
      </c>
      <c r="S116" s="359">
        <f t="shared" si="123"/>
        <v>-1</v>
      </c>
    </row>
    <row r="117">
      <c r="A117" s="339">
        <f t="shared" si="122"/>
        <v>46072</v>
      </c>
      <c r="B117" s="11"/>
      <c r="C117" s="352" t="s">
        <v>280</v>
      </c>
      <c r="D117" s="348">
        <f>sumifs('jiliarena_代理数据_底稿'!$F:$F,'jiliarena_代理数据_底稿'!$B:$B,D$42,'jiliarena_代理数据_底稿'!$A:$A,$B115)</f>
        <v>242</v>
      </c>
      <c r="E117" s="348">
        <f>sumifs('jiliarena_代理数据_底稿'!$F:$F,'jiliarena_代理数据_底稿'!$B:$B,E$42,'jiliarena_代理数据_底稿'!$A:$A,$B115)</f>
        <v>986</v>
      </c>
      <c r="F117" s="348">
        <f>sumifs('jiliarena_代理数据_底稿'!$F:$F,'jiliarena_代理数据_底稿'!$B:$B,F$42,'jiliarena_代理数据_底稿'!$A:$A,$B115)</f>
        <v>1731</v>
      </c>
      <c r="G117" s="348">
        <f>sumifs('jiliarena_代理数据_底稿'!$F:$F,'jiliarena_代理数据_底稿'!$B:$B,G$42,'jiliarena_代理数据_底稿'!$A:$A,$B115)</f>
        <v>245</v>
      </c>
      <c r="H117" s="348">
        <f>sumifs('jiliarena_代理数据_底稿'!$F:$F,'jiliarena_代理数据_底稿'!$B:$B,H$42,'jiliarena_代理数据_底稿'!$A:$A,$B115)</f>
        <v>0</v>
      </c>
      <c r="I117" s="348">
        <f>sumifs('jiliarena_代理数据_底稿'!$F:$F,'jiliarena_代理数据_底稿'!$B:$B,I$42,'jiliarena_代理数据_底稿'!$A:$A,$B115)</f>
        <v>0</v>
      </c>
      <c r="J117" s="348">
        <f t="shared" si="36"/>
        <v>2959</v>
      </c>
      <c r="K117" s="349">
        <f t="array" ref="K117">INDEX(jiliarena!$A$3:$M$39,MATCH($A117,jiliarena!$A$3:$A$39,0),MATCH("投注人数",jiliarena!$A$3:$M$3,0))-J117</f>
        <v>245</v>
      </c>
      <c r="L117" s="11"/>
      <c r="M117" s="352" t="s">
        <v>280</v>
      </c>
      <c r="N117" s="359">
        <f t="shared" ref="N117:S117" si="124">D113-D117</f>
        <v>-2</v>
      </c>
      <c r="O117" s="359">
        <f t="shared" si="124"/>
        <v>-139</v>
      </c>
      <c r="P117" s="359">
        <f t="shared" si="124"/>
        <v>199</v>
      </c>
      <c r="Q117" s="359">
        <f t="shared" si="124"/>
        <v>-11</v>
      </c>
      <c r="R117" s="359">
        <f t="shared" si="124"/>
        <v>0</v>
      </c>
      <c r="S117" s="359">
        <f t="shared" si="124"/>
        <v>0</v>
      </c>
    </row>
    <row r="118">
      <c r="A118" s="339">
        <f t="shared" si="122"/>
        <v>46072</v>
      </c>
      <c r="B118" s="20"/>
      <c r="C118" s="354" t="s">
        <v>294</v>
      </c>
      <c r="D118" s="355">
        <f>sumifs('jiliarena_代理数据_底稿'!$G:$G,'jiliarena_代理数据_底稿'!$B:$B,D$42,'jiliarena_代理数据_底稿'!$A:$A,$B115)</f>
        <v>93</v>
      </c>
      <c r="E118" s="355">
        <f>sumifs('jiliarena_代理数据_底稿'!$G:$G,'jiliarena_代理数据_底稿'!$B:$B,E$42,'jiliarena_代理数据_底稿'!$A:$A,$B115)</f>
        <v>218</v>
      </c>
      <c r="F118" s="355">
        <f>sumifs('jiliarena_代理数据_底稿'!$G:$G,'jiliarena_代理数据_底稿'!$B:$B,F$42,'jiliarena_代理数据_底稿'!$A:$A,$B115)</f>
        <v>303</v>
      </c>
      <c r="G118" s="355">
        <f>sumifs('jiliarena_代理数据_底稿'!$G:$G,'jiliarena_代理数据_底稿'!$B:$B,G$42,'jiliarena_代理数据_底稿'!$A:$A,$B115)</f>
        <v>53</v>
      </c>
      <c r="H118" s="355">
        <f>sumifs('jiliarena_代理数据_底稿'!$G:$G,'jiliarena_代理数据_底稿'!$B:$B,H$42,'jiliarena_代理数据_底稿'!$A:$A,$B115)</f>
        <v>0</v>
      </c>
      <c r="I118" s="355">
        <f>sumifs('jiliarena_代理数据_底稿'!$G:$G,'jiliarena_代理数据_底稿'!$B:$B,I$42,'jiliarena_代理数据_底稿'!$A:$A,$B115)</f>
        <v>0</v>
      </c>
      <c r="J118" s="361">
        <f t="shared" si="36"/>
        <v>614</v>
      </c>
      <c r="K118" s="356">
        <f t="array" ref="K118">INDEX(jiliarena!$A$3:$M$39,MATCH($A118,jiliarena!$A$3:$A$39,0),MATCH("存款人数",jiliarena!$A$3:$M$3,0))-J118</f>
        <v>53</v>
      </c>
      <c r="L118" s="20"/>
      <c r="M118" s="354" t="s">
        <v>294</v>
      </c>
      <c r="N118" s="362">
        <f t="shared" ref="N118:S118" si="125">D114-D118</f>
        <v>9</v>
      </c>
      <c r="O118" s="362">
        <f t="shared" si="125"/>
        <v>-53</v>
      </c>
      <c r="P118" s="362">
        <f t="shared" si="125"/>
        <v>43</v>
      </c>
      <c r="Q118" s="362">
        <f t="shared" si="125"/>
        <v>4</v>
      </c>
      <c r="R118" s="362">
        <f t="shared" si="125"/>
        <v>0</v>
      </c>
      <c r="S118" s="362">
        <f t="shared" si="125"/>
        <v>0</v>
      </c>
    </row>
    <row r="119">
      <c r="A119" s="339">
        <f t="shared" ref="A119:A122" si="127">$B$119</f>
        <v>46073</v>
      </c>
      <c r="B119" s="340">
        <f>B115+1</f>
        <v>46073</v>
      </c>
      <c r="C119" s="341" t="s">
        <v>283</v>
      </c>
      <c r="D119" s="342">
        <f>sumifs('jiliarena_代理数据_底稿'!$I:$I,'jiliarena_代理数据_底稿'!$B:$B,D$42,'jiliarena_代理数据_底稿'!$A:$A,$B119)</f>
        <v>134</v>
      </c>
      <c r="E119" s="342">
        <f>sumifs('jiliarena_代理数据_底稿'!$I:$I,'jiliarena_代理数据_底稿'!$B:$B,E$42,'jiliarena_代理数据_底稿'!$A:$A,$B119)</f>
        <v>461</v>
      </c>
      <c r="F119" s="342">
        <f>sumifs('jiliarena_代理数据_底稿'!$I:$I,'jiliarena_代理数据_底稿'!$B:$B,F$42,'jiliarena_代理数据_底稿'!$A:$A,$B119)</f>
        <v>88</v>
      </c>
      <c r="G119" s="342">
        <f>sumifs('jiliarena_代理数据_底稿'!$I:$I,'jiliarena_代理数据_底稿'!$B:$B,G$42,'jiliarena_代理数据_底稿'!$A:$A,$B119)</f>
        <v>55</v>
      </c>
      <c r="H119" s="342">
        <f>sumifs('jiliarena_代理数据_底稿'!$I:$I,'jiliarena_代理数据_底稿'!$B:$B,H$42,'jiliarena_代理数据_底稿'!$A:$A,$B119)</f>
        <v>0</v>
      </c>
      <c r="I119" s="342">
        <f>sumifs('jiliarena_代理数据_底稿'!$I:$I,'jiliarena_代理数据_底稿'!$B:$B,I$42,'jiliarena_代理数据_底稿'!$A:$A,$B119)</f>
        <v>1</v>
      </c>
      <c r="J119" s="342">
        <f t="shared" si="36"/>
        <v>683</v>
      </c>
      <c r="K119" s="343">
        <f t="array" ref="K119">INDEX(jiliarena!$A$3:$M$39,MATCH($A119,jiliarena!$A$3:$A$39,0),MATCH($C$43,jiliarena!$A$3:$M$3,0))-J119</f>
        <v>56</v>
      </c>
      <c r="L119" s="344">
        <f>B119</f>
        <v>46073</v>
      </c>
      <c r="M119" s="341" t="s">
        <v>283</v>
      </c>
      <c r="N119" s="346">
        <f t="shared" ref="N119:S119" si="126">D115-D119</f>
        <v>15</v>
      </c>
      <c r="O119" s="346">
        <f t="shared" si="126"/>
        <v>356</v>
      </c>
      <c r="P119" s="346">
        <f t="shared" si="126"/>
        <v>92</v>
      </c>
      <c r="Q119" s="346">
        <f t="shared" si="126"/>
        <v>-16</v>
      </c>
      <c r="R119" s="346">
        <f t="shared" si="126"/>
        <v>0</v>
      </c>
      <c r="S119" s="346">
        <f t="shared" si="126"/>
        <v>0</v>
      </c>
    </row>
    <row r="120">
      <c r="A120" s="339">
        <f t="shared" si="127"/>
        <v>46073</v>
      </c>
      <c r="B120" s="11"/>
      <c r="C120" s="347" t="s">
        <v>279</v>
      </c>
      <c r="D120" s="348">
        <f>sumifs('jiliarena_代理数据_底稿'!$E:$E,'jiliarena_代理数据_底稿'!$B:$B,D$42,'jiliarena_代理数据_底稿'!$A:$A,$B119)</f>
        <v>331</v>
      </c>
      <c r="E120" s="348">
        <f>sumifs('jiliarena_代理数据_底稿'!$E:$E,'jiliarena_代理数据_底稿'!$B:$B,E$42,'jiliarena_代理数据_底稿'!$A:$A,$B119)</f>
        <v>1286</v>
      </c>
      <c r="F120" s="348">
        <f>sumifs('jiliarena_代理数据_底稿'!$E:$E,'jiliarena_代理数据_底稿'!$B:$B,F$42,'jiliarena_代理数据_底稿'!$A:$A,$B119)</f>
        <v>2237</v>
      </c>
      <c r="G120" s="348">
        <f>sumifs('jiliarena_代理数据_底稿'!$E:$E,'jiliarena_代理数据_底稿'!$B:$B,G$42,'jiliarena_代理数据_底稿'!$A:$A,$B119)</f>
        <v>345</v>
      </c>
      <c r="H120" s="348">
        <f>sumifs('jiliarena_代理数据_底稿'!$E:$E,'jiliarena_代理数据_底稿'!$B:$B,H$42,'jiliarena_代理数据_底稿'!$A:$A,$B119)</f>
        <v>0</v>
      </c>
      <c r="I120" s="348">
        <f>sumifs('jiliarena_代理数据_底稿'!$E:$E,'jiliarena_代理数据_底稿'!$B:$B,I$42,'jiliarena_代理数据_底稿'!$A:$A,$B119)</f>
        <v>1</v>
      </c>
      <c r="J120" s="348">
        <f t="shared" si="36"/>
        <v>3854</v>
      </c>
      <c r="K120" s="349">
        <f t="array" ref="K120">INDEX(jiliarena!$A$3:$M$39,MATCH($A120,jiliarena!$A$3:$A$39,0),MATCH("登录人数",jiliarena!$A$3:$M$3,0))-J120</f>
        <v>346</v>
      </c>
      <c r="L120" s="11"/>
      <c r="M120" s="347" t="s">
        <v>279</v>
      </c>
      <c r="N120" s="359">
        <f t="shared" ref="N120:S120" si="128">D116-D120</f>
        <v>8</v>
      </c>
      <c r="O120" s="359">
        <f t="shared" si="128"/>
        <v>308</v>
      </c>
      <c r="P120" s="359">
        <f t="shared" si="128"/>
        <v>199</v>
      </c>
      <c r="Q120" s="359">
        <f t="shared" si="128"/>
        <v>-5</v>
      </c>
      <c r="R120" s="359">
        <f t="shared" si="128"/>
        <v>0</v>
      </c>
      <c r="S120" s="359">
        <f t="shared" si="128"/>
        <v>0</v>
      </c>
    </row>
    <row r="121">
      <c r="A121" s="339">
        <f t="shared" si="127"/>
        <v>46073</v>
      </c>
      <c r="B121" s="11"/>
      <c r="C121" s="352" t="s">
        <v>280</v>
      </c>
      <c r="D121" s="348">
        <f>sumifs('jiliarena_代理数据_底稿'!$F:$F,'jiliarena_代理数据_底稿'!$B:$B,D$42,'jiliarena_代理数据_底稿'!$A:$A,$B119)</f>
        <v>250</v>
      </c>
      <c r="E121" s="348">
        <f>sumifs('jiliarena_代理数据_底稿'!$F:$F,'jiliarena_代理数据_底稿'!$B:$B,E$42,'jiliarena_代理数据_底稿'!$A:$A,$B119)</f>
        <v>881</v>
      </c>
      <c r="F121" s="348">
        <f>sumifs('jiliarena_代理数据_底稿'!$F:$F,'jiliarena_代理数据_底稿'!$B:$B,F$42,'jiliarena_代理数据_底稿'!$A:$A,$B119)</f>
        <v>1589</v>
      </c>
      <c r="G121" s="348">
        <f>sumifs('jiliarena_代理数据_底稿'!$F:$F,'jiliarena_代理数据_底稿'!$B:$B,G$42,'jiliarena_代理数据_底稿'!$A:$A,$B119)</f>
        <v>245</v>
      </c>
      <c r="H121" s="348">
        <f>sumifs('jiliarena_代理数据_底稿'!$F:$F,'jiliarena_代理数据_底稿'!$B:$B,H$42,'jiliarena_代理数据_底稿'!$A:$A,$B119)</f>
        <v>0</v>
      </c>
      <c r="I121" s="348">
        <f>sumifs('jiliarena_代理数据_底稿'!$F:$F,'jiliarena_代理数据_底稿'!$B:$B,I$42,'jiliarena_代理数据_底稿'!$A:$A,$B119)</f>
        <v>0</v>
      </c>
      <c r="J121" s="348">
        <f t="shared" si="36"/>
        <v>2720</v>
      </c>
      <c r="K121" s="349">
        <f t="array" ref="K121">INDEX(jiliarena!$A$3:$M$39,MATCH($A121,jiliarena!$A$3:$A$39,0),MATCH("投注人数",jiliarena!$A$3:$M$3,0))-J121</f>
        <v>245</v>
      </c>
      <c r="L121" s="11"/>
      <c r="M121" s="352" t="s">
        <v>280</v>
      </c>
      <c r="N121" s="359">
        <f t="shared" ref="N121:S121" si="129">D117-D121</f>
        <v>-8</v>
      </c>
      <c r="O121" s="359">
        <f t="shared" si="129"/>
        <v>105</v>
      </c>
      <c r="P121" s="359">
        <f t="shared" si="129"/>
        <v>142</v>
      </c>
      <c r="Q121" s="359">
        <f t="shared" si="129"/>
        <v>0</v>
      </c>
      <c r="R121" s="359">
        <f t="shared" si="129"/>
        <v>0</v>
      </c>
      <c r="S121" s="359">
        <f t="shared" si="129"/>
        <v>0</v>
      </c>
    </row>
    <row r="122">
      <c r="A122" s="339">
        <f t="shared" si="127"/>
        <v>46073</v>
      </c>
      <c r="B122" s="20"/>
      <c r="C122" s="354" t="s">
        <v>294</v>
      </c>
      <c r="D122" s="355">
        <f>sumifs('jiliarena_代理数据_底稿'!$G:$G,'jiliarena_代理数据_底稿'!$B:$B,D$42,'jiliarena_代理数据_底稿'!$A:$A,$B119)</f>
        <v>93</v>
      </c>
      <c r="E122" s="355">
        <f>sumifs('jiliarena_代理数据_底稿'!$G:$G,'jiliarena_代理数据_底稿'!$B:$B,E$42,'jiliarena_代理数据_底稿'!$A:$A,$B119)</f>
        <v>197</v>
      </c>
      <c r="F122" s="355">
        <f>sumifs('jiliarena_代理数据_底稿'!$G:$G,'jiliarena_代理数据_底稿'!$B:$B,F$42,'jiliarena_代理数据_底稿'!$A:$A,$B119)</f>
        <v>276</v>
      </c>
      <c r="G122" s="355">
        <f>sumifs('jiliarena_代理数据_底稿'!$G:$G,'jiliarena_代理数据_底稿'!$B:$B,G$42,'jiliarena_代理数据_底稿'!$A:$A,$B119)</f>
        <v>59</v>
      </c>
      <c r="H122" s="355">
        <f>sumifs('jiliarena_代理数据_底稿'!$G:$G,'jiliarena_代理数据_底稿'!$B:$B,H$42,'jiliarena_代理数据_底稿'!$A:$A,$B119)</f>
        <v>0</v>
      </c>
      <c r="I122" s="355">
        <f>sumifs('jiliarena_代理数据_底稿'!$G:$G,'jiliarena_代理数据_底稿'!$B:$B,I$42,'jiliarena_代理数据_底稿'!$A:$A,$B119)</f>
        <v>0</v>
      </c>
      <c r="J122" s="361">
        <f t="shared" si="36"/>
        <v>566</v>
      </c>
      <c r="K122" s="356">
        <f t="array" ref="K122">INDEX(jiliarena!$A$3:$M$39,MATCH($A122,jiliarena!$A$3:$A$39,0),MATCH("存款人数",jiliarena!$A$3:$M$3,0))-J122</f>
        <v>59</v>
      </c>
      <c r="L122" s="20"/>
      <c r="M122" s="354" t="s">
        <v>294</v>
      </c>
      <c r="N122" s="362">
        <f t="shared" ref="N122:S122" si="130">D118-D122</f>
        <v>0</v>
      </c>
      <c r="O122" s="362">
        <f t="shared" si="130"/>
        <v>21</v>
      </c>
      <c r="P122" s="362">
        <f t="shared" si="130"/>
        <v>27</v>
      </c>
      <c r="Q122" s="362">
        <f t="shared" si="130"/>
        <v>-6</v>
      </c>
      <c r="R122" s="362">
        <f t="shared" si="130"/>
        <v>0</v>
      </c>
      <c r="S122" s="362">
        <f t="shared" si="130"/>
        <v>0</v>
      </c>
    </row>
    <row r="123">
      <c r="A123" s="339">
        <f t="shared" ref="A123:A126" si="132">$B$123</f>
        <v>46074</v>
      </c>
      <c r="B123" s="340">
        <f>B119+1</f>
        <v>46074</v>
      </c>
      <c r="C123" s="341" t="s">
        <v>283</v>
      </c>
      <c r="D123" s="342">
        <f>sumifs('jiliarena_代理数据_底稿'!$I:$I,'jiliarena_代理数据_底稿'!$B:$B,D$42,'jiliarena_代理数据_底稿'!$A:$A,$B123)</f>
        <v>88</v>
      </c>
      <c r="E123" s="342">
        <f>sumifs('jiliarena_代理数据_底稿'!$I:$I,'jiliarena_代理数据_底稿'!$B:$B,E$42,'jiliarena_代理数据_底稿'!$A:$A,$B123)</f>
        <v>451</v>
      </c>
      <c r="F123" s="342">
        <f>sumifs('jiliarena_代理数据_底稿'!$I:$I,'jiliarena_代理数据_底稿'!$B:$B,F$42,'jiliarena_代理数据_底稿'!$A:$A,$B123)</f>
        <v>100</v>
      </c>
      <c r="G123" s="342">
        <f>sumifs('jiliarena_代理数据_底稿'!$I:$I,'jiliarena_代理数据_底稿'!$B:$B,G$42,'jiliarena_代理数据_底稿'!$A:$A,$B123)</f>
        <v>37</v>
      </c>
      <c r="H123" s="342">
        <f>sumifs('jiliarena_代理数据_底稿'!$I:$I,'jiliarena_代理数据_底稿'!$B:$B,H$42,'jiliarena_代理数据_底稿'!$A:$A,$B123)</f>
        <v>0</v>
      </c>
      <c r="I123" s="342">
        <f>sumifs('jiliarena_代理数据_底稿'!$I:$I,'jiliarena_代理数据_底稿'!$B:$B,I$42,'jiliarena_代理数据_底稿'!$A:$A,$B123)</f>
        <v>0</v>
      </c>
      <c r="J123" s="342">
        <f t="shared" si="36"/>
        <v>639</v>
      </c>
      <c r="K123" s="343">
        <f t="array" ref="K123">INDEX(jiliarena!$A$3:$M$39,MATCH($A123,jiliarena!$A$3:$A$39,0),MATCH($C$43,jiliarena!$A$3:$M$3,0))-J123</f>
        <v>37</v>
      </c>
      <c r="L123" s="344">
        <f>B123</f>
        <v>46074</v>
      </c>
      <c r="M123" s="341" t="s">
        <v>283</v>
      </c>
      <c r="N123" s="346">
        <f t="shared" ref="N123:S123" si="131">D119-D123</f>
        <v>46</v>
      </c>
      <c r="O123" s="346">
        <f t="shared" si="131"/>
        <v>10</v>
      </c>
      <c r="P123" s="346">
        <f t="shared" si="131"/>
        <v>-12</v>
      </c>
      <c r="Q123" s="346">
        <f t="shared" si="131"/>
        <v>18</v>
      </c>
      <c r="R123" s="346">
        <f t="shared" si="131"/>
        <v>0</v>
      </c>
      <c r="S123" s="346">
        <f t="shared" si="131"/>
        <v>1</v>
      </c>
    </row>
    <row r="124">
      <c r="A124" s="339">
        <f t="shared" si="132"/>
        <v>46074</v>
      </c>
      <c r="B124" s="11"/>
      <c r="C124" s="347" t="s">
        <v>279</v>
      </c>
      <c r="D124" s="348">
        <f>sumifs('jiliarena_代理数据_底稿'!$E:$E,'jiliarena_代理数据_底稿'!$B:$B,D$42,'jiliarena_代理数据_底稿'!$A:$A,$B123)</f>
        <v>280</v>
      </c>
      <c r="E124" s="348">
        <f>sumifs('jiliarena_代理数据_底稿'!$E:$E,'jiliarena_代理数据_底稿'!$B:$B,E$42,'jiliarena_代理数据_底稿'!$A:$A,$B123)</f>
        <v>1201</v>
      </c>
      <c r="F124" s="348">
        <f>sumifs('jiliarena_代理数据_底稿'!$E:$E,'jiliarena_代理数据_底稿'!$B:$B,F$42,'jiliarena_代理数据_底稿'!$A:$A,$B123)</f>
        <v>2021</v>
      </c>
      <c r="G124" s="348">
        <f>sumifs('jiliarena_代理数据_底稿'!$E:$E,'jiliarena_代理数据_底稿'!$B:$B,G$42,'jiliarena_代理数据_底稿'!$A:$A,$B123)</f>
        <v>306</v>
      </c>
      <c r="H124" s="348">
        <f>sumifs('jiliarena_代理数据_底稿'!$E:$E,'jiliarena_代理数据_底稿'!$B:$B,H$42,'jiliarena_代理数据_底稿'!$A:$A,$B123)</f>
        <v>0</v>
      </c>
      <c r="I124" s="348">
        <f>sumifs('jiliarena_代理数据_底稿'!$E:$E,'jiliarena_代理数据_底稿'!$B:$B,I$42,'jiliarena_代理数据_底稿'!$A:$A,$B123)</f>
        <v>0</v>
      </c>
      <c r="J124" s="348">
        <f t="shared" si="36"/>
        <v>3502</v>
      </c>
      <c r="K124" s="349">
        <f t="array" ref="K124">INDEX(jiliarena!$A$3:$M$39,MATCH($A124,jiliarena!$A$3:$A$39,0),MATCH("登录人数",jiliarena!$A$3:$M$3,0))-J124</f>
        <v>306</v>
      </c>
      <c r="L124" s="11"/>
      <c r="M124" s="347" t="s">
        <v>279</v>
      </c>
      <c r="N124" s="359">
        <f t="shared" ref="N124:S124" si="133">D120-D124</f>
        <v>51</v>
      </c>
      <c r="O124" s="359">
        <f t="shared" si="133"/>
        <v>85</v>
      </c>
      <c r="P124" s="359">
        <f t="shared" si="133"/>
        <v>216</v>
      </c>
      <c r="Q124" s="359">
        <f t="shared" si="133"/>
        <v>39</v>
      </c>
      <c r="R124" s="359">
        <f t="shared" si="133"/>
        <v>0</v>
      </c>
      <c r="S124" s="359">
        <f t="shared" si="133"/>
        <v>1</v>
      </c>
    </row>
    <row r="125">
      <c r="A125" s="339">
        <f t="shared" si="132"/>
        <v>46074</v>
      </c>
      <c r="B125" s="11"/>
      <c r="C125" s="352" t="s">
        <v>280</v>
      </c>
      <c r="D125" s="348">
        <f>sumifs('jiliarena_代理数据_底稿'!$F:$F,'jiliarena_代理数据_底稿'!$B:$B,D$42,'jiliarena_代理数据_底稿'!$A:$A,$B123)</f>
        <v>223</v>
      </c>
      <c r="E125" s="348">
        <f>sumifs('jiliarena_代理数据_底稿'!$F:$F,'jiliarena_代理数据_底稿'!$B:$B,E$42,'jiliarena_代理数据_底稿'!$A:$A,$B123)</f>
        <v>777</v>
      </c>
      <c r="F125" s="348">
        <f>sumifs('jiliarena_代理数据_底稿'!$F:$F,'jiliarena_代理数据_底稿'!$B:$B,F$42,'jiliarena_代理数据_底稿'!$A:$A,$B123)</f>
        <v>1399</v>
      </c>
      <c r="G125" s="348">
        <f>sumifs('jiliarena_代理数据_底稿'!$F:$F,'jiliarena_代理数据_底稿'!$B:$B,G$42,'jiliarena_代理数据_底稿'!$A:$A,$B123)</f>
        <v>229</v>
      </c>
      <c r="H125" s="348">
        <f>sumifs('jiliarena_代理数据_底稿'!$F:$F,'jiliarena_代理数据_底稿'!$B:$B,H$42,'jiliarena_代理数据_底稿'!$A:$A,$B123)</f>
        <v>0</v>
      </c>
      <c r="I125" s="348">
        <f>sumifs('jiliarena_代理数据_底稿'!$F:$F,'jiliarena_代理数据_底稿'!$B:$B,I$42,'jiliarena_代理数据_底稿'!$A:$A,$B123)</f>
        <v>0</v>
      </c>
      <c r="J125" s="348">
        <f t="shared" si="36"/>
        <v>2399</v>
      </c>
      <c r="K125" s="349">
        <f t="array" ref="K125">INDEX(jiliarena!$A$3:$M$39,MATCH($A125,jiliarena!$A$3:$A$39,0),MATCH("投注人数",jiliarena!$A$3:$M$3,0))-J125</f>
        <v>229</v>
      </c>
      <c r="L125" s="11"/>
      <c r="M125" s="352" t="s">
        <v>280</v>
      </c>
      <c r="N125" s="359">
        <f t="shared" ref="N125:S125" si="134">D121-D125</f>
        <v>27</v>
      </c>
      <c r="O125" s="359">
        <f t="shared" si="134"/>
        <v>104</v>
      </c>
      <c r="P125" s="359">
        <f t="shared" si="134"/>
        <v>190</v>
      </c>
      <c r="Q125" s="359">
        <f t="shared" si="134"/>
        <v>16</v>
      </c>
      <c r="R125" s="359">
        <f t="shared" si="134"/>
        <v>0</v>
      </c>
      <c r="S125" s="359">
        <f t="shared" si="134"/>
        <v>0</v>
      </c>
    </row>
    <row r="126">
      <c r="A126" s="339">
        <f t="shared" si="132"/>
        <v>46074</v>
      </c>
      <c r="B126" s="20"/>
      <c r="C126" s="354" t="s">
        <v>294</v>
      </c>
      <c r="D126" s="355">
        <f>sumifs('jiliarena_代理数据_底稿'!$G:$G,'jiliarena_代理数据_底稿'!$B:$B,D$42,'jiliarena_代理数据_底稿'!$A:$A,$B123)</f>
        <v>93</v>
      </c>
      <c r="E126" s="355">
        <f>sumifs('jiliarena_代理数据_底稿'!$G:$G,'jiliarena_代理数据_底稿'!$B:$B,E$42,'jiliarena_代理数据_底稿'!$A:$A,$B123)</f>
        <v>168</v>
      </c>
      <c r="F126" s="355">
        <f>sumifs('jiliarena_代理数据_底稿'!$G:$G,'jiliarena_代理数据_底稿'!$B:$B,F$42,'jiliarena_代理数据_底稿'!$A:$A,$B123)</f>
        <v>240</v>
      </c>
      <c r="G126" s="355">
        <f>sumifs('jiliarena_代理数据_底稿'!$G:$G,'jiliarena_代理数据_底稿'!$B:$B,G$42,'jiliarena_代理数据_底稿'!$A:$A,$B123)</f>
        <v>53</v>
      </c>
      <c r="H126" s="355">
        <f>sumifs('jiliarena_代理数据_底稿'!$G:$G,'jiliarena_代理数据_底稿'!$B:$B,H$42,'jiliarena_代理数据_底稿'!$A:$A,$B123)</f>
        <v>0</v>
      </c>
      <c r="I126" s="355">
        <f>sumifs('jiliarena_代理数据_底稿'!$G:$G,'jiliarena_代理数据_底稿'!$B:$B,I$42,'jiliarena_代理数据_底稿'!$A:$A,$B123)</f>
        <v>0</v>
      </c>
      <c r="J126" s="361">
        <f t="shared" si="36"/>
        <v>501</v>
      </c>
      <c r="K126" s="356">
        <f t="array" ref="K126">INDEX(jiliarena!$A$3:$M$39,MATCH($A126,jiliarena!$A$3:$A$39,0),MATCH("存款人数",jiliarena!$A$3:$M$3,0))-J126</f>
        <v>53</v>
      </c>
      <c r="L126" s="20"/>
      <c r="M126" s="354" t="s">
        <v>294</v>
      </c>
      <c r="N126" s="362">
        <f t="shared" ref="N126:S126" si="135">D122-D126</f>
        <v>0</v>
      </c>
      <c r="O126" s="362">
        <f t="shared" si="135"/>
        <v>29</v>
      </c>
      <c r="P126" s="362">
        <f t="shared" si="135"/>
        <v>36</v>
      </c>
      <c r="Q126" s="362">
        <f t="shared" si="135"/>
        <v>6</v>
      </c>
      <c r="R126" s="362">
        <f t="shared" si="135"/>
        <v>0</v>
      </c>
      <c r="S126" s="362">
        <f t="shared" si="135"/>
        <v>0</v>
      </c>
    </row>
    <row r="127">
      <c r="A127" s="339">
        <f t="shared" ref="A127:A130" si="137">$B$127</f>
        <v>46075</v>
      </c>
      <c r="B127" s="340">
        <f>B123+1</f>
        <v>46075</v>
      </c>
      <c r="C127" s="341" t="s">
        <v>283</v>
      </c>
      <c r="D127" s="342">
        <f>sumifs('jiliarena_代理数据_底稿'!$I:$I,'jiliarena_代理数据_底稿'!$B:$B,D$42,'jiliarena_代理数据_底稿'!$A:$A,$B127)</f>
        <v>94</v>
      </c>
      <c r="E127" s="342">
        <f>sumifs('jiliarena_代理数据_底稿'!$I:$I,'jiliarena_代理数据_底稿'!$B:$B,E$42,'jiliarena_代理数据_底稿'!$A:$A,$B127)</f>
        <v>375</v>
      </c>
      <c r="F127" s="342">
        <f>sumifs('jiliarena_代理数据_底稿'!$I:$I,'jiliarena_代理数据_底稿'!$B:$B,F$42,'jiliarena_代理数据_底稿'!$A:$A,$B127)</f>
        <v>102</v>
      </c>
      <c r="G127" s="342">
        <f>sumifs('jiliarena_代理数据_底稿'!$I:$I,'jiliarena_代理数据_底稿'!$B:$B,G$42,'jiliarena_代理数据_底稿'!$A:$A,$B127)</f>
        <v>29</v>
      </c>
      <c r="H127" s="342">
        <f>sumifs('jiliarena_代理数据_底稿'!$I:$I,'jiliarena_代理数据_底稿'!$B:$B,H$42,'jiliarena_代理数据_底稿'!$A:$A,$B127)</f>
        <v>0</v>
      </c>
      <c r="I127" s="342">
        <f>sumifs('jiliarena_代理数据_底稿'!$I:$I,'jiliarena_代理数据_底稿'!$B:$B,I$42,'jiliarena_代理数据_底稿'!$A:$A,$B127)</f>
        <v>0</v>
      </c>
      <c r="J127" s="342">
        <f t="shared" si="36"/>
        <v>571</v>
      </c>
      <c r="K127" s="343">
        <f t="array" ref="K127">INDEX(jiliarena!$A$3:$M$39,MATCH($A127,jiliarena!$A$3:$A$39,0),MATCH($C$43,jiliarena!$A$3:$M$3,0))-J127</f>
        <v>29</v>
      </c>
      <c r="L127" s="344">
        <f>B127</f>
        <v>46075</v>
      </c>
      <c r="M127" s="341" t="s">
        <v>283</v>
      </c>
      <c r="N127" s="346">
        <f t="shared" ref="N127:S127" si="136">D123-D127</f>
        <v>-6</v>
      </c>
      <c r="O127" s="346">
        <f t="shared" si="136"/>
        <v>76</v>
      </c>
      <c r="P127" s="346">
        <f t="shared" si="136"/>
        <v>-2</v>
      </c>
      <c r="Q127" s="346">
        <f t="shared" si="136"/>
        <v>8</v>
      </c>
      <c r="R127" s="346">
        <f t="shared" si="136"/>
        <v>0</v>
      </c>
      <c r="S127" s="346">
        <f t="shared" si="136"/>
        <v>0</v>
      </c>
    </row>
    <row r="128">
      <c r="A128" s="339">
        <f t="shared" si="137"/>
        <v>46075</v>
      </c>
      <c r="B128" s="11"/>
      <c r="C128" s="347" t="s">
        <v>279</v>
      </c>
      <c r="D128" s="348">
        <f>sumifs('jiliarena_代理数据_底稿'!$E:$E,'jiliarena_代理数据_底稿'!$B:$B,D$42,'jiliarena_代理数据_底稿'!$A:$A,$B127)</f>
        <v>296</v>
      </c>
      <c r="E128" s="348">
        <f>sumifs('jiliarena_代理数据_底稿'!$E:$E,'jiliarena_代理数据_底稿'!$B:$B,E$42,'jiliarena_代理数据_底稿'!$A:$A,$B127)</f>
        <v>1140</v>
      </c>
      <c r="F128" s="348">
        <f>sumifs('jiliarena_代理数据_底稿'!$E:$E,'jiliarena_代理数据_底稿'!$B:$B,F$42,'jiliarena_代理数据_底稿'!$A:$A,$B127)</f>
        <v>1915</v>
      </c>
      <c r="G128" s="348">
        <f>sumifs('jiliarena_代理数据_底稿'!$E:$E,'jiliarena_代理数据_底稿'!$B:$B,G$42,'jiliarena_代理数据_底稿'!$A:$A,$B127)</f>
        <v>299</v>
      </c>
      <c r="H128" s="348">
        <f>sumifs('jiliarena_代理数据_底稿'!$E:$E,'jiliarena_代理数据_底稿'!$B:$B,H$42,'jiliarena_代理数据_底稿'!$A:$A,$B127)</f>
        <v>0</v>
      </c>
      <c r="I128" s="348">
        <f>sumifs('jiliarena_代理数据_底稿'!$E:$E,'jiliarena_代理数据_底稿'!$B:$B,I$42,'jiliarena_代理数据_底稿'!$A:$A,$B127)</f>
        <v>0</v>
      </c>
      <c r="J128" s="348">
        <f t="shared" si="36"/>
        <v>3351</v>
      </c>
      <c r="K128" s="349">
        <f t="array" ref="K128">INDEX(jiliarena!$A$3:$M$39,MATCH($A128,jiliarena!$A$3:$A$39,0),MATCH("登录人数",jiliarena!$A$3:$M$3,0))-J128</f>
        <v>299</v>
      </c>
      <c r="L128" s="11"/>
      <c r="M128" s="347" t="s">
        <v>279</v>
      </c>
      <c r="N128" s="359">
        <f t="shared" ref="N128:S128" si="138">D124-D128</f>
        <v>-16</v>
      </c>
      <c r="O128" s="359">
        <f t="shared" si="138"/>
        <v>61</v>
      </c>
      <c r="P128" s="359">
        <f t="shared" si="138"/>
        <v>106</v>
      </c>
      <c r="Q128" s="359">
        <f t="shared" si="138"/>
        <v>7</v>
      </c>
      <c r="R128" s="359">
        <f t="shared" si="138"/>
        <v>0</v>
      </c>
      <c r="S128" s="359">
        <f t="shared" si="138"/>
        <v>0</v>
      </c>
    </row>
    <row r="129">
      <c r="A129" s="339">
        <f t="shared" si="137"/>
        <v>46075</v>
      </c>
      <c r="B129" s="11"/>
      <c r="C129" s="352" t="s">
        <v>280</v>
      </c>
      <c r="D129" s="348">
        <f>sumifs('jiliarena_代理数据_底稿'!$F:$F,'jiliarena_代理数据_底稿'!$B:$B,D$42,'jiliarena_代理数据_底稿'!$A:$A,$B127)</f>
        <v>223</v>
      </c>
      <c r="E129" s="348">
        <f>sumifs('jiliarena_代理数据_底稿'!$F:$F,'jiliarena_代理数据_底稿'!$B:$B,E$42,'jiliarena_代理数据_底稿'!$A:$A,$B127)</f>
        <v>799</v>
      </c>
      <c r="F129" s="348">
        <f>sumifs('jiliarena_代理数据_底稿'!$F:$F,'jiliarena_代理数据_底稿'!$B:$B,F$42,'jiliarena_代理数据_底稿'!$A:$A,$B127)</f>
        <v>1451</v>
      </c>
      <c r="G129" s="348">
        <f>sumifs('jiliarena_代理数据_底稿'!$F:$F,'jiliarena_代理数据_底稿'!$B:$B,G$42,'jiliarena_代理数据_底稿'!$A:$A,$B127)</f>
        <v>218</v>
      </c>
      <c r="H129" s="348">
        <f>sumifs('jiliarena_代理数据_底稿'!$F:$F,'jiliarena_代理数据_底稿'!$B:$B,H$42,'jiliarena_代理数据_底稿'!$A:$A,$B127)</f>
        <v>0</v>
      </c>
      <c r="I129" s="348">
        <f>sumifs('jiliarena_代理数据_底稿'!$F:$F,'jiliarena_代理数据_底稿'!$B:$B,I$42,'jiliarena_代理数据_底稿'!$A:$A,$B127)</f>
        <v>0</v>
      </c>
      <c r="J129" s="348">
        <f t="shared" si="36"/>
        <v>2473</v>
      </c>
      <c r="K129" s="349">
        <f t="array" ref="K129">INDEX(jiliarena!$A$3:$M$39,MATCH($A129,jiliarena!$A$3:$A$39,0),MATCH("投注人数",jiliarena!$A$3:$M$3,0))-J129</f>
        <v>218</v>
      </c>
      <c r="L129" s="11"/>
      <c r="M129" s="352" t="s">
        <v>280</v>
      </c>
      <c r="N129" s="359">
        <f t="shared" ref="N129:S129" si="139">D125-D129</f>
        <v>0</v>
      </c>
      <c r="O129" s="359">
        <f t="shared" si="139"/>
        <v>-22</v>
      </c>
      <c r="P129" s="359">
        <f t="shared" si="139"/>
        <v>-52</v>
      </c>
      <c r="Q129" s="359">
        <f t="shared" si="139"/>
        <v>11</v>
      </c>
      <c r="R129" s="359">
        <f t="shared" si="139"/>
        <v>0</v>
      </c>
      <c r="S129" s="359">
        <f t="shared" si="139"/>
        <v>0</v>
      </c>
    </row>
    <row r="130">
      <c r="A130" s="339">
        <f t="shared" si="137"/>
        <v>46075</v>
      </c>
      <c r="B130" s="20"/>
      <c r="C130" s="354" t="s">
        <v>294</v>
      </c>
      <c r="D130" s="355">
        <f>sumifs('jiliarena_代理数据_底稿'!$G:$G,'jiliarena_代理数据_底稿'!$B:$B,D$42,'jiliarena_代理数据_底稿'!$A:$A,$B127)</f>
        <v>76</v>
      </c>
      <c r="E130" s="355">
        <f>sumifs('jiliarena_代理数据_底稿'!$G:$G,'jiliarena_代理数据_底稿'!$B:$B,E$42,'jiliarena_代理数据_底稿'!$A:$A,$B127)</f>
        <v>170</v>
      </c>
      <c r="F130" s="355">
        <f>sumifs('jiliarena_代理数据_底稿'!$G:$G,'jiliarena_代理数据_底稿'!$B:$B,F$42,'jiliarena_代理数据_底稿'!$A:$A,$B127)</f>
        <v>223</v>
      </c>
      <c r="G130" s="355">
        <f>sumifs('jiliarena_代理数据_底稿'!$G:$G,'jiliarena_代理数据_底稿'!$B:$B,G$42,'jiliarena_代理数据_底稿'!$A:$A,$B127)</f>
        <v>40</v>
      </c>
      <c r="H130" s="355">
        <f>sumifs('jiliarena_代理数据_底稿'!$G:$G,'jiliarena_代理数据_底稿'!$B:$B,H$42,'jiliarena_代理数据_底稿'!$A:$A,$B127)</f>
        <v>0</v>
      </c>
      <c r="I130" s="355">
        <f>sumifs('jiliarena_代理数据_底稿'!$G:$G,'jiliarena_代理数据_底稿'!$B:$B,I$42,'jiliarena_代理数据_底稿'!$A:$A,$B127)</f>
        <v>0</v>
      </c>
      <c r="J130" s="361">
        <f t="shared" si="36"/>
        <v>469</v>
      </c>
      <c r="K130" s="356">
        <f t="array" ref="K130">INDEX(jiliarena!$A$3:$M$39,MATCH($A130,jiliarena!$A$3:$A$39,0),MATCH("存款人数",jiliarena!$A$3:$M$3,0))-J130</f>
        <v>40</v>
      </c>
      <c r="L130" s="20"/>
      <c r="M130" s="354" t="s">
        <v>294</v>
      </c>
      <c r="N130" s="362">
        <f t="shared" ref="N130:S130" si="140">D126-D130</f>
        <v>17</v>
      </c>
      <c r="O130" s="362">
        <f t="shared" si="140"/>
        <v>-2</v>
      </c>
      <c r="P130" s="362">
        <f t="shared" si="140"/>
        <v>17</v>
      </c>
      <c r="Q130" s="362">
        <f t="shared" si="140"/>
        <v>13</v>
      </c>
      <c r="R130" s="362">
        <f t="shared" si="140"/>
        <v>0</v>
      </c>
      <c r="S130" s="362">
        <f t="shared" si="140"/>
        <v>0</v>
      </c>
    </row>
    <row r="131">
      <c r="A131" s="339">
        <f t="shared" ref="A131:A134" si="142">$B$131</f>
        <v>46076</v>
      </c>
      <c r="B131" s="340">
        <f>B127+1</f>
        <v>46076</v>
      </c>
      <c r="C131" s="341" t="s">
        <v>283</v>
      </c>
      <c r="D131" s="342">
        <f>sumifs('jiliarena_代理数据_底稿'!$I:$I,'jiliarena_代理数据_底稿'!$B:$B,D$42,'jiliarena_代理数据_底稿'!$A:$A,$B131)</f>
        <v>67</v>
      </c>
      <c r="E131" s="342">
        <f>sumifs('jiliarena_代理数据_底稿'!$I:$I,'jiliarena_代理数据_底稿'!$B:$B,E$42,'jiliarena_代理数据_底稿'!$A:$A,$B131)</f>
        <v>446</v>
      </c>
      <c r="F131" s="342">
        <f>sumifs('jiliarena_代理数据_底稿'!$I:$I,'jiliarena_代理数据_底稿'!$B:$B,F$42,'jiliarena_代理数据_底稿'!$A:$A,$B131)</f>
        <v>74</v>
      </c>
      <c r="G131" s="342">
        <f>sumifs('jiliarena_代理数据_底稿'!$I:$I,'jiliarena_代理数据_底稿'!$B:$B,G$42,'jiliarena_代理数据_底稿'!$A:$A,$B131)</f>
        <v>36</v>
      </c>
      <c r="H131" s="342">
        <f>sumifs('jiliarena_代理数据_底稿'!$I:$I,'jiliarena_代理数据_底稿'!$B:$B,H$42,'jiliarena_代理数据_底稿'!$A:$A,$B131)</f>
        <v>0</v>
      </c>
      <c r="I131" s="342">
        <f>sumifs('jiliarena_代理数据_底稿'!$I:$I,'jiliarena_代理数据_底稿'!$B:$B,I$42,'jiliarena_代理数据_底稿'!$A:$A,$B131)</f>
        <v>0</v>
      </c>
      <c r="J131" s="342">
        <f t="shared" si="36"/>
        <v>587</v>
      </c>
      <c r="K131" s="343">
        <f t="array" ref="K131">INDEX(jiliarena!$A$3:$M$39,MATCH($A131,jiliarena!$A$3:$A$39,0),MATCH($C$43,jiliarena!$A$3:$M$3,0))-J131</f>
        <v>36</v>
      </c>
      <c r="L131" s="344">
        <f>B131</f>
        <v>46076</v>
      </c>
      <c r="M131" s="341" t="s">
        <v>283</v>
      </c>
      <c r="N131" s="346">
        <f t="shared" ref="N131:S131" si="141">D127-D131</f>
        <v>27</v>
      </c>
      <c r="O131" s="346">
        <f t="shared" si="141"/>
        <v>-71</v>
      </c>
      <c r="P131" s="346">
        <f t="shared" si="141"/>
        <v>28</v>
      </c>
      <c r="Q131" s="346">
        <f t="shared" si="141"/>
        <v>-7</v>
      </c>
      <c r="R131" s="346">
        <f t="shared" si="141"/>
        <v>0</v>
      </c>
      <c r="S131" s="346">
        <f t="shared" si="141"/>
        <v>0</v>
      </c>
    </row>
    <row r="132">
      <c r="A132" s="339">
        <f t="shared" si="142"/>
        <v>46076</v>
      </c>
      <c r="B132" s="11"/>
      <c r="C132" s="347" t="s">
        <v>279</v>
      </c>
      <c r="D132" s="348">
        <f>sumifs('jiliarena_代理数据_底稿'!$E:$E,'jiliarena_代理数据_底稿'!$B:$B,D$42,'jiliarena_代理数据_底稿'!$A:$A,$B131)</f>
        <v>250</v>
      </c>
      <c r="E132" s="348">
        <f>sumifs('jiliarena_代理数据_底稿'!$E:$E,'jiliarena_代理数据_底稿'!$B:$B,E$42,'jiliarena_代理数据_底稿'!$A:$A,$B131)</f>
        <v>1170</v>
      </c>
      <c r="F132" s="348">
        <f>sumifs('jiliarena_代理数据_底稿'!$E:$E,'jiliarena_代理数据_底稿'!$B:$B,F$42,'jiliarena_代理数据_底稿'!$A:$A,$B131)</f>
        <v>1778</v>
      </c>
      <c r="G132" s="348">
        <f>sumifs('jiliarena_代理数据_底稿'!$E:$E,'jiliarena_代理数据_底稿'!$B:$B,G$42,'jiliarena_代理数据_底稿'!$A:$A,$B131)</f>
        <v>295</v>
      </c>
      <c r="H132" s="348">
        <f>sumifs('jiliarena_代理数据_底稿'!$E:$E,'jiliarena_代理数据_底稿'!$B:$B,H$42,'jiliarena_代理数据_底稿'!$A:$A,$B131)</f>
        <v>0</v>
      </c>
      <c r="I132" s="348">
        <f>sumifs('jiliarena_代理数据_底稿'!$E:$E,'jiliarena_代理数据_底稿'!$B:$B,I$42,'jiliarena_代理数据_底稿'!$A:$A,$B131)</f>
        <v>0</v>
      </c>
      <c r="J132" s="348">
        <f t="shared" si="36"/>
        <v>3198</v>
      </c>
      <c r="K132" s="349">
        <f t="array" ref="K132">INDEX(jiliarena!$A$3:$M$39,MATCH($A132,jiliarena!$A$3:$A$39,0),MATCH("登录人数",jiliarena!$A$3:$M$3,0))-J132</f>
        <v>295</v>
      </c>
      <c r="L132" s="11"/>
      <c r="M132" s="347" t="s">
        <v>279</v>
      </c>
      <c r="N132" s="359">
        <f t="shared" ref="N132:S132" si="143">D128-D132</f>
        <v>46</v>
      </c>
      <c r="O132" s="359">
        <f t="shared" si="143"/>
        <v>-30</v>
      </c>
      <c r="P132" s="359">
        <f t="shared" si="143"/>
        <v>137</v>
      </c>
      <c r="Q132" s="359">
        <f t="shared" si="143"/>
        <v>4</v>
      </c>
      <c r="R132" s="359">
        <f t="shared" si="143"/>
        <v>0</v>
      </c>
      <c r="S132" s="359">
        <f t="shared" si="143"/>
        <v>0</v>
      </c>
    </row>
    <row r="133">
      <c r="A133" s="339">
        <f t="shared" si="142"/>
        <v>46076</v>
      </c>
      <c r="B133" s="11"/>
      <c r="C133" s="352" t="s">
        <v>280</v>
      </c>
      <c r="D133" s="348">
        <f>sumifs('jiliarena_代理数据_底稿'!$F:$F,'jiliarena_代理数据_底稿'!$B:$B,D$42,'jiliarena_代理数据_底稿'!$A:$A,$B131)</f>
        <v>186</v>
      </c>
      <c r="E133" s="348">
        <f>sumifs('jiliarena_代理数据_底稿'!$F:$F,'jiliarena_代理数据_底稿'!$B:$B,E$42,'jiliarena_代理数据_底稿'!$A:$A,$B131)</f>
        <v>731</v>
      </c>
      <c r="F133" s="348">
        <f>sumifs('jiliarena_代理数据_底稿'!$F:$F,'jiliarena_代理数据_底稿'!$B:$B,F$42,'jiliarena_代理数据_底稿'!$A:$A,$B131)</f>
        <v>1227</v>
      </c>
      <c r="G133" s="348">
        <f>sumifs('jiliarena_代理数据_底稿'!$F:$F,'jiliarena_代理数据_底稿'!$B:$B,G$42,'jiliarena_代理数据_底稿'!$A:$A,$B131)</f>
        <v>214</v>
      </c>
      <c r="H133" s="348">
        <f>sumifs('jiliarena_代理数据_底稿'!$F:$F,'jiliarena_代理数据_底稿'!$B:$B,H$42,'jiliarena_代理数据_底稿'!$A:$A,$B131)</f>
        <v>0</v>
      </c>
      <c r="I133" s="348">
        <f>sumifs('jiliarena_代理数据_底稿'!$F:$F,'jiliarena_代理数据_底稿'!$B:$B,I$42,'jiliarena_代理数据_底稿'!$A:$A,$B131)</f>
        <v>0</v>
      </c>
      <c r="J133" s="348">
        <f t="shared" si="36"/>
        <v>2144</v>
      </c>
      <c r="K133" s="349">
        <f t="array" ref="K133">INDEX(jiliarena!$A$3:$M$39,MATCH($A133,jiliarena!$A$3:$A$39,0),MATCH("投注人数",jiliarena!$A$3:$M$3,0))-J133</f>
        <v>214</v>
      </c>
      <c r="L133" s="11"/>
      <c r="M133" s="352" t="s">
        <v>280</v>
      </c>
      <c r="N133" s="359">
        <f t="shared" ref="N133:S133" si="144">D129-D133</f>
        <v>37</v>
      </c>
      <c r="O133" s="359">
        <f t="shared" si="144"/>
        <v>68</v>
      </c>
      <c r="P133" s="359">
        <f t="shared" si="144"/>
        <v>224</v>
      </c>
      <c r="Q133" s="359">
        <f t="shared" si="144"/>
        <v>4</v>
      </c>
      <c r="R133" s="359">
        <f t="shared" si="144"/>
        <v>0</v>
      </c>
      <c r="S133" s="359">
        <f t="shared" si="144"/>
        <v>0</v>
      </c>
    </row>
    <row r="134">
      <c r="A134" s="339">
        <f t="shared" si="142"/>
        <v>46076</v>
      </c>
      <c r="B134" s="20"/>
      <c r="C134" s="354" t="s">
        <v>294</v>
      </c>
      <c r="D134" s="355">
        <f>sumifs('jiliarena_代理数据_底稿'!$G:$G,'jiliarena_代理数据_底稿'!$B:$B,D$42,'jiliarena_代理数据_底稿'!$A:$A,$B131)</f>
        <v>68</v>
      </c>
      <c r="E134" s="355">
        <f>sumifs('jiliarena_代理数据_底稿'!$G:$G,'jiliarena_代理数据_底稿'!$B:$B,E$42,'jiliarena_代理数据_底稿'!$A:$A,$B131)</f>
        <v>122</v>
      </c>
      <c r="F134" s="355">
        <f>sumifs('jiliarena_代理数据_底稿'!$G:$G,'jiliarena_代理数据_底稿'!$B:$B,F$42,'jiliarena_代理数据_底稿'!$A:$A,$B131)</f>
        <v>183</v>
      </c>
      <c r="G134" s="355">
        <f>sumifs('jiliarena_代理数据_底稿'!$G:$G,'jiliarena_代理数据_底稿'!$B:$B,G$42,'jiliarena_代理数据_底稿'!$A:$A,$B131)</f>
        <v>46</v>
      </c>
      <c r="H134" s="355">
        <f>sumifs('jiliarena_代理数据_底稿'!$G:$G,'jiliarena_代理数据_底稿'!$B:$B,H$42,'jiliarena_代理数据_底稿'!$A:$A,$B131)</f>
        <v>0</v>
      </c>
      <c r="I134" s="355">
        <f>sumifs('jiliarena_代理数据_底稿'!$G:$G,'jiliarena_代理数据_底稿'!$B:$B,I$42,'jiliarena_代理数据_底稿'!$A:$A,$B131)</f>
        <v>0</v>
      </c>
      <c r="J134" s="361">
        <f t="shared" si="36"/>
        <v>373</v>
      </c>
      <c r="K134" s="356">
        <f t="array" ref="K134">INDEX(jiliarena!$A$3:$M$39,MATCH($A134,jiliarena!$A$3:$A$39,0),MATCH("存款人数",jiliarena!$A$3:$M$3,0))-J134</f>
        <v>46</v>
      </c>
      <c r="L134" s="20"/>
      <c r="M134" s="354" t="s">
        <v>294</v>
      </c>
      <c r="N134" s="362">
        <f t="shared" ref="N134:S134" si="145">D130-D134</f>
        <v>8</v>
      </c>
      <c r="O134" s="362">
        <f t="shared" si="145"/>
        <v>48</v>
      </c>
      <c r="P134" s="362">
        <f t="shared" si="145"/>
        <v>40</v>
      </c>
      <c r="Q134" s="362">
        <f t="shared" si="145"/>
        <v>-6</v>
      </c>
      <c r="R134" s="362">
        <f t="shared" si="145"/>
        <v>0</v>
      </c>
      <c r="S134" s="362">
        <f t="shared" si="145"/>
        <v>0</v>
      </c>
    </row>
    <row r="135">
      <c r="A135" s="339">
        <f t="shared" ref="A135:A138" si="147">$B$135</f>
        <v>46077</v>
      </c>
      <c r="B135" s="340">
        <f>B131+1</f>
        <v>46077</v>
      </c>
      <c r="C135" s="341" t="s">
        <v>283</v>
      </c>
      <c r="D135" s="342">
        <f>sumifs('jiliarena_代理数据_底稿'!$I:$I,'jiliarena_代理数据_底稿'!$B:$B,D$42,'jiliarena_代理数据_底稿'!$A:$A,$B135)</f>
        <v>74</v>
      </c>
      <c r="E135" s="342">
        <f>sumifs('jiliarena_代理数据_底稿'!$I:$I,'jiliarena_代理数据_底稿'!$B:$B,E$42,'jiliarena_代理数据_底稿'!$A:$A,$B135)</f>
        <v>513</v>
      </c>
      <c r="F135" s="342">
        <f>sumifs('jiliarena_代理数据_底稿'!$I:$I,'jiliarena_代理数据_底稿'!$B:$B,F$42,'jiliarena_代理数据_底稿'!$A:$A,$B135)</f>
        <v>80</v>
      </c>
      <c r="G135" s="342">
        <f>sumifs('jiliarena_代理数据_底稿'!$I:$I,'jiliarena_代理数据_底稿'!$B:$B,G$42,'jiliarena_代理数据_底稿'!$A:$A,$B135)</f>
        <v>40</v>
      </c>
      <c r="H135" s="342">
        <f>sumifs('jiliarena_代理数据_底稿'!$I:$I,'jiliarena_代理数据_底稿'!$B:$B,H$42,'jiliarena_代理数据_底稿'!$A:$A,$B135)</f>
        <v>0</v>
      </c>
      <c r="I135" s="342">
        <f>sumifs('jiliarena_代理数据_底稿'!$I:$I,'jiliarena_代理数据_底稿'!$B:$B,I$42,'jiliarena_代理数据_底稿'!$A:$A,$B135)</f>
        <v>0</v>
      </c>
      <c r="J135" s="342">
        <f t="shared" si="36"/>
        <v>667</v>
      </c>
      <c r="K135" s="343">
        <f t="array" ref="K135">INDEX(jiliarena!$A$3:$M$39,MATCH($A135,jiliarena!$A$3:$A$39,0),MATCH($C$43,jiliarena!$A$3:$M$3,0))-J135</f>
        <v>40</v>
      </c>
      <c r="L135" s="344">
        <f>B135</f>
        <v>46077</v>
      </c>
      <c r="M135" s="341" t="s">
        <v>283</v>
      </c>
      <c r="N135" s="346">
        <f t="shared" ref="N135:S135" si="146">D131-D135</f>
        <v>-7</v>
      </c>
      <c r="O135" s="346">
        <f t="shared" si="146"/>
        <v>-67</v>
      </c>
      <c r="P135" s="346">
        <f t="shared" si="146"/>
        <v>-6</v>
      </c>
      <c r="Q135" s="346">
        <f t="shared" si="146"/>
        <v>-4</v>
      </c>
      <c r="R135" s="346">
        <f t="shared" si="146"/>
        <v>0</v>
      </c>
      <c r="S135" s="346">
        <f t="shared" si="146"/>
        <v>0</v>
      </c>
    </row>
    <row r="136">
      <c r="A136" s="339">
        <f t="shared" si="147"/>
        <v>46077</v>
      </c>
      <c r="B136" s="11"/>
      <c r="C136" s="347" t="s">
        <v>279</v>
      </c>
      <c r="D136" s="348">
        <f>sumifs('jiliarena_代理数据_底稿'!$E:$E,'jiliarena_代理数据_底稿'!$B:$B,D$42,'jiliarena_代理数据_底稿'!$A:$A,$B135)</f>
        <v>250</v>
      </c>
      <c r="E136" s="348">
        <f>sumifs('jiliarena_代理数据_底稿'!$E:$E,'jiliarena_代理数据_底稿'!$B:$B,E$42,'jiliarena_代理数据_底稿'!$A:$A,$B135)</f>
        <v>1293</v>
      </c>
      <c r="F136" s="348">
        <f>sumifs('jiliarena_代理数据_底稿'!$E:$E,'jiliarena_代理数据_底稿'!$B:$B,F$42,'jiliarena_代理数据_底稿'!$A:$A,$B135)</f>
        <v>1933</v>
      </c>
      <c r="G136" s="348">
        <f>sumifs('jiliarena_代理数据_底稿'!$E:$E,'jiliarena_代理数据_底稿'!$B:$B,G$42,'jiliarena_代理数据_底稿'!$A:$A,$B135)</f>
        <v>309</v>
      </c>
      <c r="H136" s="348">
        <f>sumifs('jiliarena_代理数据_底稿'!$E:$E,'jiliarena_代理数据_底稿'!$B:$B,H$42,'jiliarena_代理数据_底稿'!$A:$A,$B135)</f>
        <v>0</v>
      </c>
      <c r="I136" s="348">
        <f>sumifs('jiliarena_代理数据_底稿'!$E:$E,'jiliarena_代理数据_底稿'!$B:$B,I$42,'jiliarena_代理数据_底稿'!$A:$A,$B135)</f>
        <v>0</v>
      </c>
      <c r="J136" s="348">
        <f t="shared" si="36"/>
        <v>3476</v>
      </c>
      <c r="K136" s="349">
        <f t="array" ref="K136">INDEX(jiliarena!$A$3:$M$39,MATCH($A136,jiliarena!$A$3:$A$39,0),MATCH("登录人数",jiliarena!$A$3:$M$3,0))-J136</f>
        <v>309</v>
      </c>
      <c r="L136" s="11"/>
      <c r="M136" s="347" t="s">
        <v>279</v>
      </c>
      <c r="N136" s="359">
        <f t="shared" ref="N136:S136" si="148">D132-D136</f>
        <v>0</v>
      </c>
      <c r="O136" s="359">
        <f t="shared" si="148"/>
        <v>-123</v>
      </c>
      <c r="P136" s="359">
        <f t="shared" si="148"/>
        <v>-155</v>
      </c>
      <c r="Q136" s="359">
        <f t="shared" si="148"/>
        <v>-14</v>
      </c>
      <c r="R136" s="359">
        <f t="shared" si="148"/>
        <v>0</v>
      </c>
      <c r="S136" s="359">
        <f t="shared" si="148"/>
        <v>0</v>
      </c>
    </row>
    <row r="137">
      <c r="A137" s="339">
        <f t="shared" si="147"/>
        <v>46077</v>
      </c>
      <c r="B137" s="11"/>
      <c r="C137" s="352" t="s">
        <v>280</v>
      </c>
      <c r="D137" s="348">
        <f>sumifs('jiliarena_代理数据_底稿'!$F:$F,'jiliarena_代理数据_底稿'!$B:$B,D$42,'jiliarena_代理数据_底稿'!$A:$A,$B135)</f>
        <v>202</v>
      </c>
      <c r="E137" s="348">
        <f>sumifs('jiliarena_代理数据_底稿'!$F:$F,'jiliarena_代理数据_底稿'!$B:$B,E$42,'jiliarena_代理数据_底稿'!$A:$A,$B135)</f>
        <v>843</v>
      </c>
      <c r="F137" s="348">
        <f>sumifs('jiliarena_代理数据_底稿'!$F:$F,'jiliarena_代理数据_底稿'!$B:$B,F$42,'jiliarena_代理数据_底稿'!$A:$A,$B135)</f>
        <v>1419</v>
      </c>
      <c r="G137" s="348">
        <f>sumifs('jiliarena_代理数据_底稿'!$F:$F,'jiliarena_代理数据_底稿'!$B:$B,G$42,'jiliarena_代理数据_底稿'!$A:$A,$B135)</f>
        <v>222</v>
      </c>
      <c r="H137" s="348">
        <f>sumifs('jiliarena_代理数据_底稿'!$F:$F,'jiliarena_代理数据_底稿'!$B:$B,H$42,'jiliarena_代理数据_底稿'!$A:$A,$B135)</f>
        <v>0</v>
      </c>
      <c r="I137" s="348">
        <f>sumifs('jiliarena_代理数据_底稿'!$F:$F,'jiliarena_代理数据_底稿'!$B:$B,I$42,'jiliarena_代理数据_底稿'!$A:$A,$B135)</f>
        <v>0</v>
      </c>
      <c r="J137" s="348">
        <f t="shared" si="36"/>
        <v>2464</v>
      </c>
      <c r="K137" s="349">
        <f t="array" ref="K137">INDEX(jiliarena!$A$3:$M$39,MATCH($A137,jiliarena!$A$3:$A$39,0),MATCH("投注人数",jiliarena!$A$3:$M$3,0))-J137</f>
        <v>222</v>
      </c>
      <c r="L137" s="11"/>
      <c r="M137" s="352" t="s">
        <v>280</v>
      </c>
      <c r="N137" s="359">
        <f t="shared" ref="N137:S137" si="149">D133-D137</f>
        <v>-16</v>
      </c>
      <c r="O137" s="359">
        <f t="shared" si="149"/>
        <v>-112</v>
      </c>
      <c r="P137" s="359">
        <f t="shared" si="149"/>
        <v>-192</v>
      </c>
      <c r="Q137" s="359">
        <f t="shared" si="149"/>
        <v>-8</v>
      </c>
      <c r="R137" s="359">
        <f t="shared" si="149"/>
        <v>0</v>
      </c>
      <c r="S137" s="359">
        <f t="shared" si="149"/>
        <v>0</v>
      </c>
    </row>
    <row r="138">
      <c r="A138" s="339">
        <f t="shared" si="147"/>
        <v>46077</v>
      </c>
      <c r="B138" s="20"/>
      <c r="C138" s="354" t="s">
        <v>294</v>
      </c>
      <c r="D138" s="355">
        <f>sumifs('jiliarena_代理数据_底稿'!$G:$G,'jiliarena_代理数据_底稿'!$B:$B,D$42,'jiliarena_代理数据_底稿'!$A:$A,$B135)</f>
        <v>77</v>
      </c>
      <c r="E138" s="355">
        <f>sumifs('jiliarena_代理数据_底稿'!$G:$G,'jiliarena_代理数据_底稿'!$B:$B,E$42,'jiliarena_代理数据_底稿'!$A:$A,$B135)</f>
        <v>170</v>
      </c>
      <c r="F138" s="355">
        <f>sumifs('jiliarena_代理数据_底稿'!$G:$G,'jiliarena_代理数据_底稿'!$B:$B,F$42,'jiliarena_代理数据_底稿'!$A:$A,$B135)</f>
        <v>194</v>
      </c>
      <c r="G138" s="355">
        <f>sumifs('jiliarena_代理数据_底稿'!$G:$G,'jiliarena_代理数据_底稿'!$B:$B,G$42,'jiliarena_代理数据_底稿'!$A:$A,$B135)</f>
        <v>57</v>
      </c>
      <c r="H138" s="355">
        <f>sumifs('jiliarena_代理数据_底稿'!$G:$G,'jiliarena_代理数据_底稿'!$B:$B,H$42,'jiliarena_代理数据_底稿'!$A:$A,$B135)</f>
        <v>0</v>
      </c>
      <c r="I138" s="355">
        <f>sumifs('jiliarena_代理数据_底稿'!$G:$G,'jiliarena_代理数据_底稿'!$B:$B,I$42,'jiliarena_代理数据_底稿'!$A:$A,$B135)</f>
        <v>0</v>
      </c>
      <c r="J138" s="361">
        <f t="shared" si="36"/>
        <v>441</v>
      </c>
      <c r="K138" s="356">
        <f t="array" ref="K138">INDEX(jiliarena!$A$3:$M$39,MATCH($A138,jiliarena!$A$3:$A$39,0),MATCH("存款人数",jiliarena!$A$3:$M$3,0))-J138</f>
        <v>57</v>
      </c>
      <c r="L138" s="20"/>
      <c r="M138" s="354" t="s">
        <v>294</v>
      </c>
      <c r="N138" s="362">
        <f t="shared" ref="N138:S138" si="150">D134-D138</f>
        <v>-9</v>
      </c>
      <c r="O138" s="362">
        <f t="shared" si="150"/>
        <v>-48</v>
      </c>
      <c r="P138" s="362">
        <f t="shared" si="150"/>
        <v>-11</v>
      </c>
      <c r="Q138" s="362">
        <f t="shared" si="150"/>
        <v>-11</v>
      </c>
      <c r="R138" s="362">
        <f t="shared" si="150"/>
        <v>0</v>
      </c>
      <c r="S138" s="362">
        <f t="shared" si="150"/>
        <v>0</v>
      </c>
    </row>
    <row r="139">
      <c r="A139" s="339">
        <f t="shared" ref="A139:A142" si="152">$B$139</f>
        <v>46078</v>
      </c>
      <c r="B139" s="340">
        <f>B135+1</f>
        <v>46078</v>
      </c>
      <c r="C139" s="341" t="s">
        <v>283</v>
      </c>
      <c r="D139" s="342">
        <f>sumifs('jiliarena_代理数据_底稿'!$I:$I,'jiliarena_代理数据_底稿'!$B:$B,D$42,'jiliarena_代理数据_底稿'!$A:$A,$B139)</f>
        <v>65</v>
      </c>
      <c r="E139" s="342">
        <f>sumifs('jiliarena_代理数据_底稿'!$I:$I,'jiliarena_代理数据_底稿'!$B:$B,E$42,'jiliarena_代理数据_底稿'!$A:$A,$B139)</f>
        <v>672</v>
      </c>
      <c r="F139" s="342">
        <f>sumifs('jiliarena_代理数据_底稿'!$I:$I,'jiliarena_代理数据_底稿'!$B:$B,F$42,'jiliarena_代理数据_底稿'!$A:$A,$B139)</f>
        <v>52</v>
      </c>
      <c r="G139" s="342">
        <f>sumifs('jiliarena_代理数据_底稿'!$I:$I,'jiliarena_代理数据_底稿'!$B:$B,G$42,'jiliarena_代理数据_底稿'!$A:$A,$B139)</f>
        <v>37</v>
      </c>
      <c r="H139" s="342">
        <f>sumifs('jiliarena_代理数据_底稿'!$I:$I,'jiliarena_代理数据_底稿'!$B:$B,H$42,'jiliarena_代理数据_底稿'!$A:$A,$B139)</f>
        <v>0</v>
      </c>
      <c r="I139" s="342">
        <f>sumifs('jiliarena_代理数据_底稿'!$I:$I,'jiliarena_代理数据_底稿'!$B:$B,I$42,'jiliarena_代理数据_底稿'!$A:$A,$B139)</f>
        <v>0</v>
      </c>
      <c r="J139" s="342">
        <f t="shared" si="36"/>
        <v>789</v>
      </c>
      <c r="K139" s="343">
        <f t="array" ref="K139">INDEX(jiliarena!$A$3:$M$39,MATCH($A139,jiliarena!$A$3:$A$39,0),MATCH($C$43,jiliarena!$A$3:$M$3,0))-J139</f>
        <v>37</v>
      </c>
      <c r="L139" s="344">
        <f>B139</f>
        <v>46078</v>
      </c>
      <c r="M139" s="341" t="s">
        <v>283</v>
      </c>
      <c r="N139" s="346">
        <f t="shared" ref="N139:S139" si="151">D135-D139</f>
        <v>9</v>
      </c>
      <c r="O139" s="346">
        <f t="shared" si="151"/>
        <v>-159</v>
      </c>
      <c r="P139" s="346">
        <f t="shared" si="151"/>
        <v>28</v>
      </c>
      <c r="Q139" s="346">
        <f t="shared" si="151"/>
        <v>3</v>
      </c>
      <c r="R139" s="346">
        <f t="shared" si="151"/>
        <v>0</v>
      </c>
      <c r="S139" s="346">
        <f t="shared" si="151"/>
        <v>0</v>
      </c>
    </row>
    <row r="140">
      <c r="A140" s="339">
        <f t="shared" si="152"/>
        <v>46078</v>
      </c>
      <c r="B140" s="11"/>
      <c r="C140" s="347" t="s">
        <v>279</v>
      </c>
      <c r="D140" s="348">
        <f>sumifs('jiliarena_代理数据_底稿'!$E:$E,'jiliarena_代理数据_底稿'!$B:$B,D$42,'jiliarena_代理数据_底稿'!$A:$A,$B139)</f>
        <v>253</v>
      </c>
      <c r="E140" s="348">
        <f>sumifs('jiliarena_代理数据_底稿'!$E:$E,'jiliarena_代理数据_底稿'!$B:$B,E$42,'jiliarena_代理数据_底稿'!$A:$A,$B139)</f>
        <v>1430</v>
      </c>
      <c r="F140" s="348">
        <f>sumifs('jiliarena_代理数据_底稿'!$E:$E,'jiliarena_代理数据_底稿'!$B:$B,F$42,'jiliarena_代理数据_底稿'!$A:$A,$B139)</f>
        <v>1660</v>
      </c>
      <c r="G140" s="348">
        <f>sumifs('jiliarena_代理数据_底稿'!$E:$E,'jiliarena_代理数据_底稿'!$B:$B,G$42,'jiliarena_代理数据_底稿'!$A:$A,$B139)</f>
        <v>268</v>
      </c>
      <c r="H140" s="348">
        <f>sumifs('jiliarena_代理数据_底稿'!$E:$E,'jiliarena_代理数据_底稿'!$B:$B,H$42,'jiliarena_代理数据_底稿'!$A:$A,$B139)</f>
        <v>0</v>
      </c>
      <c r="I140" s="348">
        <f>sumifs('jiliarena_代理数据_底稿'!$E:$E,'jiliarena_代理数据_底稿'!$B:$B,I$42,'jiliarena_代理数据_底稿'!$A:$A,$B139)</f>
        <v>0</v>
      </c>
      <c r="J140" s="348">
        <f t="shared" si="36"/>
        <v>3343</v>
      </c>
      <c r="K140" s="349">
        <f t="array" ref="K140">INDEX(jiliarena!$A$3:$M$39,MATCH($A140,jiliarena!$A$3:$A$39,0),MATCH("登录人数",jiliarena!$A$3:$M$3,0))-J140</f>
        <v>268</v>
      </c>
      <c r="L140" s="11"/>
      <c r="M140" s="347" t="s">
        <v>279</v>
      </c>
      <c r="N140" s="359">
        <f t="shared" ref="N140:S140" si="153">D136-D140</f>
        <v>-3</v>
      </c>
      <c r="O140" s="359">
        <f t="shared" si="153"/>
        <v>-137</v>
      </c>
      <c r="P140" s="359">
        <f t="shared" si="153"/>
        <v>273</v>
      </c>
      <c r="Q140" s="359">
        <f t="shared" si="153"/>
        <v>41</v>
      </c>
      <c r="R140" s="359">
        <f t="shared" si="153"/>
        <v>0</v>
      </c>
      <c r="S140" s="359">
        <f t="shared" si="153"/>
        <v>0</v>
      </c>
    </row>
    <row r="141">
      <c r="A141" s="339">
        <f t="shared" si="152"/>
        <v>46078</v>
      </c>
      <c r="B141" s="11"/>
      <c r="C141" s="352" t="s">
        <v>280</v>
      </c>
      <c r="D141" s="348">
        <f>sumifs('jiliarena_代理数据_底稿'!$F:$F,'jiliarena_代理数据_底稿'!$B:$B,D$42,'jiliarena_代理数据_底稿'!$A:$A,$B139)</f>
        <v>185</v>
      </c>
      <c r="E141" s="348">
        <f>sumifs('jiliarena_代理数据_底稿'!$F:$F,'jiliarena_代理数据_底稿'!$B:$B,E$42,'jiliarena_代理数据_底稿'!$A:$A,$B139)</f>
        <v>911</v>
      </c>
      <c r="F141" s="348">
        <f>sumifs('jiliarena_代理数据_底稿'!$F:$F,'jiliarena_代理数据_底稿'!$B:$B,F$42,'jiliarena_代理数据_底稿'!$A:$A,$B139)</f>
        <v>1256</v>
      </c>
      <c r="G141" s="348">
        <f>sumifs('jiliarena_代理数据_底稿'!$F:$F,'jiliarena_代理数据_底稿'!$B:$B,G$42,'jiliarena_代理数据_底稿'!$A:$A,$B139)</f>
        <v>196</v>
      </c>
      <c r="H141" s="348">
        <f>sumifs('jiliarena_代理数据_底稿'!$F:$F,'jiliarena_代理数据_底稿'!$B:$B,H$42,'jiliarena_代理数据_底稿'!$A:$A,$B139)</f>
        <v>0</v>
      </c>
      <c r="I141" s="348">
        <f>sumifs('jiliarena_代理数据_底稿'!$F:$F,'jiliarena_代理数据_底稿'!$B:$B,I$42,'jiliarena_代理数据_底稿'!$A:$A,$B139)</f>
        <v>0</v>
      </c>
      <c r="J141" s="348">
        <f t="shared" si="36"/>
        <v>2352</v>
      </c>
      <c r="K141" s="349">
        <f t="array" ref="K141">INDEX(jiliarena!$A$3:$M$39,MATCH($A141,jiliarena!$A$3:$A$39,0),MATCH("投注人数",jiliarena!$A$3:$M$3,0))-J141</f>
        <v>196</v>
      </c>
      <c r="L141" s="11"/>
      <c r="M141" s="352" t="s">
        <v>280</v>
      </c>
      <c r="N141" s="359">
        <f t="shared" ref="N141:S141" si="154">D137-D141</f>
        <v>17</v>
      </c>
      <c r="O141" s="359">
        <f t="shared" si="154"/>
        <v>-68</v>
      </c>
      <c r="P141" s="359">
        <f t="shared" si="154"/>
        <v>163</v>
      </c>
      <c r="Q141" s="359">
        <f t="shared" si="154"/>
        <v>26</v>
      </c>
      <c r="R141" s="359">
        <f t="shared" si="154"/>
        <v>0</v>
      </c>
      <c r="S141" s="359">
        <f t="shared" si="154"/>
        <v>0</v>
      </c>
    </row>
    <row r="142">
      <c r="A142" s="339">
        <f t="shared" si="152"/>
        <v>46078</v>
      </c>
      <c r="B142" s="20"/>
      <c r="C142" s="354" t="s">
        <v>294</v>
      </c>
      <c r="D142" s="355">
        <f>sumifs('jiliarena_代理数据_底稿'!$G:$G,'jiliarena_代理数据_底稿'!$B:$B,D$42,'jiliarena_代理数据_底稿'!$A:$A,$B139)</f>
        <v>59</v>
      </c>
      <c r="E142" s="355">
        <f>sumifs('jiliarena_代理数据_底稿'!$G:$G,'jiliarena_代理数据_底稿'!$B:$B,E$42,'jiliarena_代理数据_底稿'!$A:$A,$B139)</f>
        <v>211</v>
      </c>
      <c r="F142" s="355">
        <f>sumifs('jiliarena_代理数据_底稿'!$G:$G,'jiliarena_代理数据_底稿'!$B:$B,F$42,'jiliarena_代理数据_底稿'!$A:$A,$B139)</f>
        <v>164</v>
      </c>
      <c r="G142" s="355">
        <f>sumifs('jiliarena_代理数据_底稿'!$G:$G,'jiliarena_代理数据_底稿'!$B:$B,G$42,'jiliarena_代理数据_底稿'!$A:$A,$B139)</f>
        <v>47</v>
      </c>
      <c r="H142" s="355">
        <f>sumifs('jiliarena_代理数据_底稿'!$G:$G,'jiliarena_代理数据_底稿'!$B:$B,H$42,'jiliarena_代理数据_底稿'!$A:$A,$B139)</f>
        <v>0</v>
      </c>
      <c r="I142" s="355">
        <f>sumifs('jiliarena_代理数据_底稿'!$G:$G,'jiliarena_代理数据_底稿'!$B:$B,I$42,'jiliarena_代理数据_底稿'!$A:$A,$B139)</f>
        <v>0</v>
      </c>
      <c r="J142" s="361">
        <f t="shared" si="36"/>
        <v>434</v>
      </c>
      <c r="K142" s="356">
        <f t="array" ref="K142">INDEX(jiliarena!$A$3:$M$39,MATCH($A142,jiliarena!$A$3:$A$39,0),MATCH("存款人数",jiliarena!$A$3:$M$3,0))-J142</f>
        <v>47</v>
      </c>
      <c r="L142" s="20"/>
      <c r="M142" s="354" t="s">
        <v>294</v>
      </c>
      <c r="N142" s="362">
        <f t="shared" ref="N142:S142" si="155">D138-D142</f>
        <v>18</v>
      </c>
      <c r="O142" s="362">
        <f t="shared" si="155"/>
        <v>-41</v>
      </c>
      <c r="P142" s="362">
        <f t="shared" si="155"/>
        <v>30</v>
      </c>
      <c r="Q142" s="362">
        <f t="shared" si="155"/>
        <v>10</v>
      </c>
      <c r="R142" s="362">
        <f t="shared" si="155"/>
        <v>0</v>
      </c>
      <c r="S142" s="362">
        <f t="shared" si="155"/>
        <v>0</v>
      </c>
    </row>
    <row r="143">
      <c r="A143" s="339">
        <f t="shared" ref="A143:A146" si="157">$B$143</f>
        <v>46079</v>
      </c>
      <c r="B143" s="340">
        <f>B139+1</f>
        <v>46079</v>
      </c>
      <c r="C143" s="341" t="s">
        <v>283</v>
      </c>
      <c r="D143" s="342">
        <f>sumifs('jiliarena_代理数据_底稿'!$I:$I,'jiliarena_代理数据_底稿'!$B:$B,D$42,'jiliarena_代理数据_底稿'!$A:$A,$B143)</f>
        <v>71</v>
      </c>
      <c r="E143" s="342">
        <f>sumifs('jiliarena_代理数据_底稿'!$I:$I,'jiliarena_代理数据_底稿'!$B:$B,E$42,'jiliarena_代理数据_底稿'!$A:$A,$B143)</f>
        <v>431</v>
      </c>
      <c r="F143" s="342">
        <f>sumifs('jiliarena_代理数据_底稿'!$I:$I,'jiliarena_代理数据_底稿'!$B:$B,F$42,'jiliarena_代理数据_底稿'!$A:$A,$B143)</f>
        <v>67</v>
      </c>
      <c r="G143" s="342">
        <f>sumifs('jiliarena_代理数据_底稿'!$I:$I,'jiliarena_代理数据_底稿'!$B:$B,G$42,'jiliarena_代理数据_底稿'!$A:$A,$B143)</f>
        <v>25</v>
      </c>
      <c r="H143" s="342">
        <f>sumifs('jiliarena_代理数据_底稿'!$I:$I,'jiliarena_代理数据_底稿'!$B:$B,H$42,'jiliarena_代理数据_底稿'!$A:$A,$B143)</f>
        <v>0</v>
      </c>
      <c r="I143" s="342">
        <f>sumifs('jiliarena_代理数据_底稿'!$I:$I,'jiliarena_代理数据_底稿'!$B:$B,I$42,'jiliarena_代理数据_底稿'!$A:$A,$B143)</f>
        <v>0</v>
      </c>
      <c r="J143" s="342">
        <f t="shared" si="36"/>
        <v>569</v>
      </c>
      <c r="K143" s="343">
        <f t="array" ref="K143">INDEX(jiliarena!$A$3:$M$39,MATCH($A143,jiliarena!$A$3:$A$39,0),MATCH($C$43,jiliarena!$A$3:$M$3,0))-J143</f>
        <v>25</v>
      </c>
      <c r="L143" s="344">
        <f>B143</f>
        <v>46079</v>
      </c>
      <c r="M143" s="341" t="s">
        <v>283</v>
      </c>
      <c r="N143" s="346">
        <f t="shared" ref="N143:S143" si="156">D139-D143</f>
        <v>-6</v>
      </c>
      <c r="O143" s="346">
        <f t="shared" si="156"/>
        <v>241</v>
      </c>
      <c r="P143" s="346">
        <f t="shared" si="156"/>
        <v>-15</v>
      </c>
      <c r="Q143" s="346">
        <f t="shared" si="156"/>
        <v>12</v>
      </c>
      <c r="R143" s="346">
        <f t="shared" si="156"/>
        <v>0</v>
      </c>
      <c r="S143" s="346">
        <f t="shared" si="156"/>
        <v>0</v>
      </c>
    </row>
    <row r="144">
      <c r="A144" s="339">
        <f t="shared" si="157"/>
        <v>46079</v>
      </c>
      <c r="B144" s="11"/>
      <c r="C144" s="347" t="s">
        <v>279</v>
      </c>
      <c r="D144" s="348">
        <f>sumifs('jiliarena_代理数据_底稿'!$E:$E,'jiliarena_代理数据_底稿'!$B:$B,D$42,'jiliarena_代理数据_底稿'!$A:$A,$B143)</f>
        <v>236</v>
      </c>
      <c r="E144" s="348">
        <f>sumifs('jiliarena_代理数据_底稿'!$E:$E,'jiliarena_代理数据_底稿'!$B:$B,E$42,'jiliarena_代理数据_底稿'!$A:$A,$B143)</f>
        <v>1190</v>
      </c>
      <c r="F144" s="348">
        <f>sumifs('jiliarena_代理数据_底稿'!$E:$E,'jiliarena_代理数据_底稿'!$B:$B,F$42,'jiliarena_代理数据_底稿'!$A:$A,$B143)</f>
        <v>1547</v>
      </c>
      <c r="G144" s="348">
        <f>sumifs('jiliarena_代理数据_底稿'!$E:$E,'jiliarena_代理数据_底稿'!$B:$B,G$42,'jiliarena_代理数据_底稿'!$A:$A,$B143)</f>
        <v>249</v>
      </c>
      <c r="H144" s="348">
        <f>sumifs('jiliarena_代理数据_底稿'!$E:$E,'jiliarena_代理数据_底稿'!$B:$B,H$42,'jiliarena_代理数据_底稿'!$A:$A,$B143)</f>
        <v>0</v>
      </c>
      <c r="I144" s="348">
        <f>sumifs('jiliarena_代理数据_底稿'!$E:$E,'jiliarena_代理数据_底稿'!$B:$B,I$42,'jiliarena_代理数据_底稿'!$A:$A,$B143)</f>
        <v>0</v>
      </c>
      <c r="J144" s="348">
        <f t="shared" si="36"/>
        <v>2973</v>
      </c>
      <c r="K144" s="349">
        <f t="array" ref="K144">INDEX(jiliarena!$A$3:$M$39,MATCH($A144,jiliarena!$A$3:$A$39,0),MATCH("登录人数",jiliarena!$A$3:$M$3,0))-J144</f>
        <v>250</v>
      </c>
      <c r="L144" s="11"/>
      <c r="M144" s="347" t="s">
        <v>279</v>
      </c>
      <c r="N144" s="359">
        <f t="shared" ref="N144:S144" si="158">D140-D144</f>
        <v>17</v>
      </c>
      <c r="O144" s="359">
        <f t="shared" si="158"/>
        <v>240</v>
      </c>
      <c r="P144" s="359">
        <f t="shared" si="158"/>
        <v>113</v>
      </c>
      <c r="Q144" s="359">
        <f t="shared" si="158"/>
        <v>19</v>
      </c>
      <c r="R144" s="359">
        <f t="shared" si="158"/>
        <v>0</v>
      </c>
      <c r="S144" s="359">
        <f t="shared" si="158"/>
        <v>0</v>
      </c>
    </row>
    <row r="145">
      <c r="A145" s="339">
        <f t="shared" si="157"/>
        <v>46079</v>
      </c>
      <c r="B145" s="11"/>
      <c r="C145" s="352" t="s">
        <v>280</v>
      </c>
      <c r="D145" s="348">
        <f>sumifs('jiliarena_代理数据_底稿'!$F:$F,'jiliarena_代理数据_底稿'!$B:$B,D$42,'jiliarena_代理数据_底稿'!$A:$A,$B143)</f>
        <v>167</v>
      </c>
      <c r="E145" s="348">
        <f>sumifs('jiliarena_代理数据_底稿'!$F:$F,'jiliarena_代理数据_底稿'!$B:$B,E$42,'jiliarena_代理数据_底稿'!$A:$A,$B143)</f>
        <v>787</v>
      </c>
      <c r="F145" s="348">
        <f>sumifs('jiliarena_代理数据_底稿'!$F:$F,'jiliarena_代理数据_底稿'!$B:$B,F$42,'jiliarena_代理数据_底稿'!$A:$A,$B143)</f>
        <v>1166</v>
      </c>
      <c r="G145" s="348">
        <f>sumifs('jiliarena_代理数据_底稿'!$F:$F,'jiliarena_代理数据_底稿'!$B:$B,G$42,'jiliarena_代理数据_底稿'!$A:$A,$B143)</f>
        <v>184</v>
      </c>
      <c r="H145" s="348">
        <f>sumifs('jiliarena_代理数据_底稿'!$F:$F,'jiliarena_代理数据_底稿'!$B:$B,H$42,'jiliarena_代理数据_底稿'!$A:$A,$B143)</f>
        <v>0</v>
      </c>
      <c r="I145" s="348">
        <f>sumifs('jiliarena_代理数据_底稿'!$F:$F,'jiliarena_代理数据_底稿'!$B:$B,I$42,'jiliarena_代理数据_底稿'!$A:$A,$B143)</f>
        <v>0</v>
      </c>
      <c r="J145" s="348">
        <f t="shared" si="36"/>
        <v>2120</v>
      </c>
      <c r="K145" s="349">
        <f t="array" ref="K145">INDEX(jiliarena!$A$3:$M$39,MATCH($A145,jiliarena!$A$3:$A$39,0),MATCH("投注人数",jiliarena!$A$3:$M$3,0))-J145</f>
        <v>184</v>
      </c>
      <c r="L145" s="11"/>
      <c r="M145" s="352" t="s">
        <v>280</v>
      </c>
      <c r="N145" s="359">
        <f t="shared" ref="N145:S145" si="159">D141-D145</f>
        <v>18</v>
      </c>
      <c r="O145" s="359">
        <f t="shared" si="159"/>
        <v>124</v>
      </c>
      <c r="P145" s="359">
        <f t="shared" si="159"/>
        <v>90</v>
      </c>
      <c r="Q145" s="359">
        <f t="shared" si="159"/>
        <v>12</v>
      </c>
      <c r="R145" s="359">
        <f t="shared" si="159"/>
        <v>0</v>
      </c>
      <c r="S145" s="359">
        <f t="shared" si="159"/>
        <v>0</v>
      </c>
    </row>
    <row r="146">
      <c r="A146" s="339">
        <f t="shared" si="157"/>
        <v>46079</v>
      </c>
      <c r="B146" s="20"/>
      <c r="C146" s="354" t="s">
        <v>294</v>
      </c>
      <c r="D146" s="355">
        <f>sumifs('jiliarena_代理数据_底稿'!$G:$G,'jiliarena_代理数据_底稿'!$B:$B,D$42,'jiliarena_代理数据_底稿'!$A:$A,$B143)</f>
        <v>49</v>
      </c>
      <c r="E146" s="355">
        <f>sumifs('jiliarena_代理数据_底稿'!$G:$G,'jiliarena_代理数据_底稿'!$B:$B,E$42,'jiliarena_代理数据_底稿'!$A:$A,$B143)</f>
        <v>193</v>
      </c>
      <c r="F146" s="355">
        <f>sumifs('jiliarena_代理数据_底稿'!$G:$G,'jiliarena_代理数据_底稿'!$B:$B,F$42,'jiliarena_代理数据_底稿'!$A:$A,$B143)</f>
        <v>155</v>
      </c>
      <c r="G146" s="355">
        <f>sumifs('jiliarena_代理数据_底稿'!$G:$G,'jiliarena_代理数据_底稿'!$B:$B,G$42,'jiliarena_代理数据_底稿'!$A:$A,$B143)</f>
        <v>40</v>
      </c>
      <c r="H146" s="355">
        <f>sumifs('jiliarena_代理数据_底稿'!$G:$G,'jiliarena_代理数据_底稿'!$B:$B,H$42,'jiliarena_代理数据_底稿'!$A:$A,$B143)</f>
        <v>0</v>
      </c>
      <c r="I146" s="355">
        <f>sumifs('jiliarena_代理数据_底稿'!$G:$G,'jiliarena_代理数据_底稿'!$B:$B,I$42,'jiliarena_代理数据_底稿'!$A:$A,$B143)</f>
        <v>0</v>
      </c>
      <c r="J146" s="361">
        <f t="shared" si="36"/>
        <v>397</v>
      </c>
      <c r="K146" s="356">
        <f t="array" ref="K146">INDEX(jiliarena!$A$3:$M$39,MATCH($A146,jiliarena!$A$3:$A$39,0),MATCH("存款人数",jiliarena!$A$3:$M$3,0))-J146</f>
        <v>40</v>
      </c>
      <c r="L146" s="20"/>
      <c r="M146" s="354" t="s">
        <v>294</v>
      </c>
      <c r="N146" s="362">
        <f t="shared" ref="N146:S146" si="160">D142-D146</f>
        <v>10</v>
      </c>
      <c r="O146" s="362">
        <f t="shared" si="160"/>
        <v>18</v>
      </c>
      <c r="P146" s="362">
        <f t="shared" si="160"/>
        <v>9</v>
      </c>
      <c r="Q146" s="362">
        <f t="shared" si="160"/>
        <v>7</v>
      </c>
      <c r="R146" s="362">
        <f t="shared" si="160"/>
        <v>0</v>
      </c>
      <c r="S146" s="362">
        <f t="shared" si="160"/>
        <v>0</v>
      </c>
    </row>
    <row r="147">
      <c r="A147" s="339">
        <f t="shared" ref="A147:A150" si="162">$B$147</f>
        <v>46080</v>
      </c>
      <c r="B147" s="340">
        <f>B143+1</f>
        <v>46080</v>
      </c>
      <c r="C147" s="341" t="s">
        <v>283</v>
      </c>
      <c r="D147" s="342">
        <f>sumifs('jiliarena_代理数据_底稿'!$I:$I,'jiliarena_代理数据_底稿'!$B:$B,D$42,'jiliarena_代理数据_底稿'!$A:$A,$B147)</f>
        <v>48</v>
      </c>
      <c r="E147" s="342">
        <f>sumifs('jiliarena_代理数据_底稿'!$I:$I,'jiliarena_代理数据_底稿'!$B:$B,E$42,'jiliarena_代理数据_底稿'!$A:$A,$B147)</f>
        <v>158</v>
      </c>
      <c r="F147" s="342">
        <f>sumifs('jiliarena_代理数据_底稿'!$I:$I,'jiliarena_代理数据_底稿'!$B:$B,F$42,'jiliarena_代理数据_底稿'!$A:$A,$B147)</f>
        <v>52</v>
      </c>
      <c r="G147" s="342">
        <f>sumifs('jiliarena_代理数据_底稿'!$I:$I,'jiliarena_代理数据_底稿'!$B:$B,G$42,'jiliarena_代理数据_底稿'!$A:$A,$B147)</f>
        <v>10</v>
      </c>
      <c r="H147" s="342">
        <f>sumifs('jiliarena_代理数据_底稿'!$I:$I,'jiliarena_代理数据_底稿'!$B:$B,H$42,'jiliarena_代理数据_底稿'!$A:$A,$B147)</f>
        <v>0</v>
      </c>
      <c r="I147" s="342">
        <f>sumifs('jiliarena_代理数据_底稿'!$I:$I,'jiliarena_代理数据_底稿'!$B:$B,I$42,'jiliarena_代理数据_底稿'!$A:$A,$B147)</f>
        <v>0</v>
      </c>
      <c r="J147" s="342">
        <f t="shared" si="36"/>
        <v>258</v>
      </c>
      <c r="K147" s="343">
        <f t="array" ref="K147">INDEX(jiliarena!$A$3:$M$39,MATCH($A147,jiliarena!$A$3:$A$39,0),MATCH($C$43,jiliarena!$A$3:$M$3,0))-J147</f>
        <v>10</v>
      </c>
      <c r="L147" s="344">
        <f>B147</f>
        <v>46080</v>
      </c>
      <c r="M147" s="341" t="s">
        <v>283</v>
      </c>
      <c r="N147" s="346">
        <f t="shared" ref="N147:S147" si="161">D143-D147</f>
        <v>23</v>
      </c>
      <c r="O147" s="346">
        <f t="shared" si="161"/>
        <v>273</v>
      </c>
      <c r="P147" s="346">
        <f t="shared" si="161"/>
        <v>15</v>
      </c>
      <c r="Q147" s="346">
        <f t="shared" si="161"/>
        <v>15</v>
      </c>
      <c r="R147" s="346">
        <f t="shared" si="161"/>
        <v>0</v>
      </c>
      <c r="S147" s="346">
        <f t="shared" si="161"/>
        <v>0</v>
      </c>
    </row>
    <row r="148">
      <c r="A148" s="339">
        <f t="shared" si="162"/>
        <v>46080</v>
      </c>
      <c r="B148" s="11"/>
      <c r="C148" s="347" t="s">
        <v>279</v>
      </c>
      <c r="D148" s="348">
        <f>sumifs('jiliarena_代理数据_底稿'!$E:$E,'jiliarena_代理数据_底稿'!$B:$B,D$42,'jiliarena_代理数据_底稿'!$A:$A,$B147)</f>
        <v>215</v>
      </c>
      <c r="E148" s="348">
        <f>sumifs('jiliarena_代理数据_底稿'!$E:$E,'jiliarena_代理数据_底稿'!$B:$B,E$42,'jiliarena_代理数据_底稿'!$A:$A,$B147)</f>
        <v>886</v>
      </c>
      <c r="F148" s="348">
        <f>sumifs('jiliarena_代理数据_底稿'!$E:$E,'jiliarena_代理数据_底稿'!$B:$B,F$42,'jiliarena_代理数据_底稿'!$A:$A,$B147)</f>
        <v>1560</v>
      </c>
      <c r="G148" s="348">
        <f>sumifs('jiliarena_代理数据_底稿'!$E:$E,'jiliarena_代理数据_底稿'!$B:$B,G$42,'jiliarena_代理数据_底稿'!$A:$A,$B147)</f>
        <v>229</v>
      </c>
      <c r="H148" s="348">
        <f>sumifs('jiliarena_代理数据_底稿'!$E:$E,'jiliarena_代理数据_底稿'!$B:$B,H$42,'jiliarena_代理数据_底稿'!$A:$A,$B147)</f>
        <v>0</v>
      </c>
      <c r="I148" s="348">
        <f>sumifs('jiliarena_代理数据_底稿'!$E:$E,'jiliarena_代理数据_底稿'!$B:$B,I$42,'jiliarena_代理数据_底稿'!$A:$A,$B147)</f>
        <v>0</v>
      </c>
      <c r="J148" s="348">
        <f t="shared" si="36"/>
        <v>2661</v>
      </c>
      <c r="K148" s="349">
        <f t="array" ref="K148">INDEX(jiliarena!$A$3:$M$39,MATCH($A148,jiliarena!$A$3:$A$39,0),MATCH("登录人数",jiliarena!$A$3:$M$3,0))-J148</f>
        <v>229</v>
      </c>
      <c r="L148" s="11"/>
      <c r="M148" s="347" t="s">
        <v>279</v>
      </c>
      <c r="N148" s="359">
        <f t="shared" ref="N148:S148" si="163">D144-D148</f>
        <v>21</v>
      </c>
      <c r="O148" s="359">
        <f t="shared" si="163"/>
        <v>304</v>
      </c>
      <c r="P148" s="359">
        <f t="shared" si="163"/>
        <v>-13</v>
      </c>
      <c r="Q148" s="359">
        <f t="shared" si="163"/>
        <v>20</v>
      </c>
      <c r="R148" s="359">
        <f t="shared" si="163"/>
        <v>0</v>
      </c>
      <c r="S148" s="359">
        <f t="shared" si="163"/>
        <v>0</v>
      </c>
    </row>
    <row r="149">
      <c r="A149" s="339">
        <f t="shared" si="162"/>
        <v>46080</v>
      </c>
      <c r="B149" s="11"/>
      <c r="C149" s="352" t="s">
        <v>280</v>
      </c>
      <c r="D149" s="348">
        <f>sumifs('jiliarena_代理数据_底稿'!$F:$F,'jiliarena_代理数据_底稿'!$B:$B,D$42,'jiliarena_代理数据_底稿'!$A:$A,$B147)</f>
        <v>147</v>
      </c>
      <c r="E149" s="348">
        <f>sumifs('jiliarena_代理数据_底稿'!$F:$F,'jiliarena_代理数据_底稿'!$B:$B,E$42,'jiliarena_代理数据_底稿'!$A:$A,$B147)</f>
        <v>607</v>
      </c>
      <c r="F149" s="348">
        <f>sumifs('jiliarena_代理数据_底稿'!$F:$F,'jiliarena_代理数据_底稿'!$B:$B,F$42,'jiliarena_代理数据_底稿'!$A:$A,$B147)</f>
        <v>1196</v>
      </c>
      <c r="G149" s="348">
        <f>sumifs('jiliarena_代理数据_底稿'!$F:$F,'jiliarena_代理数据_底稿'!$B:$B,G$42,'jiliarena_代理数据_底稿'!$A:$A,$B147)</f>
        <v>172</v>
      </c>
      <c r="H149" s="348">
        <f>sumifs('jiliarena_代理数据_底稿'!$F:$F,'jiliarena_代理数据_底稿'!$B:$B,H$42,'jiliarena_代理数据_底稿'!$A:$A,$B147)</f>
        <v>0</v>
      </c>
      <c r="I149" s="348">
        <f>sumifs('jiliarena_代理数据_底稿'!$F:$F,'jiliarena_代理数据_底稿'!$B:$B,I$42,'jiliarena_代理数据_底稿'!$A:$A,$B147)</f>
        <v>0</v>
      </c>
      <c r="J149" s="348">
        <f t="shared" si="36"/>
        <v>1950</v>
      </c>
      <c r="K149" s="349">
        <f t="array" ref="K149">INDEX(jiliarena!$A$3:$M$39,MATCH($A149,jiliarena!$A$3:$A$39,0),MATCH("投注人数",jiliarena!$A$3:$M$3,0))-J149</f>
        <v>172</v>
      </c>
      <c r="L149" s="11"/>
      <c r="M149" s="352" t="s">
        <v>280</v>
      </c>
      <c r="N149" s="359">
        <f t="shared" ref="N149:S149" si="164">D145-D149</f>
        <v>20</v>
      </c>
      <c r="O149" s="359">
        <f t="shared" si="164"/>
        <v>180</v>
      </c>
      <c r="P149" s="359">
        <f t="shared" si="164"/>
        <v>-30</v>
      </c>
      <c r="Q149" s="359">
        <f t="shared" si="164"/>
        <v>12</v>
      </c>
      <c r="R149" s="359">
        <f t="shared" si="164"/>
        <v>0</v>
      </c>
      <c r="S149" s="359">
        <f t="shared" si="164"/>
        <v>0</v>
      </c>
    </row>
    <row r="150">
      <c r="A150" s="339">
        <f t="shared" si="162"/>
        <v>46080</v>
      </c>
      <c r="B150" s="20"/>
      <c r="C150" s="354" t="s">
        <v>294</v>
      </c>
      <c r="D150" s="355">
        <f>sumifs('jiliarena_代理数据_底稿'!$G:$G,'jiliarena_代理数据_底稿'!$B:$B,D$42,'jiliarena_代理数据_底稿'!$A:$A,$B147)</f>
        <v>42</v>
      </c>
      <c r="E150" s="355">
        <f>sumifs('jiliarena_代理数据_底稿'!$G:$G,'jiliarena_代理数据_底稿'!$B:$B,E$42,'jiliarena_代理数据_底稿'!$A:$A,$B147)</f>
        <v>131</v>
      </c>
      <c r="F150" s="355">
        <f>sumifs('jiliarena_代理数据_底稿'!$G:$G,'jiliarena_代理数据_底稿'!$B:$B,F$42,'jiliarena_代理数据_底稿'!$A:$A,$B147)</f>
        <v>146</v>
      </c>
      <c r="G150" s="355">
        <f>sumifs('jiliarena_代理数据_底稿'!$G:$G,'jiliarena_代理数据_底稿'!$B:$B,G$42,'jiliarena_代理数据_底稿'!$A:$A,$B147)</f>
        <v>33</v>
      </c>
      <c r="H150" s="355">
        <f>sumifs('jiliarena_代理数据_底稿'!$G:$G,'jiliarena_代理数据_底稿'!$B:$B,H$42,'jiliarena_代理数据_底稿'!$A:$A,$B147)</f>
        <v>0</v>
      </c>
      <c r="I150" s="355">
        <f>sumifs('jiliarena_代理数据_底稿'!$G:$G,'jiliarena_代理数据_底稿'!$B:$B,I$42,'jiliarena_代理数据_底稿'!$A:$A,$B147)</f>
        <v>0</v>
      </c>
      <c r="J150" s="361">
        <f t="shared" si="36"/>
        <v>319</v>
      </c>
      <c r="K150" s="356">
        <f t="array" ref="K150">INDEX(jiliarena!$A$3:$M$39,MATCH($A150,jiliarena!$A$3:$A$39,0),MATCH("存款人数",jiliarena!$A$3:$M$3,0))-J150</f>
        <v>33</v>
      </c>
      <c r="L150" s="20"/>
      <c r="M150" s="354" t="s">
        <v>294</v>
      </c>
      <c r="N150" s="362">
        <f t="shared" ref="N150:S150" si="165">D146-D150</f>
        <v>7</v>
      </c>
      <c r="O150" s="362">
        <f t="shared" si="165"/>
        <v>62</v>
      </c>
      <c r="P150" s="362">
        <f t="shared" si="165"/>
        <v>9</v>
      </c>
      <c r="Q150" s="362">
        <f t="shared" si="165"/>
        <v>7</v>
      </c>
      <c r="R150" s="362">
        <f t="shared" si="165"/>
        <v>0</v>
      </c>
      <c r="S150" s="362">
        <f t="shared" si="165"/>
        <v>0</v>
      </c>
    </row>
    <row r="151">
      <c r="A151" s="339">
        <f t="shared" ref="A151:A154" si="167">$B$151</f>
        <v>46081</v>
      </c>
      <c r="B151" s="340">
        <f>B147+1</f>
        <v>46081</v>
      </c>
      <c r="C151" s="341" t="s">
        <v>283</v>
      </c>
      <c r="D151" s="342">
        <f>sumifs('jiliarena_代理数据_底稿'!$I:$I,'jiliarena_代理数据_底稿'!$B:$B,D$42,'jiliarena_代理数据_底稿'!$A:$A,$B151)</f>
        <v>48</v>
      </c>
      <c r="E151" s="342">
        <f>sumifs('jiliarena_代理数据_底稿'!$I:$I,'jiliarena_代理数据_底稿'!$B:$B,E$42,'jiliarena_代理数据_底稿'!$A:$A,$B151)</f>
        <v>7</v>
      </c>
      <c r="F151" s="342">
        <f>sumifs('jiliarena_代理数据_底稿'!$I:$I,'jiliarena_代理数据_底稿'!$B:$B,F$42,'jiliarena_代理数据_底稿'!$A:$A,$B151)</f>
        <v>640</v>
      </c>
      <c r="G151" s="342">
        <f>sumifs('jiliarena_代理数据_底稿'!$I:$I,'jiliarena_代理数据_底稿'!$B:$B,G$42,'jiliarena_代理数据_底稿'!$A:$A,$B151)</f>
        <v>22</v>
      </c>
      <c r="H151" s="342">
        <f>sumifs('jiliarena_代理数据_底稿'!$I:$I,'jiliarena_代理数据_底稿'!$B:$B,H$42,'jiliarena_代理数据_底稿'!$A:$A,$B151)</f>
        <v>0</v>
      </c>
      <c r="I151" s="342">
        <f>sumifs('jiliarena_代理数据_底稿'!$I:$I,'jiliarena_代理数据_底稿'!$B:$B,I$42,'jiliarena_代理数据_底稿'!$A:$A,$B151)</f>
        <v>0</v>
      </c>
      <c r="J151" s="342">
        <f t="shared" si="36"/>
        <v>695</v>
      </c>
      <c r="K151" s="343">
        <f t="array" ref="K151">INDEX(jiliarena!$A$3:$M$39,MATCH($A151,jiliarena!$A$3:$A$39,0),MATCH($C$43,jiliarena!$A$3:$M$3,0))-J151</f>
        <v>22</v>
      </c>
      <c r="L151" s="344">
        <f>B151</f>
        <v>46081</v>
      </c>
      <c r="M151" s="341" t="s">
        <v>283</v>
      </c>
      <c r="N151" s="346">
        <f t="shared" ref="N151:S151" si="166">D147-D151</f>
        <v>0</v>
      </c>
      <c r="O151" s="346">
        <f t="shared" si="166"/>
        <v>151</v>
      </c>
      <c r="P151" s="346">
        <f t="shared" si="166"/>
        <v>-588</v>
      </c>
      <c r="Q151" s="346">
        <f t="shared" si="166"/>
        <v>-12</v>
      </c>
      <c r="R151" s="346">
        <f t="shared" si="166"/>
        <v>0</v>
      </c>
      <c r="S151" s="346">
        <f t="shared" si="166"/>
        <v>0</v>
      </c>
    </row>
    <row r="152">
      <c r="A152" s="339">
        <f t="shared" si="167"/>
        <v>46081</v>
      </c>
      <c r="B152" s="11"/>
      <c r="C152" s="347" t="s">
        <v>279</v>
      </c>
      <c r="D152" s="348">
        <f>sumifs('jiliarena_代理数据_底稿'!$E:$E,'jiliarena_代理数据_底稿'!$B:$B,D$42,'jiliarena_代理数据_底稿'!$A:$A,$B151)</f>
        <v>226</v>
      </c>
      <c r="E152" s="348">
        <f>sumifs('jiliarena_代理数据_底稿'!$E:$E,'jiliarena_代理数据_底稿'!$B:$B,E$42,'jiliarena_代理数据_底稿'!$A:$A,$B151)</f>
        <v>767</v>
      </c>
      <c r="F152" s="348">
        <f>sumifs('jiliarena_代理数据_底稿'!$E:$E,'jiliarena_代理数据_底稿'!$B:$B,F$42,'jiliarena_代理数据_底稿'!$A:$A,$B151)</f>
        <v>2265</v>
      </c>
      <c r="G152" s="348">
        <f>sumifs('jiliarena_代理数据_底稿'!$E:$E,'jiliarena_代理数据_底稿'!$B:$B,G$42,'jiliarena_代理数据_底稿'!$A:$A,$B151)</f>
        <v>257</v>
      </c>
      <c r="H152" s="348">
        <f>sumifs('jiliarena_代理数据_底稿'!$E:$E,'jiliarena_代理数据_底稿'!$B:$B,H$42,'jiliarena_代理数据_底稿'!$A:$A,$B151)</f>
        <v>0</v>
      </c>
      <c r="I152" s="348">
        <f>sumifs('jiliarena_代理数据_底稿'!$E:$E,'jiliarena_代理数据_底稿'!$B:$B,I$42,'jiliarena_代理数据_底稿'!$A:$A,$B151)</f>
        <v>0</v>
      </c>
      <c r="J152" s="348">
        <f t="shared" si="36"/>
        <v>3258</v>
      </c>
      <c r="K152" s="349">
        <f t="array" ref="K152">INDEX(jiliarena!$A$3:$M$39,MATCH($A152,jiliarena!$A$3:$A$39,0),MATCH("登录人数",jiliarena!$A$3:$M$3,0))-J152</f>
        <v>257</v>
      </c>
      <c r="L152" s="11"/>
      <c r="M152" s="347" t="s">
        <v>279</v>
      </c>
      <c r="N152" s="359">
        <f t="shared" ref="N152:S152" si="168">D148-D152</f>
        <v>-11</v>
      </c>
      <c r="O152" s="359">
        <f t="shared" si="168"/>
        <v>119</v>
      </c>
      <c r="P152" s="359">
        <f t="shared" si="168"/>
        <v>-705</v>
      </c>
      <c r="Q152" s="359">
        <f t="shared" si="168"/>
        <v>-28</v>
      </c>
      <c r="R152" s="359">
        <f t="shared" si="168"/>
        <v>0</v>
      </c>
      <c r="S152" s="359">
        <f t="shared" si="168"/>
        <v>0</v>
      </c>
    </row>
    <row r="153">
      <c r="A153" s="339">
        <f t="shared" si="167"/>
        <v>46081</v>
      </c>
      <c r="B153" s="11"/>
      <c r="C153" s="352" t="s">
        <v>280</v>
      </c>
      <c r="D153" s="348">
        <f>sumifs('jiliarena_代理数据_底稿'!$F:$F,'jiliarena_代理数据_底稿'!$B:$B,D$42,'jiliarena_代理数据_底稿'!$A:$A,$B151)</f>
        <v>166</v>
      </c>
      <c r="E153" s="348">
        <f>sumifs('jiliarena_代理数据_底稿'!$F:$F,'jiliarena_代理数据_底稿'!$B:$B,E$42,'jiliarena_代理数据_底稿'!$A:$A,$B151)</f>
        <v>547</v>
      </c>
      <c r="F153" s="348">
        <f>sumifs('jiliarena_代理数据_底稿'!$F:$F,'jiliarena_代理数据_底稿'!$B:$B,F$42,'jiliarena_代理数据_底稿'!$A:$A,$B151)</f>
        <v>1508</v>
      </c>
      <c r="G153" s="348">
        <f>sumifs('jiliarena_代理数据_底稿'!$F:$F,'jiliarena_代理数据_底稿'!$B:$B,G$42,'jiliarena_代理数据_底稿'!$A:$A,$B151)</f>
        <v>183</v>
      </c>
      <c r="H153" s="348">
        <f>sumifs('jiliarena_代理数据_底稿'!$F:$F,'jiliarena_代理数据_底稿'!$B:$B,H$42,'jiliarena_代理数据_底稿'!$A:$A,$B151)</f>
        <v>0</v>
      </c>
      <c r="I153" s="348">
        <f>sumifs('jiliarena_代理数据_底稿'!$F:$F,'jiliarena_代理数据_底稿'!$B:$B,I$42,'jiliarena_代理数据_底稿'!$A:$A,$B151)</f>
        <v>0</v>
      </c>
      <c r="J153" s="348">
        <f t="shared" si="36"/>
        <v>2221</v>
      </c>
      <c r="K153" s="349">
        <f t="array" ref="K153">INDEX(jiliarena!$A$3:$M$39,MATCH($A153,jiliarena!$A$3:$A$39,0),MATCH("投注人数",jiliarena!$A$3:$M$3,0))-J153</f>
        <v>183</v>
      </c>
      <c r="L153" s="11"/>
      <c r="M153" s="352" t="s">
        <v>280</v>
      </c>
      <c r="N153" s="359">
        <f t="shared" ref="N153:S153" si="169">D149-D153</f>
        <v>-19</v>
      </c>
      <c r="O153" s="359">
        <f t="shared" si="169"/>
        <v>60</v>
      </c>
      <c r="P153" s="359">
        <f t="shared" si="169"/>
        <v>-312</v>
      </c>
      <c r="Q153" s="359">
        <f t="shared" si="169"/>
        <v>-11</v>
      </c>
      <c r="R153" s="359">
        <f t="shared" si="169"/>
        <v>0</v>
      </c>
      <c r="S153" s="359">
        <f t="shared" si="169"/>
        <v>0</v>
      </c>
    </row>
    <row r="154">
      <c r="A154" s="339">
        <f t="shared" si="167"/>
        <v>46081</v>
      </c>
      <c r="B154" s="20"/>
      <c r="C154" s="354" t="s">
        <v>294</v>
      </c>
      <c r="D154" s="355">
        <f>sumifs('jiliarena_代理数据_底稿'!$G:$G,'jiliarena_代理数据_底稿'!$B:$B,D$42,'jiliarena_代理数据_底稿'!$A:$A,$B151)</f>
        <v>57</v>
      </c>
      <c r="E154" s="355">
        <f>sumifs('jiliarena_代理数据_底稿'!$G:$G,'jiliarena_代理数据_底稿'!$B:$B,E$42,'jiliarena_代理数据_底稿'!$A:$A,$B151)</f>
        <v>105</v>
      </c>
      <c r="F154" s="355">
        <f>sumifs('jiliarena_代理数据_底稿'!$G:$G,'jiliarena_代理数据_底稿'!$B:$B,F$42,'jiliarena_代理数据_底稿'!$A:$A,$B151)</f>
        <v>317</v>
      </c>
      <c r="G154" s="355">
        <f>sumifs('jiliarena_代理数据_底稿'!$G:$G,'jiliarena_代理数据_底稿'!$B:$B,G$42,'jiliarena_代理数据_底稿'!$A:$A,$B151)</f>
        <v>36</v>
      </c>
      <c r="H154" s="355">
        <f>sumifs('jiliarena_代理数据_底稿'!$G:$G,'jiliarena_代理数据_底稿'!$B:$B,H$42,'jiliarena_代理数据_底稿'!$A:$A,$B151)</f>
        <v>0</v>
      </c>
      <c r="I154" s="355">
        <f>sumifs('jiliarena_代理数据_底稿'!$G:$G,'jiliarena_代理数据_底稿'!$B:$B,I$42,'jiliarena_代理数据_底稿'!$A:$A,$B151)</f>
        <v>0</v>
      </c>
      <c r="J154" s="361">
        <f t="shared" si="36"/>
        <v>479</v>
      </c>
      <c r="K154" s="356">
        <f t="array" ref="K154">INDEX(jiliarena!$A$3:$M$39,MATCH($A154,jiliarena!$A$3:$A$39,0),MATCH("存款人数",jiliarena!$A$3:$M$3,0))-J154</f>
        <v>36</v>
      </c>
      <c r="L154" s="20"/>
      <c r="M154" s="354" t="s">
        <v>294</v>
      </c>
      <c r="N154" s="362">
        <f t="shared" ref="N154:S154" si="170">D150-D154</f>
        <v>-15</v>
      </c>
      <c r="O154" s="362">
        <f t="shared" si="170"/>
        <v>26</v>
      </c>
      <c r="P154" s="362">
        <f t="shared" si="170"/>
        <v>-171</v>
      </c>
      <c r="Q154" s="362">
        <f t="shared" si="170"/>
        <v>-3</v>
      </c>
      <c r="R154" s="362">
        <f t="shared" si="170"/>
        <v>0</v>
      </c>
      <c r="S154" s="362">
        <f t="shared" si="170"/>
        <v>0</v>
      </c>
    </row>
    <row r="155">
      <c r="A155" s="363"/>
      <c r="B155" s="364" t="s">
        <v>573</v>
      </c>
      <c r="C155" s="365" t="s">
        <v>283</v>
      </c>
      <c r="D155" s="342">
        <f t="shared" ref="D155:I155" si="171">sumifs(D$43:D$154,$C$43:$C$154,$C155)</f>
        <v>1888</v>
      </c>
      <c r="E155" s="342">
        <f t="shared" si="171"/>
        <v>11628</v>
      </c>
      <c r="F155" s="342">
        <f t="shared" si="171"/>
        <v>29198</v>
      </c>
      <c r="G155" s="342">
        <f t="shared" si="171"/>
        <v>2145</v>
      </c>
      <c r="H155" s="342">
        <f t="shared" si="171"/>
        <v>1</v>
      </c>
      <c r="I155" s="342">
        <f t="shared" si="171"/>
        <v>3</v>
      </c>
      <c r="J155" s="342">
        <f t="shared" si="36"/>
        <v>42714</v>
      </c>
      <c r="K155" s="351"/>
      <c r="L155" s="351"/>
      <c r="M155" s="351"/>
      <c r="N155" s="351"/>
      <c r="O155" s="351"/>
      <c r="P155" s="250"/>
      <c r="Q155" s="250"/>
      <c r="R155" s="250"/>
      <c r="S155" s="250"/>
    </row>
    <row r="156">
      <c r="A156" s="363"/>
      <c r="B156" s="11"/>
      <c r="C156" s="366" t="s">
        <v>279</v>
      </c>
      <c r="D156" s="348">
        <f t="shared" ref="D156:I156" si="172">sumifs(D$43:D$154,$C$43:$C$154,$C156)</f>
        <v>4332</v>
      </c>
      <c r="E156" s="348">
        <f t="shared" si="172"/>
        <v>24453</v>
      </c>
      <c r="F156" s="348">
        <f t="shared" si="172"/>
        <v>63016</v>
      </c>
      <c r="G156" s="348">
        <f t="shared" si="172"/>
        <v>6827</v>
      </c>
      <c r="H156" s="348">
        <f t="shared" si="172"/>
        <v>0</v>
      </c>
      <c r="I156" s="348">
        <f t="shared" si="172"/>
        <v>2</v>
      </c>
      <c r="J156" s="348">
        <f t="shared" si="36"/>
        <v>91801</v>
      </c>
      <c r="K156" s="351"/>
      <c r="L156" s="351"/>
      <c r="M156" s="351"/>
      <c r="N156" s="351"/>
      <c r="O156" s="351"/>
      <c r="P156" s="250"/>
      <c r="Q156" s="250"/>
      <c r="R156" s="250"/>
      <c r="S156" s="250"/>
    </row>
    <row r="157">
      <c r="A157" s="363"/>
      <c r="B157" s="11"/>
      <c r="C157" s="367" t="s">
        <v>280</v>
      </c>
      <c r="D157" s="348">
        <f t="shared" ref="D157:I157" si="173">sumifs(D$43:D$154,$C$43:$C$154,$C157)</f>
        <v>3221</v>
      </c>
      <c r="E157" s="348">
        <f t="shared" si="173"/>
        <v>17033</v>
      </c>
      <c r="F157" s="348">
        <f t="shared" si="173"/>
        <v>50675</v>
      </c>
      <c r="G157" s="348">
        <f t="shared" si="173"/>
        <v>5329</v>
      </c>
      <c r="H157" s="348">
        <f t="shared" si="173"/>
        <v>0</v>
      </c>
      <c r="I157" s="348">
        <f t="shared" si="173"/>
        <v>0</v>
      </c>
      <c r="J157" s="348">
        <f t="shared" si="36"/>
        <v>70929</v>
      </c>
      <c r="K157" s="351"/>
      <c r="L157" s="351"/>
      <c r="M157" s="351"/>
      <c r="N157" s="351"/>
      <c r="O157" s="351"/>
      <c r="P157" s="250"/>
      <c r="Q157" s="250"/>
      <c r="R157" s="250"/>
      <c r="S157" s="250"/>
    </row>
    <row r="158">
      <c r="A158" s="363"/>
      <c r="B158" s="20"/>
      <c r="C158" s="368" t="s">
        <v>294</v>
      </c>
      <c r="D158" s="355">
        <f t="shared" ref="D158:I158" si="174">sumifs(D$43:D$154,$C$43:$C$154,$C158)</f>
        <v>1225</v>
      </c>
      <c r="E158" s="355">
        <f t="shared" si="174"/>
        <v>3733</v>
      </c>
      <c r="F158" s="355">
        <f t="shared" si="174"/>
        <v>9472</v>
      </c>
      <c r="G158" s="355">
        <f t="shared" si="174"/>
        <v>1337</v>
      </c>
      <c r="H158" s="355">
        <f t="shared" si="174"/>
        <v>0</v>
      </c>
      <c r="I158" s="355">
        <f t="shared" si="174"/>
        <v>0</v>
      </c>
      <c r="J158" s="361">
        <f t="shared" si="36"/>
        <v>14430</v>
      </c>
      <c r="K158" s="351"/>
      <c r="L158" s="351"/>
      <c r="M158" s="351"/>
      <c r="N158" s="351"/>
      <c r="O158" s="351"/>
      <c r="P158" s="250"/>
      <c r="Q158" s="250"/>
      <c r="R158" s="250"/>
      <c r="S158" s="250"/>
    </row>
    <row r="159">
      <c r="A159" s="250"/>
      <c r="B159" s="250"/>
      <c r="C159" s="250"/>
      <c r="D159" s="250"/>
      <c r="E159" s="250"/>
      <c r="F159" s="250"/>
      <c r="G159" s="250"/>
      <c r="H159" s="250"/>
      <c r="I159" s="250"/>
      <c r="J159" s="250"/>
      <c r="K159" s="250"/>
      <c r="L159" s="250"/>
      <c r="M159" s="250"/>
      <c r="N159" s="250"/>
      <c r="O159" s="250"/>
      <c r="P159" s="250"/>
      <c r="Q159" s="250"/>
      <c r="R159" s="250"/>
      <c r="S159" s="250"/>
    </row>
  </sheetData>
  <mergeCells count="57">
    <mergeCell ref="L143:L146"/>
    <mergeCell ref="L147:L150"/>
    <mergeCell ref="L115:L118"/>
    <mergeCell ref="L119:L122"/>
    <mergeCell ref="L123:L126"/>
    <mergeCell ref="L127:L130"/>
    <mergeCell ref="L131:L134"/>
    <mergeCell ref="L135:L138"/>
    <mergeCell ref="L139:L142"/>
    <mergeCell ref="B43:B46"/>
    <mergeCell ref="L43:L46"/>
    <mergeCell ref="B47:B50"/>
    <mergeCell ref="L47:L50"/>
    <mergeCell ref="B51:B54"/>
    <mergeCell ref="L51:L54"/>
    <mergeCell ref="L55:L58"/>
    <mergeCell ref="B55:B58"/>
    <mergeCell ref="B59:B62"/>
    <mergeCell ref="B63:B66"/>
    <mergeCell ref="B67:B70"/>
    <mergeCell ref="B71:B74"/>
    <mergeCell ref="B75:B78"/>
    <mergeCell ref="B79:B82"/>
    <mergeCell ref="L59:L62"/>
    <mergeCell ref="L63:L66"/>
    <mergeCell ref="L67:L70"/>
    <mergeCell ref="L71:L74"/>
    <mergeCell ref="L75:L78"/>
    <mergeCell ref="L79:L82"/>
    <mergeCell ref="L83:L86"/>
    <mergeCell ref="B83:B86"/>
    <mergeCell ref="B87:B90"/>
    <mergeCell ref="B91:B94"/>
    <mergeCell ref="B95:B98"/>
    <mergeCell ref="B99:B102"/>
    <mergeCell ref="B103:B106"/>
    <mergeCell ref="B107:B110"/>
    <mergeCell ref="L87:L90"/>
    <mergeCell ref="L91:L94"/>
    <mergeCell ref="L95:L98"/>
    <mergeCell ref="L99:L102"/>
    <mergeCell ref="L103:L106"/>
    <mergeCell ref="L107:L110"/>
    <mergeCell ref="L111:L114"/>
    <mergeCell ref="L151:L154"/>
    <mergeCell ref="B139:B142"/>
    <mergeCell ref="B143:B146"/>
    <mergeCell ref="B147:B150"/>
    <mergeCell ref="B151:B154"/>
    <mergeCell ref="B155:B158"/>
    <mergeCell ref="B111:B114"/>
    <mergeCell ref="B115:B118"/>
    <mergeCell ref="B119:B122"/>
    <mergeCell ref="B123:B126"/>
    <mergeCell ref="B127:B130"/>
    <mergeCell ref="B131:B134"/>
    <mergeCell ref="B135:B138"/>
  </mergeCells>
  <conditionalFormatting sqref="M8:R35">
    <cfRule type="cellIs" dxfId="1" priority="1" operator="lessThan">
      <formula>0</formula>
    </cfRule>
  </conditionalFormatting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FF"/>
    <outlinePr summaryBelow="0" summaryRight="0"/>
  </sheetPr>
  <sheetViews>
    <sheetView showGridLines="0"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2.63" defaultRowHeight="15.75"/>
  <cols>
    <col customWidth="1" min="1" max="1" width="12.88"/>
    <col customWidth="1" min="2" max="2" width="15.0"/>
    <col customWidth="1" min="3" max="3" width="9.0"/>
    <col customWidth="1" min="4" max="4" width="12.63"/>
    <col customWidth="1" min="5" max="7" width="10.13"/>
    <col customWidth="1" min="8" max="12" width="9.0"/>
    <col customWidth="1" min="13" max="13" width="13.0"/>
    <col customWidth="1" min="14" max="14" width="11.38"/>
    <col customWidth="1" min="15" max="15" width="14.38"/>
    <col customWidth="1" min="16" max="16" width="10.13"/>
    <col customWidth="1" min="17" max="17" width="14.38"/>
    <col customWidth="1" min="18" max="18" width="12.63"/>
    <col customWidth="1" min="19" max="19" width="11.38"/>
    <col customWidth="1" min="20" max="20" width="10.13"/>
    <col customWidth="1" min="21" max="23" width="15.63"/>
    <col customWidth="1" min="24" max="25" width="13.38"/>
  </cols>
  <sheetData>
    <row r="1" ht="32.25" customHeight="1">
      <c r="A1" s="369" t="s">
        <v>574</v>
      </c>
      <c r="B1" s="370" t="s">
        <v>575</v>
      </c>
      <c r="C1" s="370"/>
      <c r="D1" s="371"/>
      <c r="E1" s="371"/>
      <c r="F1" s="371"/>
      <c r="G1" s="371"/>
      <c r="H1" s="371"/>
      <c r="I1" s="371"/>
      <c r="J1" s="371"/>
      <c r="K1" s="371"/>
      <c r="L1" s="371"/>
      <c r="M1" s="371"/>
      <c r="N1" s="371"/>
      <c r="O1" s="371"/>
      <c r="P1" s="371"/>
      <c r="Q1" s="371"/>
      <c r="R1" s="371"/>
      <c r="S1" s="371"/>
      <c r="T1" s="371"/>
      <c r="U1" s="371"/>
      <c r="V1" s="371"/>
      <c r="W1" s="371"/>
      <c r="X1" s="371"/>
      <c r="Y1" s="371"/>
    </row>
    <row r="2" ht="32.25" customHeight="1">
      <c r="B2" s="372" t="s">
        <v>576</v>
      </c>
      <c r="C2" s="373" t="s">
        <v>577</v>
      </c>
      <c r="D2" s="373" t="s">
        <v>278</v>
      </c>
      <c r="E2" s="374" t="s">
        <v>578</v>
      </c>
      <c r="F2" s="374" t="s">
        <v>280</v>
      </c>
      <c r="G2" s="374" t="s">
        <v>294</v>
      </c>
      <c r="H2" s="374" t="s">
        <v>295</v>
      </c>
      <c r="I2" s="374" t="s">
        <v>283</v>
      </c>
      <c r="J2" s="374" t="s">
        <v>284</v>
      </c>
      <c r="K2" s="374" t="s">
        <v>285</v>
      </c>
      <c r="L2" s="374" t="s">
        <v>286</v>
      </c>
      <c r="M2" s="374" t="s">
        <v>287</v>
      </c>
      <c r="N2" s="374" t="s">
        <v>579</v>
      </c>
      <c r="O2" s="374" t="s">
        <v>292</v>
      </c>
      <c r="P2" s="374" t="s">
        <v>580</v>
      </c>
      <c r="Q2" s="374" t="s">
        <v>581</v>
      </c>
      <c r="R2" s="374" t="s">
        <v>582</v>
      </c>
      <c r="S2" s="374" t="s">
        <v>583</v>
      </c>
      <c r="T2" s="374" t="s">
        <v>188</v>
      </c>
      <c r="U2" s="374" t="s">
        <v>230</v>
      </c>
      <c r="V2" s="374" t="s">
        <v>425</v>
      </c>
      <c r="W2" s="374" t="s">
        <v>426</v>
      </c>
      <c r="X2" s="374" t="s">
        <v>584</v>
      </c>
      <c r="Y2" s="374" t="s">
        <v>585</v>
      </c>
    </row>
    <row r="3">
      <c r="A3" s="375">
        <v>46064.0</v>
      </c>
      <c r="B3" s="376" t="s">
        <v>563</v>
      </c>
      <c r="C3" s="376">
        <v>0.0</v>
      </c>
      <c r="D3" s="136">
        <v>1157.0</v>
      </c>
      <c r="E3" s="136">
        <v>1016.0</v>
      </c>
      <c r="F3" s="136">
        <v>853.0</v>
      </c>
      <c r="G3" s="136">
        <v>252.0</v>
      </c>
      <c r="H3" s="136">
        <v>47.0</v>
      </c>
      <c r="I3" s="136">
        <v>1014.0</v>
      </c>
      <c r="J3" s="136">
        <v>853.0</v>
      </c>
      <c r="K3" s="136">
        <v>252.0</v>
      </c>
      <c r="L3" s="136">
        <v>47.0</v>
      </c>
      <c r="M3" s="136">
        <v>1014.0</v>
      </c>
      <c r="N3" s="136">
        <v>34008.0</v>
      </c>
      <c r="O3" s="136">
        <v>45048.0</v>
      </c>
      <c r="P3" s="136">
        <v>284.0</v>
      </c>
      <c r="Q3" s="136">
        <v>29211.0</v>
      </c>
      <c r="R3" s="136">
        <v>61.0</v>
      </c>
      <c r="S3" s="136">
        <v>35628.0</v>
      </c>
      <c r="T3" s="136">
        <v>0.0</v>
      </c>
      <c r="U3" s="136">
        <v>320.0</v>
      </c>
      <c r="V3" s="136">
        <v>394693.71</v>
      </c>
      <c r="W3" s="136">
        <v>371240.39</v>
      </c>
      <c r="X3" s="136">
        <v>366559.39</v>
      </c>
      <c r="Y3" s="136">
        <v>7813.68</v>
      </c>
    </row>
    <row r="4">
      <c r="A4" s="375">
        <v>46064.0</v>
      </c>
      <c r="B4" s="376" t="s">
        <v>564</v>
      </c>
      <c r="C4" s="376">
        <v>0.0</v>
      </c>
      <c r="D4" s="136">
        <v>151.0</v>
      </c>
      <c r="E4" s="136">
        <v>130.0</v>
      </c>
      <c r="F4" s="136">
        <v>117.0</v>
      </c>
      <c r="G4" s="136">
        <v>41.0</v>
      </c>
      <c r="H4" s="136">
        <v>10.0</v>
      </c>
      <c r="I4" s="136">
        <v>130.0</v>
      </c>
      <c r="J4" s="136">
        <v>117.0</v>
      </c>
      <c r="K4" s="136">
        <v>41.0</v>
      </c>
      <c r="L4" s="136">
        <v>10.0</v>
      </c>
      <c r="M4" s="136">
        <v>130.0</v>
      </c>
      <c r="N4" s="136">
        <v>4815.0</v>
      </c>
      <c r="O4" s="136">
        <v>5565.0</v>
      </c>
      <c r="P4" s="136">
        <v>46.0</v>
      </c>
      <c r="Q4" s="136">
        <v>4104.0</v>
      </c>
      <c r="R4" s="136">
        <v>11.0</v>
      </c>
      <c r="S4" s="136">
        <v>5500.05</v>
      </c>
      <c r="T4" s="136">
        <v>0.0</v>
      </c>
      <c r="U4" s="136">
        <v>0.0</v>
      </c>
      <c r="V4" s="136">
        <v>59017.14</v>
      </c>
      <c r="W4" s="136">
        <v>53267.005</v>
      </c>
      <c r="X4" s="136">
        <v>90030.425</v>
      </c>
      <c r="Y4" s="136">
        <v>36513.335</v>
      </c>
    </row>
    <row r="5">
      <c r="A5" s="375">
        <v>46064.0</v>
      </c>
      <c r="B5" s="376" t="s">
        <v>244</v>
      </c>
      <c r="C5" s="376">
        <v>0.0</v>
      </c>
      <c r="D5" s="136">
        <v>72.0</v>
      </c>
      <c r="E5" s="136">
        <v>11.0</v>
      </c>
      <c r="F5" s="136">
        <v>10.0</v>
      </c>
      <c r="G5" s="136">
        <v>1.0</v>
      </c>
      <c r="H5" s="136">
        <v>0.0</v>
      </c>
      <c r="I5" s="136">
        <v>12.0</v>
      </c>
      <c r="J5" s="136">
        <v>10.0</v>
      </c>
      <c r="K5" s="136">
        <v>1.0</v>
      </c>
      <c r="L5" s="136">
        <v>0.0</v>
      </c>
      <c r="M5" s="136">
        <v>11.0</v>
      </c>
      <c r="N5" s="136">
        <v>100.0</v>
      </c>
      <c r="O5" s="136">
        <v>100.0</v>
      </c>
      <c r="P5" s="136">
        <v>1.0</v>
      </c>
      <c r="Q5" s="136">
        <v>0.0</v>
      </c>
      <c r="R5" s="136">
        <v>0.0</v>
      </c>
      <c r="S5" s="136">
        <v>210.0</v>
      </c>
      <c r="T5" s="136">
        <v>0.0</v>
      </c>
      <c r="U5" s="136">
        <v>0.0</v>
      </c>
      <c r="V5" s="136">
        <v>938.2</v>
      </c>
      <c r="W5" s="136">
        <v>877.51</v>
      </c>
      <c r="X5" s="136">
        <v>639.9</v>
      </c>
      <c r="Y5" s="136">
        <v>-88.3</v>
      </c>
    </row>
    <row r="6">
      <c r="A6" s="377"/>
      <c r="B6" s="378"/>
      <c r="C6" s="378">
        <f t="shared" ref="C6:Y6" si="1">SUM(C3:C5)</f>
        <v>0</v>
      </c>
      <c r="D6" s="379">
        <f t="shared" si="1"/>
        <v>1380</v>
      </c>
      <c r="E6" s="379">
        <f t="shared" si="1"/>
        <v>1157</v>
      </c>
      <c r="F6" s="379">
        <f t="shared" si="1"/>
        <v>980</v>
      </c>
      <c r="G6" s="379">
        <f t="shared" si="1"/>
        <v>294</v>
      </c>
      <c r="H6" s="379">
        <f t="shared" si="1"/>
        <v>57</v>
      </c>
      <c r="I6" s="379">
        <f t="shared" si="1"/>
        <v>1156</v>
      </c>
      <c r="J6" s="379">
        <f t="shared" si="1"/>
        <v>980</v>
      </c>
      <c r="K6" s="379">
        <f t="shared" si="1"/>
        <v>294</v>
      </c>
      <c r="L6" s="379">
        <f t="shared" si="1"/>
        <v>57</v>
      </c>
      <c r="M6" s="379">
        <f t="shared" si="1"/>
        <v>1155</v>
      </c>
      <c r="N6" s="379">
        <f t="shared" si="1"/>
        <v>38923</v>
      </c>
      <c r="O6" s="379">
        <f t="shared" si="1"/>
        <v>50713</v>
      </c>
      <c r="P6" s="379">
        <f t="shared" si="1"/>
        <v>331</v>
      </c>
      <c r="Q6" s="379">
        <f t="shared" si="1"/>
        <v>33315</v>
      </c>
      <c r="R6" s="379">
        <f t="shared" si="1"/>
        <v>72</v>
      </c>
      <c r="S6" s="379">
        <f t="shared" si="1"/>
        <v>41338.05</v>
      </c>
      <c r="T6" s="379">
        <f t="shared" si="1"/>
        <v>0</v>
      </c>
      <c r="U6" s="379">
        <f t="shared" si="1"/>
        <v>320</v>
      </c>
      <c r="V6" s="379">
        <f t="shared" si="1"/>
        <v>454649.05</v>
      </c>
      <c r="W6" s="379">
        <f t="shared" si="1"/>
        <v>425384.905</v>
      </c>
      <c r="X6" s="379">
        <f t="shared" si="1"/>
        <v>457229.715</v>
      </c>
      <c r="Y6" s="379">
        <f t="shared" si="1"/>
        <v>44238.715</v>
      </c>
    </row>
    <row r="7">
      <c r="A7" s="375">
        <v>46065.0</v>
      </c>
      <c r="B7" s="376" t="s">
        <v>563</v>
      </c>
      <c r="C7" s="376">
        <v>0.0</v>
      </c>
      <c r="D7" s="136">
        <v>22497.0</v>
      </c>
      <c r="E7" s="136">
        <v>20999.0</v>
      </c>
      <c r="F7" s="136">
        <v>19758.0</v>
      </c>
      <c r="G7" s="136">
        <v>2036.0</v>
      </c>
      <c r="H7" s="136">
        <v>495.0</v>
      </c>
      <c r="I7" s="136">
        <v>21286.0</v>
      </c>
      <c r="J7" s="136">
        <v>19259.0</v>
      </c>
      <c r="K7" s="136">
        <v>1954.0</v>
      </c>
      <c r="L7" s="136">
        <v>486.0</v>
      </c>
      <c r="M7" s="136">
        <v>20204.0</v>
      </c>
      <c r="N7" s="136">
        <v>305057.0</v>
      </c>
      <c r="O7" s="136">
        <v>405902.0</v>
      </c>
      <c r="P7" s="136">
        <v>2531.0</v>
      </c>
      <c r="Q7" s="136">
        <v>486459.0</v>
      </c>
      <c r="R7" s="136">
        <v>626.0</v>
      </c>
      <c r="S7" s="136">
        <v>452661.44</v>
      </c>
      <c r="T7" s="136">
        <v>204.7</v>
      </c>
      <c r="U7" s="136">
        <v>12915.6498</v>
      </c>
      <c r="V7" s="136">
        <v>6531846.47</v>
      </c>
      <c r="W7" s="136">
        <v>6058164.72</v>
      </c>
      <c r="X7" s="136">
        <v>6322673.962</v>
      </c>
      <c r="Y7" s="136">
        <v>256609.2816</v>
      </c>
    </row>
    <row r="8">
      <c r="A8" s="375">
        <v>46065.0</v>
      </c>
      <c r="B8" s="376" t="s">
        <v>244</v>
      </c>
      <c r="C8" s="376">
        <v>0.0</v>
      </c>
      <c r="D8" s="136">
        <v>2132.0</v>
      </c>
      <c r="E8" s="136">
        <v>2050.0</v>
      </c>
      <c r="F8" s="136">
        <v>1775.0</v>
      </c>
      <c r="G8" s="136">
        <v>496.0</v>
      </c>
      <c r="H8" s="136">
        <v>133.0</v>
      </c>
      <c r="I8" s="136">
        <v>2050.0</v>
      </c>
      <c r="J8" s="136">
        <v>1775.0</v>
      </c>
      <c r="K8" s="136">
        <v>496.0</v>
      </c>
      <c r="L8" s="136">
        <v>133.0</v>
      </c>
      <c r="M8" s="136">
        <v>1939.0</v>
      </c>
      <c r="N8" s="136">
        <v>77078.0</v>
      </c>
      <c r="O8" s="136">
        <v>102513.0</v>
      </c>
      <c r="P8" s="136">
        <v>673.0</v>
      </c>
      <c r="Q8" s="136">
        <v>114157.0</v>
      </c>
      <c r="R8" s="136">
        <v>187.0</v>
      </c>
      <c r="S8" s="136">
        <v>81556.51</v>
      </c>
      <c r="T8" s="136">
        <v>0.0</v>
      </c>
      <c r="U8" s="136">
        <v>815.0</v>
      </c>
      <c r="V8" s="136">
        <v>1480419.0</v>
      </c>
      <c r="W8" s="136">
        <v>1377882.355</v>
      </c>
      <c r="X8" s="136">
        <v>1433057.435</v>
      </c>
      <c r="Y8" s="136">
        <v>35009.945</v>
      </c>
    </row>
    <row r="9">
      <c r="A9" s="375">
        <v>46065.0</v>
      </c>
      <c r="B9" s="376" t="s">
        <v>564</v>
      </c>
      <c r="C9" s="376">
        <v>0.0</v>
      </c>
      <c r="D9" s="136">
        <v>1179.0</v>
      </c>
      <c r="E9" s="136">
        <v>1127.0</v>
      </c>
      <c r="F9" s="136">
        <v>1060.0</v>
      </c>
      <c r="G9" s="136">
        <v>193.0</v>
      </c>
      <c r="H9" s="136">
        <v>67.0</v>
      </c>
      <c r="I9" s="136">
        <v>1031.0</v>
      </c>
      <c r="J9" s="136">
        <v>982.0</v>
      </c>
      <c r="K9" s="136">
        <v>179.0</v>
      </c>
      <c r="L9" s="136">
        <v>64.0</v>
      </c>
      <c r="M9" s="136">
        <v>1091.0</v>
      </c>
      <c r="N9" s="136">
        <v>29404.0</v>
      </c>
      <c r="O9" s="136">
        <v>40321.0</v>
      </c>
      <c r="P9" s="136">
        <v>240.0</v>
      </c>
      <c r="Q9" s="136">
        <v>61181.0</v>
      </c>
      <c r="R9" s="136">
        <v>85.0</v>
      </c>
      <c r="S9" s="136">
        <v>43014.43</v>
      </c>
      <c r="T9" s="136">
        <v>40.97</v>
      </c>
      <c r="U9" s="136">
        <v>900.0</v>
      </c>
      <c r="V9" s="136">
        <v>716479.8</v>
      </c>
      <c r="W9" s="136">
        <v>639768.34</v>
      </c>
      <c r="X9" s="136">
        <v>714926.16</v>
      </c>
      <c r="Y9" s="136">
        <v>42401.76</v>
      </c>
    </row>
    <row r="10">
      <c r="A10" s="377"/>
      <c r="B10" s="378"/>
      <c r="C10" s="378">
        <f t="shared" ref="C10:Y10" si="2">SUM(C7:C9)</f>
        <v>0</v>
      </c>
      <c r="D10" s="379">
        <f t="shared" si="2"/>
        <v>25808</v>
      </c>
      <c r="E10" s="379">
        <f t="shared" si="2"/>
        <v>24176</v>
      </c>
      <c r="F10" s="379">
        <f t="shared" si="2"/>
        <v>22593</v>
      </c>
      <c r="G10" s="379">
        <f t="shared" si="2"/>
        <v>2725</v>
      </c>
      <c r="H10" s="379">
        <f t="shared" si="2"/>
        <v>695</v>
      </c>
      <c r="I10" s="379">
        <f t="shared" si="2"/>
        <v>24367</v>
      </c>
      <c r="J10" s="379">
        <f t="shared" si="2"/>
        <v>22016</v>
      </c>
      <c r="K10" s="379">
        <f t="shared" si="2"/>
        <v>2629</v>
      </c>
      <c r="L10" s="379">
        <f t="shared" si="2"/>
        <v>683</v>
      </c>
      <c r="M10" s="379">
        <f t="shared" si="2"/>
        <v>23234</v>
      </c>
      <c r="N10" s="379">
        <f t="shared" si="2"/>
        <v>411539</v>
      </c>
      <c r="O10" s="379">
        <f t="shared" si="2"/>
        <v>548736</v>
      </c>
      <c r="P10" s="379">
        <f t="shared" si="2"/>
        <v>3444</v>
      </c>
      <c r="Q10" s="379">
        <f t="shared" si="2"/>
        <v>661797</v>
      </c>
      <c r="R10" s="379">
        <f t="shared" si="2"/>
        <v>898</v>
      </c>
      <c r="S10" s="379">
        <f t="shared" si="2"/>
        <v>577232.38</v>
      </c>
      <c r="T10" s="379">
        <f t="shared" si="2"/>
        <v>245.67</v>
      </c>
      <c r="U10" s="379">
        <f t="shared" si="2"/>
        <v>14630.6498</v>
      </c>
      <c r="V10" s="379">
        <f t="shared" si="2"/>
        <v>8728745.27</v>
      </c>
      <c r="W10" s="379">
        <f t="shared" si="2"/>
        <v>8075815.415</v>
      </c>
      <c r="X10" s="379">
        <f t="shared" si="2"/>
        <v>8470657.557</v>
      </c>
      <c r="Y10" s="379">
        <f t="shared" si="2"/>
        <v>334020.9866</v>
      </c>
    </row>
    <row r="11">
      <c r="A11" s="375">
        <v>46066.0</v>
      </c>
      <c r="B11" s="376" t="s">
        <v>563</v>
      </c>
      <c r="C11" s="376">
        <v>0.0</v>
      </c>
      <c r="D11" s="136">
        <v>25588.0</v>
      </c>
      <c r="E11" s="136">
        <v>5959.0</v>
      </c>
      <c r="F11" s="136">
        <v>4720.0</v>
      </c>
      <c r="G11" s="136">
        <v>2040.0</v>
      </c>
      <c r="H11" s="136">
        <v>535.0</v>
      </c>
      <c r="I11" s="136">
        <v>3151.0</v>
      </c>
      <c r="J11" s="136">
        <v>2568.0</v>
      </c>
      <c r="K11" s="136">
        <v>1680.0</v>
      </c>
      <c r="L11" s="136">
        <v>484.0</v>
      </c>
      <c r="M11" s="136">
        <v>5124.0</v>
      </c>
      <c r="N11" s="136">
        <v>294848.0</v>
      </c>
      <c r="O11" s="136">
        <v>425380.0</v>
      </c>
      <c r="P11" s="136">
        <v>2553.0</v>
      </c>
      <c r="Q11" s="136">
        <v>530015.0</v>
      </c>
      <c r="R11" s="136">
        <v>698.0</v>
      </c>
      <c r="S11" s="136">
        <v>322800.01</v>
      </c>
      <c r="T11" s="136">
        <v>5679.07</v>
      </c>
      <c r="U11" s="136">
        <v>7783.3663</v>
      </c>
      <c r="V11" s="136">
        <v>6898602.42</v>
      </c>
      <c r="W11" s="136">
        <v>6206772.84</v>
      </c>
      <c r="X11" s="136">
        <v>6738889.852</v>
      </c>
      <c r="Y11" s="136">
        <v>176549.8783</v>
      </c>
    </row>
    <row r="12">
      <c r="A12" s="375">
        <v>46066.0</v>
      </c>
      <c r="B12" s="376" t="s">
        <v>244</v>
      </c>
      <c r="C12" s="376">
        <v>0.0</v>
      </c>
      <c r="D12" s="136">
        <v>4552.0</v>
      </c>
      <c r="E12" s="136">
        <v>3162.0</v>
      </c>
      <c r="F12" s="136">
        <v>2201.0</v>
      </c>
      <c r="G12" s="136">
        <v>492.0</v>
      </c>
      <c r="H12" s="136">
        <v>90.0</v>
      </c>
      <c r="I12" s="136">
        <v>2402.0</v>
      </c>
      <c r="J12" s="136">
        <v>1609.0</v>
      </c>
      <c r="K12" s="136">
        <v>388.0</v>
      </c>
      <c r="L12" s="136">
        <v>79.0</v>
      </c>
      <c r="M12" s="136">
        <v>2577.0</v>
      </c>
      <c r="N12" s="136">
        <v>48259.0</v>
      </c>
      <c r="O12" s="136">
        <v>82493.0</v>
      </c>
      <c r="P12" s="136">
        <v>638.0</v>
      </c>
      <c r="Q12" s="136">
        <v>65531.0</v>
      </c>
      <c r="R12" s="136">
        <v>114.0</v>
      </c>
      <c r="S12" s="136">
        <v>43449.38</v>
      </c>
      <c r="T12" s="136">
        <v>1141.27</v>
      </c>
      <c r="U12" s="136">
        <v>1070.0631</v>
      </c>
      <c r="V12" s="136">
        <v>1268999.3</v>
      </c>
      <c r="W12" s="136">
        <v>1183996.28</v>
      </c>
      <c r="X12" s="136">
        <v>1274807.055</v>
      </c>
      <c r="Y12" s="136">
        <v>51468.4681</v>
      </c>
    </row>
    <row r="13">
      <c r="A13" s="375">
        <v>46066.0</v>
      </c>
      <c r="B13" s="376" t="s">
        <v>564</v>
      </c>
      <c r="C13" s="376">
        <v>0.0</v>
      </c>
      <c r="D13" s="136">
        <v>1466.0</v>
      </c>
      <c r="E13" s="136">
        <v>637.0</v>
      </c>
      <c r="F13" s="136">
        <v>522.0</v>
      </c>
      <c r="G13" s="136">
        <v>197.0</v>
      </c>
      <c r="H13" s="136">
        <v>38.0</v>
      </c>
      <c r="I13" s="136">
        <v>297.0</v>
      </c>
      <c r="J13" s="136">
        <v>265.0</v>
      </c>
      <c r="K13" s="136">
        <v>150.0</v>
      </c>
      <c r="L13" s="136">
        <v>32.0</v>
      </c>
      <c r="M13" s="136">
        <v>578.0</v>
      </c>
      <c r="N13" s="136">
        <v>19701.0</v>
      </c>
      <c r="O13" s="136">
        <v>35135.0</v>
      </c>
      <c r="P13" s="136">
        <v>246.0</v>
      </c>
      <c r="Q13" s="136">
        <v>31221.0</v>
      </c>
      <c r="R13" s="136">
        <v>44.0</v>
      </c>
      <c r="S13" s="136">
        <v>17186.28</v>
      </c>
      <c r="T13" s="136">
        <v>402.02</v>
      </c>
      <c r="U13" s="136">
        <v>640.7978</v>
      </c>
      <c r="V13" s="136">
        <v>572384.94</v>
      </c>
      <c r="W13" s="136">
        <v>536013.535</v>
      </c>
      <c r="X13" s="136">
        <v>548606.935</v>
      </c>
      <c r="Y13" s="136">
        <v>-5548.9072</v>
      </c>
    </row>
    <row r="14">
      <c r="A14" s="375">
        <v>46066.0</v>
      </c>
      <c r="B14" s="376" t="s">
        <v>562</v>
      </c>
      <c r="C14" s="376">
        <v>0.0</v>
      </c>
      <c r="D14" s="136">
        <v>83.0</v>
      </c>
      <c r="E14" s="136">
        <v>66.0</v>
      </c>
      <c r="F14" s="136">
        <v>53.0</v>
      </c>
      <c r="G14" s="136">
        <v>26.0</v>
      </c>
      <c r="H14" s="136">
        <v>4.0</v>
      </c>
      <c r="I14" s="136">
        <v>67.0</v>
      </c>
      <c r="J14" s="136">
        <v>53.0</v>
      </c>
      <c r="K14" s="136">
        <v>26.0</v>
      </c>
      <c r="L14" s="136">
        <v>4.0</v>
      </c>
      <c r="M14" s="136">
        <v>45.0</v>
      </c>
      <c r="N14" s="136">
        <v>5558.0</v>
      </c>
      <c r="O14" s="136">
        <v>6258.0</v>
      </c>
      <c r="P14" s="136">
        <v>33.0</v>
      </c>
      <c r="Q14" s="136">
        <v>2875.0</v>
      </c>
      <c r="R14" s="136">
        <v>5.0</v>
      </c>
      <c r="S14" s="136">
        <v>763.0</v>
      </c>
      <c r="T14" s="136">
        <v>0.0</v>
      </c>
      <c r="U14" s="136">
        <v>0.0</v>
      </c>
      <c r="V14" s="136">
        <v>42992.15</v>
      </c>
      <c r="W14" s="136">
        <v>39479.385</v>
      </c>
      <c r="X14" s="136">
        <v>49124.28</v>
      </c>
      <c r="Y14" s="136">
        <v>6895.13</v>
      </c>
    </row>
    <row r="15">
      <c r="A15" s="375">
        <v>46066.0</v>
      </c>
      <c r="B15" s="376" t="s">
        <v>566</v>
      </c>
      <c r="C15" s="376">
        <v>0.0</v>
      </c>
      <c r="D15" s="136">
        <v>1.0</v>
      </c>
      <c r="E15" s="136">
        <v>0.0</v>
      </c>
      <c r="F15" s="136">
        <v>0.0</v>
      </c>
      <c r="G15" s="136">
        <v>0.0</v>
      </c>
      <c r="H15" s="136">
        <v>0.0</v>
      </c>
      <c r="I15" s="136">
        <v>1.0</v>
      </c>
      <c r="J15" s="136">
        <v>0.0</v>
      </c>
      <c r="K15" s="136">
        <v>0.0</v>
      </c>
      <c r="L15" s="136">
        <v>0.0</v>
      </c>
      <c r="M15" s="136">
        <v>0.0</v>
      </c>
      <c r="N15" s="136">
        <v>0.0</v>
      </c>
      <c r="O15" s="136">
        <v>0.0</v>
      </c>
      <c r="P15" s="136">
        <v>0.0</v>
      </c>
      <c r="Q15" s="136">
        <v>0.0</v>
      </c>
      <c r="R15" s="136">
        <v>0.0</v>
      </c>
      <c r="S15" s="136">
        <v>0.0</v>
      </c>
      <c r="T15" s="136">
        <v>0.0</v>
      </c>
      <c r="U15" s="136">
        <v>0.0</v>
      </c>
      <c r="V15" s="136">
        <v>0.0</v>
      </c>
      <c r="W15" s="136">
        <v>0.0</v>
      </c>
      <c r="X15" s="136">
        <v>0.0</v>
      </c>
      <c r="Y15" s="136">
        <v>0.0</v>
      </c>
    </row>
    <row r="16">
      <c r="A16" s="377"/>
      <c r="B16" s="378"/>
      <c r="C16" s="378">
        <f t="shared" ref="C16:Y16" si="3">SUM(C11:C15)</f>
        <v>0</v>
      </c>
      <c r="D16" s="379">
        <f t="shared" si="3"/>
        <v>31690</v>
      </c>
      <c r="E16" s="379">
        <f t="shared" si="3"/>
        <v>9824</v>
      </c>
      <c r="F16" s="379">
        <f t="shared" si="3"/>
        <v>7496</v>
      </c>
      <c r="G16" s="379">
        <f t="shared" si="3"/>
        <v>2755</v>
      </c>
      <c r="H16" s="379">
        <f t="shared" si="3"/>
        <v>667</v>
      </c>
      <c r="I16" s="379">
        <f t="shared" si="3"/>
        <v>5918</v>
      </c>
      <c r="J16" s="379">
        <f t="shared" si="3"/>
        <v>4495</v>
      </c>
      <c r="K16" s="379">
        <f t="shared" si="3"/>
        <v>2244</v>
      </c>
      <c r="L16" s="379">
        <f t="shared" si="3"/>
        <v>599</v>
      </c>
      <c r="M16" s="379">
        <f t="shared" si="3"/>
        <v>8324</v>
      </c>
      <c r="N16" s="379">
        <f t="shared" si="3"/>
        <v>368366</v>
      </c>
      <c r="O16" s="379">
        <f t="shared" si="3"/>
        <v>549266</v>
      </c>
      <c r="P16" s="379">
        <f t="shared" si="3"/>
        <v>3470</v>
      </c>
      <c r="Q16" s="379">
        <f t="shared" si="3"/>
        <v>629642</v>
      </c>
      <c r="R16" s="379">
        <f t="shared" si="3"/>
        <v>861</v>
      </c>
      <c r="S16" s="379">
        <f t="shared" si="3"/>
        <v>384198.67</v>
      </c>
      <c r="T16" s="379">
        <f t="shared" si="3"/>
        <v>7222.36</v>
      </c>
      <c r="U16" s="379">
        <f t="shared" si="3"/>
        <v>9494.2272</v>
      </c>
      <c r="V16" s="379">
        <f t="shared" si="3"/>
        <v>8782978.81</v>
      </c>
      <c r="W16" s="379">
        <f t="shared" si="3"/>
        <v>7966262.04</v>
      </c>
      <c r="X16" s="379">
        <f t="shared" si="3"/>
        <v>8611428.122</v>
      </c>
      <c r="Y16" s="379">
        <f t="shared" si="3"/>
        <v>229364.5692</v>
      </c>
    </row>
    <row r="17">
      <c r="A17" s="375">
        <v>46067.0</v>
      </c>
      <c r="B17" s="376" t="s">
        <v>563</v>
      </c>
      <c r="C17" s="376">
        <v>0.0</v>
      </c>
      <c r="D17" s="136">
        <v>26541.0</v>
      </c>
      <c r="E17" s="136">
        <v>3990.0</v>
      </c>
      <c r="F17" s="136">
        <v>2949.0</v>
      </c>
      <c r="G17" s="136">
        <v>1144.0</v>
      </c>
      <c r="H17" s="136">
        <v>286.0</v>
      </c>
      <c r="I17" s="136">
        <v>1048.0</v>
      </c>
      <c r="J17" s="136">
        <v>915.0</v>
      </c>
      <c r="K17" s="136">
        <v>749.0</v>
      </c>
      <c r="L17" s="136">
        <v>228.0</v>
      </c>
      <c r="M17" s="136">
        <v>3448.0</v>
      </c>
      <c r="N17" s="136">
        <v>138855.0</v>
      </c>
      <c r="O17" s="136">
        <v>303080.0</v>
      </c>
      <c r="P17" s="136">
        <v>1445.0</v>
      </c>
      <c r="Q17" s="136">
        <v>328840.0</v>
      </c>
      <c r="R17" s="136">
        <v>382.0</v>
      </c>
      <c r="S17" s="136">
        <v>134499.49</v>
      </c>
      <c r="T17" s="136">
        <v>7529.87</v>
      </c>
      <c r="U17" s="136">
        <v>2878.7113</v>
      </c>
      <c r="V17" s="136">
        <v>3589571.05</v>
      </c>
      <c r="W17" s="136">
        <v>3181916.01</v>
      </c>
      <c r="X17" s="136">
        <v>3472396.095</v>
      </c>
      <c r="Y17" s="136">
        <v>27733.1163</v>
      </c>
    </row>
    <row r="18">
      <c r="A18" s="375">
        <v>46067.0</v>
      </c>
      <c r="B18" s="376" t="s">
        <v>244</v>
      </c>
      <c r="C18" s="376">
        <v>0.0</v>
      </c>
      <c r="D18" s="136">
        <v>5550.0</v>
      </c>
      <c r="E18" s="136">
        <v>1977.0</v>
      </c>
      <c r="F18" s="136">
        <v>1404.0</v>
      </c>
      <c r="G18" s="136">
        <v>331.0</v>
      </c>
      <c r="H18" s="136">
        <v>71.0</v>
      </c>
      <c r="I18" s="136">
        <v>1036.0</v>
      </c>
      <c r="J18" s="136">
        <v>752.0</v>
      </c>
      <c r="K18" s="136">
        <v>220.0</v>
      </c>
      <c r="L18" s="136">
        <v>55.0</v>
      </c>
      <c r="M18" s="136">
        <v>1635.0</v>
      </c>
      <c r="N18" s="136">
        <v>28382.0</v>
      </c>
      <c r="O18" s="136">
        <v>63735.0</v>
      </c>
      <c r="P18" s="136">
        <v>453.0</v>
      </c>
      <c r="Q18" s="136">
        <v>48419.0</v>
      </c>
      <c r="R18" s="136">
        <v>86.0</v>
      </c>
      <c r="S18" s="136">
        <v>18226.73</v>
      </c>
      <c r="T18" s="136">
        <v>1548.53</v>
      </c>
      <c r="U18" s="136">
        <v>603.4303</v>
      </c>
      <c r="V18" s="136">
        <v>737566.89</v>
      </c>
      <c r="W18" s="136">
        <v>690472.985</v>
      </c>
      <c r="X18" s="136">
        <v>708033.745</v>
      </c>
      <c r="Y18" s="136">
        <v>-9154.4547</v>
      </c>
    </row>
    <row r="19">
      <c r="A19" s="375">
        <v>46067.0</v>
      </c>
      <c r="B19" s="376" t="s">
        <v>564</v>
      </c>
      <c r="C19" s="376">
        <v>0.0</v>
      </c>
      <c r="D19" s="136">
        <v>1597.0</v>
      </c>
      <c r="E19" s="136">
        <v>512.0</v>
      </c>
      <c r="F19" s="136">
        <v>398.0</v>
      </c>
      <c r="G19" s="136">
        <v>168.0</v>
      </c>
      <c r="H19" s="136">
        <v>34.0</v>
      </c>
      <c r="I19" s="136">
        <v>136.0</v>
      </c>
      <c r="J19" s="136">
        <v>130.0</v>
      </c>
      <c r="K19" s="136">
        <v>117.0</v>
      </c>
      <c r="L19" s="136">
        <v>30.0</v>
      </c>
      <c r="M19" s="136">
        <v>455.0</v>
      </c>
      <c r="N19" s="136">
        <v>25005.0</v>
      </c>
      <c r="O19" s="136">
        <v>51371.0</v>
      </c>
      <c r="P19" s="136">
        <v>224.0</v>
      </c>
      <c r="Q19" s="136">
        <v>47295.0</v>
      </c>
      <c r="R19" s="136">
        <v>66.0</v>
      </c>
      <c r="S19" s="136">
        <v>20495.9</v>
      </c>
      <c r="T19" s="136">
        <v>1209.56</v>
      </c>
      <c r="U19" s="136">
        <v>239.1707</v>
      </c>
      <c r="V19" s="136">
        <v>560885.17</v>
      </c>
      <c r="W19" s="136">
        <v>486596.1</v>
      </c>
      <c r="X19" s="136">
        <v>561618.435</v>
      </c>
      <c r="Y19" s="136">
        <v>22677.8957</v>
      </c>
    </row>
    <row r="20">
      <c r="A20" s="375">
        <v>46067.0</v>
      </c>
      <c r="B20" s="376" t="s">
        <v>562</v>
      </c>
      <c r="C20" s="376">
        <v>0.0</v>
      </c>
      <c r="D20" s="136">
        <v>345.0</v>
      </c>
      <c r="E20" s="136">
        <v>289.0</v>
      </c>
      <c r="F20" s="136">
        <v>202.0</v>
      </c>
      <c r="G20" s="136">
        <v>100.0</v>
      </c>
      <c r="H20" s="136">
        <v>17.0</v>
      </c>
      <c r="I20" s="136">
        <v>261.0</v>
      </c>
      <c r="J20" s="136">
        <v>181.0</v>
      </c>
      <c r="K20" s="136">
        <v>93.0</v>
      </c>
      <c r="L20" s="136">
        <v>17.0</v>
      </c>
      <c r="M20" s="136">
        <v>207.0</v>
      </c>
      <c r="N20" s="136">
        <v>14594.0</v>
      </c>
      <c r="O20" s="136">
        <v>23795.0</v>
      </c>
      <c r="P20" s="136">
        <v>150.0</v>
      </c>
      <c r="Q20" s="136">
        <v>17457.0</v>
      </c>
      <c r="R20" s="136">
        <v>20.0</v>
      </c>
      <c r="S20" s="136">
        <v>3493.0</v>
      </c>
      <c r="T20" s="136">
        <v>168.5</v>
      </c>
      <c r="U20" s="136">
        <v>0.0</v>
      </c>
      <c r="V20" s="136">
        <v>284238.36</v>
      </c>
      <c r="W20" s="136">
        <v>263973.075</v>
      </c>
      <c r="X20" s="136">
        <v>281021.83</v>
      </c>
      <c r="Y20" s="136">
        <v>444.97</v>
      </c>
    </row>
    <row r="21">
      <c r="A21" s="377"/>
      <c r="B21" s="378"/>
      <c r="C21" s="378">
        <f t="shared" ref="C21:Y21" si="4">SUM(C17:C20)</f>
        <v>0</v>
      </c>
      <c r="D21" s="379">
        <f t="shared" si="4"/>
        <v>34033</v>
      </c>
      <c r="E21" s="379">
        <f t="shared" si="4"/>
        <v>6768</v>
      </c>
      <c r="F21" s="379">
        <f t="shared" si="4"/>
        <v>4953</v>
      </c>
      <c r="G21" s="379">
        <f t="shared" si="4"/>
        <v>1743</v>
      </c>
      <c r="H21" s="379">
        <f t="shared" si="4"/>
        <v>408</v>
      </c>
      <c r="I21" s="379">
        <f t="shared" si="4"/>
        <v>2481</v>
      </c>
      <c r="J21" s="379">
        <f t="shared" si="4"/>
        <v>1978</v>
      </c>
      <c r="K21" s="379">
        <f t="shared" si="4"/>
        <v>1179</v>
      </c>
      <c r="L21" s="379">
        <f t="shared" si="4"/>
        <v>330</v>
      </c>
      <c r="M21" s="379">
        <f t="shared" si="4"/>
        <v>5745</v>
      </c>
      <c r="N21" s="379">
        <f t="shared" si="4"/>
        <v>206836</v>
      </c>
      <c r="O21" s="379">
        <f t="shared" si="4"/>
        <v>441981</v>
      </c>
      <c r="P21" s="379">
        <f t="shared" si="4"/>
        <v>2272</v>
      </c>
      <c r="Q21" s="379">
        <f t="shared" si="4"/>
        <v>442011</v>
      </c>
      <c r="R21" s="379">
        <f t="shared" si="4"/>
        <v>554</v>
      </c>
      <c r="S21" s="379">
        <f t="shared" si="4"/>
        <v>176715.12</v>
      </c>
      <c r="T21" s="379">
        <f t="shared" si="4"/>
        <v>10456.46</v>
      </c>
      <c r="U21" s="379">
        <f t="shared" si="4"/>
        <v>3721.3123</v>
      </c>
      <c r="V21" s="379">
        <f t="shared" si="4"/>
        <v>5172261.47</v>
      </c>
      <c r="W21" s="379">
        <f t="shared" si="4"/>
        <v>4622958.17</v>
      </c>
      <c r="X21" s="379">
        <f t="shared" si="4"/>
        <v>5023070.105</v>
      </c>
      <c r="Y21" s="379">
        <f t="shared" si="4"/>
        <v>41701.5273</v>
      </c>
    </row>
    <row r="22">
      <c r="A22" s="375">
        <v>46068.0</v>
      </c>
      <c r="B22" s="376" t="s">
        <v>563</v>
      </c>
      <c r="C22" s="376">
        <v>0.0</v>
      </c>
      <c r="D22" s="136">
        <v>26971.0</v>
      </c>
      <c r="E22" s="136">
        <v>3004.0</v>
      </c>
      <c r="F22" s="136">
        <v>2171.0</v>
      </c>
      <c r="G22" s="136">
        <v>542.0</v>
      </c>
      <c r="H22" s="136">
        <v>124.0</v>
      </c>
      <c r="I22" s="136">
        <v>442.0</v>
      </c>
      <c r="J22" s="136">
        <v>391.0</v>
      </c>
      <c r="K22" s="136">
        <v>273.0</v>
      </c>
      <c r="L22" s="136">
        <v>84.0</v>
      </c>
      <c r="M22" s="136">
        <v>2595.0</v>
      </c>
      <c r="N22" s="136">
        <v>39289.0</v>
      </c>
      <c r="O22" s="136">
        <v>107395.0</v>
      </c>
      <c r="P22" s="136">
        <v>752.0</v>
      </c>
      <c r="Q22" s="136">
        <v>85784.0</v>
      </c>
      <c r="R22" s="136">
        <v>157.0</v>
      </c>
      <c r="S22" s="136">
        <v>23266.77</v>
      </c>
      <c r="T22" s="136">
        <v>5325.2</v>
      </c>
      <c r="U22" s="136">
        <v>1239.6276</v>
      </c>
      <c r="V22" s="136">
        <v>1181841.28</v>
      </c>
      <c r="W22" s="136">
        <v>1110117.605</v>
      </c>
      <c r="X22" s="136">
        <v>1149168.17</v>
      </c>
      <c r="Y22" s="136">
        <v>-2841.5124</v>
      </c>
    </row>
    <row r="23">
      <c r="A23" s="375">
        <v>46068.0</v>
      </c>
      <c r="B23" s="376" t="s">
        <v>244</v>
      </c>
      <c r="C23" s="376">
        <v>0.0</v>
      </c>
      <c r="D23" s="376">
        <v>6047.0</v>
      </c>
      <c r="E23" s="376">
        <v>1389.0</v>
      </c>
      <c r="F23" s="376">
        <v>1004.0</v>
      </c>
      <c r="G23" s="376">
        <v>203.0</v>
      </c>
      <c r="H23" s="376">
        <v>38.0</v>
      </c>
      <c r="I23" s="376">
        <v>527.0</v>
      </c>
      <c r="J23" s="376">
        <v>385.0</v>
      </c>
      <c r="K23" s="376">
        <v>106.0</v>
      </c>
      <c r="L23" s="376">
        <v>26.0</v>
      </c>
      <c r="M23" s="376">
        <v>1200.0</v>
      </c>
      <c r="N23" s="376">
        <v>12229.0</v>
      </c>
      <c r="O23" s="376">
        <v>37856.0</v>
      </c>
      <c r="P23" s="376">
        <v>303.0</v>
      </c>
      <c r="Q23" s="376">
        <v>30285.0</v>
      </c>
      <c r="R23" s="376">
        <v>50.0</v>
      </c>
      <c r="S23" s="376">
        <v>7095.71</v>
      </c>
      <c r="T23" s="376">
        <v>1465.32</v>
      </c>
      <c r="U23" s="376">
        <v>169.8045</v>
      </c>
      <c r="V23" s="376">
        <v>382600.6</v>
      </c>
      <c r="W23" s="376">
        <v>352812.33</v>
      </c>
      <c r="X23" s="376">
        <v>370360.88</v>
      </c>
      <c r="Y23" s="376">
        <v>-3508.8855</v>
      </c>
    </row>
    <row r="24">
      <c r="A24" s="375">
        <v>46068.0</v>
      </c>
      <c r="B24" s="376" t="s">
        <v>564</v>
      </c>
      <c r="C24" s="376">
        <v>0.0</v>
      </c>
      <c r="D24" s="376">
        <v>1659.0</v>
      </c>
      <c r="E24" s="376">
        <v>400.0</v>
      </c>
      <c r="F24" s="376">
        <v>294.0</v>
      </c>
      <c r="G24" s="376">
        <v>70.0</v>
      </c>
      <c r="H24" s="376">
        <v>17.0</v>
      </c>
      <c r="I24" s="376">
        <v>59.0</v>
      </c>
      <c r="J24" s="376">
        <v>51.0</v>
      </c>
      <c r="K24" s="376">
        <v>32.0</v>
      </c>
      <c r="L24" s="376">
        <v>10.0</v>
      </c>
      <c r="M24" s="376">
        <v>346.0</v>
      </c>
      <c r="N24" s="376">
        <v>3846.0</v>
      </c>
      <c r="O24" s="376">
        <v>19707.0</v>
      </c>
      <c r="P24" s="376">
        <v>105.0</v>
      </c>
      <c r="Q24" s="376">
        <v>23549.0</v>
      </c>
      <c r="R24" s="376">
        <v>33.0</v>
      </c>
      <c r="S24" s="376">
        <v>2231.63</v>
      </c>
      <c r="T24" s="376">
        <v>729.57</v>
      </c>
      <c r="U24" s="376">
        <v>74.6483</v>
      </c>
      <c r="V24" s="376">
        <v>201728.28</v>
      </c>
      <c r="W24" s="376">
        <v>190009.97</v>
      </c>
      <c r="X24" s="376">
        <v>197338.28</v>
      </c>
      <c r="Y24" s="376">
        <v>-1354.1517</v>
      </c>
    </row>
    <row r="25">
      <c r="A25" s="375">
        <v>46068.0</v>
      </c>
      <c r="B25" s="376" t="s">
        <v>562</v>
      </c>
      <c r="C25" s="376">
        <v>0.0</v>
      </c>
      <c r="D25" s="376">
        <v>572.0</v>
      </c>
      <c r="E25" s="376">
        <v>329.0</v>
      </c>
      <c r="F25" s="376">
        <v>245.0</v>
      </c>
      <c r="G25" s="376">
        <v>100.0</v>
      </c>
      <c r="H25" s="376">
        <v>21.0</v>
      </c>
      <c r="I25" s="376">
        <v>236.0</v>
      </c>
      <c r="J25" s="376">
        <v>176.0</v>
      </c>
      <c r="K25" s="376">
        <v>79.0</v>
      </c>
      <c r="L25" s="376">
        <v>21.0</v>
      </c>
      <c r="M25" s="376">
        <v>239.0</v>
      </c>
      <c r="N25" s="376">
        <v>11465.0</v>
      </c>
      <c r="O25" s="376">
        <v>21995.0</v>
      </c>
      <c r="P25" s="376">
        <v>150.0</v>
      </c>
      <c r="Q25" s="376">
        <v>19952.0</v>
      </c>
      <c r="R25" s="376">
        <v>28.0</v>
      </c>
      <c r="S25" s="376">
        <v>2328.71</v>
      </c>
      <c r="T25" s="376">
        <v>860.02</v>
      </c>
      <c r="U25" s="376">
        <v>0.0</v>
      </c>
      <c r="V25" s="376">
        <v>202820.9</v>
      </c>
      <c r="W25" s="376">
        <v>188716.25</v>
      </c>
      <c r="X25" s="376">
        <v>195966.345</v>
      </c>
      <c r="Y25" s="376">
        <v>-3665.825</v>
      </c>
    </row>
    <row r="26">
      <c r="A26" s="377"/>
      <c r="B26" s="378"/>
      <c r="C26" s="378">
        <f t="shared" ref="C26:Y26" si="5">SUM(C22:C25)</f>
        <v>0</v>
      </c>
      <c r="D26" s="379">
        <f t="shared" si="5"/>
        <v>35249</v>
      </c>
      <c r="E26" s="379">
        <f t="shared" si="5"/>
        <v>5122</v>
      </c>
      <c r="F26" s="379">
        <f t="shared" si="5"/>
        <v>3714</v>
      </c>
      <c r="G26" s="379">
        <f t="shared" si="5"/>
        <v>915</v>
      </c>
      <c r="H26" s="379">
        <f t="shared" si="5"/>
        <v>200</v>
      </c>
      <c r="I26" s="379">
        <f t="shared" si="5"/>
        <v>1264</v>
      </c>
      <c r="J26" s="379">
        <f t="shared" si="5"/>
        <v>1003</v>
      </c>
      <c r="K26" s="379">
        <f t="shared" si="5"/>
        <v>490</v>
      </c>
      <c r="L26" s="379">
        <f t="shared" si="5"/>
        <v>141</v>
      </c>
      <c r="M26" s="379">
        <f t="shared" si="5"/>
        <v>4380</v>
      </c>
      <c r="N26" s="379">
        <f t="shared" si="5"/>
        <v>66829</v>
      </c>
      <c r="O26" s="379">
        <f t="shared" si="5"/>
        <v>186953</v>
      </c>
      <c r="P26" s="379">
        <f t="shared" si="5"/>
        <v>1310</v>
      </c>
      <c r="Q26" s="379">
        <f t="shared" si="5"/>
        <v>159570</v>
      </c>
      <c r="R26" s="379">
        <f t="shared" si="5"/>
        <v>268</v>
      </c>
      <c r="S26" s="379">
        <f t="shared" si="5"/>
        <v>34922.82</v>
      </c>
      <c r="T26" s="379">
        <f t="shared" si="5"/>
        <v>8380.11</v>
      </c>
      <c r="U26" s="379">
        <f t="shared" si="5"/>
        <v>1484.0804</v>
      </c>
      <c r="V26" s="379">
        <f t="shared" si="5"/>
        <v>1968991.06</v>
      </c>
      <c r="W26" s="379">
        <f t="shared" si="5"/>
        <v>1841656.155</v>
      </c>
      <c r="X26" s="379">
        <f t="shared" si="5"/>
        <v>1912833.675</v>
      </c>
      <c r="Y26" s="379">
        <f t="shared" si="5"/>
        <v>-11370.3746</v>
      </c>
    </row>
    <row r="27">
      <c r="A27" s="375">
        <v>46069.0</v>
      </c>
      <c r="B27" s="376" t="s">
        <v>563</v>
      </c>
      <c r="C27" s="376">
        <v>0.0</v>
      </c>
      <c r="D27" s="376">
        <v>27313.0</v>
      </c>
      <c r="E27" s="376">
        <v>3005.0</v>
      </c>
      <c r="F27" s="376">
        <v>2112.0</v>
      </c>
      <c r="G27" s="376">
        <v>467.0</v>
      </c>
      <c r="H27" s="376">
        <v>101.0</v>
      </c>
      <c r="I27" s="376">
        <v>344.0</v>
      </c>
      <c r="J27" s="376">
        <v>276.0</v>
      </c>
      <c r="K27" s="376">
        <v>199.0</v>
      </c>
      <c r="L27" s="376">
        <v>61.0</v>
      </c>
      <c r="M27" s="376">
        <v>2581.0</v>
      </c>
      <c r="N27" s="376">
        <v>31105.0</v>
      </c>
      <c r="O27" s="376">
        <v>94219.0</v>
      </c>
      <c r="P27" s="376">
        <v>618.0</v>
      </c>
      <c r="Q27" s="376">
        <v>62057.0</v>
      </c>
      <c r="R27" s="376">
        <v>128.0</v>
      </c>
      <c r="S27" s="376">
        <v>18561.53</v>
      </c>
      <c r="T27" s="376">
        <v>2891.41</v>
      </c>
      <c r="U27" s="376">
        <v>588.0269</v>
      </c>
      <c r="V27" s="376">
        <v>903963.07</v>
      </c>
      <c r="W27" s="376">
        <v>851719.345</v>
      </c>
      <c r="X27" s="376">
        <v>862903.89</v>
      </c>
      <c r="Y27" s="376">
        <v>-19018.2131</v>
      </c>
    </row>
    <row r="28">
      <c r="A28" s="375">
        <v>46069.0</v>
      </c>
      <c r="B28" s="376" t="s">
        <v>244</v>
      </c>
      <c r="C28" s="376">
        <v>0.0</v>
      </c>
      <c r="D28" s="376">
        <v>6479.0</v>
      </c>
      <c r="E28" s="376">
        <v>1315.0</v>
      </c>
      <c r="F28" s="376">
        <v>948.0</v>
      </c>
      <c r="G28" s="376">
        <v>179.0</v>
      </c>
      <c r="H28" s="376">
        <v>33.0</v>
      </c>
      <c r="I28" s="376">
        <v>435.0</v>
      </c>
      <c r="J28" s="376">
        <v>327.0</v>
      </c>
      <c r="K28" s="376">
        <v>91.0</v>
      </c>
      <c r="L28" s="376">
        <v>22.0</v>
      </c>
      <c r="M28" s="376">
        <v>1086.0</v>
      </c>
      <c r="N28" s="376">
        <v>10985.0</v>
      </c>
      <c r="O28" s="376">
        <v>27315.0</v>
      </c>
      <c r="P28" s="376">
        <v>219.0</v>
      </c>
      <c r="Q28" s="376">
        <v>14490.0</v>
      </c>
      <c r="R28" s="376">
        <v>38.0</v>
      </c>
      <c r="S28" s="376">
        <v>5154.14</v>
      </c>
      <c r="T28" s="376">
        <v>908.75</v>
      </c>
      <c r="U28" s="376">
        <v>62.6446</v>
      </c>
      <c r="V28" s="376">
        <v>263458.92</v>
      </c>
      <c r="W28" s="376">
        <v>246089.47</v>
      </c>
      <c r="X28" s="376">
        <v>251641.0</v>
      </c>
      <c r="Y28" s="376">
        <v>-5692.3854</v>
      </c>
    </row>
    <row r="29">
      <c r="A29" s="375">
        <v>46069.0</v>
      </c>
      <c r="B29" s="376" t="s">
        <v>564</v>
      </c>
      <c r="C29" s="376">
        <v>0.0</v>
      </c>
      <c r="D29" s="376">
        <v>1727.0</v>
      </c>
      <c r="E29" s="376">
        <v>407.0</v>
      </c>
      <c r="F29" s="376">
        <v>291.0</v>
      </c>
      <c r="G29" s="376">
        <v>74.0</v>
      </c>
      <c r="H29" s="376">
        <v>17.0</v>
      </c>
      <c r="I29" s="376">
        <v>68.0</v>
      </c>
      <c r="J29" s="376">
        <v>50.0</v>
      </c>
      <c r="K29" s="376">
        <v>44.0</v>
      </c>
      <c r="L29" s="376">
        <v>14.0</v>
      </c>
      <c r="M29" s="376">
        <v>335.0</v>
      </c>
      <c r="N29" s="376">
        <v>7078.0</v>
      </c>
      <c r="O29" s="376">
        <v>16440.0</v>
      </c>
      <c r="P29" s="376">
        <v>96.0</v>
      </c>
      <c r="Q29" s="376">
        <v>9850.0</v>
      </c>
      <c r="R29" s="376">
        <v>21.0</v>
      </c>
      <c r="S29" s="376">
        <v>2465.0</v>
      </c>
      <c r="T29" s="376">
        <v>560.27</v>
      </c>
      <c r="U29" s="376">
        <v>55.3846</v>
      </c>
      <c r="V29" s="376">
        <v>125110.63</v>
      </c>
      <c r="W29" s="376">
        <v>118056.255</v>
      </c>
      <c r="X29" s="376">
        <v>116019.015</v>
      </c>
      <c r="Y29" s="376">
        <v>-6010.9604</v>
      </c>
    </row>
    <row r="30">
      <c r="A30" s="375">
        <v>46069.0</v>
      </c>
      <c r="B30" s="376" t="s">
        <v>562</v>
      </c>
      <c r="C30" s="376">
        <v>0.0</v>
      </c>
      <c r="D30" s="136">
        <v>761.0</v>
      </c>
      <c r="E30" s="136">
        <v>312.0</v>
      </c>
      <c r="F30" s="136">
        <v>246.0</v>
      </c>
      <c r="G30" s="136">
        <v>101.0</v>
      </c>
      <c r="H30" s="136">
        <v>25.0</v>
      </c>
      <c r="I30" s="136">
        <v>183.0</v>
      </c>
      <c r="J30" s="136">
        <v>152.0</v>
      </c>
      <c r="K30" s="136">
        <v>78.0</v>
      </c>
      <c r="L30" s="136">
        <v>19.0</v>
      </c>
      <c r="M30" s="136">
        <v>243.0</v>
      </c>
      <c r="N30" s="136">
        <v>10055.0</v>
      </c>
      <c r="O30" s="136">
        <v>23490.0</v>
      </c>
      <c r="P30" s="136">
        <v>161.0</v>
      </c>
      <c r="Q30" s="136">
        <v>17580.0</v>
      </c>
      <c r="R30" s="136">
        <v>30.0</v>
      </c>
      <c r="S30" s="136">
        <v>2333.5</v>
      </c>
      <c r="T30" s="136">
        <v>639.16</v>
      </c>
      <c r="U30" s="136">
        <v>21.7412</v>
      </c>
      <c r="V30" s="136">
        <v>217649.03</v>
      </c>
      <c r="W30" s="136">
        <v>202607.175</v>
      </c>
      <c r="X30" s="136">
        <v>206390.17</v>
      </c>
      <c r="Y30" s="136">
        <v>-8264.4588</v>
      </c>
    </row>
    <row r="31">
      <c r="A31" s="375">
        <v>46069.0</v>
      </c>
      <c r="B31" s="376" t="s">
        <v>565</v>
      </c>
      <c r="C31" s="376">
        <v>0.0</v>
      </c>
      <c r="D31" s="136">
        <v>1.0</v>
      </c>
      <c r="E31" s="136">
        <v>0.0</v>
      </c>
      <c r="F31" s="136">
        <v>0.0</v>
      </c>
      <c r="G31" s="136">
        <v>0.0</v>
      </c>
      <c r="H31" s="136">
        <v>0.0</v>
      </c>
      <c r="I31" s="136">
        <v>1.0</v>
      </c>
      <c r="J31" s="136">
        <v>0.0</v>
      </c>
      <c r="K31" s="136">
        <v>0.0</v>
      </c>
      <c r="L31" s="136">
        <v>0.0</v>
      </c>
      <c r="M31" s="136">
        <v>0.0</v>
      </c>
      <c r="N31" s="136">
        <v>0.0</v>
      </c>
      <c r="O31" s="136">
        <v>0.0</v>
      </c>
      <c r="P31" s="136">
        <v>0.0</v>
      </c>
      <c r="Q31" s="136">
        <v>0.0</v>
      </c>
      <c r="R31" s="136">
        <v>0.0</v>
      </c>
      <c r="S31" s="136">
        <v>0.0</v>
      </c>
      <c r="T31" s="136">
        <v>0.0</v>
      </c>
      <c r="U31" s="136">
        <v>0.0</v>
      </c>
      <c r="V31" s="136">
        <v>0.0</v>
      </c>
      <c r="W31" s="136">
        <v>0.0</v>
      </c>
      <c r="X31" s="136">
        <v>0.0</v>
      </c>
      <c r="Y31" s="136">
        <v>0.0</v>
      </c>
    </row>
    <row r="32">
      <c r="A32" s="377"/>
      <c r="B32" s="378"/>
      <c r="C32" s="378">
        <f t="shared" ref="C32:Y32" si="6">SUM(C27:C31)</f>
        <v>0</v>
      </c>
      <c r="D32" s="378">
        <f t="shared" si="6"/>
        <v>36281</v>
      </c>
      <c r="E32" s="378">
        <f t="shared" si="6"/>
        <v>5039</v>
      </c>
      <c r="F32" s="378">
        <f t="shared" si="6"/>
        <v>3597</v>
      </c>
      <c r="G32" s="378">
        <f t="shared" si="6"/>
        <v>821</v>
      </c>
      <c r="H32" s="378">
        <f t="shared" si="6"/>
        <v>176</v>
      </c>
      <c r="I32" s="378">
        <f t="shared" si="6"/>
        <v>1031</v>
      </c>
      <c r="J32" s="378">
        <f t="shared" si="6"/>
        <v>805</v>
      </c>
      <c r="K32" s="378">
        <f t="shared" si="6"/>
        <v>412</v>
      </c>
      <c r="L32" s="378">
        <f t="shared" si="6"/>
        <v>116</v>
      </c>
      <c r="M32" s="378">
        <f t="shared" si="6"/>
        <v>4245</v>
      </c>
      <c r="N32" s="378">
        <f t="shared" si="6"/>
        <v>59223</v>
      </c>
      <c r="O32" s="378">
        <f t="shared" si="6"/>
        <v>161464</v>
      </c>
      <c r="P32" s="378">
        <f t="shared" si="6"/>
        <v>1094</v>
      </c>
      <c r="Q32" s="378">
        <f t="shared" si="6"/>
        <v>103977</v>
      </c>
      <c r="R32" s="378">
        <f t="shared" si="6"/>
        <v>217</v>
      </c>
      <c r="S32" s="378">
        <f t="shared" si="6"/>
        <v>28514.17</v>
      </c>
      <c r="T32" s="378">
        <f t="shared" si="6"/>
        <v>4999.59</v>
      </c>
      <c r="U32" s="378">
        <f t="shared" si="6"/>
        <v>727.7973</v>
      </c>
      <c r="V32" s="378">
        <f t="shared" si="6"/>
        <v>1510181.65</v>
      </c>
      <c r="W32" s="378">
        <f t="shared" si="6"/>
        <v>1418472.245</v>
      </c>
      <c r="X32" s="378">
        <f t="shared" si="6"/>
        <v>1436954.075</v>
      </c>
      <c r="Y32" s="378">
        <f t="shared" si="6"/>
        <v>-38986.0177</v>
      </c>
    </row>
    <row r="33">
      <c r="A33" s="375">
        <v>46070.0</v>
      </c>
      <c r="B33" s="376" t="s">
        <v>563</v>
      </c>
      <c r="C33" s="376">
        <v>0.0</v>
      </c>
      <c r="D33" s="136">
        <v>27580.0</v>
      </c>
      <c r="E33" s="136">
        <v>3137.0</v>
      </c>
      <c r="F33" s="136">
        <v>2240.0</v>
      </c>
      <c r="G33" s="136">
        <v>444.0</v>
      </c>
      <c r="H33" s="136">
        <v>101.0</v>
      </c>
      <c r="I33" s="136">
        <v>269.0</v>
      </c>
      <c r="J33" s="136">
        <v>277.0</v>
      </c>
      <c r="K33" s="136">
        <v>187.0</v>
      </c>
      <c r="L33" s="136">
        <v>58.0</v>
      </c>
      <c r="M33" s="136">
        <v>2689.0</v>
      </c>
      <c r="N33" s="136">
        <v>29191.0</v>
      </c>
      <c r="O33" s="136">
        <v>94011.0</v>
      </c>
      <c r="P33" s="136">
        <v>562.0</v>
      </c>
      <c r="Q33" s="136">
        <v>63419.0</v>
      </c>
      <c r="R33" s="136">
        <v>124.0</v>
      </c>
      <c r="S33" s="136">
        <v>19342.8</v>
      </c>
      <c r="T33" s="136">
        <v>2796.81</v>
      </c>
      <c r="U33" s="136">
        <v>453.0174</v>
      </c>
      <c r="V33" s="136">
        <v>845016.82</v>
      </c>
      <c r="W33" s="136">
        <v>778447.88</v>
      </c>
      <c r="X33" s="136">
        <v>808201.55</v>
      </c>
      <c r="Y33" s="136">
        <v>-14222.6426</v>
      </c>
    </row>
    <row r="34">
      <c r="A34" s="375">
        <v>46070.0</v>
      </c>
      <c r="B34" s="376" t="s">
        <v>244</v>
      </c>
      <c r="C34" s="376">
        <v>0.0</v>
      </c>
      <c r="D34" s="136">
        <v>6891.0</v>
      </c>
      <c r="E34" s="136">
        <v>1358.0</v>
      </c>
      <c r="F34" s="136">
        <v>975.0</v>
      </c>
      <c r="G34" s="136">
        <v>181.0</v>
      </c>
      <c r="H34" s="136">
        <v>33.0</v>
      </c>
      <c r="I34" s="136">
        <v>403.0</v>
      </c>
      <c r="J34" s="136">
        <v>280.0</v>
      </c>
      <c r="K34" s="136">
        <v>102.0</v>
      </c>
      <c r="L34" s="136">
        <v>27.0</v>
      </c>
      <c r="M34" s="136">
        <v>1103.0</v>
      </c>
      <c r="N34" s="136">
        <v>15900.0</v>
      </c>
      <c r="O34" s="136">
        <v>30795.0</v>
      </c>
      <c r="P34" s="136">
        <v>223.0</v>
      </c>
      <c r="Q34" s="136">
        <v>18051.0</v>
      </c>
      <c r="R34" s="136">
        <v>41.0</v>
      </c>
      <c r="S34" s="136">
        <v>6109.1</v>
      </c>
      <c r="T34" s="136">
        <v>651.24</v>
      </c>
      <c r="U34" s="136">
        <v>26.2234</v>
      </c>
      <c r="V34" s="136">
        <v>291412.7</v>
      </c>
      <c r="W34" s="136">
        <v>272251.05</v>
      </c>
      <c r="X34" s="136">
        <v>274144.84</v>
      </c>
      <c r="Y34" s="136">
        <v>-10481.2966</v>
      </c>
    </row>
    <row r="35">
      <c r="A35" s="375">
        <v>46070.0</v>
      </c>
      <c r="B35" s="376" t="s">
        <v>564</v>
      </c>
      <c r="C35" s="376">
        <v>0.0</v>
      </c>
      <c r="D35" s="136">
        <v>1773.0</v>
      </c>
      <c r="E35" s="136">
        <v>385.0</v>
      </c>
      <c r="F35" s="136">
        <v>305.0</v>
      </c>
      <c r="G35" s="136">
        <v>73.0</v>
      </c>
      <c r="H35" s="136">
        <v>26.0</v>
      </c>
      <c r="I35" s="136">
        <v>48.0</v>
      </c>
      <c r="J35" s="136">
        <v>47.0</v>
      </c>
      <c r="K35" s="136">
        <v>35.0</v>
      </c>
      <c r="L35" s="136">
        <v>16.0</v>
      </c>
      <c r="M35" s="136">
        <v>333.0</v>
      </c>
      <c r="N35" s="136">
        <v>5567.0</v>
      </c>
      <c r="O35" s="136">
        <v>19167.0</v>
      </c>
      <c r="P35" s="136">
        <v>115.0</v>
      </c>
      <c r="Q35" s="136">
        <v>17050.0</v>
      </c>
      <c r="R35" s="136">
        <v>34.0</v>
      </c>
      <c r="S35" s="136">
        <v>1958.0</v>
      </c>
      <c r="T35" s="136">
        <v>244.69</v>
      </c>
      <c r="U35" s="136">
        <v>62.5938</v>
      </c>
      <c r="V35" s="136">
        <v>168645.63</v>
      </c>
      <c r="W35" s="136">
        <v>157487.56</v>
      </c>
      <c r="X35" s="136">
        <v>165184.47</v>
      </c>
      <c r="Y35" s="136">
        <v>-1195.8762</v>
      </c>
    </row>
    <row r="36">
      <c r="A36" s="375">
        <v>46070.0</v>
      </c>
      <c r="B36" s="376" t="s">
        <v>562</v>
      </c>
      <c r="C36" s="376">
        <v>0.0</v>
      </c>
      <c r="D36" s="136">
        <v>916.0</v>
      </c>
      <c r="E36" s="136">
        <v>336.0</v>
      </c>
      <c r="F36" s="136">
        <v>244.0</v>
      </c>
      <c r="G36" s="136">
        <v>89.0</v>
      </c>
      <c r="H36" s="136">
        <v>20.0</v>
      </c>
      <c r="I36" s="136">
        <v>161.0</v>
      </c>
      <c r="J36" s="136">
        <v>119.0</v>
      </c>
      <c r="K36" s="136">
        <v>54.0</v>
      </c>
      <c r="L36" s="136">
        <v>18.0</v>
      </c>
      <c r="M36" s="136">
        <v>254.0</v>
      </c>
      <c r="N36" s="136">
        <v>7073.0</v>
      </c>
      <c r="O36" s="136">
        <v>21693.0</v>
      </c>
      <c r="P36" s="136">
        <v>152.0</v>
      </c>
      <c r="Q36" s="136">
        <v>17320.0</v>
      </c>
      <c r="R36" s="136">
        <v>27.0</v>
      </c>
      <c r="S36" s="136">
        <v>2247.0</v>
      </c>
      <c r="T36" s="136">
        <v>809.03</v>
      </c>
      <c r="U36" s="136">
        <v>2.9816</v>
      </c>
      <c r="V36" s="136">
        <v>217861.14</v>
      </c>
      <c r="W36" s="136">
        <v>205744.34</v>
      </c>
      <c r="X36" s="136">
        <v>213616.79</v>
      </c>
      <c r="Y36" s="136">
        <v>-1185.3384</v>
      </c>
    </row>
    <row r="37">
      <c r="A37" s="377"/>
      <c r="B37" s="378"/>
      <c r="C37" s="378">
        <f t="shared" ref="C37:Y37" si="7">SUM(C33:C36)</f>
        <v>0</v>
      </c>
      <c r="D37" s="379">
        <f t="shared" si="7"/>
        <v>37160</v>
      </c>
      <c r="E37" s="379">
        <f t="shared" si="7"/>
        <v>5216</v>
      </c>
      <c r="F37" s="379">
        <f t="shared" si="7"/>
        <v>3764</v>
      </c>
      <c r="G37" s="379">
        <f t="shared" si="7"/>
        <v>787</v>
      </c>
      <c r="H37" s="379">
        <f t="shared" si="7"/>
        <v>180</v>
      </c>
      <c r="I37" s="379">
        <f t="shared" si="7"/>
        <v>881</v>
      </c>
      <c r="J37" s="379">
        <f t="shared" si="7"/>
        <v>723</v>
      </c>
      <c r="K37" s="379">
        <f t="shared" si="7"/>
        <v>378</v>
      </c>
      <c r="L37" s="379">
        <f t="shared" si="7"/>
        <v>119</v>
      </c>
      <c r="M37" s="379">
        <f t="shared" si="7"/>
        <v>4379</v>
      </c>
      <c r="N37" s="379">
        <f t="shared" si="7"/>
        <v>57731</v>
      </c>
      <c r="O37" s="379">
        <f t="shared" si="7"/>
        <v>165666</v>
      </c>
      <c r="P37" s="379">
        <f t="shared" si="7"/>
        <v>1052</v>
      </c>
      <c r="Q37" s="379">
        <f t="shared" si="7"/>
        <v>115840</v>
      </c>
      <c r="R37" s="379">
        <f t="shared" si="7"/>
        <v>226</v>
      </c>
      <c r="S37" s="379">
        <f t="shared" si="7"/>
        <v>29656.9</v>
      </c>
      <c r="T37" s="379">
        <f t="shared" si="7"/>
        <v>4501.77</v>
      </c>
      <c r="U37" s="379">
        <f t="shared" si="7"/>
        <v>544.8162</v>
      </c>
      <c r="V37" s="379">
        <f t="shared" si="7"/>
        <v>1522936.29</v>
      </c>
      <c r="W37" s="379">
        <f t="shared" si="7"/>
        <v>1413930.83</v>
      </c>
      <c r="X37" s="379">
        <f t="shared" si="7"/>
        <v>1461147.65</v>
      </c>
      <c r="Y37" s="379">
        <f t="shared" si="7"/>
        <v>-27085.1538</v>
      </c>
    </row>
    <row r="38">
      <c r="A38" s="375">
        <v>46071.0</v>
      </c>
      <c r="B38" s="376" t="s">
        <v>563</v>
      </c>
      <c r="C38" s="376">
        <v>0.0</v>
      </c>
      <c r="D38" s="136">
        <v>27780.0</v>
      </c>
      <c r="E38" s="136">
        <v>2554.0</v>
      </c>
      <c r="F38" s="136">
        <v>1930.0</v>
      </c>
      <c r="G38" s="136">
        <v>346.0</v>
      </c>
      <c r="H38" s="136">
        <v>81.0</v>
      </c>
      <c r="I38" s="136">
        <v>209.0</v>
      </c>
      <c r="J38" s="136">
        <v>198.0</v>
      </c>
      <c r="K38" s="136">
        <v>130.0</v>
      </c>
      <c r="L38" s="136">
        <v>47.0</v>
      </c>
      <c r="M38" s="136">
        <v>2237.0</v>
      </c>
      <c r="N38" s="136">
        <v>21811.0</v>
      </c>
      <c r="O38" s="136">
        <v>61952.0</v>
      </c>
      <c r="P38" s="136">
        <v>443.0</v>
      </c>
      <c r="Q38" s="136">
        <v>59347.0</v>
      </c>
      <c r="R38" s="136">
        <v>108.0</v>
      </c>
      <c r="S38" s="136">
        <v>15786.61</v>
      </c>
      <c r="T38" s="136">
        <v>2506.17</v>
      </c>
      <c r="U38" s="136">
        <v>408.4826</v>
      </c>
      <c r="V38" s="136">
        <v>558976.31</v>
      </c>
      <c r="W38" s="136">
        <v>487903.78</v>
      </c>
      <c r="X38" s="136">
        <v>525275.6</v>
      </c>
      <c r="Y38" s="136">
        <v>-14999.4474</v>
      </c>
    </row>
    <row r="39">
      <c r="A39" s="375">
        <v>46071.0</v>
      </c>
      <c r="B39" s="376" t="s">
        <v>244</v>
      </c>
      <c r="C39" s="376">
        <v>0.0</v>
      </c>
      <c r="D39" s="380">
        <v>7327.0</v>
      </c>
      <c r="E39" s="380">
        <v>1234.0</v>
      </c>
      <c r="F39" s="380">
        <v>847.0</v>
      </c>
      <c r="G39" s="380">
        <v>165.0</v>
      </c>
      <c r="H39" s="380">
        <v>37.0</v>
      </c>
      <c r="I39" s="380">
        <v>432.0</v>
      </c>
      <c r="J39" s="380">
        <v>264.0</v>
      </c>
      <c r="K39" s="380">
        <v>84.0</v>
      </c>
      <c r="L39" s="380">
        <v>28.0</v>
      </c>
      <c r="M39" s="380">
        <v>976.0</v>
      </c>
      <c r="N39" s="380">
        <v>11706.0</v>
      </c>
      <c r="O39" s="380">
        <v>32864.0</v>
      </c>
      <c r="P39" s="380">
        <v>223.0</v>
      </c>
      <c r="Q39" s="380">
        <v>24138.0</v>
      </c>
      <c r="R39" s="380">
        <v>47.0</v>
      </c>
      <c r="S39" s="380">
        <v>5065.3</v>
      </c>
      <c r="T39" s="380">
        <v>702.11</v>
      </c>
      <c r="U39" s="380">
        <v>70.882</v>
      </c>
      <c r="V39" s="380">
        <v>318683.68</v>
      </c>
      <c r="W39" s="380">
        <v>298455.835</v>
      </c>
      <c r="X39" s="380">
        <v>303096.64</v>
      </c>
      <c r="Y39" s="380">
        <v>-9748.748</v>
      </c>
    </row>
    <row r="40">
      <c r="A40" s="375">
        <v>46071.0</v>
      </c>
      <c r="B40" s="376" t="s">
        <v>564</v>
      </c>
      <c r="C40" s="376">
        <v>0.0</v>
      </c>
      <c r="D40" s="136">
        <v>1818.0</v>
      </c>
      <c r="E40" s="136">
        <v>332.0</v>
      </c>
      <c r="F40" s="136">
        <v>234.0</v>
      </c>
      <c r="G40" s="136">
        <v>57.0</v>
      </c>
      <c r="H40" s="136">
        <v>14.0</v>
      </c>
      <c r="I40" s="136">
        <v>46.0</v>
      </c>
      <c r="J40" s="136">
        <v>30.0</v>
      </c>
      <c r="K40" s="136">
        <v>21.0</v>
      </c>
      <c r="L40" s="136">
        <v>6.0</v>
      </c>
      <c r="M40" s="136">
        <v>291.0</v>
      </c>
      <c r="N40" s="136">
        <v>2689.0</v>
      </c>
      <c r="O40" s="136">
        <v>11860.0</v>
      </c>
      <c r="P40" s="136">
        <v>72.0</v>
      </c>
      <c r="Q40" s="136">
        <v>9616.0</v>
      </c>
      <c r="R40" s="136">
        <v>22.0</v>
      </c>
      <c r="S40" s="136">
        <v>1737.7</v>
      </c>
      <c r="T40" s="136">
        <v>592.93</v>
      </c>
      <c r="U40" s="136">
        <v>37.5224</v>
      </c>
      <c r="V40" s="136">
        <v>112695.19</v>
      </c>
      <c r="W40" s="136">
        <v>107444.975</v>
      </c>
      <c r="X40" s="136">
        <v>104869.04</v>
      </c>
      <c r="Y40" s="136">
        <v>-5457.9976</v>
      </c>
    </row>
    <row r="41">
      <c r="A41" s="375">
        <v>46071.0</v>
      </c>
      <c r="B41" s="376" t="s">
        <v>562</v>
      </c>
      <c r="C41" s="376">
        <v>0.0</v>
      </c>
      <c r="D41" s="136">
        <v>1054.0</v>
      </c>
      <c r="E41" s="136">
        <v>324.0</v>
      </c>
      <c r="F41" s="136">
        <v>240.0</v>
      </c>
      <c r="G41" s="136">
        <v>102.0</v>
      </c>
      <c r="H41" s="136">
        <v>19.0</v>
      </c>
      <c r="I41" s="136">
        <v>142.0</v>
      </c>
      <c r="J41" s="136">
        <v>106.0</v>
      </c>
      <c r="K41" s="136">
        <v>56.0</v>
      </c>
      <c r="L41" s="136">
        <v>11.0</v>
      </c>
      <c r="M41" s="136">
        <v>243.0</v>
      </c>
      <c r="N41" s="136">
        <v>6858.0</v>
      </c>
      <c r="O41" s="136">
        <v>24412.0</v>
      </c>
      <c r="P41" s="136">
        <v>172.0</v>
      </c>
      <c r="Q41" s="136">
        <v>14970.0</v>
      </c>
      <c r="R41" s="136">
        <v>24.0</v>
      </c>
      <c r="S41" s="136">
        <v>2133.5</v>
      </c>
      <c r="T41" s="136">
        <v>737.63</v>
      </c>
      <c r="U41" s="136">
        <v>0.7111</v>
      </c>
      <c r="V41" s="136">
        <v>244645.4</v>
      </c>
      <c r="W41" s="136">
        <v>225439.51</v>
      </c>
      <c r="X41" s="136">
        <v>231634.625</v>
      </c>
      <c r="Y41" s="136">
        <v>-10138.9339</v>
      </c>
    </row>
    <row r="42">
      <c r="A42" s="377"/>
      <c r="B42" s="378"/>
      <c r="C42" s="378">
        <f t="shared" ref="C42:Y42" si="8">SUM(C38:C41)</f>
        <v>0</v>
      </c>
      <c r="D42" s="379">
        <f t="shared" si="8"/>
        <v>37979</v>
      </c>
      <c r="E42" s="379">
        <f t="shared" si="8"/>
        <v>4444</v>
      </c>
      <c r="F42" s="379">
        <f t="shared" si="8"/>
        <v>3251</v>
      </c>
      <c r="G42" s="379">
        <f t="shared" si="8"/>
        <v>670</v>
      </c>
      <c r="H42" s="379">
        <f t="shared" si="8"/>
        <v>151</v>
      </c>
      <c r="I42" s="379">
        <f t="shared" si="8"/>
        <v>829</v>
      </c>
      <c r="J42" s="379">
        <f t="shared" si="8"/>
        <v>598</v>
      </c>
      <c r="K42" s="379">
        <f t="shared" si="8"/>
        <v>291</v>
      </c>
      <c r="L42" s="379">
        <f t="shared" si="8"/>
        <v>92</v>
      </c>
      <c r="M42" s="379">
        <f t="shared" si="8"/>
        <v>3747</v>
      </c>
      <c r="N42" s="379">
        <f t="shared" si="8"/>
        <v>43064</v>
      </c>
      <c r="O42" s="379">
        <f t="shared" si="8"/>
        <v>131088</v>
      </c>
      <c r="P42" s="379">
        <f t="shared" si="8"/>
        <v>910</v>
      </c>
      <c r="Q42" s="379">
        <f t="shared" si="8"/>
        <v>108071</v>
      </c>
      <c r="R42" s="379">
        <f t="shared" si="8"/>
        <v>201</v>
      </c>
      <c r="S42" s="379">
        <f t="shared" si="8"/>
        <v>24723.11</v>
      </c>
      <c r="T42" s="379">
        <f t="shared" si="8"/>
        <v>4538.84</v>
      </c>
      <c r="U42" s="379">
        <f t="shared" si="8"/>
        <v>517.5981</v>
      </c>
      <c r="V42" s="379">
        <f t="shared" si="8"/>
        <v>1235000.58</v>
      </c>
      <c r="W42" s="379">
        <f t="shared" si="8"/>
        <v>1119244.1</v>
      </c>
      <c r="X42" s="379">
        <f t="shared" si="8"/>
        <v>1164875.905</v>
      </c>
      <c r="Y42" s="379">
        <f t="shared" si="8"/>
        <v>-40345.1269</v>
      </c>
    </row>
    <row r="43">
      <c r="A43" s="375">
        <v>46072.0</v>
      </c>
      <c r="B43" s="376" t="s">
        <v>563</v>
      </c>
      <c r="C43" s="376">
        <v>0.0</v>
      </c>
      <c r="D43" s="136">
        <v>27983.0</v>
      </c>
      <c r="E43" s="136">
        <v>2436.0</v>
      </c>
      <c r="F43" s="136">
        <v>1731.0</v>
      </c>
      <c r="G43" s="136">
        <v>303.0</v>
      </c>
      <c r="H43" s="136">
        <v>75.0</v>
      </c>
      <c r="I43" s="136">
        <v>180.0</v>
      </c>
      <c r="J43" s="136">
        <v>166.0</v>
      </c>
      <c r="K43" s="136">
        <v>115.0</v>
      </c>
      <c r="L43" s="136">
        <v>46.0</v>
      </c>
      <c r="M43" s="136">
        <v>2135.0</v>
      </c>
      <c r="N43" s="136">
        <v>18032.0</v>
      </c>
      <c r="O43" s="136">
        <v>65442.0</v>
      </c>
      <c r="P43" s="136">
        <v>418.0</v>
      </c>
      <c r="Q43" s="136">
        <v>55979.0</v>
      </c>
      <c r="R43" s="136">
        <v>99.0</v>
      </c>
      <c r="S43" s="136">
        <v>12616.89</v>
      </c>
      <c r="T43" s="136">
        <v>1287.65</v>
      </c>
      <c r="U43" s="136">
        <v>235.2897</v>
      </c>
      <c r="V43" s="136">
        <v>668195.01</v>
      </c>
      <c r="W43" s="136">
        <v>607784.99</v>
      </c>
      <c r="X43" s="136">
        <v>652655.3</v>
      </c>
      <c r="Y43" s="136">
        <v>-1399.8803</v>
      </c>
    </row>
    <row r="44">
      <c r="A44" s="375">
        <v>46072.0</v>
      </c>
      <c r="B44" s="376" t="s">
        <v>244</v>
      </c>
      <c r="C44" s="376">
        <v>0.0</v>
      </c>
      <c r="D44" s="376">
        <v>8210.0</v>
      </c>
      <c r="E44" s="376">
        <v>1594.0</v>
      </c>
      <c r="F44" s="376">
        <v>986.0</v>
      </c>
      <c r="G44" s="376">
        <v>218.0</v>
      </c>
      <c r="H44" s="376">
        <v>39.0</v>
      </c>
      <c r="I44" s="376">
        <v>817.0</v>
      </c>
      <c r="J44" s="376">
        <v>448.0</v>
      </c>
      <c r="K44" s="376">
        <v>157.0</v>
      </c>
      <c r="L44" s="376">
        <v>23.0</v>
      </c>
      <c r="M44" s="376">
        <v>1126.0</v>
      </c>
      <c r="N44" s="376">
        <v>22126.0</v>
      </c>
      <c r="O44" s="376">
        <v>44718.0</v>
      </c>
      <c r="P44" s="376">
        <v>299.0</v>
      </c>
      <c r="Q44" s="376">
        <v>18752.0</v>
      </c>
      <c r="R44" s="376">
        <v>47.0</v>
      </c>
      <c r="S44" s="376">
        <v>5906.13</v>
      </c>
      <c r="T44" s="376">
        <v>946.43</v>
      </c>
      <c r="U44" s="376">
        <v>140.0251</v>
      </c>
      <c r="V44" s="376">
        <v>442505.81</v>
      </c>
      <c r="W44" s="376">
        <v>417500.95</v>
      </c>
      <c r="X44" s="376">
        <v>424950.485</v>
      </c>
      <c r="Y44" s="376">
        <v>-10562.7399</v>
      </c>
    </row>
    <row r="45">
      <c r="A45" s="375">
        <v>46072.0</v>
      </c>
      <c r="B45" s="376" t="s">
        <v>564</v>
      </c>
      <c r="C45" s="376">
        <v>0.0</v>
      </c>
      <c r="D45" s="376">
        <v>1868.0</v>
      </c>
      <c r="E45" s="376">
        <v>340.0</v>
      </c>
      <c r="F45" s="376">
        <v>245.0</v>
      </c>
      <c r="G45" s="376">
        <v>53.0</v>
      </c>
      <c r="H45" s="376">
        <v>13.0</v>
      </c>
      <c r="I45" s="376">
        <v>39.0</v>
      </c>
      <c r="J45" s="376">
        <v>32.0</v>
      </c>
      <c r="K45" s="376">
        <v>22.0</v>
      </c>
      <c r="L45" s="376">
        <v>6.0</v>
      </c>
      <c r="M45" s="376">
        <v>286.0</v>
      </c>
      <c r="N45" s="376">
        <v>3250.0</v>
      </c>
      <c r="O45" s="376">
        <v>13797.0</v>
      </c>
      <c r="P45" s="376">
        <v>74.0</v>
      </c>
      <c r="Q45" s="376">
        <v>9830.0</v>
      </c>
      <c r="R45" s="376">
        <v>19.0</v>
      </c>
      <c r="S45" s="376">
        <v>1557.84</v>
      </c>
      <c r="T45" s="376">
        <v>311.58</v>
      </c>
      <c r="U45" s="376">
        <v>51.0437</v>
      </c>
      <c r="V45" s="376">
        <v>143842.52</v>
      </c>
      <c r="W45" s="376">
        <v>132330.47</v>
      </c>
      <c r="X45" s="376">
        <v>179917.695</v>
      </c>
      <c r="Y45" s="376">
        <v>37995.6387</v>
      </c>
    </row>
    <row r="46">
      <c r="A46" s="375">
        <v>46072.0</v>
      </c>
      <c r="B46" s="376" t="s">
        <v>562</v>
      </c>
      <c r="C46" s="376">
        <v>0.0</v>
      </c>
      <c r="D46" s="136">
        <v>1230.0</v>
      </c>
      <c r="E46" s="136">
        <v>339.0</v>
      </c>
      <c r="F46" s="136">
        <v>242.0</v>
      </c>
      <c r="G46" s="136">
        <v>93.0</v>
      </c>
      <c r="H46" s="136">
        <v>20.0</v>
      </c>
      <c r="I46" s="136">
        <v>149.0</v>
      </c>
      <c r="J46" s="136">
        <v>107.0</v>
      </c>
      <c r="K46" s="136">
        <v>50.0</v>
      </c>
      <c r="L46" s="136">
        <v>14.0</v>
      </c>
      <c r="M46" s="136">
        <v>250.0</v>
      </c>
      <c r="N46" s="136">
        <v>7600.0</v>
      </c>
      <c r="O46" s="136">
        <v>22564.0</v>
      </c>
      <c r="P46" s="136">
        <v>147.0</v>
      </c>
      <c r="Q46" s="136">
        <v>17614.0</v>
      </c>
      <c r="R46" s="136">
        <v>27.0</v>
      </c>
      <c r="S46" s="136">
        <v>2241.9</v>
      </c>
      <c r="T46" s="136">
        <v>932.27</v>
      </c>
      <c r="U46" s="136">
        <v>0.0075</v>
      </c>
      <c r="V46" s="136">
        <v>216010.68</v>
      </c>
      <c r="W46" s="136">
        <v>203892.89</v>
      </c>
      <c r="X46" s="136">
        <v>207805.97</v>
      </c>
      <c r="Y46" s="136">
        <v>-5030.5325</v>
      </c>
    </row>
    <row r="47">
      <c r="A47" s="375">
        <v>46072.0</v>
      </c>
      <c r="B47" s="376" t="s">
        <v>566</v>
      </c>
      <c r="C47" s="376">
        <v>0.0</v>
      </c>
      <c r="D47" s="376">
        <v>2.0</v>
      </c>
      <c r="E47" s="376">
        <v>1.0</v>
      </c>
      <c r="F47" s="376">
        <v>0.0</v>
      </c>
      <c r="G47" s="376">
        <v>0.0</v>
      </c>
      <c r="H47" s="376">
        <v>0.0</v>
      </c>
      <c r="I47" s="376">
        <v>1.0</v>
      </c>
      <c r="J47" s="376">
        <v>0.0</v>
      </c>
      <c r="K47" s="376">
        <v>0.0</v>
      </c>
      <c r="L47" s="376">
        <v>0.0</v>
      </c>
      <c r="M47" s="376">
        <v>1.0</v>
      </c>
      <c r="N47" s="376">
        <v>0.0</v>
      </c>
      <c r="O47" s="376">
        <v>0.0</v>
      </c>
      <c r="P47" s="376">
        <v>0.0</v>
      </c>
      <c r="Q47" s="376">
        <v>0.0</v>
      </c>
      <c r="R47" s="376">
        <v>0.0</v>
      </c>
      <c r="S47" s="376">
        <v>1.0</v>
      </c>
      <c r="T47" s="376">
        <v>0.0</v>
      </c>
      <c r="U47" s="376">
        <v>0.0</v>
      </c>
      <c r="V47" s="376">
        <v>0.0</v>
      </c>
      <c r="W47" s="376">
        <v>0.0</v>
      </c>
      <c r="X47" s="376">
        <v>0.0</v>
      </c>
      <c r="Y47" s="376">
        <v>1.0</v>
      </c>
    </row>
    <row r="48">
      <c r="A48" s="377"/>
      <c r="B48" s="378"/>
      <c r="C48" s="378">
        <f t="shared" ref="C48:Y48" si="9">SUM(C43:C47)</f>
        <v>0</v>
      </c>
      <c r="D48" s="379">
        <f t="shared" si="9"/>
        <v>39293</v>
      </c>
      <c r="E48" s="379">
        <f t="shared" si="9"/>
        <v>4710</v>
      </c>
      <c r="F48" s="379">
        <f t="shared" si="9"/>
        <v>3204</v>
      </c>
      <c r="G48" s="379">
        <f t="shared" si="9"/>
        <v>667</v>
      </c>
      <c r="H48" s="379">
        <f t="shared" si="9"/>
        <v>147</v>
      </c>
      <c r="I48" s="379">
        <f t="shared" si="9"/>
        <v>1186</v>
      </c>
      <c r="J48" s="379">
        <f t="shared" si="9"/>
        <v>753</v>
      </c>
      <c r="K48" s="379">
        <f t="shared" si="9"/>
        <v>344</v>
      </c>
      <c r="L48" s="379">
        <f t="shared" si="9"/>
        <v>89</v>
      </c>
      <c r="M48" s="379">
        <f t="shared" si="9"/>
        <v>3798</v>
      </c>
      <c r="N48" s="379">
        <f t="shared" si="9"/>
        <v>51008</v>
      </c>
      <c r="O48" s="379">
        <f t="shared" si="9"/>
        <v>146521</v>
      </c>
      <c r="P48" s="379">
        <f t="shared" si="9"/>
        <v>938</v>
      </c>
      <c r="Q48" s="379">
        <f t="shared" si="9"/>
        <v>102175</v>
      </c>
      <c r="R48" s="379">
        <f t="shared" si="9"/>
        <v>192</v>
      </c>
      <c r="S48" s="379">
        <f t="shared" si="9"/>
        <v>22323.76</v>
      </c>
      <c r="T48" s="379">
        <f t="shared" si="9"/>
        <v>3477.93</v>
      </c>
      <c r="U48" s="379">
        <f t="shared" si="9"/>
        <v>426.366</v>
      </c>
      <c r="V48" s="379">
        <f t="shared" si="9"/>
        <v>1470554.02</v>
      </c>
      <c r="W48" s="379">
        <f t="shared" si="9"/>
        <v>1361509.3</v>
      </c>
      <c r="X48" s="379">
        <f t="shared" si="9"/>
        <v>1465329.45</v>
      </c>
      <c r="Y48" s="379">
        <f t="shared" si="9"/>
        <v>21003.486</v>
      </c>
    </row>
    <row r="49">
      <c r="A49" s="375">
        <v>46073.0</v>
      </c>
      <c r="B49" s="376" t="s">
        <v>563</v>
      </c>
      <c r="C49" s="376">
        <v>0.0</v>
      </c>
      <c r="D49" s="136">
        <v>28048.0</v>
      </c>
      <c r="E49" s="136">
        <v>2237.0</v>
      </c>
      <c r="F49" s="136">
        <v>1589.0</v>
      </c>
      <c r="G49" s="136">
        <v>276.0</v>
      </c>
      <c r="H49" s="136">
        <v>51.0</v>
      </c>
      <c r="I49" s="136">
        <v>88.0</v>
      </c>
      <c r="J49" s="136">
        <v>91.0</v>
      </c>
      <c r="K49" s="136">
        <v>80.0</v>
      </c>
      <c r="L49" s="136">
        <v>18.0</v>
      </c>
      <c r="M49" s="136">
        <v>1944.0</v>
      </c>
      <c r="N49" s="136">
        <v>11518.0</v>
      </c>
      <c r="O49" s="136">
        <v>47735.0</v>
      </c>
      <c r="P49" s="136">
        <v>362.0</v>
      </c>
      <c r="Q49" s="136">
        <v>41059.0</v>
      </c>
      <c r="R49" s="136">
        <v>62.0</v>
      </c>
      <c r="S49" s="136">
        <v>9671.05</v>
      </c>
      <c r="T49" s="136">
        <v>2200.47</v>
      </c>
      <c r="U49" s="136">
        <v>378.9589</v>
      </c>
      <c r="V49" s="136">
        <v>497187.52</v>
      </c>
      <c r="W49" s="136">
        <v>449216.75</v>
      </c>
      <c r="X49" s="136">
        <v>489285.92</v>
      </c>
      <c r="Y49" s="136">
        <v>4348.8789</v>
      </c>
    </row>
    <row r="50">
      <c r="A50" s="375">
        <v>46073.0</v>
      </c>
      <c r="B50" s="376" t="s">
        <v>244</v>
      </c>
      <c r="C50" s="376">
        <v>0.0</v>
      </c>
      <c r="D50" s="136">
        <v>8596.0</v>
      </c>
      <c r="E50" s="136">
        <v>1286.0</v>
      </c>
      <c r="F50" s="136">
        <v>881.0</v>
      </c>
      <c r="G50" s="136">
        <v>197.0</v>
      </c>
      <c r="H50" s="136">
        <v>43.0</v>
      </c>
      <c r="I50" s="136">
        <v>461.0</v>
      </c>
      <c r="J50" s="136">
        <v>268.0</v>
      </c>
      <c r="K50" s="136">
        <v>104.0</v>
      </c>
      <c r="L50" s="136">
        <v>23.0</v>
      </c>
      <c r="M50" s="136">
        <v>983.0</v>
      </c>
      <c r="N50" s="136">
        <v>14340.0</v>
      </c>
      <c r="O50" s="136">
        <v>42635.0</v>
      </c>
      <c r="P50" s="136">
        <v>287.0</v>
      </c>
      <c r="Q50" s="136">
        <v>37396.0</v>
      </c>
      <c r="R50" s="136">
        <v>57.0</v>
      </c>
      <c r="S50" s="136">
        <v>5650.54</v>
      </c>
      <c r="T50" s="136">
        <v>1214.46</v>
      </c>
      <c r="U50" s="136">
        <v>29.0375</v>
      </c>
      <c r="V50" s="136">
        <v>400662.81</v>
      </c>
      <c r="W50" s="136">
        <v>372801.2744</v>
      </c>
      <c r="X50" s="136">
        <v>392025.2494</v>
      </c>
      <c r="Y50" s="136">
        <v>-1743.5231</v>
      </c>
    </row>
    <row r="51">
      <c r="A51" s="375">
        <v>46073.0</v>
      </c>
      <c r="B51" s="376" t="s">
        <v>564</v>
      </c>
      <c r="C51" s="376">
        <v>0.0</v>
      </c>
      <c r="D51" s="376">
        <v>1912.0</v>
      </c>
      <c r="E51" s="376">
        <v>345.0</v>
      </c>
      <c r="F51" s="376">
        <v>245.0</v>
      </c>
      <c r="G51" s="376">
        <v>59.0</v>
      </c>
      <c r="H51" s="376">
        <v>10.0</v>
      </c>
      <c r="I51" s="376">
        <v>55.0</v>
      </c>
      <c r="J51" s="376">
        <v>51.0</v>
      </c>
      <c r="K51" s="376">
        <v>36.0</v>
      </c>
      <c r="L51" s="376">
        <v>4.0</v>
      </c>
      <c r="M51" s="376">
        <v>291.0</v>
      </c>
      <c r="N51" s="376">
        <v>7564.0</v>
      </c>
      <c r="O51" s="376">
        <v>23030.0</v>
      </c>
      <c r="P51" s="376">
        <v>86.0</v>
      </c>
      <c r="Q51" s="376">
        <v>10750.0</v>
      </c>
      <c r="R51" s="376">
        <v>22.0</v>
      </c>
      <c r="S51" s="376">
        <v>1987.1</v>
      </c>
      <c r="T51" s="376">
        <v>544.42</v>
      </c>
      <c r="U51" s="376">
        <v>47.5383</v>
      </c>
      <c r="V51" s="376">
        <v>176919.86</v>
      </c>
      <c r="W51" s="376">
        <v>166757.015</v>
      </c>
      <c r="X51" s="376">
        <v>161573.855</v>
      </c>
      <c r="Y51" s="376">
        <v>-12766.9467</v>
      </c>
    </row>
    <row r="52">
      <c r="A52" s="375">
        <v>46073.0</v>
      </c>
      <c r="B52" s="376" t="s">
        <v>562</v>
      </c>
      <c r="C52" s="376">
        <v>0.0</v>
      </c>
      <c r="D52" s="136">
        <v>1345.0</v>
      </c>
      <c r="E52" s="136">
        <v>331.0</v>
      </c>
      <c r="F52" s="136">
        <v>250.0</v>
      </c>
      <c r="G52" s="136">
        <v>93.0</v>
      </c>
      <c r="H52" s="136">
        <v>22.0</v>
      </c>
      <c r="I52" s="136">
        <v>134.0</v>
      </c>
      <c r="J52" s="136">
        <v>102.0</v>
      </c>
      <c r="K52" s="136">
        <v>52.0</v>
      </c>
      <c r="L52" s="136">
        <v>17.0</v>
      </c>
      <c r="M52" s="136">
        <v>240.0</v>
      </c>
      <c r="N52" s="136">
        <v>7308.0</v>
      </c>
      <c r="O52" s="136">
        <v>25868.0</v>
      </c>
      <c r="P52" s="136">
        <v>168.0</v>
      </c>
      <c r="Q52" s="136">
        <v>15520.0</v>
      </c>
      <c r="R52" s="136">
        <v>30.0</v>
      </c>
      <c r="S52" s="136">
        <v>2293.24</v>
      </c>
      <c r="T52" s="136">
        <v>770.01</v>
      </c>
      <c r="U52" s="136">
        <v>0.4459</v>
      </c>
      <c r="V52" s="136">
        <v>223565.93</v>
      </c>
      <c r="W52" s="136">
        <v>208566.8</v>
      </c>
      <c r="X52" s="136">
        <v>216889.99</v>
      </c>
      <c r="Y52" s="136">
        <v>-3612.2441</v>
      </c>
    </row>
    <row r="53">
      <c r="A53" s="375">
        <v>46073.0</v>
      </c>
      <c r="B53" s="376" t="s">
        <v>566</v>
      </c>
      <c r="C53" s="376">
        <v>0.0</v>
      </c>
      <c r="D53" s="376">
        <v>3.0</v>
      </c>
      <c r="E53" s="376">
        <v>1.0</v>
      </c>
      <c r="F53" s="376">
        <v>0.0</v>
      </c>
      <c r="G53" s="376">
        <v>0.0</v>
      </c>
      <c r="H53" s="376">
        <v>0.0</v>
      </c>
      <c r="I53" s="376">
        <v>1.0</v>
      </c>
      <c r="J53" s="376">
        <v>0.0</v>
      </c>
      <c r="K53" s="376">
        <v>0.0</v>
      </c>
      <c r="L53" s="376">
        <v>0.0</v>
      </c>
      <c r="M53" s="376">
        <v>1.0</v>
      </c>
      <c r="N53" s="376">
        <v>0.0</v>
      </c>
      <c r="O53" s="376">
        <v>0.0</v>
      </c>
      <c r="P53" s="376">
        <v>0.0</v>
      </c>
      <c r="Q53" s="376">
        <v>0.0</v>
      </c>
      <c r="R53" s="376">
        <v>0.0</v>
      </c>
      <c r="S53" s="376">
        <v>1.0</v>
      </c>
      <c r="T53" s="376">
        <v>0.0</v>
      </c>
      <c r="U53" s="376">
        <v>0.0</v>
      </c>
      <c r="V53" s="376">
        <v>0.0</v>
      </c>
      <c r="W53" s="376">
        <v>0.0</v>
      </c>
      <c r="X53" s="376">
        <v>0.0</v>
      </c>
      <c r="Y53" s="376">
        <v>1.0</v>
      </c>
    </row>
    <row r="54">
      <c r="A54" s="377"/>
      <c r="B54" s="378"/>
      <c r="C54" s="378">
        <f t="shared" ref="C54:Y54" si="10">SUM(C49:C53)</f>
        <v>0</v>
      </c>
      <c r="D54" s="379">
        <f t="shared" si="10"/>
        <v>39904</v>
      </c>
      <c r="E54" s="379">
        <f t="shared" si="10"/>
        <v>4200</v>
      </c>
      <c r="F54" s="379">
        <f t="shared" si="10"/>
        <v>2965</v>
      </c>
      <c r="G54" s="379">
        <f t="shared" si="10"/>
        <v>625</v>
      </c>
      <c r="H54" s="379">
        <f t="shared" si="10"/>
        <v>126</v>
      </c>
      <c r="I54" s="379">
        <f t="shared" si="10"/>
        <v>739</v>
      </c>
      <c r="J54" s="379">
        <f t="shared" si="10"/>
        <v>512</v>
      </c>
      <c r="K54" s="379">
        <f t="shared" si="10"/>
        <v>272</v>
      </c>
      <c r="L54" s="379">
        <f t="shared" si="10"/>
        <v>62</v>
      </c>
      <c r="M54" s="379">
        <f t="shared" si="10"/>
        <v>3459</v>
      </c>
      <c r="N54" s="379">
        <f t="shared" si="10"/>
        <v>40730</v>
      </c>
      <c r="O54" s="379">
        <f t="shared" si="10"/>
        <v>139268</v>
      </c>
      <c r="P54" s="379">
        <f t="shared" si="10"/>
        <v>903</v>
      </c>
      <c r="Q54" s="379">
        <f t="shared" si="10"/>
        <v>104725</v>
      </c>
      <c r="R54" s="379">
        <f t="shared" si="10"/>
        <v>171</v>
      </c>
      <c r="S54" s="379">
        <f t="shared" si="10"/>
        <v>19602.93</v>
      </c>
      <c r="T54" s="379">
        <f t="shared" si="10"/>
        <v>4729.36</v>
      </c>
      <c r="U54" s="379">
        <f t="shared" si="10"/>
        <v>455.9806</v>
      </c>
      <c r="V54" s="379">
        <f t="shared" si="10"/>
        <v>1298336.12</v>
      </c>
      <c r="W54" s="379">
        <f t="shared" si="10"/>
        <v>1197341.839</v>
      </c>
      <c r="X54" s="379">
        <f t="shared" si="10"/>
        <v>1259775.014</v>
      </c>
      <c r="Y54" s="379">
        <f t="shared" si="10"/>
        <v>-13772.835</v>
      </c>
    </row>
    <row r="55">
      <c r="A55" s="375">
        <v>46074.0</v>
      </c>
      <c r="B55" s="376" t="s">
        <v>563</v>
      </c>
      <c r="C55" s="376">
        <v>0.0</v>
      </c>
      <c r="D55" s="376">
        <v>28143.0</v>
      </c>
      <c r="E55" s="376">
        <v>2021.0</v>
      </c>
      <c r="F55" s="376">
        <v>1399.0</v>
      </c>
      <c r="G55" s="376">
        <v>240.0</v>
      </c>
      <c r="H55" s="376">
        <v>54.0</v>
      </c>
      <c r="I55" s="376">
        <v>100.0</v>
      </c>
      <c r="J55" s="376">
        <v>92.0</v>
      </c>
      <c r="K55" s="376">
        <v>67.0</v>
      </c>
      <c r="L55" s="376">
        <v>19.0</v>
      </c>
      <c r="M55" s="376">
        <v>1792.0</v>
      </c>
      <c r="N55" s="376">
        <v>8840.0</v>
      </c>
      <c r="O55" s="376">
        <v>43861.0</v>
      </c>
      <c r="P55" s="376">
        <v>330.0</v>
      </c>
      <c r="Q55" s="376">
        <v>33243.0</v>
      </c>
      <c r="R55" s="376">
        <v>62.0</v>
      </c>
      <c r="S55" s="376">
        <v>8165.95</v>
      </c>
      <c r="T55" s="376">
        <v>1503.87</v>
      </c>
      <c r="U55" s="376">
        <v>311.3182</v>
      </c>
      <c r="V55" s="376">
        <v>389587.47</v>
      </c>
      <c r="W55" s="376">
        <v>366197.375</v>
      </c>
      <c r="X55" s="376">
        <v>367765.79</v>
      </c>
      <c r="Y55" s="376">
        <v>-11840.5418</v>
      </c>
    </row>
    <row r="56">
      <c r="A56" s="375">
        <v>46074.0</v>
      </c>
      <c r="B56" s="376" t="s">
        <v>244</v>
      </c>
      <c r="C56" s="376">
        <v>0.0</v>
      </c>
      <c r="D56" s="136">
        <v>9053.0</v>
      </c>
      <c r="E56" s="136">
        <v>1201.0</v>
      </c>
      <c r="F56" s="136">
        <v>777.0</v>
      </c>
      <c r="G56" s="136">
        <v>168.0</v>
      </c>
      <c r="H56" s="136">
        <v>33.0</v>
      </c>
      <c r="I56" s="136">
        <v>451.0</v>
      </c>
      <c r="J56" s="136">
        <v>239.0</v>
      </c>
      <c r="K56" s="136">
        <v>95.0</v>
      </c>
      <c r="L56" s="136">
        <v>17.0</v>
      </c>
      <c r="M56" s="136">
        <v>864.0</v>
      </c>
      <c r="N56" s="136">
        <v>13432.0</v>
      </c>
      <c r="O56" s="136">
        <v>39674.0</v>
      </c>
      <c r="P56" s="136">
        <v>246.0</v>
      </c>
      <c r="Q56" s="136">
        <v>19347.0</v>
      </c>
      <c r="R56" s="136">
        <v>39.0</v>
      </c>
      <c r="S56" s="136">
        <v>4467.7</v>
      </c>
      <c r="T56" s="136">
        <v>1317.19</v>
      </c>
      <c r="U56" s="136">
        <v>47.5063</v>
      </c>
      <c r="V56" s="136">
        <v>337661.87</v>
      </c>
      <c r="W56" s="136">
        <v>316716.03</v>
      </c>
      <c r="X56" s="136">
        <v>316710.76</v>
      </c>
      <c r="Y56" s="136">
        <v>-15118.7137</v>
      </c>
    </row>
    <row r="57">
      <c r="A57" s="375">
        <v>46074.0</v>
      </c>
      <c r="B57" s="376" t="s">
        <v>564</v>
      </c>
      <c r="C57" s="376">
        <v>0.0</v>
      </c>
      <c r="D57" s="136">
        <v>1949.0</v>
      </c>
      <c r="E57" s="136">
        <v>306.0</v>
      </c>
      <c r="F57" s="136">
        <v>229.0</v>
      </c>
      <c r="G57" s="136">
        <v>53.0</v>
      </c>
      <c r="H57" s="136">
        <v>9.0</v>
      </c>
      <c r="I57" s="136">
        <v>37.0</v>
      </c>
      <c r="J57" s="136">
        <v>35.0</v>
      </c>
      <c r="K57" s="136">
        <v>23.0</v>
      </c>
      <c r="L57" s="136">
        <v>6.0</v>
      </c>
      <c r="M57" s="136">
        <v>260.0</v>
      </c>
      <c r="N57" s="136">
        <v>3310.0</v>
      </c>
      <c r="O57" s="136">
        <v>11291.0</v>
      </c>
      <c r="P57" s="136">
        <v>73.0</v>
      </c>
      <c r="Q57" s="136">
        <v>10550.0</v>
      </c>
      <c r="R57" s="136">
        <v>17.0</v>
      </c>
      <c r="S57" s="136">
        <v>1757.68</v>
      </c>
      <c r="T57" s="136">
        <v>510.84</v>
      </c>
      <c r="U57" s="136">
        <v>27.8839</v>
      </c>
      <c r="V57" s="136">
        <v>83556.62</v>
      </c>
      <c r="W57" s="136">
        <v>78029.47</v>
      </c>
      <c r="X57" s="136">
        <v>81265.25</v>
      </c>
      <c r="Y57" s="136">
        <v>5.0339</v>
      </c>
    </row>
    <row r="58">
      <c r="A58" s="375">
        <v>46074.0</v>
      </c>
      <c r="B58" s="376" t="s">
        <v>562</v>
      </c>
      <c r="C58" s="376">
        <v>0.0</v>
      </c>
      <c r="D58" s="136">
        <v>1426.0</v>
      </c>
      <c r="E58" s="136">
        <v>280.0</v>
      </c>
      <c r="F58" s="136">
        <v>223.0</v>
      </c>
      <c r="G58" s="136">
        <v>93.0</v>
      </c>
      <c r="H58" s="136">
        <v>10.0</v>
      </c>
      <c r="I58" s="136">
        <v>88.0</v>
      </c>
      <c r="J58" s="136">
        <v>72.0</v>
      </c>
      <c r="K58" s="136">
        <v>42.0</v>
      </c>
      <c r="L58" s="136">
        <v>6.0</v>
      </c>
      <c r="M58" s="136">
        <v>208.0</v>
      </c>
      <c r="N58" s="136">
        <v>6945.0</v>
      </c>
      <c r="O58" s="136">
        <v>33417.0</v>
      </c>
      <c r="P58" s="136">
        <v>124.0</v>
      </c>
      <c r="Q58" s="136">
        <v>6410.0</v>
      </c>
      <c r="R58" s="136">
        <v>14.0</v>
      </c>
      <c r="S58" s="136">
        <v>1331.5</v>
      </c>
      <c r="T58" s="136">
        <v>682.89</v>
      </c>
      <c r="U58" s="136">
        <v>20.011</v>
      </c>
      <c r="V58" s="136">
        <v>157408.3</v>
      </c>
      <c r="W58" s="136">
        <v>149946.53</v>
      </c>
      <c r="X58" s="136">
        <v>134494.83</v>
      </c>
      <c r="Y58" s="136">
        <v>-20879.069</v>
      </c>
    </row>
    <row r="59">
      <c r="A59" s="375">
        <v>46074.0</v>
      </c>
      <c r="B59" s="376" t="s">
        <v>566</v>
      </c>
      <c r="C59" s="376">
        <v>0.0</v>
      </c>
      <c r="D59" s="136">
        <v>3.0</v>
      </c>
      <c r="E59" s="136">
        <v>0.0</v>
      </c>
      <c r="F59" s="136">
        <v>0.0</v>
      </c>
      <c r="G59" s="136">
        <v>0.0</v>
      </c>
      <c r="H59" s="136">
        <v>0.0</v>
      </c>
      <c r="I59" s="136">
        <v>0.0</v>
      </c>
      <c r="J59" s="136">
        <v>0.0</v>
      </c>
      <c r="K59" s="136">
        <v>0.0</v>
      </c>
      <c r="L59" s="136">
        <v>0.0</v>
      </c>
      <c r="M59" s="136">
        <v>0.0</v>
      </c>
      <c r="N59" s="136">
        <v>0.0</v>
      </c>
      <c r="O59" s="136">
        <v>0.0</v>
      </c>
      <c r="P59" s="136">
        <v>0.0</v>
      </c>
      <c r="Q59" s="136">
        <v>0.0</v>
      </c>
      <c r="R59" s="136">
        <v>0.0</v>
      </c>
      <c r="S59" s="136">
        <v>0.0</v>
      </c>
      <c r="T59" s="136">
        <v>0.0</v>
      </c>
      <c r="U59" s="136">
        <v>0.0</v>
      </c>
      <c r="V59" s="136">
        <v>0.0</v>
      </c>
      <c r="W59" s="136">
        <v>0.0</v>
      </c>
      <c r="X59" s="136">
        <v>0.0</v>
      </c>
      <c r="Y59" s="136">
        <v>0.0</v>
      </c>
    </row>
    <row r="60">
      <c r="A60" s="377"/>
      <c r="B60" s="378"/>
      <c r="C60" s="378">
        <f t="shared" ref="C60:Y60" si="11">SUM(C55:C59)</f>
        <v>0</v>
      </c>
      <c r="D60" s="378">
        <f t="shared" si="11"/>
        <v>40574</v>
      </c>
      <c r="E60" s="378">
        <f t="shared" si="11"/>
        <v>3808</v>
      </c>
      <c r="F60" s="378">
        <f t="shared" si="11"/>
        <v>2628</v>
      </c>
      <c r="G60" s="378">
        <f t="shared" si="11"/>
        <v>554</v>
      </c>
      <c r="H60" s="378">
        <f t="shared" si="11"/>
        <v>106</v>
      </c>
      <c r="I60" s="378">
        <f t="shared" si="11"/>
        <v>676</v>
      </c>
      <c r="J60" s="378">
        <f t="shared" si="11"/>
        <v>438</v>
      </c>
      <c r="K60" s="378">
        <f t="shared" si="11"/>
        <v>227</v>
      </c>
      <c r="L60" s="378">
        <f t="shared" si="11"/>
        <v>48</v>
      </c>
      <c r="M60" s="378">
        <f t="shared" si="11"/>
        <v>3124</v>
      </c>
      <c r="N60" s="378">
        <f t="shared" si="11"/>
        <v>32527</v>
      </c>
      <c r="O60" s="378">
        <f t="shared" si="11"/>
        <v>128243</v>
      </c>
      <c r="P60" s="378">
        <f t="shared" si="11"/>
        <v>773</v>
      </c>
      <c r="Q60" s="378">
        <f t="shared" si="11"/>
        <v>69550</v>
      </c>
      <c r="R60" s="378">
        <f t="shared" si="11"/>
        <v>132</v>
      </c>
      <c r="S60" s="378">
        <f t="shared" si="11"/>
        <v>15722.83</v>
      </c>
      <c r="T60" s="378">
        <f t="shared" si="11"/>
        <v>4014.79</v>
      </c>
      <c r="U60" s="378">
        <f t="shared" si="11"/>
        <v>406.7194</v>
      </c>
      <c r="V60" s="378">
        <f t="shared" si="11"/>
        <v>968214.26</v>
      </c>
      <c r="W60" s="378">
        <f t="shared" si="11"/>
        <v>910889.405</v>
      </c>
      <c r="X60" s="378">
        <f t="shared" si="11"/>
        <v>900236.63</v>
      </c>
      <c r="Y60" s="378">
        <f t="shared" si="11"/>
        <v>-47833.2906</v>
      </c>
    </row>
    <row r="61">
      <c r="A61" s="375">
        <v>46075.0</v>
      </c>
      <c r="B61" s="376" t="s">
        <v>563</v>
      </c>
      <c r="C61" s="376">
        <v>0.0</v>
      </c>
      <c r="D61" s="376">
        <v>28246.0</v>
      </c>
      <c r="E61" s="376">
        <v>1915.0</v>
      </c>
      <c r="F61" s="376">
        <v>1451.0</v>
      </c>
      <c r="G61" s="376">
        <v>223.0</v>
      </c>
      <c r="H61" s="376">
        <v>52.0</v>
      </c>
      <c r="I61" s="376">
        <v>102.0</v>
      </c>
      <c r="J61" s="376">
        <v>90.0</v>
      </c>
      <c r="K61" s="376">
        <v>74.0</v>
      </c>
      <c r="L61" s="376">
        <v>33.0</v>
      </c>
      <c r="M61" s="376">
        <v>1717.0</v>
      </c>
      <c r="N61" s="376">
        <v>9835.0</v>
      </c>
      <c r="O61" s="376">
        <v>38028.0</v>
      </c>
      <c r="P61" s="376">
        <v>294.0</v>
      </c>
      <c r="Q61" s="376">
        <v>33160.0</v>
      </c>
      <c r="R61" s="376">
        <v>64.0</v>
      </c>
      <c r="S61" s="376">
        <v>7264.34</v>
      </c>
      <c r="T61" s="376">
        <v>817.65</v>
      </c>
      <c r="U61" s="376">
        <v>324.0877</v>
      </c>
      <c r="V61" s="376">
        <v>407252.3</v>
      </c>
      <c r="W61" s="376">
        <v>382944.66</v>
      </c>
      <c r="X61" s="376">
        <v>391732.535</v>
      </c>
      <c r="Y61" s="376">
        <v>-7113.6873</v>
      </c>
    </row>
    <row r="62">
      <c r="A62" s="375">
        <v>46075.0</v>
      </c>
      <c r="B62" s="376" t="s">
        <v>244</v>
      </c>
      <c r="C62" s="376">
        <v>0.0</v>
      </c>
      <c r="D62" s="136">
        <v>9417.0</v>
      </c>
      <c r="E62" s="136">
        <v>1140.0</v>
      </c>
      <c r="F62" s="136">
        <v>799.0</v>
      </c>
      <c r="G62" s="136">
        <v>170.0</v>
      </c>
      <c r="H62" s="136">
        <v>37.0</v>
      </c>
      <c r="I62" s="136">
        <v>375.0</v>
      </c>
      <c r="J62" s="136">
        <v>247.0</v>
      </c>
      <c r="K62" s="136">
        <v>86.0</v>
      </c>
      <c r="L62" s="136">
        <v>25.0</v>
      </c>
      <c r="M62" s="136">
        <v>896.0</v>
      </c>
      <c r="N62" s="136">
        <v>11215.0</v>
      </c>
      <c r="O62" s="136">
        <v>33270.0</v>
      </c>
      <c r="P62" s="136">
        <v>232.0</v>
      </c>
      <c r="Q62" s="136">
        <v>27751.0</v>
      </c>
      <c r="R62" s="136">
        <v>46.0</v>
      </c>
      <c r="S62" s="136">
        <v>4284.31</v>
      </c>
      <c r="T62" s="136">
        <v>1045.35</v>
      </c>
      <c r="U62" s="136">
        <v>62.6516</v>
      </c>
      <c r="V62" s="136">
        <v>593774.31</v>
      </c>
      <c r="W62" s="136">
        <v>563098.34</v>
      </c>
      <c r="X62" s="136">
        <v>586423.425</v>
      </c>
      <c r="Y62" s="136">
        <v>-1958.5734</v>
      </c>
    </row>
    <row r="63">
      <c r="A63" s="375">
        <v>46075.0</v>
      </c>
      <c r="B63" s="376" t="s">
        <v>564</v>
      </c>
      <c r="C63" s="376">
        <v>0.0</v>
      </c>
      <c r="D63" s="136">
        <v>1979.0</v>
      </c>
      <c r="E63" s="136">
        <v>299.0</v>
      </c>
      <c r="F63" s="136">
        <v>218.0</v>
      </c>
      <c r="G63" s="136">
        <v>40.0</v>
      </c>
      <c r="H63" s="136">
        <v>8.0</v>
      </c>
      <c r="I63" s="136">
        <v>29.0</v>
      </c>
      <c r="J63" s="136">
        <v>27.0</v>
      </c>
      <c r="K63" s="136">
        <v>17.0</v>
      </c>
      <c r="L63" s="136">
        <v>5.0</v>
      </c>
      <c r="M63" s="136">
        <v>251.0</v>
      </c>
      <c r="N63" s="136">
        <v>2530.0</v>
      </c>
      <c r="O63" s="136">
        <v>10800.0</v>
      </c>
      <c r="P63" s="136">
        <v>60.0</v>
      </c>
      <c r="Q63" s="136">
        <v>5099.0</v>
      </c>
      <c r="R63" s="136">
        <v>10.0</v>
      </c>
      <c r="S63" s="136">
        <v>1408.5</v>
      </c>
      <c r="T63" s="136">
        <v>204.53</v>
      </c>
      <c r="U63" s="136">
        <v>25.9911</v>
      </c>
      <c r="V63" s="136">
        <v>126043.6</v>
      </c>
      <c r="W63" s="136">
        <v>117805.465</v>
      </c>
      <c r="X63" s="136">
        <v>117987.75</v>
      </c>
      <c r="Y63" s="136">
        <v>-6416.8289</v>
      </c>
    </row>
    <row r="64">
      <c r="A64" s="375">
        <v>46075.0</v>
      </c>
      <c r="B64" s="376" t="s">
        <v>562</v>
      </c>
      <c r="C64" s="376">
        <v>0.0</v>
      </c>
      <c r="D64" s="136">
        <v>1519.0</v>
      </c>
      <c r="E64" s="136">
        <v>296.0</v>
      </c>
      <c r="F64" s="136">
        <v>223.0</v>
      </c>
      <c r="G64" s="136">
        <v>76.0</v>
      </c>
      <c r="H64" s="136">
        <v>20.0</v>
      </c>
      <c r="I64" s="136">
        <v>94.0</v>
      </c>
      <c r="J64" s="136">
        <v>81.0</v>
      </c>
      <c r="K64" s="136">
        <v>31.0</v>
      </c>
      <c r="L64" s="136">
        <v>10.0</v>
      </c>
      <c r="M64" s="136">
        <v>225.0</v>
      </c>
      <c r="N64" s="136">
        <v>3790.0</v>
      </c>
      <c r="O64" s="136">
        <v>41692.0</v>
      </c>
      <c r="P64" s="136">
        <v>145.0</v>
      </c>
      <c r="Q64" s="136">
        <v>26409.0</v>
      </c>
      <c r="R64" s="136">
        <v>29.0</v>
      </c>
      <c r="S64" s="136">
        <v>1557.0</v>
      </c>
      <c r="T64" s="136">
        <v>519.49</v>
      </c>
      <c r="U64" s="136">
        <v>22.4392</v>
      </c>
      <c r="V64" s="136">
        <v>240465.79</v>
      </c>
      <c r="W64" s="136">
        <v>225597.58</v>
      </c>
      <c r="X64" s="136">
        <v>226185.985</v>
      </c>
      <c r="Y64" s="136">
        <v>-12180.8758</v>
      </c>
    </row>
    <row r="65">
      <c r="A65" s="377"/>
      <c r="B65" s="378"/>
      <c r="C65" s="378">
        <f t="shared" ref="C65:Y65" si="12">SUM(C60:C64)</f>
        <v>0</v>
      </c>
      <c r="D65" s="378">
        <f t="shared" si="12"/>
        <v>81735</v>
      </c>
      <c r="E65" s="378">
        <f t="shared" si="12"/>
        <v>7458</v>
      </c>
      <c r="F65" s="378">
        <f t="shared" si="12"/>
        <v>5319</v>
      </c>
      <c r="G65" s="378">
        <f t="shared" si="12"/>
        <v>1063</v>
      </c>
      <c r="H65" s="378">
        <f t="shared" si="12"/>
        <v>223</v>
      </c>
      <c r="I65" s="378">
        <f t="shared" si="12"/>
        <v>1276</v>
      </c>
      <c r="J65" s="378">
        <f t="shared" si="12"/>
        <v>883</v>
      </c>
      <c r="K65" s="378">
        <f t="shared" si="12"/>
        <v>435</v>
      </c>
      <c r="L65" s="378">
        <f t="shared" si="12"/>
        <v>121</v>
      </c>
      <c r="M65" s="378">
        <f t="shared" si="12"/>
        <v>6213</v>
      </c>
      <c r="N65" s="378">
        <f t="shared" si="12"/>
        <v>59897</v>
      </c>
      <c r="O65" s="378">
        <f t="shared" si="12"/>
        <v>252033</v>
      </c>
      <c r="P65" s="378">
        <f t="shared" si="12"/>
        <v>1504</v>
      </c>
      <c r="Q65" s="378">
        <f t="shared" si="12"/>
        <v>161969</v>
      </c>
      <c r="R65" s="378">
        <f t="shared" si="12"/>
        <v>281</v>
      </c>
      <c r="S65" s="378">
        <f t="shared" si="12"/>
        <v>30236.98</v>
      </c>
      <c r="T65" s="378">
        <f t="shared" si="12"/>
        <v>6601.81</v>
      </c>
      <c r="U65" s="378">
        <f t="shared" si="12"/>
        <v>841.889</v>
      </c>
      <c r="V65" s="378">
        <f t="shared" si="12"/>
        <v>2335750.26</v>
      </c>
      <c r="W65" s="378">
        <f t="shared" si="12"/>
        <v>2200335.45</v>
      </c>
      <c r="X65" s="378">
        <f t="shared" si="12"/>
        <v>2222566.325</v>
      </c>
      <c r="Y65" s="378">
        <f t="shared" si="12"/>
        <v>-75503.256</v>
      </c>
    </row>
    <row r="66">
      <c r="A66" s="375">
        <v>46076.0</v>
      </c>
      <c r="B66" s="376" t="s">
        <v>563</v>
      </c>
      <c r="C66" s="376">
        <v>0.0</v>
      </c>
      <c r="D66" s="376">
        <v>28318.0</v>
      </c>
      <c r="E66" s="376">
        <v>1778.0</v>
      </c>
      <c r="F66" s="376">
        <v>1227.0</v>
      </c>
      <c r="G66" s="376">
        <v>183.0</v>
      </c>
      <c r="H66" s="376">
        <v>42.0</v>
      </c>
      <c r="I66" s="376">
        <v>74.0</v>
      </c>
      <c r="J66" s="376">
        <v>60.0</v>
      </c>
      <c r="K66" s="376">
        <v>52.0</v>
      </c>
      <c r="L66" s="376">
        <v>22.0</v>
      </c>
      <c r="M66" s="376">
        <v>1541.0</v>
      </c>
      <c r="N66" s="376">
        <v>6917.0</v>
      </c>
      <c r="O66" s="376">
        <v>28458.0</v>
      </c>
      <c r="P66" s="376">
        <v>237.0</v>
      </c>
      <c r="Q66" s="376">
        <v>21298.0</v>
      </c>
      <c r="R66" s="376">
        <v>50.0</v>
      </c>
      <c r="S66" s="376">
        <v>6237.33</v>
      </c>
      <c r="T66" s="376">
        <v>1096.19</v>
      </c>
      <c r="U66" s="376">
        <v>322.693</v>
      </c>
      <c r="V66" s="376">
        <v>298765.79</v>
      </c>
      <c r="W66" s="376">
        <v>277082.575</v>
      </c>
      <c r="X66" s="376">
        <v>286653.985</v>
      </c>
      <c r="Y66" s="376">
        <v>-4455.592</v>
      </c>
    </row>
    <row r="67">
      <c r="A67" s="375">
        <v>46076.0</v>
      </c>
      <c r="B67" s="376" t="s">
        <v>244</v>
      </c>
      <c r="C67" s="376">
        <v>0.0</v>
      </c>
      <c r="D67" s="376">
        <v>9875.0</v>
      </c>
      <c r="E67" s="376">
        <v>1170.0</v>
      </c>
      <c r="F67" s="376">
        <v>731.0</v>
      </c>
      <c r="G67" s="376">
        <v>122.0</v>
      </c>
      <c r="H67" s="376">
        <v>24.0</v>
      </c>
      <c r="I67" s="376">
        <v>446.0</v>
      </c>
      <c r="J67" s="376">
        <v>230.0</v>
      </c>
      <c r="K67" s="376">
        <v>60.0</v>
      </c>
      <c r="L67" s="376">
        <v>18.0</v>
      </c>
      <c r="M67" s="376">
        <v>845.0</v>
      </c>
      <c r="N67" s="376">
        <v>8245.0</v>
      </c>
      <c r="O67" s="376">
        <v>24941.0</v>
      </c>
      <c r="P67" s="376">
        <v>177.0</v>
      </c>
      <c r="Q67" s="376">
        <v>15750.0</v>
      </c>
      <c r="R67" s="376">
        <v>38.0</v>
      </c>
      <c r="S67" s="376">
        <v>3524.1</v>
      </c>
      <c r="T67" s="376">
        <v>2978.8</v>
      </c>
      <c r="U67" s="376">
        <v>44.9758</v>
      </c>
      <c r="V67" s="376">
        <v>235280.67</v>
      </c>
      <c r="W67" s="376">
        <v>221307.5</v>
      </c>
      <c r="X67" s="376">
        <v>221421.105</v>
      </c>
      <c r="Y67" s="376">
        <v>-7311.6892</v>
      </c>
    </row>
    <row r="68">
      <c r="A68" s="375">
        <v>46076.0</v>
      </c>
      <c r="B68" s="376" t="s">
        <v>564</v>
      </c>
      <c r="C68" s="376">
        <v>0.0</v>
      </c>
      <c r="D68" s="376">
        <v>2014.0</v>
      </c>
      <c r="E68" s="376">
        <v>295.0</v>
      </c>
      <c r="F68" s="376">
        <v>214.0</v>
      </c>
      <c r="G68" s="376">
        <v>46.0</v>
      </c>
      <c r="H68" s="376">
        <v>12.0</v>
      </c>
      <c r="I68" s="376">
        <v>36.0</v>
      </c>
      <c r="J68" s="376">
        <v>27.0</v>
      </c>
      <c r="K68" s="376">
        <v>17.0</v>
      </c>
      <c r="L68" s="376">
        <v>5.0</v>
      </c>
      <c r="M68" s="376">
        <v>245.0</v>
      </c>
      <c r="N68" s="376">
        <v>2330.0</v>
      </c>
      <c r="O68" s="376">
        <v>9752.0</v>
      </c>
      <c r="P68" s="376">
        <v>66.0</v>
      </c>
      <c r="Q68" s="376">
        <v>13220.0</v>
      </c>
      <c r="R68" s="376">
        <v>21.0</v>
      </c>
      <c r="S68" s="376">
        <v>1342.17</v>
      </c>
      <c r="T68" s="376">
        <v>364.38</v>
      </c>
      <c r="U68" s="376">
        <v>44.542</v>
      </c>
      <c r="V68" s="376">
        <v>123017.21</v>
      </c>
      <c r="W68" s="376">
        <v>117911.15</v>
      </c>
      <c r="X68" s="376">
        <v>124818.435</v>
      </c>
      <c r="Y68" s="376">
        <v>3552.317</v>
      </c>
    </row>
    <row r="69">
      <c r="A69" s="375">
        <v>46076.0</v>
      </c>
      <c r="B69" s="376" t="s">
        <v>562</v>
      </c>
      <c r="C69" s="376">
        <v>0.0</v>
      </c>
      <c r="D69" s="136">
        <v>1589.0</v>
      </c>
      <c r="E69" s="136">
        <v>250.0</v>
      </c>
      <c r="F69" s="136">
        <v>186.0</v>
      </c>
      <c r="G69" s="136">
        <v>68.0</v>
      </c>
      <c r="H69" s="136">
        <v>16.0</v>
      </c>
      <c r="I69" s="136">
        <v>67.0</v>
      </c>
      <c r="J69" s="136">
        <v>56.0</v>
      </c>
      <c r="K69" s="136">
        <v>32.0</v>
      </c>
      <c r="L69" s="136">
        <v>4.0</v>
      </c>
      <c r="M69" s="136">
        <v>192.0</v>
      </c>
      <c r="N69" s="136">
        <v>4067.0</v>
      </c>
      <c r="O69" s="136">
        <v>11952.0</v>
      </c>
      <c r="P69" s="136">
        <v>98.0</v>
      </c>
      <c r="Q69" s="136">
        <v>17080.0</v>
      </c>
      <c r="R69" s="136">
        <v>23.0</v>
      </c>
      <c r="S69" s="136">
        <v>1098.5</v>
      </c>
      <c r="T69" s="136">
        <v>967.56</v>
      </c>
      <c r="U69" s="136">
        <v>45.4692</v>
      </c>
      <c r="V69" s="136">
        <v>142476.92</v>
      </c>
      <c r="W69" s="136">
        <v>135655.155</v>
      </c>
      <c r="X69" s="136">
        <v>142660.975</v>
      </c>
      <c r="Y69" s="136">
        <v>2295.5842</v>
      </c>
    </row>
    <row r="70" ht="18.75" customHeight="1">
      <c r="A70" s="377"/>
      <c r="B70" s="378"/>
      <c r="C70" s="378">
        <f t="shared" ref="C70:Y70" si="13">SUM(C66:C69)</f>
        <v>0</v>
      </c>
      <c r="D70" s="378">
        <f t="shared" si="13"/>
        <v>41796</v>
      </c>
      <c r="E70" s="378">
        <f t="shared" si="13"/>
        <v>3493</v>
      </c>
      <c r="F70" s="378">
        <f t="shared" si="13"/>
        <v>2358</v>
      </c>
      <c r="G70" s="378">
        <f t="shared" si="13"/>
        <v>419</v>
      </c>
      <c r="H70" s="378">
        <f t="shared" si="13"/>
        <v>94</v>
      </c>
      <c r="I70" s="378">
        <f t="shared" si="13"/>
        <v>623</v>
      </c>
      <c r="J70" s="378">
        <f t="shared" si="13"/>
        <v>373</v>
      </c>
      <c r="K70" s="378">
        <f t="shared" si="13"/>
        <v>161</v>
      </c>
      <c r="L70" s="378">
        <f t="shared" si="13"/>
        <v>49</v>
      </c>
      <c r="M70" s="378">
        <f t="shared" si="13"/>
        <v>2823</v>
      </c>
      <c r="N70" s="378">
        <f t="shared" si="13"/>
        <v>21559</v>
      </c>
      <c r="O70" s="378">
        <f t="shared" si="13"/>
        <v>75103</v>
      </c>
      <c r="P70" s="378">
        <f t="shared" si="13"/>
        <v>578</v>
      </c>
      <c r="Q70" s="378">
        <f t="shared" si="13"/>
        <v>67348</v>
      </c>
      <c r="R70" s="378">
        <f t="shared" si="13"/>
        <v>132</v>
      </c>
      <c r="S70" s="378">
        <f t="shared" si="13"/>
        <v>12202.1</v>
      </c>
      <c r="T70" s="378">
        <f t="shared" si="13"/>
        <v>5406.93</v>
      </c>
      <c r="U70" s="378">
        <f t="shared" si="13"/>
        <v>457.68</v>
      </c>
      <c r="V70" s="378">
        <f t="shared" si="13"/>
        <v>799540.59</v>
      </c>
      <c r="W70" s="378">
        <f t="shared" si="13"/>
        <v>751956.38</v>
      </c>
      <c r="X70" s="378">
        <f t="shared" si="13"/>
        <v>775554.5</v>
      </c>
      <c r="Y70" s="378">
        <f t="shared" si="13"/>
        <v>-5919.38</v>
      </c>
    </row>
    <row r="71">
      <c r="A71" s="375">
        <v>46077.0</v>
      </c>
      <c r="B71" s="376" t="s">
        <v>563</v>
      </c>
      <c r="C71" s="376">
        <v>0.0</v>
      </c>
      <c r="D71" s="136">
        <v>28398.0</v>
      </c>
      <c r="E71" s="136">
        <v>1933.0</v>
      </c>
      <c r="F71" s="136">
        <v>1419.0</v>
      </c>
      <c r="G71" s="136">
        <v>194.0</v>
      </c>
      <c r="H71" s="136">
        <v>40.0</v>
      </c>
      <c r="I71" s="136">
        <v>80.0</v>
      </c>
      <c r="J71" s="136">
        <v>69.0</v>
      </c>
      <c r="K71" s="136">
        <v>42.0</v>
      </c>
      <c r="L71" s="136">
        <v>17.0</v>
      </c>
      <c r="M71" s="136">
        <v>1696.0</v>
      </c>
      <c r="N71" s="136">
        <v>5798.0</v>
      </c>
      <c r="O71" s="136">
        <v>38888.0</v>
      </c>
      <c r="P71" s="136">
        <v>248.0</v>
      </c>
      <c r="Q71" s="136">
        <v>20761.0</v>
      </c>
      <c r="R71" s="136">
        <v>49.0</v>
      </c>
      <c r="S71" s="136">
        <v>6126.97</v>
      </c>
      <c r="T71" s="136">
        <v>744.75</v>
      </c>
      <c r="U71" s="136">
        <v>281.5999</v>
      </c>
      <c r="V71" s="136">
        <v>356229.54</v>
      </c>
      <c r="W71" s="136">
        <v>335757.42</v>
      </c>
      <c r="X71" s="136">
        <v>341306.725</v>
      </c>
      <c r="Y71" s="136">
        <v>-7769.4951</v>
      </c>
    </row>
    <row r="72">
      <c r="A72" s="375">
        <v>46077.0</v>
      </c>
      <c r="B72" s="376" t="s">
        <v>244</v>
      </c>
      <c r="C72" s="376">
        <v>0.0</v>
      </c>
      <c r="D72" s="136">
        <v>10400.0</v>
      </c>
      <c r="E72" s="136">
        <v>1293.0</v>
      </c>
      <c r="F72" s="136">
        <v>843.0</v>
      </c>
      <c r="G72" s="136">
        <v>170.0</v>
      </c>
      <c r="H72" s="136">
        <v>31.0</v>
      </c>
      <c r="I72" s="136">
        <v>513.0</v>
      </c>
      <c r="J72" s="136">
        <v>285.0</v>
      </c>
      <c r="K72" s="136">
        <v>102.0</v>
      </c>
      <c r="L72" s="136">
        <v>19.0</v>
      </c>
      <c r="M72" s="136">
        <v>949.0</v>
      </c>
      <c r="N72" s="136">
        <v>13351.0</v>
      </c>
      <c r="O72" s="136">
        <v>41483.0</v>
      </c>
      <c r="P72" s="136">
        <v>245.0</v>
      </c>
      <c r="Q72" s="136">
        <v>17015.0</v>
      </c>
      <c r="R72" s="136">
        <v>42.0</v>
      </c>
      <c r="S72" s="136">
        <v>3996.3</v>
      </c>
      <c r="T72" s="136">
        <v>634.92</v>
      </c>
      <c r="U72" s="136">
        <v>175.1032</v>
      </c>
      <c r="V72" s="136">
        <v>430123.35</v>
      </c>
      <c r="W72" s="136">
        <v>403937.2</v>
      </c>
      <c r="X72" s="136">
        <v>403175.945</v>
      </c>
      <c r="Y72" s="136">
        <v>-22141.0818</v>
      </c>
    </row>
    <row r="73">
      <c r="A73" s="375">
        <v>46077.0</v>
      </c>
      <c r="B73" s="376" t="s">
        <v>564</v>
      </c>
      <c r="C73" s="376">
        <v>0.0</v>
      </c>
      <c r="D73" s="136">
        <v>2053.0</v>
      </c>
      <c r="E73" s="136">
        <v>309.0</v>
      </c>
      <c r="F73" s="136">
        <v>222.0</v>
      </c>
      <c r="G73" s="136">
        <v>57.0</v>
      </c>
      <c r="H73" s="136">
        <v>10.0</v>
      </c>
      <c r="I73" s="136">
        <v>40.0</v>
      </c>
      <c r="J73" s="136">
        <v>34.0</v>
      </c>
      <c r="K73" s="136">
        <v>22.0</v>
      </c>
      <c r="L73" s="136">
        <v>5.0</v>
      </c>
      <c r="M73" s="136">
        <v>253.0</v>
      </c>
      <c r="N73" s="136">
        <v>3599.0</v>
      </c>
      <c r="O73" s="136">
        <v>12819.0</v>
      </c>
      <c r="P73" s="136">
        <v>79.0</v>
      </c>
      <c r="Q73" s="136">
        <v>13520.0</v>
      </c>
      <c r="R73" s="136">
        <v>15.0</v>
      </c>
      <c r="S73" s="136">
        <v>1135.5</v>
      </c>
      <c r="T73" s="136">
        <v>439.76</v>
      </c>
      <c r="U73" s="136">
        <v>3.4395</v>
      </c>
      <c r="V73" s="136">
        <v>137180.15</v>
      </c>
      <c r="W73" s="136">
        <v>129177.015</v>
      </c>
      <c r="X73" s="136">
        <v>136714.855</v>
      </c>
      <c r="Y73" s="136">
        <v>1113.4045</v>
      </c>
    </row>
    <row r="74">
      <c r="A74" s="375">
        <v>46077.0</v>
      </c>
      <c r="B74" s="376" t="s">
        <v>562</v>
      </c>
      <c r="C74" s="376">
        <v>0.0</v>
      </c>
      <c r="D74" s="136">
        <v>1659.0</v>
      </c>
      <c r="E74" s="136">
        <v>250.0</v>
      </c>
      <c r="F74" s="136">
        <v>202.0</v>
      </c>
      <c r="G74" s="136">
        <v>77.0</v>
      </c>
      <c r="H74" s="136">
        <v>14.0</v>
      </c>
      <c r="I74" s="136">
        <v>74.0</v>
      </c>
      <c r="J74" s="136">
        <v>67.0</v>
      </c>
      <c r="K74" s="136">
        <v>33.0</v>
      </c>
      <c r="L74" s="136">
        <v>9.0</v>
      </c>
      <c r="M74" s="136">
        <v>192.0</v>
      </c>
      <c r="N74" s="136">
        <v>6316.0</v>
      </c>
      <c r="O74" s="136">
        <v>27653.0</v>
      </c>
      <c r="P74" s="136">
        <v>127.0</v>
      </c>
      <c r="Q74" s="136">
        <v>8055.0</v>
      </c>
      <c r="R74" s="136">
        <v>19.0</v>
      </c>
      <c r="S74" s="136">
        <v>1978.0</v>
      </c>
      <c r="T74" s="136">
        <v>598.52</v>
      </c>
      <c r="U74" s="136">
        <v>11.7118</v>
      </c>
      <c r="V74" s="136">
        <v>251492.63</v>
      </c>
      <c r="W74" s="136">
        <v>239410.3</v>
      </c>
      <c r="X74" s="136">
        <v>230400.67</v>
      </c>
      <c r="Y74" s="136">
        <v>-18503.7282</v>
      </c>
    </row>
    <row r="75" ht="18.75" customHeight="1">
      <c r="A75" s="377"/>
      <c r="B75" s="378"/>
      <c r="C75" s="378">
        <f t="shared" ref="C75:Y75" si="14">SUM(C71:C74)</f>
        <v>0</v>
      </c>
      <c r="D75" s="379">
        <f t="shared" si="14"/>
        <v>42510</v>
      </c>
      <c r="E75" s="379">
        <f t="shared" si="14"/>
        <v>3785</v>
      </c>
      <c r="F75" s="379">
        <f t="shared" si="14"/>
        <v>2686</v>
      </c>
      <c r="G75" s="379">
        <f t="shared" si="14"/>
        <v>498</v>
      </c>
      <c r="H75" s="379">
        <f t="shared" si="14"/>
        <v>95</v>
      </c>
      <c r="I75" s="379">
        <f t="shared" si="14"/>
        <v>707</v>
      </c>
      <c r="J75" s="379">
        <f t="shared" si="14"/>
        <v>455</v>
      </c>
      <c r="K75" s="379">
        <f t="shared" si="14"/>
        <v>199</v>
      </c>
      <c r="L75" s="379">
        <f t="shared" si="14"/>
        <v>50</v>
      </c>
      <c r="M75" s="379">
        <f t="shared" si="14"/>
        <v>3090</v>
      </c>
      <c r="N75" s="379">
        <f t="shared" si="14"/>
        <v>29064</v>
      </c>
      <c r="O75" s="379">
        <f t="shared" si="14"/>
        <v>120843</v>
      </c>
      <c r="P75" s="379">
        <f t="shared" si="14"/>
        <v>699</v>
      </c>
      <c r="Q75" s="379">
        <f t="shared" si="14"/>
        <v>59351</v>
      </c>
      <c r="R75" s="379">
        <f t="shared" si="14"/>
        <v>125</v>
      </c>
      <c r="S75" s="379">
        <f t="shared" si="14"/>
        <v>13236.77</v>
      </c>
      <c r="T75" s="379">
        <f t="shared" si="14"/>
        <v>2417.95</v>
      </c>
      <c r="U75" s="379">
        <f t="shared" si="14"/>
        <v>471.8544</v>
      </c>
      <c r="V75" s="379">
        <f t="shared" si="14"/>
        <v>1175025.67</v>
      </c>
      <c r="W75" s="379">
        <f t="shared" si="14"/>
        <v>1108281.935</v>
      </c>
      <c r="X75" s="379">
        <f t="shared" si="14"/>
        <v>1111598.195</v>
      </c>
      <c r="Y75" s="379">
        <f t="shared" si="14"/>
        <v>-47300.9006</v>
      </c>
    </row>
    <row r="76">
      <c r="A76" s="375">
        <v>46078.0</v>
      </c>
      <c r="B76" s="376" t="s">
        <v>563</v>
      </c>
      <c r="C76" s="376">
        <v>0.0</v>
      </c>
      <c r="D76" s="376">
        <v>28450.0</v>
      </c>
      <c r="E76" s="376">
        <v>1660.0</v>
      </c>
      <c r="F76" s="376">
        <v>1256.0</v>
      </c>
      <c r="G76" s="376">
        <v>164.0</v>
      </c>
      <c r="H76" s="376">
        <v>39.0</v>
      </c>
      <c r="I76" s="376">
        <v>52.0</v>
      </c>
      <c r="J76" s="376">
        <v>46.0</v>
      </c>
      <c r="K76" s="376">
        <v>41.0</v>
      </c>
      <c r="L76" s="376">
        <v>19.0</v>
      </c>
      <c r="M76" s="376">
        <v>1460.0</v>
      </c>
      <c r="N76" s="376">
        <v>5870.0</v>
      </c>
      <c r="O76" s="376">
        <v>28698.0</v>
      </c>
      <c r="P76" s="376">
        <v>216.0</v>
      </c>
      <c r="Q76" s="376">
        <v>36854.0</v>
      </c>
      <c r="R76" s="376">
        <v>49.0</v>
      </c>
      <c r="S76" s="376">
        <v>5657.03</v>
      </c>
      <c r="T76" s="376">
        <v>910.67</v>
      </c>
      <c r="U76" s="376">
        <v>172.1395</v>
      </c>
      <c r="V76" s="376">
        <v>232287.56</v>
      </c>
      <c r="W76" s="376">
        <v>218181.405</v>
      </c>
      <c r="X76" s="376">
        <v>243317.475</v>
      </c>
      <c r="Y76" s="376">
        <v>17769.7545</v>
      </c>
    </row>
    <row r="77">
      <c r="A77" s="375">
        <v>46078.0</v>
      </c>
      <c r="B77" s="376" t="s">
        <v>244</v>
      </c>
      <c r="C77" s="376">
        <v>0.0</v>
      </c>
      <c r="D77" s="136">
        <v>11054.0</v>
      </c>
      <c r="E77" s="136">
        <v>1430.0</v>
      </c>
      <c r="F77" s="136">
        <v>911.0</v>
      </c>
      <c r="G77" s="136">
        <v>211.0</v>
      </c>
      <c r="H77" s="136">
        <v>29.0</v>
      </c>
      <c r="I77" s="136">
        <v>672.0</v>
      </c>
      <c r="J77" s="136">
        <v>371.0</v>
      </c>
      <c r="K77" s="136">
        <v>141.0</v>
      </c>
      <c r="L77" s="136">
        <v>19.0</v>
      </c>
      <c r="M77" s="136">
        <v>1008.0</v>
      </c>
      <c r="N77" s="136">
        <v>17391.0</v>
      </c>
      <c r="O77" s="136">
        <v>35551.0</v>
      </c>
      <c r="P77" s="136">
        <v>270.0</v>
      </c>
      <c r="Q77" s="136">
        <v>15284.0</v>
      </c>
      <c r="R77" s="136">
        <v>41.0</v>
      </c>
      <c r="S77" s="136">
        <v>5476.0</v>
      </c>
      <c r="T77" s="136">
        <v>1662.22</v>
      </c>
      <c r="U77" s="136">
        <v>50.1698</v>
      </c>
      <c r="V77" s="136">
        <v>387455.84</v>
      </c>
      <c r="W77" s="136">
        <v>363050.755</v>
      </c>
      <c r="X77" s="136">
        <v>366568.46</v>
      </c>
      <c r="Y77" s="136">
        <v>-13698.9902</v>
      </c>
    </row>
    <row r="78">
      <c r="A78" s="375">
        <v>46078.0</v>
      </c>
      <c r="B78" s="376" t="s">
        <v>564</v>
      </c>
      <c r="C78" s="376">
        <v>0.0</v>
      </c>
      <c r="D78" s="136">
        <v>2092.0</v>
      </c>
      <c r="E78" s="136">
        <v>268.0</v>
      </c>
      <c r="F78" s="136">
        <v>196.0</v>
      </c>
      <c r="G78" s="136">
        <v>47.0</v>
      </c>
      <c r="H78" s="136">
        <v>11.0</v>
      </c>
      <c r="I78" s="136">
        <v>37.0</v>
      </c>
      <c r="J78" s="136">
        <v>25.0</v>
      </c>
      <c r="K78" s="136">
        <v>16.0</v>
      </c>
      <c r="L78" s="136">
        <v>7.0</v>
      </c>
      <c r="M78" s="136">
        <v>215.0</v>
      </c>
      <c r="N78" s="136">
        <v>1951.0</v>
      </c>
      <c r="O78" s="136">
        <v>9569.0</v>
      </c>
      <c r="P78" s="136">
        <v>65.0</v>
      </c>
      <c r="Q78" s="136">
        <v>9730.0</v>
      </c>
      <c r="R78" s="136">
        <v>12.0</v>
      </c>
      <c r="S78" s="136">
        <v>842.24</v>
      </c>
      <c r="T78" s="136">
        <v>519.19</v>
      </c>
      <c r="U78" s="136">
        <v>46.639</v>
      </c>
      <c r="V78" s="136">
        <v>113617.74</v>
      </c>
      <c r="W78" s="136">
        <v>107109.16</v>
      </c>
      <c r="X78" s="136">
        <v>112023.355</v>
      </c>
      <c r="Y78" s="136">
        <v>-186.316</v>
      </c>
    </row>
    <row r="79">
      <c r="A79" s="375">
        <v>46078.0</v>
      </c>
      <c r="B79" s="376" t="s">
        <v>562</v>
      </c>
      <c r="C79" s="376">
        <v>0.0</v>
      </c>
      <c r="D79" s="136">
        <v>1726.0</v>
      </c>
      <c r="E79" s="136">
        <v>253.0</v>
      </c>
      <c r="F79" s="136">
        <v>185.0</v>
      </c>
      <c r="G79" s="136">
        <v>59.0</v>
      </c>
      <c r="H79" s="136">
        <v>18.0</v>
      </c>
      <c r="I79" s="136">
        <v>65.0</v>
      </c>
      <c r="J79" s="136">
        <v>46.0</v>
      </c>
      <c r="K79" s="136">
        <v>15.0</v>
      </c>
      <c r="L79" s="136">
        <v>8.0</v>
      </c>
      <c r="M79" s="136">
        <v>186.0</v>
      </c>
      <c r="N79" s="136">
        <v>2475.0</v>
      </c>
      <c r="O79" s="136">
        <v>18901.0</v>
      </c>
      <c r="P79" s="136">
        <v>106.0</v>
      </c>
      <c r="Q79" s="136">
        <v>13569.0</v>
      </c>
      <c r="R79" s="136">
        <v>19.0</v>
      </c>
      <c r="S79" s="136">
        <v>1263.24</v>
      </c>
      <c r="T79" s="136">
        <v>814.78</v>
      </c>
      <c r="U79" s="136">
        <v>3.0166</v>
      </c>
      <c r="V79" s="136">
        <v>140622.28</v>
      </c>
      <c r="W79" s="136">
        <v>134311.605</v>
      </c>
      <c r="X79" s="136">
        <v>134822.005</v>
      </c>
      <c r="Y79" s="136">
        <v>-3719.2384</v>
      </c>
    </row>
    <row r="80" ht="18.75" customHeight="1">
      <c r="A80" s="377"/>
      <c r="B80" s="378"/>
      <c r="C80" s="378">
        <f t="shared" ref="C80:Y80" si="15">SUM(C76:C79)</f>
        <v>0</v>
      </c>
      <c r="D80" s="378">
        <f t="shared" si="15"/>
        <v>43322</v>
      </c>
      <c r="E80" s="378">
        <f t="shared" si="15"/>
        <v>3611</v>
      </c>
      <c r="F80" s="378">
        <f t="shared" si="15"/>
        <v>2548</v>
      </c>
      <c r="G80" s="378">
        <f t="shared" si="15"/>
        <v>481</v>
      </c>
      <c r="H80" s="378">
        <f t="shared" si="15"/>
        <v>97</v>
      </c>
      <c r="I80" s="378">
        <f t="shared" si="15"/>
        <v>826</v>
      </c>
      <c r="J80" s="378">
        <f t="shared" si="15"/>
        <v>488</v>
      </c>
      <c r="K80" s="378">
        <f t="shared" si="15"/>
        <v>213</v>
      </c>
      <c r="L80" s="378">
        <f t="shared" si="15"/>
        <v>53</v>
      </c>
      <c r="M80" s="378">
        <f t="shared" si="15"/>
        <v>2869</v>
      </c>
      <c r="N80" s="378">
        <f t="shared" si="15"/>
        <v>27687</v>
      </c>
      <c r="O80" s="378">
        <f t="shared" si="15"/>
        <v>92719</v>
      </c>
      <c r="P80" s="378">
        <f t="shared" si="15"/>
        <v>657</v>
      </c>
      <c r="Q80" s="378">
        <f t="shared" si="15"/>
        <v>75437</v>
      </c>
      <c r="R80" s="378">
        <f t="shared" si="15"/>
        <v>121</v>
      </c>
      <c r="S80" s="378">
        <f t="shared" si="15"/>
        <v>13238.51</v>
      </c>
      <c r="T80" s="378">
        <f t="shared" si="15"/>
        <v>3906.86</v>
      </c>
      <c r="U80" s="378">
        <f t="shared" si="15"/>
        <v>271.9649</v>
      </c>
      <c r="V80" s="378">
        <f t="shared" si="15"/>
        <v>873983.42</v>
      </c>
      <c r="W80" s="378">
        <f t="shared" si="15"/>
        <v>822652.925</v>
      </c>
      <c r="X80" s="378">
        <f t="shared" si="15"/>
        <v>856731.295</v>
      </c>
      <c r="Y80" s="378">
        <f t="shared" si="15"/>
        <v>165.2099</v>
      </c>
    </row>
    <row r="81">
      <c r="A81" s="375">
        <v>46079.0</v>
      </c>
      <c r="B81" s="376" t="s">
        <v>563</v>
      </c>
      <c r="C81" s="376">
        <v>0.0</v>
      </c>
      <c r="D81" s="376">
        <v>28518.0</v>
      </c>
      <c r="E81" s="376">
        <v>1547.0</v>
      </c>
      <c r="F81" s="376">
        <v>1166.0</v>
      </c>
      <c r="G81" s="376">
        <v>155.0</v>
      </c>
      <c r="H81" s="376">
        <v>34.0</v>
      </c>
      <c r="I81" s="376">
        <v>67.0</v>
      </c>
      <c r="J81" s="376">
        <v>67.0</v>
      </c>
      <c r="K81" s="376">
        <v>35.0</v>
      </c>
      <c r="L81" s="376">
        <v>13.0</v>
      </c>
      <c r="M81" s="376">
        <v>1381.0</v>
      </c>
      <c r="N81" s="376">
        <v>4685.0</v>
      </c>
      <c r="O81" s="376">
        <v>30410.0</v>
      </c>
      <c r="P81" s="376">
        <v>210.0</v>
      </c>
      <c r="Q81" s="376">
        <v>40225.0</v>
      </c>
      <c r="R81" s="376">
        <v>49.0</v>
      </c>
      <c r="S81" s="376">
        <v>5009.3</v>
      </c>
      <c r="T81" s="376">
        <v>625.75</v>
      </c>
      <c r="U81" s="376">
        <v>59.3118</v>
      </c>
      <c r="V81" s="376">
        <v>243737.15</v>
      </c>
      <c r="W81" s="376">
        <v>230072.535</v>
      </c>
      <c r="X81" s="376">
        <v>253276.0122</v>
      </c>
      <c r="Y81" s="376">
        <v>15233.224</v>
      </c>
    </row>
    <row r="82">
      <c r="A82" s="375">
        <v>46079.0</v>
      </c>
      <c r="B82" s="376" t="s">
        <v>244</v>
      </c>
      <c r="C82" s="376">
        <v>0.0</v>
      </c>
      <c r="D82" s="136">
        <v>11481.0</v>
      </c>
      <c r="E82" s="136">
        <v>1190.0</v>
      </c>
      <c r="F82" s="136">
        <v>787.0</v>
      </c>
      <c r="G82" s="136">
        <v>193.0</v>
      </c>
      <c r="H82" s="136">
        <v>48.0</v>
      </c>
      <c r="I82" s="136">
        <v>431.0</v>
      </c>
      <c r="J82" s="136">
        <v>250.0</v>
      </c>
      <c r="K82" s="136">
        <v>107.0</v>
      </c>
      <c r="L82" s="136">
        <v>32.0</v>
      </c>
      <c r="M82" s="136">
        <v>882.0</v>
      </c>
      <c r="N82" s="136">
        <v>14313.0</v>
      </c>
      <c r="O82" s="136">
        <v>40952.0</v>
      </c>
      <c r="P82" s="136">
        <v>269.0</v>
      </c>
      <c r="Q82" s="136">
        <v>28955.0</v>
      </c>
      <c r="R82" s="136">
        <v>62.0</v>
      </c>
      <c r="S82" s="136">
        <v>5628.4</v>
      </c>
      <c r="T82" s="136">
        <v>1464.38</v>
      </c>
      <c r="U82" s="136">
        <v>22.4956</v>
      </c>
      <c r="V82" s="136">
        <v>384280.11</v>
      </c>
      <c r="W82" s="136">
        <v>360480.4</v>
      </c>
      <c r="X82" s="136">
        <v>364189.855</v>
      </c>
      <c r="Y82" s="136">
        <v>-12974.9794</v>
      </c>
    </row>
    <row r="83">
      <c r="A83" s="375">
        <v>46079.0</v>
      </c>
      <c r="B83" s="376" t="s">
        <v>564</v>
      </c>
      <c r="C83" s="376">
        <v>0.0</v>
      </c>
      <c r="D83" s="136">
        <v>2114.0</v>
      </c>
      <c r="E83" s="136">
        <v>249.0</v>
      </c>
      <c r="F83" s="136">
        <v>184.0</v>
      </c>
      <c r="G83" s="136">
        <v>40.0</v>
      </c>
      <c r="H83" s="136">
        <v>12.0</v>
      </c>
      <c r="I83" s="136">
        <v>25.0</v>
      </c>
      <c r="J83" s="136">
        <v>18.0</v>
      </c>
      <c r="K83" s="136">
        <v>13.0</v>
      </c>
      <c r="L83" s="136">
        <v>6.0</v>
      </c>
      <c r="M83" s="136">
        <v>196.0</v>
      </c>
      <c r="N83" s="136">
        <v>1790.0</v>
      </c>
      <c r="O83" s="136">
        <v>12236.0</v>
      </c>
      <c r="P83" s="136">
        <v>60.0</v>
      </c>
      <c r="Q83" s="136">
        <v>9570.0</v>
      </c>
      <c r="R83" s="136">
        <v>16.0</v>
      </c>
      <c r="S83" s="136">
        <v>942.0</v>
      </c>
      <c r="T83" s="136">
        <v>522.95</v>
      </c>
      <c r="U83" s="136">
        <v>21.8186</v>
      </c>
      <c r="V83" s="136">
        <v>113597.09</v>
      </c>
      <c r="W83" s="136">
        <v>107243.55</v>
      </c>
      <c r="X83" s="136">
        <v>111592.455</v>
      </c>
      <c r="Y83" s="136">
        <v>-517.8664</v>
      </c>
    </row>
    <row r="84">
      <c r="A84" s="375">
        <v>46079.0</v>
      </c>
      <c r="B84" s="376" t="s">
        <v>562</v>
      </c>
      <c r="C84" s="376">
        <v>0.0</v>
      </c>
      <c r="D84" s="136">
        <v>1796.0</v>
      </c>
      <c r="E84" s="136">
        <v>236.0</v>
      </c>
      <c r="F84" s="136">
        <v>167.0</v>
      </c>
      <c r="G84" s="136">
        <v>49.0</v>
      </c>
      <c r="H84" s="136">
        <v>14.0</v>
      </c>
      <c r="I84" s="136">
        <v>71.0</v>
      </c>
      <c r="J84" s="136">
        <v>53.0</v>
      </c>
      <c r="K84" s="136">
        <v>17.0</v>
      </c>
      <c r="L84" s="136">
        <v>7.0</v>
      </c>
      <c r="M84" s="136">
        <v>176.0</v>
      </c>
      <c r="N84" s="136">
        <v>2450.0</v>
      </c>
      <c r="O84" s="136">
        <v>12875.0</v>
      </c>
      <c r="P84" s="136">
        <v>95.0</v>
      </c>
      <c r="Q84" s="136">
        <v>11000.0</v>
      </c>
      <c r="R84" s="136">
        <v>19.0</v>
      </c>
      <c r="S84" s="136">
        <v>1325.0</v>
      </c>
      <c r="T84" s="136">
        <v>463.42</v>
      </c>
      <c r="U84" s="136">
        <v>0.8383</v>
      </c>
      <c r="V84" s="136">
        <v>111684.28</v>
      </c>
      <c r="W84" s="136">
        <v>106509.94</v>
      </c>
      <c r="X84" s="136">
        <v>111094.09</v>
      </c>
      <c r="Y84" s="136">
        <v>1199.0683</v>
      </c>
    </row>
    <row r="85" ht="18.75" customHeight="1">
      <c r="A85" s="377"/>
      <c r="B85" s="378"/>
      <c r="C85" s="378">
        <f t="shared" ref="C85:Y85" si="16">SUM(C81:C84)</f>
        <v>0</v>
      </c>
      <c r="D85" s="378">
        <f t="shared" si="16"/>
        <v>43909</v>
      </c>
      <c r="E85" s="378">
        <f t="shared" si="16"/>
        <v>3222</v>
      </c>
      <c r="F85" s="378">
        <f t="shared" si="16"/>
        <v>2304</v>
      </c>
      <c r="G85" s="378">
        <f t="shared" si="16"/>
        <v>437</v>
      </c>
      <c r="H85" s="378">
        <f t="shared" si="16"/>
        <v>108</v>
      </c>
      <c r="I85" s="378">
        <f t="shared" si="16"/>
        <v>594</v>
      </c>
      <c r="J85" s="378">
        <f t="shared" si="16"/>
        <v>388</v>
      </c>
      <c r="K85" s="378">
        <f t="shared" si="16"/>
        <v>172</v>
      </c>
      <c r="L85" s="378">
        <f t="shared" si="16"/>
        <v>58</v>
      </c>
      <c r="M85" s="378">
        <f t="shared" si="16"/>
        <v>2635</v>
      </c>
      <c r="N85" s="378">
        <f t="shared" si="16"/>
        <v>23238</v>
      </c>
      <c r="O85" s="378">
        <f t="shared" si="16"/>
        <v>96473</v>
      </c>
      <c r="P85" s="378">
        <f t="shared" si="16"/>
        <v>634</v>
      </c>
      <c r="Q85" s="378">
        <f t="shared" si="16"/>
        <v>89750</v>
      </c>
      <c r="R85" s="378">
        <f t="shared" si="16"/>
        <v>146</v>
      </c>
      <c r="S85" s="378">
        <f t="shared" si="16"/>
        <v>12904.7</v>
      </c>
      <c r="T85" s="378">
        <f t="shared" si="16"/>
        <v>3076.5</v>
      </c>
      <c r="U85" s="378">
        <f t="shared" si="16"/>
        <v>104.4643</v>
      </c>
      <c r="V85" s="378">
        <f t="shared" si="16"/>
        <v>853298.63</v>
      </c>
      <c r="W85" s="378">
        <f t="shared" si="16"/>
        <v>804306.425</v>
      </c>
      <c r="X85" s="378">
        <f t="shared" si="16"/>
        <v>840152.4122</v>
      </c>
      <c r="Y85" s="378">
        <f t="shared" si="16"/>
        <v>2939.4465</v>
      </c>
    </row>
    <row r="86">
      <c r="A86" s="375">
        <v>46080.0</v>
      </c>
      <c r="B86" s="376" t="s">
        <v>563</v>
      </c>
      <c r="C86" s="376">
        <v>0.0</v>
      </c>
      <c r="D86" s="136">
        <v>28570.0</v>
      </c>
      <c r="E86" s="136">
        <v>1560.0</v>
      </c>
      <c r="F86" s="136">
        <v>1196.0</v>
      </c>
      <c r="G86" s="136">
        <v>146.0</v>
      </c>
      <c r="H86" s="136">
        <v>33.0</v>
      </c>
      <c r="I86" s="136">
        <v>52.0</v>
      </c>
      <c r="J86" s="136">
        <v>54.0</v>
      </c>
      <c r="K86" s="136">
        <v>26.0</v>
      </c>
      <c r="L86" s="136">
        <v>16.0</v>
      </c>
      <c r="M86" s="136">
        <v>1412.0</v>
      </c>
      <c r="N86" s="136">
        <v>3210.0</v>
      </c>
      <c r="O86" s="136">
        <v>39684.0</v>
      </c>
      <c r="P86" s="136">
        <v>209.0</v>
      </c>
      <c r="Q86" s="136">
        <v>34840.0</v>
      </c>
      <c r="R86" s="136">
        <v>39.0</v>
      </c>
      <c r="S86" s="136">
        <v>4079.4</v>
      </c>
      <c r="T86" s="136">
        <v>636.75</v>
      </c>
      <c r="U86" s="136">
        <v>153.2061</v>
      </c>
      <c r="V86" s="136">
        <v>276100.62</v>
      </c>
      <c r="W86" s="136">
        <v>259206.315</v>
      </c>
      <c r="X86" s="136">
        <v>254682.37</v>
      </c>
      <c r="Y86" s="136">
        <v>-16548.8939</v>
      </c>
    </row>
    <row r="87">
      <c r="A87" s="375">
        <v>46080.0</v>
      </c>
      <c r="B87" s="376" t="s">
        <v>244</v>
      </c>
      <c r="C87" s="376">
        <v>0.0</v>
      </c>
      <c r="D87" s="136">
        <v>11621.0</v>
      </c>
      <c r="E87" s="136">
        <v>886.0</v>
      </c>
      <c r="F87" s="136">
        <v>607.0</v>
      </c>
      <c r="G87" s="136">
        <v>131.0</v>
      </c>
      <c r="H87" s="136">
        <v>35.0</v>
      </c>
      <c r="I87" s="136">
        <v>158.0</v>
      </c>
      <c r="J87" s="136">
        <v>108.0</v>
      </c>
      <c r="K87" s="136">
        <v>42.0</v>
      </c>
      <c r="L87" s="136">
        <v>14.0</v>
      </c>
      <c r="M87" s="136">
        <v>699.0</v>
      </c>
      <c r="N87" s="136">
        <v>6390.0</v>
      </c>
      <c r="O87" s="136">
        <v>38744.0</v>
      </c>
      <c r="P87" s="136">
        <v>192.0</v>
      </c>
      <c r="Q87" s="136">
        <v>36453.0</v>
      </c>
      <c r="R87" s="136">
        <v>46.0</v>
      </c>
      <c r="S87" s="136">
        <v>3130.0</v>
      </c>
      <c r="T87" s="136">
        <v>1221.79</v>
      </c>
      <c r="U87" s="136">
        <v>42.1752</v>
      </c>
      <c r="V87" s="136">
        <v>285504.35</v>
      </c>
      <c r="W87" s="136">
        <v>266011.58</v>
      </c>
      <c r="X87" s="136">
        <v>297206.72</v>
      </c>
      <c r="Y87" s="136">
        <v>16096.3352</v>
      </c>
    </row>
    <row r="88">
      <c r="A88" s="375">
        <v>46080.0</v>
      </c>
      <c r="B88" s="376" t="s">
        <v>564</v>
      </c>
      <c r="C88" s="376">
        <v>0.0</v>
      </c>
      <c r="D88" s="376">
        <v>2127.0</v>
      </c>
      <c r="E88" s="376">
        <v>229.0</v>
      </c>
      <c r="F88" s="376">
        <v>172.0</v>
      </c>
      <c r="G88" s="376">
        <v>33.0</v>
      </c>
      <c r="H88" s="376">
        <v>7.0</v>
      </c>
      <c r="I88" s="376">
        <v>10.0</v>
      </c>
      <c r="J88" s="376">
        <v>9.0</v>
      </c>
      <c r="K88" s="376">
        <v>7.0</v>
      </c>
      <c r="L88" s="376">
        <v>2.0</v>
      </c>
      <c r="M88" s="376">
        <v>199.0</v>
      </c>
      <c r="N88" s="376">
        <v>900.0</v>
      </c>
      <c r="O88" s="376">
        <v>5653.0</v>
      </c>
      <c r="P88" s="376">
        <v>45.0</v>
      </c>
      <c r="Q88" s="376">
        <v>4200.0</v>
      </c>
      <c r="R88" s="376">
        <v>8.0</v>
      </c>
      <c r="S88" s="376">
        <v>909.6</v>
      </c>
      <c r="T88" s="376">
        <v>434.03</v>
      </c>
      <c r="U88" s="376">
        <v>11.6914</v>
      </c>
      <c r="V88" s="376">
        <v>55764.8</v>
      </c>
      <c r="W88" s="376">
        <v>51192.35</v>
      </c>
      <c r="X88" s="376">
        <v>52334.07</v>
      </c>
      <c r="Y88" s="376">
        <v>-2075.4086</v>
      </c>
    </row>
    <row r="89">
      <c r="A89" s="375">
        <v>46080.0</v>
      </c>
      <c r="B89" s="376" t="s">
        <v>562</v>
      </c>
      <c r="C89" s="376">
        <v>0.0</v>
      </c>
      <c r="D89" s="136">
        <v>1846.0</v>
      </c>
      <c r="E89" s="136">
        <v>215.0</v>
      </c>
      <c r="F89" s="136">
        <v>147.0</v>
      </c>
      <c r="G89" s="136">
        <v>42.0</v>
      </c>
      <c r="H89" s="136">
        <v>17.0</v>
      </c>
      <c r="I89" s="136">
        <v>48.0</v>
      </c>
      <c r="J89" s="136">
        <v>32.0</v>
      </c>
      <c r="K89" s="136">
        <v>14.0</v>
      </c>
      <c r="L89" s="136">
        <v>8.0</v>
      </c>
      <c r="M89" s="136">
        <v>156.0</v>
      </c>
      <c r="N89" s="136">
        <v>1800.0</v>
      </c>
      <c r="O89" s="136">
        <v>10881.0</v>
      </c>
      <c r="P89" s="136">
        <v>73.0</v>
      </c>
      <c r="Q89" s="136">
        <v>18150.0</v>
      </c>
      <c r="R89" s="136">
        <v>26.0</v>
      </c>
      <c r="S89" s="136">
        <v>914.5</v>
      </c>
      <c r="T89" s="136">
        <v>312.64</v>
      </c>
      <c r="U89" s="136">
        <v>1.036</v>
      </c>
      <c r="V89" s="136">
        <v>124759.61</v>
      </c>
      <c r="W89" s="136">
        <v>116440.525</v>
      </c>
      <c r="X89" s="136">
        <v>126874.185</v>
      </c>
      <c r="Y89" s="136">
        <v>3342.751</v>
      </c>
    </row>
    <row r="90" ht="18.75" customHeight="1">
      <c r="A90" s="377"/>
      <c r="B90" s="378"/>
      <c r="C90" s="378">
        <f t="shared" ref="C90:Y90" si="17">SUM(C86:C89)</f>
        <v>0</v>
      </c>
      <c r="D90" s="379">
        <f t="shared" si="17"/>
        <v>44164</v>
      </c>
      <c r="E90" s="379">
        <f t="shared" si="17"/>
        <v>2890</v>
      </c>
      <c r="F90" s="379">
        <f t="shared" si="17"/>
        <v>2122</v>
      </c>
      <c r="G90" s="379">
        <f t="shared" si="17"/>
        <v>352</v>
      </c>
      <c r="H90" s="379">
        <f t="shared" si="17"/>
        <v>92</v>
      </c>
      <c r="I90" s="379">
        <f t="shared" si="17"/>
        <v>268</v>
      </c>
      <c r="J90" s="379">
        <f t="shared" si="17"/>
        <v>203</v>
      </c>
      <c r="K90" s="379">
        <f t="shared" si="17"/>
        <v>89</v>
      </c>
      <c r="L90" s="379">
        <f t="shared" si="17"/>
        <v>40</v>
      </c>
      <c r="M90" s="379">
        <f t="shared" si="17"/>
        <v>2466</v>
      </c>
      <c r="N90" s="379">
        <f t="shared" si="17"/>
        <v>12300</v>
      </c>
      <c r="O90" s="379">
        <f t="shared" si="17"/>
        <v>94962</v>
      </c>
      <c r="P90" s="379">
        <f t="shared" si="17"/>
        <v>519</v>
      </c>
      <c r="Q90" s="379">
        <f t="shared" si="17"/>
        <v>93643</v>
      </c>
      <c r="R90" s="379">
        <f t="shared" si="17"/>
        <v>119</v>
      </c>
      <c r="S90" s="379">
        <f t="shared" si="17"/>
        <v>9033.5</v>
      </c>
      <c r="T90" s="379">
        <f t="shared" si="17"/>
        <v>2605.21</v>
      </c>
      <c r="U90" s="379">
        <f t="shared" si="17"/>
        <v>208.1087</v>
      </c>
      <c r="V90" s="379">
        <f t="shared" si="17"/>
        <v>742129.38</v>
      </c>
      <c r="W90" s="379">
        <f t="shared" si="17"/>
        <v>692850.77</v>
      </c>
      <c r="X90" s="379">
        <f t="shared" si="17"/>
        <v>731097.345</v>
      </c>
      <c r="Y90" s="379">
        <f t="shared" si="17"/>
        <v>814.7837</v>
      </c>
    </row>
    <row r="91">
      <c r="A91" s="375">
        <v>46081.0</v>
      </c>
      <c r="B91" s="376" t="s">
        <v>563</v>
      </c>
      <c r="C91" s="376">
        <v>0.0</v>
      </c>
      <c r="D91" s="376">
        <v>29421.0</v>
      </c>
      <c r="E91" s="376">
        <v>2265.0</v>
      </c>
      <c r="F91" s="376">
        <v>1508.0</v>
      </c>
      <c r="G91" s="376">
        <v>317.0</v>
      </c>
      <c r="H91" s="376">
        <v>50.0</v>
      </c>
      <c r="I91" s="376">
        <v>640.0</v>
      </c>
      <c r="J91" s="376">
        <v>367.0</v>
      </c>
      <c r="K91" s="376">
        <v>186.0</v>
      </c>
      <c r="L91" s="376">
        <v>29.0</v>
      </c>
      <c r="M91" s="376">
        <v>1884.0</v>
      </c>
      <c r="N91" s="376">
        <v>24133.0</v>
      </c>
      <c r="O91" s="376">
        <v>53535.0</v>
      </c>
      <c r="P91" s="376">
        <v>388.0</v>
      </c>
      <c r="Q91" s="376">
        <v>30614.0</v>
      </c>
      <c r="R91" s="376">
        <v>59.0</v>
      </c>
      <c r="S91" s="376">
        <v>8425.89</v>
      </c>
      <c r="T91" s="376">
        <v>989.12</v>
      </c>
      <c r="U91" s="376">
        <v>46.1508</v>
      </c>
      <c r="V91" s="376">
        <v>461934.69</v>
      </c>
      <c r="W91" s="376">
        <v>432577.435</v>
      </c>
      <c r="X91" s="376">
        <v>450841.445</v>
      </c>
      <c r="Y91" s="376">
        <v>-1632.0842</v>
      </c>
    </row>
    <row r="92">
      <c r="A92" s="375">
        <v>46081.0</v>
      </c>
      <c r="B92" s="51" t="s">
        <v>244</v>
      </c>
      <c r="C92" s="376">
        <v>0.0</v>
      </c>
      <c r="D92" s="376">
        <v>11628.0</v>
      </c>
      <c r="E92" s="376">
        <v>767.0</v>
      </c>
      <c r="F92" s="376">
        <v>547.0</v>
      </c>
      <c r="G92" s="376">
        <v>105.0</v>
      </c>
      <c r="H92" s="376">
        <v>25.0</v>
      </c>
      <c r="I92" s="376">
        <v>7.0</v>
      </c>
      <c r="J92" s="376">
        <v>14.0</v>
      </c>
      <c r="K92" s="376">
        <v>18.0</v>
      </c>
      <c r="L92" s="376">
        <v>6.0</v>
      </c>
      <c r="M92" s="376">
        <v>662.0</v>
      </c>
      <c r="N92" s="376">
        <v>2187.0</v>
      </c>
      <c r="O92" s="376">
        <v>27691.0</v>
      </c>
      <c r="P92" s="376">
        <v>151.0</v>
      </c>
      <c r="Q92" s="376">
        <v>25022.0</v>
      </c>
      <c r="R92" s="376">
        <v>35.0</v>
      </c>
      <c r="S92" s="376">
        <v>2442.6</v>
      </c>
      <c r="T92" s="376">
        <v>811.45</v>
      </c>
      <c r="U92" s="376">
        <v>9.8541</v>
      </c>
      <c r="V92" s="376">
        <v>209689.15</v>
      </c>
      <c r="W92" s="376">
        <v>194532.75</v>
      </c>
      <c r="X92" s="376">
        <v>198943.955</v>
      </c>
      <c r="Y92" s="376">
        <v>-7481.2909</v>
      </c>
    </row>
    <row r="93">
      <c r="A93" s="375">
        <v>46081.0</v>
      </c>
      <c r="B93" s="376" t="s">
        <v>564</v>
      </c>
      <c r="C93" s="376">
        <v>0.0</v>
      </c>
      <c r="D93" s="136">
        <v>2153.0</v>
      </c>
      <c r="E93" s="136">
        <v>257.0</v>
      </c>
      <c r="F93" s="136">
        <v>183.0</v>
      </c>
      <c r="G93" s="136">
        <v>36.0</v>
      </c>
      <c r="H93" s="136">
        <v>11.0</v>
      </c>
      <c r="I93" s="136">
        <v>22.0</v>
      </c>
      <c r="J93" s="136">
        <v>17.0</v>
      </c>
      <c r="K93" s="136">
        <v>13.0</v>
      </c>
      <c r="L93" s="136">
        <v>7.0</v>
      </c>
      <c r="M93" s="136">
        <v>218.0</v>
      </c>
      <c r="N93" s="136">
        <v>2450.0</v>
      </c>
      <c r="O93" s="136">
        <v>8401.0</v>
      </c>
      <c r="P93" s="136">
        <v>45.0</v>
      </c>
      <c r="Q93" s="136">
        <v>5200.0</v>
      </c>
      <c r="R93" s="136">
        <v>11.0</v>
      </c>
      <c r="S93" s="136">
        <v>1222.0</v>
      </c>
      <c r="T93" s="136">
        <v>104.96</v>
      </c>
      <c r="U93" s="136">
        <v>3.548</v>
      </c>
      <c r="V93" s="136">
        <v>61852.49</v>
      </c>
      <c r="W93" s="136">
        <v>56118.98</v>
      </c>
      <c r="X93" s="136">
        <v>57784.325</v>
      </c>
      <c r="Y93" s="136">
        <v>-2737.657</v>
      </c>
    </row>
    <row r="94">
      <c r="A94" s="375">
        <v>46081.0</v>
      </c>
      <c r="B94" s="376" t="s">
        <v>562</v>
      </c>
      <c r="C94" s="376">
        <v>0.0</v>
      </c>
      <c r="D94" s="136">
        <v>1889.0</v>
      </c>
      <c r="E94" s="136">
        <v>226.0</v>
      </c>
      <c r="F94" s="136">
        <v>166.0</v>
      </c>
      <c r="G94" s="136">
        <v>57.0</v>
      </c>
      <c r="H94" s="136">
        <v>12.0</v>
      </c>
      <c r="I94" s="136">
        <v>48.0</v>
      </c>
      <c r="J94" s="136">
        <v>40.0</v>
      </c>
      <c r="K94" s="136">
        <v>14.0</v>
      </c>
      <c r="L94" s="136">
        <v>2.0</v>
      </c>
      <c r="M94" s="136">
        <v>172.0</v>
      </c>
      <c r="N94" s="136">
        <v>1540.0</v>
      </c>
      <c r="O94" s="136">
        <v>14118.0</v>
      </c>
      <c r="P94" s="136">
        <v>95.0</v>
      </c>
      <c r="Q94" s="136">
        <v>7500.0</v>
      </c>
      <c r="R94" s="136">
        <v>15.0</v>
      </c>
      <c r="S94" s="136">
        <v>752.1</v>
      </c>
      <c r="T94" s="136">
        <v>345.58</v>
      </c>
      <c r="U94" s="136">
        <v>1.4972</v>
      </c>
      <c r="V94" s="136">
        <v>180063.3</v>
      </c>
      <c r="W94" s="136">
        <v>168220.475</v>
      </c>
      <c r="X94" s="136">
        <v>178940.385</v>
      </c>
      <c r="Y94" s="136">
        <v>-23.7378</v>
      </c>
    </row>
    <row r="95" ht="18.75" customHeight="1">
      <c r="A95" s="377"/>
      <c r="B95" s="378"/>
      <c r="C95" s="378">
        <f t="shared" ref="C95:Y95" si="18">SUM(C91:C94)</f>
        <v>0</v>
      </c>
      <c r="D95" s="378">
        <f t="shared" si="18"/>
        <v>45091</v>
      </c>
      <c r="E95" s="378">
        <f t="shared" si="18"/>
        <v>3515</v>
      </c>
      <c r="F95" s="378">
        <f t="shared" si="18"/>
        <v>2404</v>
      </c>
      <c r="G95" s="378">
        <f t="shared" si="18"/>
        <v>515</v>
      </c>
      <c r="H95" s="378">
        <f t="shared" si="18"/>
        <v>98</v>
      </c>
      <c r="I95" s="378">
        <f t="shared" si="18"/>
        <v>717</v>
      </c>
      <c r="J95" s="378">
        <f t="shared" si="18"/>
        <v>438</v>
      </c>
      <c r="K95" s="378">
        <f t="shared" si="18"/>
        <v>231</v>
      </c>
      <c r="L95" s="378">
        <f t="shared" si="18"/>
        <v>44</v>
      </c>
      <c r="M95" s="378">
        <f t="shared" si="18"/>
        <v>2936</v>
      </c>
      <c r="N95" s="378">
        <f t="shared" si="18"/>
        <v>30310</v>
      </c>
      <c r="O95" s="378">
        <f t="shared" si="18"/>
        <v>103745</v>
      </c>
      <c r="P95" s="378">
        <f t="shared" si="18"/>
        <v>679</v>
      </c>
      <c r="Q95" s="378">
        <f t="shared" si="18"/>
        <v>68336</v>
      </c>
      <c r="R95" s="378">
        <f t="shared" si="18"/>
        <v>120</v>
      </c>
      <c r="S95" s="378">
        <f t="shared" si="18"/>
        <v>12842.59</v>
      </c>
      <c r="T95" s="378">
        <f t="shared" si="18"/>
        <v>2251.11</v>
      </c>
      <c r="U95" s="378">
        <f t="shared" si="18"/>
        <v>61.0501</v>
      </c>
      <c r="V95" s="378">
        <f t="shared" si="18"/>
        <v>913539.63</v>
      </c>
      <c r="W95" s="378">
        <f t="shared" si="18"/>
        <v>851449.64</v>
      </c>
      <c r="X95" s="378">
        <f t="shared" si="18"/>
        <v>886510.11</v>
      </c>
      <c r="Y95" s="378">
        <f t="shared" si="18"/>
        <v>-11874.7699</v>
      </c>
    </row>
  </sheetData>
  <drawing r:id="rId1"/>
</worksheet>
</file>