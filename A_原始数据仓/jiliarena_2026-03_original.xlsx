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渠道充值成功率-统整" sheetId="1" r:id="rId5"/>
    <sheet state="visible" name="渠道充值成功率_底稿" sheetId="2" r:id="rId6"/>
    <sheet state="visible" name="jiliarena" sheetId="3" r:id="rId7"/>
    <sheet state="hidden" name="jiliarena_日报_底稿" sheetId="4" r:id="rId8"/>
    <sheet state="visible" name="jiliarena_活动分析-日" sheetId="5" r:id="rId9"/>
    <sheet state="visible" name="jiliarena_活动总表-整月" sheetId="6" r:id="rId10"/>
    <sheet state="visible" name="jiliarena_活动分析数据_底稿" sheetId="7" r:id="rId11"/>
    <sheet state="visible" name="jiliarena_代理数据每日人数分析" sheetId="8" r:id="rId12"/>
    <sheet state="visible" name="jiliarena_代理数据_底稿" sheetId="9" r:id="rId13"/>
  </sheets>
  <definedNames/>
  <calcPr/>
  <pivotCaches>
    <pivotCache cacheId="0" r:id="rId14"/>
    <pivotCache cacheId="1" r:id="rId15"/>
  </pivotCaches>
</workbook>
</file>

<file path=xl/sharedStrings.xml><?xml version="1.0" encoding="utf-8"?>
<sst xmlns="http://schemas.openxmlformats.org/spreadsheetml/2006/main" count="1606" uniqueCount="460">
  <si>
    <t>Date</t>
  </si>
  <si>
    <t>jiliarena</t>
  </si>
  <si>
    <t>GCash</t>
  </si>
  <si>
    <t>QRPH</t>
  </si>
  <si>
    <t>GCashQR</t>
  </si>
  <si>
    <t>Maya</t>
  </si>
  <si>
    <t>GRABPAY</t>
  </si>
  <si>
    <t>Online Banking</t>
  </si>
  <si>
    <t>USDT</t>
  </si>
  <si>
    <t>GOTYME</t>
  </si>
  <si>
    <t>GCASHPAY</t>
  </si>
  <si>
    <t>申请笔数</t>
  </si>
  <si>
    <t>到账笔数</t>
  </si>
  <si>
    <t>笔数成功率</t>
  </si>
  <si>
    <t>申请金额</t>
  </si>
  <si>
    <t>到账金额</t>
  </si>
  <si>
    <t>金额成功率</t>
  </si>
  <si>
    <t>时间</t>
  </si>
  <si>
    <t>充值方式</t>
  </si>
  <si>
    <t>申请人数</t>
  </si>
  <si>
    <t>到账人数</t>
  </si>
  <si>
    <t>首存人数</t>
  </si>
  <si>
    <t>首存金额</t>
  </si>
  <si>
    <t>成功率 (%)</t>
  </si>
  <si>
    <t>到账金额占比 (%)</t>
  </si>
  <si>
    <t>平均到账时间</t>
  </si>
  <si>
    <t>66.66 %</t>
  </si>
  <si>
    <t>0.37 %</t>
  </si>
  <si>
    <t>75.00 %</t>
  </si>
  <si>
    <t>2.46 %</t>
  </si>
  <si>
    <t>73.04 %</t>
  </si>
  <si>
    <t>86.75 %</t>
  </si>
  <si>
    <t>67.21 %</t>
  </si>
  <si>
    <t>3.19 %</t>
  </si>
  <si>
    <t>80.13 %</t>
  </si>
  <si>
    <t>7.20 %</t>
  </si>
  <si>
    <t>92.85 %</t>
  </si>
  <si>
    <t>3.21 %</t>
  </si>
  <si>
    <t>2.45 %</t>
  </si>
  <si>
    <t>80.52 %</t>
  </si>
  <si>
    <t>84.45 %</t>
  </si>
  <si>
    <t>80.00 %</t>
  </si>
  <si>
    <t>3.83 %</t>
  </si>
  <si>
    <t>70.37 %</t>
  </si>
  <si>
    <t>6.03 %</t>
  </si>
  <si>
    <t>54.54 %</t>
  </si>
  <si>
    <t>1.37 %</t>
  </si>
  <si>
    <t>95.45 %</t>
  </si>
  <si>
    <t>3.49 %</t>
  </si>
  <si>
    <t>77.26 %</t>
  </si>
  <si>
    <t>81.83 %</t>
  </si>
  <si>
    <t>69.23 %</t>
  </si>
  <si>
    <t>3.35 %</t>
  </si>
  <si>
    <t>81.35 %</t>
  </si>
  <si>
    <t>9.94 %</t>
  </si>
  <si>
    <t>86.26 %</t>
  </si>
  <si>
    <t>81.92 %</t>
  </si>
  <si>
    <t>46.66 %</t>
  </si>
  <si>
    <t>1.88 %</t>
  </si>
  <si>
    <t>67.85 %</t>
  </si>
  <si>
    <t>2.93 %</t>
  </si>
  <si>
    <t>90.74 %</t>
  </si>
  <si>
    <t>12.85 %</t>
  </si>
  <si>
    <t>100.00 %</t>
  </si>
  <si>
    <t>0.39 %</t>
  </si>
  <si>
    <t>71.42 %</t>
  </si>
  <si>
    <t>1.83 %</t>
  </si>
  <si>
    <t>96.00 %</t>
  </si>
  <si>
    <t>3.65 %</t>
  </si>
  <si>
    <t>66.21 %</t>
  </si>
  <si>
    <t>72.88 %</t>
  </si>
  <si>
    <t>45.45 %</t>
  </si>
  <si>
    <t>3.40 %</t>
  </si>
  <si>
    <t>82.50 %</t>
  </si>
  <si>
    <t>18.22 %</t>
  </si>
  <si>
    <t>87.50 %</t>
  </si>
  <si>
    <t>1.84 %</t>
  </si>
  <si>
    <t>80.55 %</t>
  </si>
  <si>
    <t>7.38 %</t>
  </si>
  <si>
    <t>54.71 %</t>
  </si>
  <si>
    <t>75.25 %</t>
  </si>
  <si>
    <t>43.33 %</t>
  </si>
  <si>
    <t>6.62 %</t>
  </si>
  <si>
    <t>76.66 %</t>
  </si>
  <si>
    <t>8.90 %</t>
  </si>
  <si>
    <t>83.44 %</t>
  </si>
  <si>
    <t>87.28 %</t>
  </si>
  <si>
    <t>88.37 %</t>
  </si>
  <si>
    <t>4.89 %</t>
  </si>
  <si>
    <t>61.76 %</t>
  </si>
  <si>
    <t>4.62 %</t>
  </si>
  <si>
    <t>60.00 %</t>
  </si>
  <si>
    <t>0.63 %</t>
  </si>
  <si>
    <t>90.90 %</t>
  </si>
  <si>
    <t>2.55 %</t>
  </si>
  <si>
    <t>77.56 %</t>
  </si>
  <si>
    <t>84.73 %</t>
  </si>
  <si>
    <t>81.25 %</t>
  </si>
  <si>
    <t>3.70 %</t>
  </si>
  <si>
    <t>78.94 %</t>
  </si>
  <si>
    <t>6.13 %</t>
  </si>
  <si>
    <t>61.53 %</t>
  </si>
  <si>
    <t>5.41 %</t>
  </si>
  <si>
    <t>2.11 %</t>
  </si>
  <si>
    <t>80.20 %</t>
  </si>
  <si>
    <t>74.08 %</t>
  </si>
  <si>
    <t>62.50 %</t>
  </si>
  <si>
    <t>2.81 %</t>
  </si>
  <si>
    <t>90.56 %</t>
  </si>
  <si>
    <t>19.60 %</t>
  </si>
  <si>
    <t>91.66 %</t>
  </si>
  <si>
    <t>7.44 %</t>
  </si>
  <si>
    <t>77.87 %</t>
  </si>
  <si>
    <t>81.46 %</t>
  </si>
  <si>
    <t>57.89 %</t>
  </si>
  <si>
    <t>2.32 %</t>
  </si>
  <si>
    <t>72.41 %</t>
  </si>
  <si>
    <t>8.76 %</t>
  </si>
  <si>
    <t>净输/投注</t>
  </si>
  <si>
    <t>净赢/中奖</t>
  </si>
  <si>
    <t>8月</t>
  </si>
  <si>
    <t>手续费费率</t>
  </si>
  <si>
    <t>报表管理-平台损益总表</t>
  </si>
  <si>
    <t>报表管理-留存用户分析</t>
  </si>
  <si>
    <t>报表管理-平台损益-充值</t>
  </si>
  <si>
    <t>报表管理-游戏玩家分析</t>
  </si>
  <si>
    <t>GAME_REBATE</t>
  </si>
  <si>
    <t>APP_DOWNLOAD</t>
  </si>
  <si>
    <t>DEPOSIT</t>
  </si>
  <si>
    <t>LOGIN</t>
  </si>
  <si>
    <t>UPGRADE_BONUS</t>
  </si>
  <si>
    <t>MANUAL</t>
  </si>
  <si>
    <t>PROMO_CODE</t>
  </si>
  <si>
    <t>邀请返佣</t>
  </si>
  <si>
    <t>LOGIN_TASK</t>
  </si>
  <si>
    <t>DEPOSIT_BET_BONUS</t>
  </si>
  <si>
    <t>SAVIOR</t>
  </si>
  <si>
    <t>MISSION</t>
  </si>
  <si>
    <t>RANK_SALARY</t>
  </si>
  <si>
    <t>SECOND_DEPOSIT</t>
  </si>
  <si>
    <t>THIRD_DEPOSIT</t>
  </si>
  <si>
    <t>FIRST_DEPOSIT</t>
  </si>
  <si>
    <t>报表管理-平台损益-手续费</t>
  </si>
  <si>
    <t>报表管理-平台损益-平台毛利</t>
  </si>
  <si>
    <t>注册人数</t>
  </si>
  <si>
    <t>首充人数</t>
  </si>
  <si>
    <t>登录人数</t>
  </si>
  <si>
    <t>存款人数</t>
  </si>
  <si>
    <t>存款次数</t>
  </si>
  <si>
    <t>提款人数</t>
  </si>
  <si>
    <t>出款笔数</t>
  </si>
  <si>
    <t>投注人数</t>
  </si>
  <si>
    <t>总首存</t>
  </si>
  <si>
    <t>日充值</t>
  </si>
  <si>
    <t>提款金额</t>
  </si>
  <si>
    <t>公式</t>
  </si>
  <si>
    <t>投注</t>
  </si>
  <si>
    <t>有效投注</t>
  </si>
  <si>
    <t>公司输赢</t>
  </si>
  <si>
    <t>派彩</t>
  </si>
  <si>
    <t>棋牌输额</t>
  </si>
  <si>
    <t>棋牌赢额</t>
  </si>
  <si>
    <t>电子投注</t>
  </si>
  <si>
    <t>电子中奖</t>
  </si>
  <si>
    <t>真人投注</t>
  </si>
  <si>
    <t>真人中奖</t>
  </si>
  <si>
    <t>捕鱼投注</t>
  </si>
  <si>
    <t>捕鱼中奖</t>
  </si>
  <si>
    <t>体育投注</t>
  </si>
  <si>
    <t>体育中奖</t>
  </si>
  <si>
    <t>盘口彩票投注</t>
  </si>
  <si>
    <t>盘口彩票中奖</t>
  </si>
  <si>
    <t>玩家返水</t>
  </si>
  <si>
    <t>APP下载</t>
  </si>
  <si>
    <t>笔笔存送</t>
  </si>
  <si>
    <t>签到奖励</t>
  </si>
  <si>
    <t>升级奖励</t>
  </si>
  <si>
    <t>手动红利</t>
  </si>
  <si>
    <t>红利扣除</t>
  </si>
  <si>
    <t>优惠码</t>
  </si>
  <si>
    <t>登录任务</t>
  </si>
  <si>
    <t>存款达标奖励</t>
  </si>
  <si>
    <t>关怀援助金</t>
  </si>
  <si>
    <t>任务排行榜</t>
  </si>
  <si>
    <t>VIP俸禄</t>
  </si>
  <si>
    <t>二次存送</t>
  </si>
  <si>
    <t>三次存送</t>
  </si>
  <si>
    <t>首存</t>
  </si>
  <si>
    <t>新手任务奖励</t>
  </si>
  <si>
    <t>注册奖励</t>
  </si>
  <si>
    <t>四次存送</t>
  </si>
  <si>
    <t>五次存送</t>
  </si>
  <si>
    <t>总优惠</t>
  </si>
  <si>
    <t>返点</t>
  </si>
  <si>
    <t>代理贡献层级</t>
  </si>
  <si>
    <t>渠道手续费</t>
  </si>
  <si>
    <t>玩家提现手续费</t>
  </si>
  <si>
    <t>代理佣金（周）</t>
  </si>
  <si>
    <t>代理佣金（月</t>
  </si>
  <si>
    <t>开分</t>
  </si>
  <si>
    <t>洗分</t>
  </si>
  <si>
    <t>结算余额</t>
  </si>
  <si>
    <t>时间
 Date</t>
  </si>
  <si>
    <t>平台新注册人数
 Total New Users</t>
  </si>
  <si>
    <t>总首充人数
 first depositor / no of first time depositors</t>
  </si>
  <si>
    <t>总登录人数
 Login 
 Head Count</t>
  </si>
  <si>
    <t>续存人数
 Number of survivors</t>
  </si>
  <si>
    <t>总存款人数
 no of total depositors</t>
  </si>
  <si>
    <t>总存款次数
 deposit times / total deposit counts</t>
  </si>
  <si>
    <t>总取款人数
 no of total withdrawer</t>
  </si>
  <si>
    <t>总取款次数
 withdrawal times / total withdrawal counts</t>
  </si>
  <si>
    <t>总投注人数
 no of bettors / No of bet</t>
  </si>
  <si>
    <t>首存金额
 First deposit amount</t>
  </si>
  <si>
    <t>总存款额度
 total deposit amount</t>
  </si>
  <si>
    <t>总取款额度
 total withdrawal amount</t>
  </si>
  <si>
    <t>平台转化率
 Conversion rate</t>
  </si>
  <si>
    <t>人均首存金额</t>
  </si>
  <si>
    <t>首存比例存款
 First deposit ratio
 total deposit</t>
  </si>
  <si>
    <t>人均次数
 Per capita times</t>
  </si>
  <si>
    <t>人均入款 
 Per capita deposit</t>
  </si>
  <si>
    <t>單次人均入款</t>
  </si>
  <si>
    <t>續存/首存 比</t>
  </si>
  <si>
    <t>人均提款
 Withdrawal per capita</t>
  </si>
  <si>
    <t>存提差
 Deposit/withdrawal difference</t>
  </si>
  <si>
    <t>投注
 Betting</t>
  </si>
  <si>
    <t>有效投注额
 Valid bet</t>
  </si>
  <si>
    <t>公司输赢
 Win or lose</t>
  </si>
  <si>
    <t>派彩
 Payouts</t>
  </si>
  <si>
    <t>杀率
 kill rate</t>
  </si>
  <si>
    <t>棋牌投注
 PVP Bet</t>
  </si>
  <si>
    <t>棋牌赢额
 PVP Win</t>
  </si>
  <si>
    <t>棋牌杀率
 PVP kill rate</t>
  </si>
  <si>
    <t>電子投注
 RNG Bet</t>
  </si>
  <si>
    <t>電子中獎
 RNG Win</t>
  </si>
  <si>
    <t>電子杀率
 RNG kill rate</t>
  </si>
  <si>
    <t>真人投注
 LIVE Bet</t>
  </si>
  <si>
    <t>真人中獎
 LIVE Win</t>
  </si>
  <si>
    <t>真人杀率
 LIVE kill rate</t>
  </si>
  <si>
    <t>捕魚投注
 FISH Bet</t>
  </si>
  <si>
    <t>捕魚中獎
 FISH Win</t>
  </si>
  <si>
    <t>捕魚杀率
 FISH kill rate</t>
  </si>
  <si>
    <t>體育投注
 SPORTS Bet</t>
  </si>
  <si>
    <t>體育中獎
 SPORTS Win</t>
  </si>
  <si>
    <t>體育杀率
 SPORTS kill rate</t>
  </si>
  <si>
    <t>盘口彩票投注
 ELOTT Bet</t>
  </si>
  <si>
    <t>盘口彩票中獎
 ELOTT Win</t>
  </si>
  <si>
    <t>盘口彩票 
 ELOTT kill rate</t>
  </si>
  <si>
    <t>其他奖励
 Other Bonus</t>
  </si>
  <si>
    <t>总优惠
 （Z+...+AH）
 Total Bonus</t>
  </si>
  <si>
    <t>返点
 Rebates</t>
  </si>
  <si>
    <t>邀请返佣
 Referral rebates</t>
  </si>
  <si>
    <t>优惠占比投注
Preferential ratio
bet</t>
  </si>
  <si>
    <t>优惠占比充值
Bonus
rebates</t>
  </si>
  <si>
    <t>优惠占比游戏亏损
Preferential
astio loss</t>
  </si>
  <si>
    <t>公司净利
 company net profit</t>
  </si>
  <si>
    <t>優惠/ 淨利</t>
  </si>
  <si>
    <t>存款手续费
 Deposit fees</t>
  </si>
  <si>
    <t>提款手续费
 Withdrawal fees</t>
  </si>
  <si>
    <t>支付手续费
 service fees (Payment Channel Fee)</t>
  </si>
  <si>
    <t>预估平台费9%
 Estimate
 platform fee</t>
  </si>
  <si>
    <t>支付費用/淨利</t>
  </si>
  <si>
    <t>代理佣金（周）
 Affiliate Commission (Weekly)</t>
  </si>
  <si>
    <t>代理佣金（月）
 Affiliate Commission (Monthly)</t>
  </si>
  <si>
    <t>開分
 Credit 
 Adjustment</t>
  </si>
  <si>
    <t>洗分
 Debit 
 Adjustment</t>
  </si>
  <si>
    <t>平台余额
 Platform balance</t>
  </si>
  <si>
    <t>平台毛利 3
 GP3</t>
  </si>
  <si>
    <t>月份</t>
  </si>
  <si>
    <t>日期</t>
  </si>
  <si>
    <t>SUB total</t>
  </si>
  <si>
    <t>3月合计</t>
  </si>
  <si>
    <t>3月平均</t>
  </si>
  <si>
    <t>每月5号给上月手续费比例</t>
  </si>
  <si>
    <t xml:space="preserve"> </t>
  </si>
  <si>
    <t>报表管理-活跃用户分析</t>
  </si>
  <si>
    <t>报表管理-平台损益</t>
  </si>
  <si>
    <t>总账号</t>
  </si>
  <si>
    <t>首投人数</t>
  </si>
  <si>
    <t>首提人数</t>
  </si>
  <si>
    <t>彩金领取人数</t>
  </si>
  <si>
    <t>充提差</t>
  </si>
  <si>
    <t>ARPU</t>
  </si>
  <si>
    <t>平台毛利</t>
  </si>
  <si>
    <t>充值</t>
  </si>
  <si>
    <t>充值人数</t>
  </si>
  <si>
    <t>提现人数</t>
  </si>
  <si>
    <t>玩家充值手续费</t>
  </si>
  <si>
    <t>玩家提款手续费</t>
  </si>
  <si>
    <t>手续费</t>
  </si>
  <si>
    <t>电子有效投注</t>
  </si>
  <si>
    <t>电子红利</t>
  </si>
  <si>
    <t>电子返水</t>
  </si>
  <si>
    <t>电子邀请返佣</t>
  </si>
  <si>
    <t>电子代理返点</t>
  </si>
  <si>
    <t>电子代理日工资</t>
  </si>
  <si>
    <t>电子代理佣金</t>
  </si>
  <si>
    <t>电子代理分红</t>
  </si>
  <si>
    <t>电子盈亏</t>
  </si>
  <si>
    <t>真人有效投注</t>
  </si>
  <si>
    <t>真人红利</t>
  </si>
  <si>
    <t>真人返水</t>
  </si>
  <si>
    <t>真人邀请返佣</t>
  </si>
  <si>
    <t>真人代理返点</t>
  </si>
  <si>
    <t>真人代理日工资</t>
  </si>
  <si>
    <t>真人代理佣金</t>
  </si>
  <si>
    <t>真人代理分红</t>
  </si>
  <si>
    <t>真人盈亏</t>
  </si>
  <si>
    <t>彩票投注</t>
  </si>
  <si>
    <t>彩票有效投注</t>
  </si>
  <si>
    <t>彩票中奖</t>
  </si>
  <si>
    <t>彩票红利</t>
  </si>
  <si>
    <t>彩票返水</t>
  </si>
  <si>
    <t>彩票邀请返佣</t>
  </si>
  <si>
    <t>彩票代理返点</t>
  </si>
  <si>
    <t>平台佣金</t>
  </si>
  <si>
    <t>彩票代理日工资</t>
  </si>
  <si>
    <t>彩票代理佣金</t>
  </si>
  <si>
    <t>彩票代理分红</t>
  </si>
  <si>
    <t>彩票盈亏</t>
  </si>
  <si>
    <t>棋牌有效投注</t>
  </si>
  <si>
    <t>棋牌红利</t>
  </si>
  <si>
    <t>棋牌返水</t>
  </si>
  <si>
    <t>棋牌邀请返佣</t>
  </si>
  <si>
    <t>棋牌代理返点</t>
  </si>
  <si>
    <t>棋牌代理日工资</t>
  </si>
  <si>
    <t>棋牌代理佣金</t>
  </si>
  <si>
    <t>棋牌代理分红</t>
  </si>
  <si>
    <t>棋牌盈亏</t>
  </si>
  <si>
    <t>捕鱼有效投注</t>
  </si>
  <si>
    <t>捕鱼红利</t>
  </si>
  <si>
    <t>捕鱼玩家返水</t>
  </si>
  <si>
    <t>捕鱼邀请返佣</t>
  </si>
  <si>
    <t>捕鱼代理返点</t>
  </si>
  <si>
    <t>捕鱼代理日工资</t>
  </si>
  <si>
    <t>捕鱼代理佣金</t>
  </si>
  <si>
    <t>捕鱼代理分红</t>
  </si>
  <si>
    <t>捕鱼盈亏</t>
  </si>
  <si>
    <t>体育有效投注</t>
  </si>
  <si>
    <t>体育红利</t>
  </si>
  <si>
    <t>体育玩家返水</t>
  </si>
  <si>
    <t>体育邀请返佣</t>
  </si>
  <si>
    <t>体育代理返点</t>
  </si>
  <si>
    <t>体育代理日工资</t>
  </si>
  <si>
    <t>体育代理佣金</t>
  </si>
  <si>
    <t>体育代理分红</t>
  </si>
  <si>
    <t>体育盈亏</t>
  </si>
  <si>
    <t>盘口彩票有效投注</t>
  </si>
  <si>
    <t>盘口彩票红利</t>
  </si>
  <si>
    <t>盘口彩票玩家返水</t>
  </si>
  <si>
    <t>盘口彩邀请返佣</t>
  </si>
  <si>
    <t>盘口彩票代理返点</t>
  </si>
  <si>
    <t>盘口彩票代理日工资</t>
  </si>
  <si>
    <t>盘口彩票代理佣金</t>
  </si>
  <si>
    <t>盘口彩票代理分红</t>
  </si>
  <si>
    <t>盘口彩票盈亏</t>
  </si>
  <si>
    <t>中心钱包红利</t>
  </si>
  <si>
    <t>综合性分红</t>
  </si>
  <si>
    <t>综合佣金</t>
  </si>
  <si>
    <t>综合日工资</t>
  </si>
  <si>
    <t>直播送礼</t>
  </si>
  <si>
    <t>邀请奖励</t>
  </si>
  <si>
    <t>成就奖励</t>
  </si>
  <si>
    <t>充值返佣</t>
  </si>
  <si>
    <t>手续费返还</t>
  </si>
  <si>
    <t>其他</t>
  </si>
  <si>
    <t>中心开始馀额</t>
  </si>
  <si>
    <t>中心开始浮动余额</t>
  </si>
  <si>
    <t>开始余额</t>
  </si>
  <si>
    <t>中心结算馀额</t>
  </si>
  <si>
    <t>中心结算浮动余额</t>
  </si>
  <si>
    <t>序号</t>
  </si>
  <si>
    <t>活动名称</t>
  </si>
  <si>
    <t>活动类型</t>
  </si>
  <si>
    <t>笔数</t>
  </si>
  <si>
    <t>人数</t>
  </si>
  <si>
    <t>充值金額</t>
  </si>
  <si>
    <t>总充值占比</t>
  </si>
  <si>
    <t>活动金额</t>
  </si>
  <si>
    <t>活动占比</t>
  </si>
  <si>
    <t>活动/投注 %</t>
  </si>
  <si>
    <t>活动/充值 %</t>
  </si>
  <si>
    <t>活动/亏损 %</t>
  </si>
  <si>
    <t>返水</t>
  </si>
  <si>
    <t>RNG Rebate</t>
  </si>
  <si>
    <t>LIVE Rebate</t>
  </si>
  <si>
    <t>PVP Rebate</t>
  </si>
  <si>
    <t>FISH Rebate</t>
  </si>
  <si>
    <t>E-LOTTO Rebate</t>
  </si>
  <si>
    <t>SPORTS Rebate</t>
  </si>
  <si>
    <t>20% Daily Slots Deposit Bonus</t>
  </si>
  <si>
    <t>老虎机存款20%</t>
  </si>
  <si>
    <t>3% TOP UP BONUS EVERY TIME</t>
  </si>
  <si>
    <t>充值 3%奖利</t>
  </si>
  <si>
    <t>Surprise Super Bonus test</t>
  </si>
  <si>
    <t>惊喜超级奖金测试</t>
  </si>
  <si>
    <t>NEW MEMBER 1ST DEPOSIT BONUS</t>
  </si>
  <si>
    <t>NEW MEMBER 2ND DEPOSIT BONUS</t>
  </si>
  <si>
    <t>NEW MEMBER 3RD DEPOSIT BONUS</t>
  </si>
  <si>
    <t>NEW MEMBER 4TH DEPOSIT BONUS</t>
  </si>
  <si>
    <t>NEW MEMBER 5TH DEPOSIT BONUS</t>
  </si>
  <si>
    <t>推薦好友</t>
  </si>
  <si>
    <t>存款達標</t>
  </si>
  <si>
    <t>3% DAILY CASHBACK</t>
  </si>
  <si>
    <t>总计</t>
  </si>
  <si>
    <t>列</t>
  </si>
  <si>
    <t>大标</t>
  </si>
  <si>
    <t>充值金额</t>
  </si>
  <si>
    <t>人数占比</t>
  </si>
  <si>
    <t>兑换票券金额</t>
  </si>
  <si>
    <t>兑换票券数</t>
  </si>
  <si>
    <t>金额占比</t>
  </si>
  <si>
    <t>行</t>
  </si>
  <si>
    <t>值</t>
  </si>
  <si>
    <t/>
  </si>
  <si>
    <t>NEW REGISTER GET 20P FREE BONUS</t>
  </si>
  <si>
    <t>50% second deposit bonus</t>
  </si>
  <si>
    <t>FOURTH_DEPOSIT</t>
  </si>
  <si>
    <t>用于“存值金额”的 SUM</t>
  </si>
  <si>
    <t>WP</t>
  </si>
  <si>
    <t>中文</t>
  </si>
  <si>
    <t>金额相加F+G</t>
  </si>
  <si>
    <t>C</t>
  </si>
  <si>
    <t>L</t>
  </si>
  <si>
    <t>存值金额</t>
  </si>
  <si>
    <t>50% first deposit bonus</t>
  </si>
  <si>
    <t>Free daily check-in rewards</t>
  </si>
  <si>
    <t>DAILY LOGIN TASK BONUS</t>
  </si>
  <si>
    <t>投注返佣</t>
  </si>
  <si>
    <t>JILI ARENA REWARD CLUB</t>
  </si>
  <si>
    <t>免费转券</t>
  </si>
  <si>
    <t>10% PP PG slot bonus 500</t>
  </si>
  <si>
    <t>10% PP PG slot bonus 1000</t>
  </si>
  <si>
    <t>JILI GRAND LUCKY DRAW</t>
  </si>
  <si>
    <t>JILI FREE SPIN 3/11</t>
  </si>
  <si>
    <t>代理 / 每日存款</t>
  </si>
  <si>
    <t>jiliarena01</t>
  </si>
  <si>
    <t>eli168</t>
  </si>
  <si>
    <t>jiliseo18</t>
  </si>
  <si>
    <t>兩日存款對比</t>
  </si>
  <si>
    <t>代理 / 日期</t>
  </si>
  <si>
    <t>人數</t>
  </si>
  <si>
    <t>合计</t>
  </si>
  <si>
    <t>差</t>
  </si>
  <si>
    <t>兩日人數對比</t>
  </si>
  <si>
    <t>total</t>
  </si>
  <si>
    <t>报表管理-代理市场分析</t>
  </si>
  <si>
    <t>贴档过来，记打打卡小数点</t>
  </si>
  <si>
    <t>代理账号</t>
  </si>
  <si>
    <t>代理层级</t>
  </si>
  <si>
    <t>登入人数</t>
  </si>
  <si>
    <t>首充金额</t>
  </si>
  <si>
    <t>充值次数</t>
  </si>
  <si>
    <t>提现</t>
  </si>
  <si>
    <t>提现次数</t>
  </si>
  <si>
    <t>红利</t>
  </si>
  <si>
    <t>中奖</t>
  </si>
  <si>
    <t>盈亏</t>
  </si>
  <si>
    <t>boss888</t>
  </si>
  <si>
    <t>win168</t>
  </si>
  <si>
    <t>ph12388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</si>
</sst>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"/>
    <numFmt numFmtId="165" formatCode="hh:mm:ss"/>
    <numFmt numFmtId="166" formatCode="  #,##0.00_);-[Red]#,##0.00"/>
    <numFmt numFmtId="167" formatCode="yyyy-M-d"/>
    <numFmt numFmtId="168" formatCode="  #,##0_);-[Red]#,##0"/>
    <numFmt numFmtId="169" formatCode="yyyy/m/d"/>
    <numFmt numFmtId="170" formatCode="m&quot;/&quot;d"/>
    <numFmt numFmtId="171" formatCode="yyyy-m-d"/>
    <numFmt numFmtId="172" formatCode=" #,##0_);-[Red]#,##0"/>
    <numFmt numFmtId="173" formatCode=" #,##0.00_);-[Red]#,##0.00"/>
    <numFmt numFmtId="174" formatCode="#,##0.00_);[Red]-#,##0.00"/>
  </numFmts>
  <fonts count="47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4.0"/>
      <color rgb="FFFFFFFF"/>
      <name val="Arial"/>
      <scheme val="minor"/>
    </font>
    <font>
      <color rgb="FF000000"/>
      <name val="Arial"/>
      <scheme val="minor"/>
    </font>
    <font>
      <b/>
      <color rgb="FF000000"/>
      <name val="Arial"/>
    </font>
    <font/>
    <font>
      <sz val="19.0"/>
      <color theme="1"/>
      <name val="Arial"/>
      <scheme val="minor"/>
    </font>
    <font>
      <sz val="12.0"/>
      <color rgb="FF000000"/>
      <name val="新細明體"/>
    </font>
    <font>
      <sz val="12.0"/>
      <color theme="1"/>
      <name val="Arial"/>
    </font>
    <font>
      <color rgb="FF000000"/>
      <name val="&quot;Open Sans&quot;"/>
    </font>
    <font>
      <b/>
      <sz val="15.0"/>
      <color rgb="FFFFFFFF"/>
      <name val="新細明體"/>
    </font>
    <font>
      <b/>
      <color theme="1"/>
      <name val="新細明體"/>
    </font>
    <font>
      <sz val="11.0"/>
      <color rgb="FF000000"/>
      <name val="新細明體"/>
    </font>
    <font>
      <b/>
      <sz val="7.0"/>
      <color rgb="FFFFFFFF"/>
      <name val="新細明體"/>
    </font>
    <font>
      <sz val="7.0"/>
      <color rgb="FF000000"/>
      <name val="新細明體"/>
    </font>
    <font>
      <b/>
      <sz val="7.0"/>
      <color theme="1"/>
      <name val="新細明體"/>
    </font>
    <font>
      <sz val="11.0"/>
      <color theme="1"/>
      <name val="新細明體"/>
    </font>
    <font>
      <color theme="1"/>
      <name val="新細明體"/>
    </font>
    <font>
      <b/>
      <color rgb="FF0C17F0"/>
      <name val="新細明體"/>
    </font>
    <font>
      <b/>
      <color rgb="FF000000"/>
      <name val="新細明體"/>
    </font>
    <font>
      <b/>
      <color rgb="FF0000FF"/>
      <name val="新細明體"/>
    </font>
    <font>
      <b/>
      <color theme="1"/>
      <name val="Arial"/>
    </font>
    <font>
      <color theme="1"/>
      <name val="Arial"/>
    </font>
    <font>
      <color rgb="FF0000FF"/>
      <name val="Arial"/>
    </font>
    <font>
      <b/>
      <color rgb="FFFF0000"/>
      <name val="Arial"/>
    </font>
    <font>
      <color rgb="FF9C0006"/>
      <name val="Arial"/>
    </font>
    <font>
      <sz val="11.0"/>
      <color rgb="FF151FF1"/>
      <name val="Arial"/>
    </font>
    <font>
      <sz val="11.0"/>
      <color theme="1"/>
      <name val="Arial"/>
    </font>
    <font>
      <b/>
      <color rgb="FFE04343"/>
      <name val="新細明體"/>
    </font>
    <font>
      <b/>
      <color rgb="FFE04343"/>
      <name val="Arial"/>
    </font>
    <font>
      <b/>
      <color rgb="FF000000"/>
      <name val="Arial"/>
      <scheme val="minor"/>
    </font>
    <font>
      <b/>
      <color theme="1"/>
      <name val="Arial"/>
      <scheme val="minor"/>
    </font>
    <font>
      <b/>
      <color rgb="FF0000FF"/>
      <name val="Arial"/>
      <scheme val="minor"/>
    </font>
    <font>
      <b/>
      <sz val="19.0"/>
      <color theme="1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2.0"/>
      <color theme="1"/>
      <name val="Arial"/>
    </font>
    <font>
      <b/>
      <sz val="13.0"/>
      <color theme="1"/>
      <name val="Arial"/>
    </font>
    <font>
      <b/>
      <sz val="14.0"/>
      <color theme="1"/>
      <name val="Arial"/>
    </font>
    <font>
      <sz val="13.0"/>
      <color theme="1"/>
      <name val="Arial"/>
    </font>
    <font>
      <sz val="14.0"/>
      <color theme="1"/>
      <name val="Arial"/>
      <scheme val="minor"/>
    </font>
    <font>
      <sz val="14.0"/>
      <color rgb="FF000000"/>
      <name val="新細明體"/>
    </font>
    <font>
      <sz val="13.0"/>
      <color theme="1"/>
      <name val="SimHei"/>
    </font>
    <font>
      <b/>
      <sz val="11.0"/>
      <color rgb="FF1677FF"/>
      <name val="&quot;Open Sans&quot;"/>
    </font>
    <font>
      <b/>
      <color rgb="FFFFFFFF"/>
      <name val="Arial"/>
    </font>
    <font>
      <b/>
      <sz val="12.0"/>
      <color rgb="FFFF0000"/>
      <name val="新細明體"/>
    </font>
  </fonts>
  <fills count="32">
    <fill>
      <patternFill patternType="none"/>
    </fill>
    <fill>
      <patternFill patternType="lightGray"/>
    </fill>
    <fill>
      <patternFill patternType="solid">
        <fgColor rgb="FF70E096"/>
        <bgColor rgb="FF70E096"/>
      </patternFill>
    </fill>
    <fill>
      <patternFill patternType="solid">
        <fgColor rgb="FF000000"/>
        <bgColor rgb="FF000000"/>
      </patternFill>
    </fill>
    <fill>
      <patternFill patternType="solid">
        <fgColor rgb="FFCCE6FF"/>
        <bgColor rgb="FFCCE6FF"/>
      </patternFill>
    </fill>
    <fill>
      <patternFill patternType="solid">
        <fgColor rgb="FFFFF001"/>
        <bgColor rgb="FFFFF001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FFF00"/>
        <bgColor rgb="FFFFFF00"/>
      </patternFill>
    </fill>
    <fill>
      <patternFill patternType="solid">
        <fgColor rgb="FF99CEFF"/>
        <bgColor rgb="FF99CEFF"/>
      </patternFill>
    </fill>
    <fill>
      <patternFill patternType="solid">
        <fgColor rgb="FFE2D9FF"/>
        <bgColor rgb="FFE2D9FF"/>
      </patternFill>
    </fill>
    <fill>
      <patternFill patternType="solid">
        <fgColor rgb="FFC9DAF8"/>
        <bgColor rgb="FFC9DAF8"/>
      </patternFill>
    </fill>
    <fill>
      <patternFill patternType="solid">
        <fgColor rgb="FFA39FBE"/>
        <bgColor rgb="FFA39FBE"/>
      </patternFill>
    </fill>
    <fill>
      <patternFill patternType="solid">
        <fgColor rgb="FFFCD5B4"/>
        <bgColor rgb="FFFCD5B4"/>
      </patternFill>
    </fill>
    <fill>
      <patternFill patternType="solid">
        <fgColor rgb="FFC4BD97"/>
        <bgColor rgb="FFC4BD97"/>
      </patternFill>
    </fill>
    <fill>
      <patternFill patternType="solid">
        <fgColor rgb="FFE6EBF0"/>
        <bgColor rgb="FFE6EBF0"/>
      </patternFill>
    </fill>
    <fill>
      <patternFill patternType="solid">
        <fgColor rgb="FFFFFFCC"/>
        <bgColor rgb="FFFFFFCC"/>
      </patternFill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D9B2"/>
        <bgColor rgb="FFFFD9B2"/>
      </patternFill>
    </fill>
    <fill>
      <patternFill patternType="solid">
        <fgColor rgb="FFFFF2CC"/>
        <bgColor rgb="FFFFF2CC"/>
      </patternFill>
    </fill>
    <fill>
      <patternFill patternType="solid">
        <fgColor rgb="FFFFB973"/>
        <bgColor rgb="FFFFB973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D9F2"/>
        <bgColor rgb="FFFFD9F2"/>
      </patternFill>
    </fill>
    <fill>
      <patternFill patternType="solid">
        <fgColor rgb="FFFFA6E0"/>
        <bgColor rgb="FFFFA6E0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C4F5D4"/>
        <bgColor rgb="FFC4F5D4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F0F0F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5" fillId="4" fontId="3" numFmtId="164" xfId="0" applyAlignment="1" applyBorder="1" applyFill="1" applyFont="1" applyNumberFormat="1">
      <alignment horizontal="center" readingOrder="0" vertical="center"/>
    </xf>
    <xf borderId="2" fillId="0" fontId="3" numFmtId="0" xfId="0" applyAlignment="1" applyBorder="1" applyFont="1">
      <alignment horizontal="left" readingOrder="0"/>
    </xf>
    <xf borderId="3" fillId="0" fontId="4" numFmtId="3" xfId="0" applyAlignment="1" applyBorder="1" applyFont="1" applyNumberFormat="1">
      <alignment horizontal="center" readingOrder="0"/>
    </xf>
    <xf borderId="4" fillId="0" fontId="4" numFmtId="3" xfId="0" applyAlignment="1" applyBorder="1" applyFont="1" applyNumberFormat="1">
      <alignment horizontal="center" readingOrder="0"/>
    </xf>
    <xf borderId="6" fillId="0" fontId="5" numFmtId="0" xfId="0" applyBorder="1" applyFont="1"/>
    <xf borderId="0" fillId="0" fontId="3" numFmtId="0" xfId="0" applyAlignment="1" applyFont="1">
      <alignment horizontal="left" readingOrder="0"/>
    </xf>
    <xf borderId="0" fillId="0" fontId="4" numFmtId="3" xfId="0" applyAlignment="1" applyFont="1" applyNumberFormat="1">
      <alignment horizontal="center" readingOrder="0"/>
    </xf>
    <xf borderId="7" fillId="0" fontId="4" numFmtId="3" xfId="0" applyAlignment="1" applyBorder="1" applyFont="1" applyNumberFormat="1">
      <alignment horizontal="center" readingOrder="0"/>
    </xf>
    <xf borderId="0" fillId="5" fontId="3" numFmtId="0" xfId="0" applyAlignment="1" applyFill="1" applyFont="1">
      <alignment horizontal="left" readingOrder="0"/>
    </xf>
    <xf borderId="0" fillId="5" fontId="4" numFmtId="10" xfId="0" applyAlignment="1" applyFont="1" applyNumberFormat="1">
      <alignment horizontal="center" readingOrder="0"/>
    </xf>
    <xf borderId="7" fillId="5" fontId="4" numFmtId="10" xfId="0" applyAlignment="1" applyBorder="1" applyFont="1" applyNumberFormat="1">
      <alignment horizontal="center" readingOrder="0"/>
    </xf>
    <xf borderId="0" fillId="0" fontId="4" numFmtId="4" xfId="0" applyAlignment="1" applyFont="1" applyNumberFormat="1">
      <alignment horizontal="center" readingOrder="0"/>
    </xf>
    <xf borderId="8" fillId="0" fontId="3" numFmtId="0" xfId="0" applyAlignment="1" applyBorder="1" applyFont="1">
      <alignment horizontal="left" readingOrder="0"/>
    </xf>
    <xf borderId="9" fillId="0" fontId="5" numFmtId="0" xfId="0" applyBorder="1" applyFont="1"/>
    <xf borderId="10" fillId="6" fontId="3" numFmtId="0" xfId="0" applyAlignment="1" applyBorder="1" applyFill="1" applyFont="1">
      <alignment horizontal="left" readingOrder="0"/>
    </xf>
    <xf borderId="11" fillId="6" fontId="4" numFmtId="10" xfId="0" applyAlignment="1" applyBorder="1" applyFont="1" applyNumberFormat="1">
      <alignment horizontal="center" readingOrder="0"/>
    </xf>
    <xf borderId="12" fillId="6" fontId="4" numFmtId="10" xfId="0" applyAlignment="1" applyBorder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8" numFmtId="164" xfId="0" applyAlignment="1" applyFont="1" applyNumberFormat="1">
      <alignment horizontal="right" readingOrder="0" vertical="bottom"/>
    </xf>
    <xf borderId="13" fillId="7" fontId="9" numFmtId="0" xfId="0" applyAlignment="1" applyBorder="1" applyFill="1" applyFont="1">
      <alignment horizontal="center" readingOrder="0" shrinkToFit="0" wrapText="0"/>
    </xf>
    <xf borderId="13" fillId="7" fontId="9" numFmtId="0" xfId="0" applyAlignment="1" applyBorder="1" applyFont="1">
      <alignment horizontal="right" readingOrder="0" shrinkToFit="0" wrapText="0"/>
    </xf>
    <xf borderId="13" fillId="7" fontId="9" numFmtId="4" xfId="0" applyAlignment="1" applyBorder="1" applyFont="1" applyNumberFormat="1">
      <alignment horizontal="right" readingOrder="0" shrinkToFit="0" wrapText="0"/>
    </xf>
    <xf borderId="13" fillId="7" fontId="9" numFmtId="165" xfId="0" applyAlignment="1" applyBorder="1" applyFont="1" applyNumberFormat="1">
      <alignment horizontal="center" readingOrder="0" shrinkToFit="0" wrapText="0"/>
    </xf>
    <xf borderId="13" fillId="8" fontId="9" numFmtId="0" xfId="0" applyAlignment="1" applyBorder="1" applyFill="1" applyFont="1">
      <alignment horizontal="center" readingOrder="0" shrinkToFit="0" wrapText="0"/>
    </xf>
    <xf borderId="13" fillId="8" fontId="9" numFmtId="0" xfId="0" applyAlignment="1" applyBorder="1" applyFont="1">
      <alignment horizontal="right" readingOrder="0" shrinkToFit="0" wrapText="0"/>
    </xf>
    <xf borderId="13" fillId="8" fontId="9" numFmtId="4" xfId="0" applyAlignment="1" applyBorder="1" applyFont="1" applyNumberFormat="1">
      <alignment horizontal="right" readingOrder="0" shrinkToFit="0" wrapText="0"/>
    </xf>
    <xf borderId="13" fillId="8" fontId="9" numFmtId="165" xfId="0" applyAlignment="1" applyBorder="1" applyFont="1" applyNumberFormat="1">
      <alignment horizontal="center" readingOrder="0" shrinkToFit="0" wrapText="0"/>
    </xf>
    <xf borderId="13" fillId="7" fontId="9" numFmtId="3" xfId="0" applyAlignment="1" applyBorder="1" applyFont="1" applyNumberFormat="1">
      <alignment horizontal="right" readingOrder="0" shrinkToFit="0" wrapText="0"/>
    </xf>
    <xf borderId="13" fillId="8" fontId="9" numFmtId="3" xfId="0" applyAlignment="1" applyBorder="1" applyFont="1" applyNumberFormat="1">
      <alignment horizontal="right" readingOrder="0" shrinkToFit="0" wrapText="0"/>
    </xf>
    <xf borderId="0" fillId="9" fontId="8" numFmtId="164" xfId="0" applyAlignment="1" applyFill="1" applyFont="1" applyNumberFormat="1">
      <alignment horizontal="right" vertical="bottom"/>
    </xf>
    <xf borderId="0" fillId="9" fontId="8" numFmtId="0" xfId="0" applyAlignment="1" applyFont="1">
      <alignment vertical="bottom"/>
    </xf>
    <xf borderId="0" fillId="9" fontId="8" numFmtId="0" xfId="0" applyAlignment="1" applyFont="1">
      <alignment horizontal="right" vertical="bottom"/>
    </xf>
    <xf borderId="0" fillId="9" fontId="8" numFmtId="165" xfId="0" applyAlignment="1" applyFont="1" applyNumberFormat="1">
      <alignment horizontal="right" vertical="bottom"/>
    </xf>
    <xf borderId="0" fillId="0" fontId="7" numFmtId="164" xfId="0" applyAlignment="1" applyFont="1" applyNumberFormat="1">
      <alignment readingOrder="0" shrinkToFit="0" vertical="bottom" wrapText="0"/>
    </xf>
    <xf borderId="0" fillId="9" fontId="7" numFmtId="164" xfId="0" applyAlignment="1" applyFont="1" applyNumberFormat="1">
      <alignment readingOrder="0" shrinkToFit="0" vertical="bottom" wrapText="0"/>
    </xf>
    <xf borderId="13" fillId="9" fontId="9" numFmtId="0" xfId="0" applyAlignment="1" applyBorder="1" applyFont="1">
      <alignment horizontal="center" readingOrder="0" shrinkToFit="0" wrapText="0"/>
    </xf>
    <xf borderId="13" fillId="9" fontId="9" numFmtId="0" xfId="0" applyAlignment="1" applyBorder="1" applyFont="1">
      <alignment horizontal="right" readingOrder="0" shrinkToFit="0" wrapText="0"/>
    </xf>
    <xf borderId="13" fillId="9" fontId="9" numFmtId="4" xfId="0" applyAlignment="1" applyBorder="1" applyFont="1" applyNumberFormat="1">
      <alignment horizontal="right" readingOrder="0" shrinkToFit="0" wrapText="0"/>
    </xf>
    <xf borderId="13" fillId="9" fontId="9" numFmtId="165" xfId="0" applyAlignment="1" applyBorder="1" applyFont="1" applyNumberFormat="1">
      <alignment horizontal="center" readingOrder="0" shrinkToFit="0" wrapText="0"/>
    </xf>
    <xf borderId="13" fillId="0" fontId="9" numFmtId="0" xfId="0" applyAlignment="1" applyBorder="1" applyFont="1">
      <alignment horizontal="center" readingOrder="0" shrinkToFit="0" wrapText="0"/>
    </xf>
    <xf borderId="13" fillId="0" fontId="9" numFmtId="0" xfId="0" applyAlignment="1" applyBorder="1" applyFont="1">
      <alignment horizontal="right" readingOrder="0" shrinkToFit="0" wrapText="0"/>
    </xf>
    <xf borderId="13" fillId="0" fontId="9" numFmtId="4" xfId="0" applyAlignment="1" applyBorder="1" applyFont="1" applyNumberFormat="1">
      <alignment horizontal="right" readingOrder="0" shrinkToFit="0" wrapText="0"/>
    </xf>
    <xf borderId="13" fillId="0" fontId="9" numFmtId="165" xfId="0" applyAlignment="1" applyBorder="1" applyFont="1" applyNumberFormat="1">
      <alignment horizontal="center" readingOrder="0" shrinkToFit="0" wrapText="0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165" xfId="0" applyAlignment="1" applyFont="1" applyNumberFormat="1">
      <alignment horizontal="right" readingOrder="0" vertical="bottom"/>
    </xf>
    <xf borderId="0" fillId="0" fontId="8" numFmtId="16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165" xfId="0" applyAlignment="1" applyFont="1" applyNumberFormat="1">
      <alignment horizontal="right" vertical="bottom"/>
    </xf>
    <xf borderId="13" fillId="0" fontId="9" numFmtId="3" xfId="0" applyAlignment="1" applyBorder="1" applyFont="1" applyNumberFormat="1">
      <alignment horizontal="right" readingOrder="0" shrinkToFit="0" wrapText="0"/>
    </xf>
    <xf borderId="0" fillId="3" fontId="10" numFmtId="0" xfId="0" applyAlignment="1" applyFont="1">
      <alignment horizontal="center" readingOrder="0" shrinkToFit="0" wrapText="0"/>
    </xf>
    <xf borderId="0" fillId="0" fontId="11" numFmtId="0" xfId="0" applyAlignment="1" applyFont="1">
      <alignment horizontal="center" shrinkToFit="0" wrapText="0"/>
    </xf>
    <xf borderId="0" fillId="0" fontId="12" numFmtId="0" xfId="0" applyAlignment="1" applyFont="1">
      <alignment horizontal="center" shrinkToFit="0" wrapText="0"/>
    </xf>
    <xf borderId="0" fillId="0" fontId="11" numFmtId="166" xfId="0" applyAlignment="1" applyFont="1" applyNumberFormat="1">
      <alignment horizontal="center" shrinkToFit="0" wrapText="0"/>
    </xf>
    <xf borderId="0" fillId="0" fontId="11" numFmtId="4" xfId="0" applyAlignment="1" applyFont="1" applyNumberFormat="1">
      <alignment horizontal="center" shrinkToFit="0" wrapText="0"/>
    </xf>
    <xf borderId="0" fillId="0" fontId="12" numFmtId="0" xfId="0" applyAlignment="1" applyFont="1">
      <alignment horizontal="center" readingOrder="0" shrinkToFit="0" wrapText="0"/>
    </xf>
    <xf borderId="0" fillId="0" fontId="11" numFmtId="0" xfId="0" applyAlignment="1" applyFont="1">
      <alignment horizontal="center" readingOrder="0" shrinkToFit="0" wrapText="0"/>
    </xf>
    <xf borderId="0" fillId="0" fontId="11" numFmtId="10" xfId="0" applyAlignment="1" applyFont="1" applyNumberFormat="1">
      <alignment horizontal="center" shrinkToFit="0" wrapText="0"/>
    </xf>
    <xf borderId="0" fillId="0" fontId="1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9" fontId="3" numFmtId="0" xfId="0" applyAlignment="1" applyFont="1">
      <alignment horizontal="center" readingOrder="0"/>
    </xf>
    <xf borderId="0" fillId="0" fontId="3" numFmtId="10" xfId="0" applyAlignment="1" applyFont="1" applyNumberFormat="1">
      <alignment horizontal="center" readingOrder="0"/>
    </xf>
    <xf borderId="0" fillId="0" fontId="13" numFmtId="0" xfId="0" applyAlignment="1" applyFont="1">
      <alignment horizontal="center" shrinkToFit="0" wrapText="0"/>
    </xf>
    <xf borderId="0" fillId="7" fontId="14" numFmtId="0" xfId="0" applyAlignment="1" applyFont="1">
      <alignment horizontal="center" readingOrder="0" shrinkToFit="0" wrapText="1"/>
    </xf>
    <xf borderId="0" fillId="0" fontId="14" numFmtId="0" xfId="0" applyAlignment="1" applyFont="1">
      <alignment readingOrder="0" shrinkToFit="0" vertical="bottom" wrapText="1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center" readingOrder="0" shrinkToFit="0" wrapText="0"/>
    </xf>
    <xf borderId="0" fillId="0" fontId="14" numFmtId="166" xfId="0" applyAlignment="1" applyFont="1" applyNumberFormat="1">
      <alignment shrinkToFit="0" vertical="bottom" wrapText="0"/>
    </xf>
    <xf borderId="0" fillId="0" fontId="15" numFmtId="4" xfId="0" applyAlignment="1" applyFont="1" applyNumberFormat="1">
      <alignment horizontal="center" readingOrder="0" shrinkToFit="0" wrapText="0"/>
    </xf>
    <xf borderId="0" fillId="0" fontId="14" numFmtId="0" xfId="0" applyAlignment="1" applyFont="1">
      <alignment horizontal="center" readingOrder="0" shrinkToFit="0" wrapText="0"/>
    </xf>
    <xf borderId="0" fillId="0" fontId="15" numFmtId="10" xfId="0" applyAlignment="1" applyFont="1" applyNumberFormat="1">
      <alignment horizontal="center" shrinkToFit="0" wrapText="0"/>
    </xf>
    <xf borderId="0" fillId="0" fontId="15" numFmtId="0" xfId="0" applyAlignment="1" applyFont="1">
      <alignment horizontal="center" shrinkToFit="0" wrapText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center" readingOrder="0"/>
    </xf>
    <xf borderId="0" fillId="0" fontId="14" numFmtId="0" xfId="0" applyAlignment="1" applyFont="1">
      <alignment horizontal="center" shrinkToFit="0" wrapText="0"/>
    </xf>
    <xf borderId="0" fillId="0" fontId="15" numFmtId="4" xfId="0" applyAlignment="1" applyFont="1" applyNumberFormat="1">
      <alignment horizontal="center" shrinkToFit="0" wrapText="0"/>
    </xf>
    <xf borderId="0" fillId="0" fontId="10" numFmtId="0" xfId="0" applyAlignment="1" applyFont="1">
      <alignment horizontal="center" shrinkToFit="0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1" numFmtId="166" xfId="0" applyAlignment="1" applyFont="1" applyNumberFormat="1">
      <alignment horizontal="center" readingOrder="0" shrinkToFit="0" wrapText="0"/>
    </xf>
    <xf borderId="0" fillId="0" fontId="11" numFmtId="4" xfId="0" applyAlignment="1" applyFont="1" applyNumberFormat="1">
      <alignment horizontal="center" readingOrder="0" shrinkToFit="0" wrapText="0"/>
    </xf>
    <xf borderId="0" fillId="0" fontId="16" numFmtId="10" xfId="0" applyAlignment="1" applyFont="1" applyNumberFormat="1">
      <alignment horizontal="center" readingOrder="0" shrinkToFit="0" wrapText="0"/>
    </xf>
    <xf borderId="0" fillId="0" fontId="12" numFmtId="10" xfId="0" applyAlignment="1" applyFont="1" applyNumberFormat="1">
      <alignment horizontal="center" readingOrder="0" shrinkToFit="0" wrapText="0"/>
    </xf>
    <xf borderId="0" fillId="0" fontId="11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14" fillId="10" fontId="11" numFmtId="0" xfId="0" applyAlignment="1" applyBorder="1" applyFill="1" applyFont="1">
      <alignment horizontal="center" readingOrder="0"/>
    </xf>
    <xf borderId="15" fillId="11" fontId="18" numFmtId="0" xfId="0" applyAlignment="1" applyBorder="1" applyFill="1" applyFont="1">
      <alignment horizontal="center" readingOrder="0"/>
    </xf>
    <xf borderId="15" fillId="11" fontId="18" numFmtId="166" xfId="0" applyAlignment="1" applyBorder="1" applyFont="1" applyNumberFormat="1">
      <alignment horizontal="center" readingOrder="0"/>
    </xf>
    <xf borderId="15" fillId="12" fontId="19" numFmtId="0" xfId="0" applyAlignment="1" applyBorder="1" applyFill="1" applyFont="1">
      <alignment horizontal="center" readingOrder="0"/>
    </xf>
    <xf borderId="15" fillId="12" fontId="11" numFmtId="0" xfId="0" applyAlignment="1" applyBorder="1" applyFont="1">
      <alignment horizontal="center" readingOrder="0"/>
    </xf>
    <xf borderId="15" fillId="12" fontId="11" numFmtId="4" xfId="0" applyAlignment="1" applyBorder="1" applyFont="1" applyNumberFormat="1">
      <alignment horizontal="center" readingOrder="0"/>
    </xf>
    <xf borderId="15" fillId="11" fontId="11" numFmtId="0" xfId="0" applyAlignment="1" applyBorder="1" applyFont="1">
      <alignment horizontal="center" readingOrder="0"/>
    </xf>
    <xf borderId="15" fillId="12" fontId="11" numFmtId="10" xfId="0" applyAlignment="1" applyBorder="1" applyFont="1" applyNumberFormat="1">
      <alignment horizontal="center" readingOrder="0"/>
    </xf>
    <xf borderId="15" fillId="13" fontId="11" numFmtId="0" xfId="0" applyAlignment="1" applyBorder="1" applyFill="1" applyFont="1">
      <alignment horizontal="center" readingOrder="0"/>
    </xf>
    <xf borderId="15" fillId="14" fontId="11" numFmtId="0" xfId="0" applyAlignment="1" applyBorder="1" applyFill="1" applyFont="1">
      <alignment horizontal="center" readingOrder="0"/>
    </xf>
    <xf borderId="15" fillId="11" fontId="20" numFmtId="0" xfId="0" applyAlignment="1" applyBorder="1" applyFont="1">
      <alignment horizontal="center" readingOrder="0"/>
    </xf>
    <xf borderId="12" fillId="14" fontId="21" numFmtId="0" xfId="0" applyAlignment="1" applyBorder="1" applyFont="1">
      <alignment horizontal="center" shrinkToFit="0" vertical="bottom" wrapText="1"/>
    </xf>
    <xf borderId="15" fillId="15" fontId="19" numFmtId="0" xfId="0" applyAlignment="1" applyBorder="1" applyFill="1" applyFont="1">
      <alignment horizontal="center" readingOrder="0"/>
    </xf>
    <xf borderId="14" fillId="15" fontId="19" numFmtId="0" xfId="0" applyAlignment="1" applyBorder="1" applyFont="1">
      <alignment horizontal="center" readingOrder="0"/>
    </xf>
    <xf borderId="15" fillId="11" fontId="20" numFmtId="4" xfId="0" applyAlignment="1" applyBorder="1" applyFont="1" applyNumberFormat="1">
      <alignment horizontal="center" readingOrder="0"/>
    </xf>
    <xf borderId="9" fillId="0" fontId="22" numFmtId="167" xfId="0" applyAlignment="1" applyBorder="1" applyFont="1" applyNumberFormat="1">
      <alignment horizontal="center" readingOrder="0"/>
    </xf>
    <xf borderId="12" fillId="16" fontId="23" numFmtId="168" xfId="0" applyAlignment="1" applyBorder="1" applyFill="1" applyFont="1" applyNumberFormat="1">
      <alignment horizontal="center" readingOrder="0"/>
    </xf>
    <xf borderId="12" fillId="16" fontId="23" numFmtId="166" xfId="0" applyAlignment="1" applyBorder="1" applyFont="1" applyNumberFormat="1">
      <alignment horizontal="center" readingOrder="0"/>
    </xf>
    <xf borderId="12" fillId="0" fontId="22" numFmtId="10" xfId="0" applyAlignment="1" applyBorder="1" applyFont="1" applyNumberFormat="1">
      <alignment horizontal="center" readingOrder="0"/>
    </xf>
    <xf borderId="12" fillId="0" fontId="22" numFmtId="0" xfId="0" applyAlignment="1" applyBorder="1" applyFont="1">
      <alignment horizontal="center" readingOrder="0"/>
    </xf>
    <xf borderId="12" fillId="0" fontId="22" numFmtId="3" xfId="0" applyAlignment="1" applyBorder="1" applyFont="1" applyNumberFormat="1">
      <alignment horizontal="center" readingOrder="0"/>
    </xf>
    <xf borderId="14" fillId="0" fontId="22" numFmtId="4" xfId="0" applyAlignment="1" applyBorder="1" applyFont="1" applyNumberFormat="1">
      <alignment horizontal="center" readingOrder="0"/>
    </xf>
    <xf borderId="12" fillId="16" fontId="23" numFmtId="4" xfId="0" applyAlignment="1" applyBorder="1" applyFont="1" applyNumberFormat="1">
      <alignment horizontal="center" readingOrder="0"/>
    </xf>
    <xf borderId="12" fillId="16" fontId="23" numFmtId="4" xfId="0" applyAlignment="1" applyBorder="1" applyFont="1" applyNumberFormat="1">
      <alignment horizontal="center" readingOrder="0" vertical="bottom"/>
    </xf>
    <xf borderId="12" fillId="0" fontId="23" numFmtId="4" xfId="0" applyAlignment="1" applyBorder="1" applyFont="1" applyNumberFormat="1">
      <alignment horizontal="center" readingOrder="0"/>
    </xf>
    <xf borderId="12" fillId="0" fontId="24" numFmtId="10" xfId="0" applyAlignment="1" applyBorder="1" applyFont="1" applyNumberFormat="1">
      <alignment horizontal="center" readingOrder="0"/>
    </xf>
    <xf borderId="12" fillId="0" fontId="22" numFmtId="4" xfId="0" applyAlignment="1" applyBorder="1" applyFont="1" applyNumberFormat="1">
      <alignment horizontal="center" readingOrder="0"/>
    </xf>
    <xf borderId="14" fillId="0" fontId="25" numFmtId="3" xfId="0" applyAlignment="1" applyBorder="1" applyFont="1" applyNumberFormat="1">
      <alignment horizontal="center" readingOrder="0"/>
    </xf>
    <xf borderId="14" fillId="0" fontId="22" numFmtId="10" xfId="0" applyAlignment="1" applyBorder="1" applyFont="1" applyNumberFormat="1">
      <alignment horizontal="center" readingOrder="0"/>
    </xf>
    <xf borderId="12" fillId="16" fontId="26" numFmtId="3" xfId="0" applyAlignment="1" applyBorder="1" applyFont="1" applyNumberFormat="1">
      <alignment horizontal="center" readingOrder="0"/>
    </xf>
    <xf borderId="12" fillId="16" fontId="23" numFmtId="3" xfId="0" applyAlignment="1" applyBorder="1" applyFont="1" applyNumberFormat="1">
      <alignment horizontal="center" readingOrder="0"/>
    </xf>
    <xf borderId="12" fillId="0" fontId="27" numFmtId="3" xfId="0" applyAlignment="1" applyBorder="1" applyFont="1" applyNumberFormat="1">
      <alignment horizontal="center" readingOrder="0"/>
    </xf>
    <xf borderId="12" fillId="0" fontId="23" numFmtId="3" xfId="0" applyAlignment="1" applyBorder="1" applyFont="1" applyNumberFormat="1">
      <alignment horizontal="center" readingOrder="0"/>
    </xf>
    <xf borderId="12" fillId="16" fontId="22" numFmtId="0" xfId="0" applyBorder="1" applyFont="1"/>
    <xf borderId="0" fillId="0" fontId="21" numFmtId="0" xfId="0" applyAlignment="1" applyFont="1">
      <alignment horizontal="center" readingOrder="0"/>
    </xf>
    <xf borderId="9" fillId="0" fontId="22" numFmtId="167" xfId="0" applyAlignment="1" applyBorder="1" applyFont="1" applyNumberFormat="1">
      <alignment horizontal="center" readingOrder="0" vertical="center"/>
    </xf>
    <xf borderId="12" fillId="16" fontId="23" numFmtId="168" xfId="0" applyAlignment="1" applyBorder="1" applyFont="1" applyNumberFormat="1">
      <alignment horizontal="center" vertical="center"/>
    </xf>
    <xf borderId="12" fillId="16" fontId="23" numFmtId="168" xfId="0" applyAlignment="1" applyBorder="1" applyFont="1" applyNumberFormat="1">
      <alignment horizontal="center" readingOrder="0" vertical="center"/>
    </xf>
    <xf borderId="12" fillId="16" fontId="23" numFmtId="166" xfId="0" applyAlignment="1" applyBorder="1" applyFont="1" applyNumberFormat="1">
      <alignment horizontal="center" vertical="center"/>
    </xf>
    <xf borderId="12" fillId="0" fontId="22" numFmtId="10" xfId="0" applyAlignment="1" applyBorder="1" applyFont="1" applyNumberFormat="1">
      <alignment horizontal="center" vertical="center"/>
    </xf>
    <xf borderId="12" fillId="0" fontId="22" numFmtId="0" xfId="0" applyAlignment="1" applyBorder="1" applyFont="1">
      <alignment horizontal="center" vertical="center"/>
    </xf>
    <xf borderId="12" fillId="0" fontId="22" numFmtId="3" xfId="0" applyAlignment="1" applyBorder="1" applyFont="1" applyNumberFormat="1">
      <alignment horizontal="center" vertical="center"/>
    </xf>
    <xf borderId="14" fillId="0" fontId="22" numFmtId="4" xfId="0" applyAlignment="1" applyBorder="1" applyFont="1" applyNumberFormat="1">
      <alignment horizontal="center" vertical="center"/>
    </xf>
    <xf borderId="12" fillId="16" fontId="23" numFmtId="4" xfId="0" applyAlignment="1" applyBorder="1" applyFont="1" applyNumberFormat="1">
      <alignment horizontal="center" vertical="center"/>
    </xf>
    <xf borderId="12" fillId="16" fontId="23" numFmtId="4" xfId="0" applyAlignment="1" applyBorder="1" applyFont="1" applyNumberFormat="1">
      <alignment horizontal="center" vertical="bottom"/>
    </xf>
    <xf borderId="12" fillId="0" fontId="23" numFmtId="4" xfId="0" applyAlignment="1" applyBorder="1" applyFont="1" applyNumberFormat="1">
      <alignment horizontal="center" vertical="center"/>
    </xf>
    <xf borderId="12" fillId="0" fontId="22" numFmtId="4" xfId="0" applyAlignment="1" applyBorder="1" applyFont="1" applyNumberFormat="1">
      <alignment horizontal="center" vertical="center"/>
    </xf>
    <xf borderId="14" fillId="0" fontId="25" numFmtId="3" xfId="0" applyAlignment="1" applyBorder="1" applyFont="1" applyNumberFormat="1">
      <alignment horizontal="center" vertical="center"/>
    </xf>
    <xf borderId="14" fillId="0" fontId="22" numFmtId="10" xfId="0" applyAlignment="1" applyBorder="1" applyFont="1" applyNumberFormat="1">
      <alignment horizontal="center" vertical="center"/>
    </xf>
    <xf borderId="12" fillId="16" fontId="26" numFmtId="3" xfId="0" applyAlignment="1" applyBorder="1" applyFont="1" applyNumberFormat="1">
      <alignment horizontal="center" vertical="center"/>
    </xf>
    <xf borderId="12" fillId="16" fontId="23" numFmtId="3" xfId="0" applyAlignment="1" applyBorder="1" applyFont="1" applyNumberFormat="1">
      <alignment horizontal="center" vertical="center"/>
    </xf>
    <xf borderId="12" fillId="0" fontId="27" numFmtId="3" xfId="0" applyAlignment="1" applyBorder="1" applyFont="1" applyNumberFormat="1">
      <alignment horizontal="center" vertical="center"/>
    </xf>
    <xf borderId="12" fillId="0" fontId="23" numFmtId="3" xfId="0" applyAlignment="1" applyBorder="1" applyFont="1" applyNumberFormat="1">
      <alignment horizontal="center" vertical="center"/>
    </xf>
    <xf borderId="12" fillId="16" fontId="22" numFmtId="0" xfId="0" applyAlignment="1" applyBorder="1" applyFont="1">
      <alignment horizontal="center" vertical="center"/>
    </xf>
    <xf borderId="0" fillId="0" fontId="21" numFmtId="0" xfId="0" applyAlignment="1" applyFont="1">
      <alignment horizontal="center" vertical="center"/>
    </xf>
    <xf borderId="9" fillId="17" fontId="19" numFmtId="167" xfId="0" applyAlignment="1" applyBorder="1" applyFill="1" applyFont="1" applyNumberFormat="1">
      <alignment horizontal="center" readingOrder="0" shrinkToFit="0" wrapText="0"/>
    </xf>
    <xf borderId="9" fillId="17" fontId="19" numFmtId="168" xfId="0" applyAlignment="1" applyBorder="1" applyFont="1" applyNumberFormat="1">
      <alignment horizontal="center" readingOrder="0" shrinkToFit="0" wrapText="0"/>
    </xf>
    <xf borderId="9" fillId="17" fontId="19" numFmtId="166" xfId="0" applyAlignment="1" applyBorder="1" applyFont="1" applyNumberFormat="1">
      <alignment horizontal="center" readingOrder="0" shrinkToFit="0" wrapText="0"/>
    </xf>
    <xf borderId="12" fillId="17" fontId="19" numFmtId="10" xfId="0" applyAlignment="1" applyBorder="1" applyFont="1" applyNumberFormat="1">
      <alignment horizontal="center" readingOrder="0" shrinkToFit="0" wrapText="0"/>
    </xf>
    <xf borderId="12" fillId="17" fontId="19" numFmtId="0" xfId="0" applyAlignment="1" applyBorder="1" applyFont="1">
      <alignment horizontal="center" readingOrder="0" shrinkToFit="0" wrapText="0"/>
    </xf>
    <xf borderId="12" fillId="17" fontId="19" numFmtId="3" xfId="0" applyAlignment="1" applyBorder="1" applyFont="1" applyNumberFormat="1">
      <alignment horizontal="center" readingOrder="0" shrinkToFit="0" wrapText="0"/>
    </xf>
    <xf borderId="12" fillId="17" fontId="11" numFmtId="4" xfId="0" applyAlignment="1" applyBorder="1" applyFont="1" applyNumberFormat="1">
      <alignment horizontal="center" readingOrder="0" shrinkToFit="0" wrapText="0"/>
    </xf>
    <xf borderId="9" fillId="17" fontId="19" numFmtId="4" xfId="0" applyAlignment="1" applyBorder="1" applyFont="1" applyNumberFormat="1">
      <alignment horizontal="center" readingOrder="0" shrinkToFit="0" wrapText="0"/>
    </xf>
    <xf borderId="14" fillId="17" fontId="11" numFmtId="10" xfId="0" applyAlignment="1" applyBorder="1" applyFont="1" applyNumberFormat="1">
      <alignment horizontal="center" readingOrder="0" shrinkToFit="0" wrapText="0"/>
    </xf>
    <xf borderId="14" fillId="17" fontId="28" numFmtId="10" xfId="0" applyAlignment="1" applyBorder="1" applyFont="1" applyNumberFormat="1">
      <alignment horizontal="center" readingOrder="0" shrinkToFit="0" wrapText="0"/>
    </xf>
    <xf borderId="12" fillId="17" fontId="19" numFmtId="4" xfId="0" applyAlignment="1" applyBorder="1" applyFont="1" applyNumberFormat="1">
      <alignment horizontal="center" readingOrder="0" shrinkToFit="0" wrapText="0"/>
    </xf>
    <xf borderId="14" fillId="17" fontId="19" numFmtId="10" xfId="0" applyAlignment="1" applyBorder="1" applyFont="1" applyNumberFormat="1">
      <alignment horizontal="center" readingOrder="0" shrinkToFit="0" wrapText="0"/>
    </xf>
    <xf borderId="9" fillId="0" fontId="22" numFmtId="167" xfId="0" applyAlignment="1" applyBorder="1" applyFont="1" applyNumberFormat="1">
      <alignment horizontal="center" vertical="center"/>
    </xf>
    <xf borderId="9" fillId="0" fontId="22" numFmtId="167" xfId="0" applyAlignment="1" applyBorder="1" applyFont="1" applyNumberFormat="1">
      <alignment horizontal="center"/>
    </xf>
    <xf borderId="12" fillId="16" fontId="22" numFmtId="168" xfId="0" applyBorder="1" applyFont="1" applyNumberFormat="1"/>
    <xf borderId="12" fillId="16" fontId="23" numFmtId="168" xfId="0" applyAlignment="1" applyBorder="1" applyFont="1" applyNumberFormat="1">
      <alignment horizontal="center"/>
    </xf>
    <xf borderId="12" fillId="16" fontId="23" numFmtId="166" xfId="0" applyAlignment="1" applyBorder="1" applyFont="1" applyNumberFormat="1">
      <alignment horizontal="center"/>
    </xf>
    <xf borderId="12" fillId="16" fontId="22" numFmtId="166" xfId="0" applyBorder="1" applyFont="1" applyNumberFormat="1"/>
    <xf borderId="12" fillId="0" fontId="22" numFmtId="10" xfId="0" applyBorder="1" applyFont="1" applyNumberFormat="1"/>
    <xf borderId="12" fillId="0" fontId="22" numFmtId="0" xfId="0" applyAlignment="1" applyBorder="1" applyFont="1">
      <alignment horizontal="center"/>
    </xf>
    <xf borderId="12" fillId="0" fontId="22" numFmtId="3" xfId="0" applyBorder="1" applyFont="1" applyNumberFormat="1"/>
    <xf borderId="12" fillId="0" fontId="22" numFmtId="0" xfId="0" applyBorder="1" applyFont="1"/>
    <xf borderId="14" fillId="0" fontId="22" numFmtId="4" xfId="0" applyBorder="1" applyFont="1" applyNumberFormat="1"/>
    <xf borderId="12" fillId="16" fontId="23" numFmtId="4" xfId="0" applyAlignment="1" applyBorder="1" applyFont="1" applyNumberFormat="1">
      <alignment horizontal="center"/>
    </xf>
    <xf borderId="12" fillId="0" fontId="22" numFmtId="4" xfId="0" applyBorder="1" applyFont="1" applyNumberFormat="1"/>
    <xf borderId="12" fillId="0" fontId="22" numFmtId="4" xfId="0" applyAlignment="1" applyBorder="1" applyFont="1" applyNumberFormat="1">
      <alignment horizontal="center"/>
    </xf>
    <xf borderId="14" fillId="0" fontId="25" numFmtId="3" xfId="0" applyAlignment="1" applyBorder="1" applyFont="1" applyNumberFormat="1">
      <alignment horizontal="center"/>
    </xf>
    <xf borderId="14" fillId="0" fontId="22" numFmtId="10" xfId="0" applyBorder="1" applyFont="1" applyNumberFormat="1"/>
    <xf borderId="12" fillId="16" fontId="26" numFmtId="3" xfId="0" applyAlignment="1" applyBorder="1" applyFont="1" applyNumberFormat="1">
      <alignment horizontal="center"/>
    </xf>
    <xf borderId="12" fillId="16" fontId="23" numFmtId="3" xfId="0" applyAlignment="1" applyBorder="1" applyFont="1" applyNumberFormat="1">
      <alignment horizontal="center"/>
    </xf>
    <xf borderId="12" fillId="0" fontId="27" numFmtId="3" xfId="0" applyAlignment="1" applyBorder="1" applyFont="1" applyNumberFormat="1">
      <alignment horizontal="center"/>
    </xf>
    <xf borderId="12" fillId="0" fontId="23" numFmtId="3" xfId="0" applyAlignment="1" applyBorder="1" applyFont="1" applyNumberFormat="1">
      <alignment horizontal="center"/>
    </xf>
    <xf borderId="12" fillId="16" fontId="22" numFmtId="4" xfId="0" applyBorder="1" applyFont="1" applyNumberFormat="1"/>
    <xf borderId="0" fillId="0" fontId="21" numFmtId="0" xfId="0" applyAlignment="1" applyFont="1">
      <alignment horizontal="center"/>
    </xf>
    <xf borderId="9" fillId="17" fontId="21" numFmtId="167" xfId="0" applyAlignment="1" applyBorder="1" applyFont="1" applyNumberFormat="1">
      <alignment horizontal="center" vertical="bottom"/>
    </xf>
    <xf borderId="9" fillId="17" fontId="21" numFmtId="168" xfId="0" applyAlignment="1" applyBorder="1" applyFont="1" applyNumberFormat="1">
      <alignment horizontal="center" vertical="bottom"/>
    </xf>
    <xf borderId="9" fillId="17" fontId="21" numFmtId="166" xfId="0" applyAlignment="1" applyBorder="1" applyFont="1" applyNumberFormat="1">
      <alignment horizontal="center" vertical="bottom"/>
    </xf>
    <xf borderId="12" fillId="17" fontId="21" numFmtId="10" xfId="0" applyAlignment="1" applyBorder="1" applyFont="1" applyNumberFormat="1">
      <alignment horizontal="center" vertical="bottom"/>
    </xf>
    <xf borderId="12" fillId="17" fontId="21" numFmtId="0" xfId="0" applyAlignment="1" applyBorder="1" applyFont="1">
      <alignment horizontal="center" vertical="bottom"/>
    </xf>
    <xf borderId="12" fillId="17" fontId="21" numFmtId="3" xfId="0" applyAlignment="1" applyBorder="1" applyFont="1" applyNumberFormat="1">
      <alignment horizontal="center" vertical="bottom"/>
    </xf>
    <xf borderId="12" fillId="17" fontId="21" numFmtId="4" xfId="0" applyAlignment="1" applyBorder="1" applyFont="1" applyNumberFormat="1">
      <alignment horizontal="center" vertical="bottom"/>
    </xf>
    <xf borderId="9" fillId="17" fontId="21" numFmtId="4" xfId="0" applyAlignment="1" applyBorder="1" applyFont="1" applyNumberFormat="1">
      <alignment horizontal="center" vertical="bottom"/>
    </xf>
    <xf borderId="14" fillId="17" fontId="22" numFmtId="10" xfId="0" applyAlignment="1" applyBorder="1" applyFont="1" applyNumberFormat="1">
      <alignment vertical="bottom"/>
    </xf>
    <xf borderId="14" fillId="17" fontId="21" numFmtId="10" xfId="0" applyAlignment="1" applyBorder="1" applyFont="1" applyNumberFormat="1">
      <alignment horizontal="center" vertical="bottom"/>
    </xf>
    <xf borderId="14" fillId="17" fontId="29" numFmtId="10" xfId="0" applyAlignment="1" applyBorder="1" applyFont="1" applyNumberFormat="1">
      <alignment horizontal="center" vertical="bottom"/>
    </xf>
    <xf borderId="12" fillId="17" fontId="22" numFmtId="10" xfId="0" applyAlignment="1" applyBorder="1" applyFont="1" applyNumberFormat="1">
      <alignment vertical="bottom"/>
    </xf>
    <xf borderId="0" fillId="0" fontId="22" numFmtId="0" xfId="0" applyAlignment="1" applyFont="1">
      <alignment vertical="bottom"/>
    </xf>
    <xf borderId="9" fillId="18" fontId="30" numFmtId="0" xfId="0" applyAlignment="1" applyBorder="1" applyFill="1" applyFont="1">
      <alignment horizontal="center" readingOrder="0"/>
    </xf>
    <xf borderId="12" fillId="18" fontId="30" numFmtId="168" xfId="0" applyAlignment="1" applyBorder="1" applyFont="1" applyNumberFormat="1">
      <alignment horizontal="center" readingOrder="0"/>
    </xf>
    <xf borderId="12" fillId="18" fontId="30" numFmtId="166" xfId="0" applyAlignment="1" applyBorder="1" applyFont="1" applyNumberFormat="1">
      <alignment horizontal="center" readingOrder="0"/>
    </xf>
    <xf borderId="12" fillId="18" fontId="30" numFmtId="10" xfId="0" applyAlignment="1" applyBorder="1" applyFont="1" applyNumberFormat="1">
      <alignment horizontal="center" readingOrder="0"/>
    </xf>
    <xf borderId="12" fillId="18" fontId="30" numFmtId="0" xfId="0" applyAlignment="1" applyBorder="1" applyFont="1">
      <alignment horizontal="center" readingOrder="0"/>
    </xf>
    <xf borderId="12" fillId="18" fontId="30" numFmtId="3" xfId="0" applyAlignment="1" applyBorder="1" applyFont="1" applyNumberFormat="1">
      <alignment horizontal="center" readingOrder="0"/>
    </xf>
    <xf borderId="12" fillId="18" fontId="31" numFmtId="4" xfId="0" applyAlignment="1" applyBorder="1" applyFont="1" applyNumberFormat="1">
      <alignment horizontal="center" readingOrder="0"/>
    </xf>
    <xf borderId="12" fillId="18" fontId="30" numFmtId="4" xfId="0" applyAlignment="1" applyBorder="1" applyFont="1" applyNumberFormat="1">
      <alignment horizontal="center" readingOrder="0"/>
    </xf>
    <xf borderId="12" fillId="18" fontId="31" numFmtId="10" xfId="0" applyAlignment="1" applyBorder="1" applyFont="1" applyNumberFormat="1">
      <alignment horizontal="center" readingOrder="0"/>
    </xf>
    <xf borderId="12" fillId="18" fontId="32" numFmtId="10" xfId="0" applyAlignment="1" applyBorder="1" applyFont="1" applyNumberFormat="1">
      <alignment horizontal="center" readingOrder="0"/>
    </xf>
    <xf borderId="14" fillId="18" fontId="30" numFmtId="10" xfId="0" applyAlignment="1" applyBorder="1" applyFont="1" applyNumberFormat="1">
      <alignment horizontal="center" readingOrder="0"/>
    </xf>
    <xf borderId="14" fillId="19" fontId="30" numFmtId="0" xfId="0" applyAlignment="1" applyBorder="1" applyFill="1" applyFont="1">
      <alignment horizontal="center" readingOrder="0"/>
    </xf>
    <xf borderId="14" fillId="19" fontId="12" numFmtId="168" xfId="0" applyAlignment="1" applyBorder="1" applyFont="1" applyNumberFormat="1">
      <alignment horizontal="center" shrinkToFit="0" wrapText="0"/>
    </xf>
    <xf borderId="14" fillId="19" fontId="12" numFmtId="166" xfId="0" applyAlignment="1" applyBorder="1" applyFont="1" applyNumberFormat="1">
      <alignment horizontal="center" shrinkToFit="0" wrapText="0"/>
    </xf>
    <xf borderId="14" fillId="19" fontId="12" numFmtId="10" xfId="0" applyAlignment="1" applyBorder="1" applyFont="1" applyNumberFormat="1">
      <alignment horizontal="center" shrinkToFit="0" wrapText="0"/>
    </xf>
    <xf borderId="14" fillId="19" fontId="12" numFmtId="0" xfId="0" applyAlignment="1" applyBorder="1" applyFont="1">
      <alignment horizontal="center" shrinkToFit="0" wrapText="0"/>
    </xf>
    <xf borderId="14" fillId="19" fontId="12" numFmtId="3" xfId="0" applyAlignment="1" applyBorder="1" applyFont="1" applyNumberFormat="1">
      <alignment horizontal="center" shrinkToFit="0" wrapText="0"/>
    </xf>
    <xf borderId="14" fillId="19" fontId="16" numFmtId="4" xfId="0" applyAlignment="1" applyBorder="1" applyFont="1" applyNumberFormat="1">
      <alignment horizontal="center" shrinkToFit="0" wrapText="0"/>
    </xf>
    <xf borderId="14" fillId="19" fontId="12" numFmtId="4" xfId="0" applyAlignment="1" applyBorder="1" applyFont="1" applyNumberFormat="1">
      <alignment horizontal="center" shrinkToFit="0" wrapText="0"/>
    </xf>
    <xf borderId="14" fillId="19" fontId="16" numFmtId="10" xfId="0" applyAlignment="1" applyBorder="1" applyFont="1" applyNumberFormat="1">
      <alignment horizontal="center" shrinkToFit="0" wrapText="0"/>
    </xf>
    <xf borderId="0" fillId="0" fontId="16" numFmtId="0" xfId="0" applyAlignment="1" applyFont="1">
      <alignment horizontal="center" shrinkToFit="0" wrapText="0"/>
    </xf>
    <xf borderId="0" fillId="0" fontId="12" numFmtId="166" xfId="0" applyAlignment="1" applyFont="1" applyNumberFormat="1">
      <alignment horizontal="center" shrinkToFit="0" wrapText="0"/>
    </xf>
    <xf borderId="0" fillId="0" fontId="12" numFmtId="4" xfId="0" applyAlignment="1" applyFont="1" applyNumberFormat="1">
      <alignment horizontal="center" shrinkToFit="0" wrapText="0"/>
    </xf>
    <xf borderId="0" fillId="0" fontId="16" numFmtId="10" xfId="0" applyAlignment="1" applyFont="1" applyNumberFormat="1">
      <alignment horizontal="center" shrinkToFit="0" wrapText="0"/>
    </xf>
    <xf borderId="0" fillId="0" fontId="12" numFmtId="10" xfId="0" applyAlignment="1" applyFont="1" applyNumberFormat="1">
      <alignment horizontal="center" shrinkToFit="0" wrapText="0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center"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20" fontId="7" numFmtId="4" xfId="0" applyAlignment="1" applyFill="1" applyFont="1" applyNumberForma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20" fontId="35" numFmtId="0" xfId="0" applyAlignment="1" applyFont="1">
      <alignment readingOrder="0"/>
    </xf>
    <xf borderId="14" fillId="21" fontId="7" numFmtId="0" xfId="0" applyAlignment="1" applyBorder="1" applyFill="1" applyFont="1">
      <alignment readingOrder="0" shrinkToFit="0" wrapText="0"/>
    </xf>
    <xf borderId="14" fillId="21" fontId="7" numFmtId="49" xfId="0" applyAlignment="1" applyBorder="1" applyFont="1" applyNumberFormat="1">
      <alignment readingOrder="0" shrinkToFit="0" wrapText="0"/>
    </xf>
    <xf borderId="14" fillId="21" fontId="12" numFmtId="0" xfId="0" applyAlignment="1" applyBorder="1" applyFont="1">
      <alignment readingOrder="0" shrinkToFit="0" vertical="bottom" wrapText="0"/>
    </xf>
    <xf borderId="14" fillId="21" fontId="7" numFmtId="0" xfId="0" applyAlignment="1" applyBorder="1" applyFont="1">
      <alignment shrinkToFit="0" wrapText="0"/>
    </xf>
    <xf borderId="14" fillId="21" fontId="35" numFmtId="0" xfId="0" applyAlignment="1" applyBorder="1" applyFont="1">
      <alignment readingOrder="0"/>
    </xf>
    <xf borderId="14" fillId="0" fontId="7" numFmtId="169" xfId="0" applyAlignment="1" applyBorder="1" applyFont="1" applyNumberFormat="1">
      <alignment horizontal="right" readingOrder="0" shrinkToFit="0" wrapText="0"/>
    </xf>
    <xf borderId="14" fillId="0" fontId="7" numFmtId="3" xfId="0" applyAlignment="1" applyBorder="1" applyFont="1" applyNumberFormat="1">
      <alignment horizontal="right" readingOrder="0" shrinkToFit="0" wrapText="0"/>
    </xf>
    <xf borderId="14" fillId="0" fontId="7" numFmtId="4" xfId="0" applyAlignment="1" applyBorder="1" applyFont="1" applyNumberFormat="1">
      <alignment horizontal="right" readingOrder="0" shrinkToFit="0" wrapText="0"/>
    </xf>
    <xf borderId="14" fillId="0" fontId="35" numFmtId="0" xfId="0" applyAlignment="1" applyBorder="1" applyFont="1">
      <alignment readingOrder="0"/>
    </xf>
    <xf borderId="14" fillId="0" fontId="7" numFmtId="0" xfId="0" applyAlignment="1" applyBorder="1" applyFont="1">
      <alignment horizontal="right" readingOrder="0" shrinkToFit="0" wrapText="0"/>
    </xf>
    <xf borderId="14" fillId="0" fontId="36" numFmtId="0" xfId="0" applyAlignment="1" applyBorder="1" applyFont="1">
      <alignment readingOrder="0"/>
    </xf>
    <xf borderId="0" fillId="0" fontId="35" numFmtId="4" xfId="0" applyAlignment="1" applyFont="1" applyNumberFormat="1">
      <alignment readingOrder="0"/>
    </xf>
    <xf borderId="0" fillId="0" fontId="22" numFmtId="0" xfId="0" applyAlignment="1" applyFont="1">
      <alignment vertical="bottom"/>
    </xf>
    <xf borderId="1" fillId="22" fontId="37" numFmtId="170" xfId="0" applyAlignment="1" applyBorder="1" applyFill="1" applyFont="1" applyNumberFormat="1">
      <alignment horizontal="center" shrinkToFit="0" vertical="bottom" wrapText="1"/>
    </xf>
    <xf borderId="16" fillId="0" fontId="5" numFmtId="0" xfId="0" applyBorder="1" applyFont="1"/>
    <xf borderId="15" fillId="0" fontId="5" numFmtId="0" xfId="0" applyBorder="1" applyFont="1"/>
    <xf borderId="0" fillId="0" fontId="22" numFmtId="171" xfId="0" applyAlignment="1" applyFont="1" applyNumberFormat="1">
      <alignment horizontal="right" readingOrder="0" vertical="bottom"/>
    </xf>
    <xf borderId="0" fillId="0" fontId="22" numFmtId="49" xfId="0" applyAlignment="1" applyFont="1" applyNumberFormat="1">
      <alignment vertical="bottom"/>
    </xf>
    <xf borderId="9" fillId="4" fontId="37" numFmtId="0" xfId="0" applyAlignment="1" applyBorder="1" applyFont="1">
      <alignment horizontal="center" shrinkToFit="0" vertical="bottom" wrapText="1"/>
    </xf>
    <xf borderId="12" fillId="4" fontId="37" numFmtId="0" xfId="0" applyAlignment="1" applyBorder="1" applyFont="1">
      <alignment horizontal="center" shrinkToFit="0" vertical="bottom" wrapText="1"/>
    </xf>
    <xf borderId="12" fillId="4" fontId="37" numFmtId="10" xfId="0" applyAlignment="1" applyBorder="1" applyFont="1" applyNumberFormat="1">
      <alignment horizontal="center" shrinkToFit="0" vertical="bottom" wrapText="1"/>
    </xf>
    <xf borderId="12" fillId="4" fontId="37" numFmtId="0" xfId="0" applyAlignment="1" applyBorder="1" applyFont="1">
      <alignment horizontal="center" readingOrder="0" shrinkToFit="0" vertical="bottom" wrapText="1"/>
    </xf>
    <xf borderId="0" fillId="0" fontId="22" numFmtId="0" xfId="0" applyAlignment="1" applyFont="1">
      <alignment readingOrder="0" vertical="bottom"/>
    </xf>
    <xf borderId="9" fillId="23" fontId="37" numFmtId="0" xfId="0" applyAlignment="1" applyBorder="1" applyFill="1" applyFont="1">
      <alignment horizontal="center" shrinkToFit="0" vertical="bottom" wrapText="1"/>
    </xf>
    <xf borderId="12" fillId="23" fontId="37" numFmtId="0" xfId="0" applyAlignment="1" applyBorder="1" applyFont="1">
      <alignment horizontal="left" vertical="bottom"/>
    </xf>
    <xf borderId="14" fillId="23" fontId="37" numFmtId="0" xfId="0" applyAlignment="1" applyBorder="1" applyFont="1">
      <alignment horizontal="center" vertical="bottom"/>
    </xf>
    <xf borderId="12" fillId="23" fontId="37" numFmtId="172" xfId="0" applyAlignment="1" applyBorder="1" applyFont="1" applyNumberFormat="1">
      <alignment horizontal="right" vertical="bottom"/>
    </xf>
    <xf borderId="12" fillId="23" fontId="37" numFmtId="173" xfId="0" applyAlignment="1" applyBorder="1" applyFont="1" applyNumberFormat="1">
      <alignment horizontal="right" vertical="bottom"/>
    </xf>
    <xf borderId="12" fillId="23" fontId="37" numFmtId="10" xfId="0" applyAlignment="1" applyBorder="1" applyFont="1" applyNumberFormat="1">
      <alignment horizontal="right" vertical="bottom"/>
    </xf>
    <xf borderId="12" fillId="23" fontId="37" numFmtId="10" xfId="0" applyAlignment="1" applyBorder="1" applyFont="1" applyNumberFormat="1">
      <alignment horizontal="center" vertical="bottom"/>
    </xf>
    <xf borderId="0" fillId="0" fontId="22" numFmtId="173" xfId="0" applyAlignment="1" applyFont="1" applyNumberFormat="1">
      <alignment vertical="bottom"/>
    </xf>
    <xf borderId="6" fillId="0" fontId="37" numFmtId="0" xfId="0" applyAlignment="1" applyBorder="1" applyFont="1">
      <alignment horizontal="center" shrinkToFit="0" vertical="bottom" wrapText="1"/>
    </xf>
    <xf borderId="12" fillId="0" fontId="37" numFmtId="0" xfId="0" applyAlignment="1" applyBorder="1" applyFont="1">
      <alignment horizontal="left" readingOrder="0" vertical="bottom"/>
    </xf>
    <xf borderId="7" fillId="0" fontId="37" numFmtId="0" xfId="0" applyAlignment="1" applyBorder="1" applyFont="1">
      <alignment horizontal="center" vertical="center"/>
    </xf>
    <xf borderId="12" fillId="0" fontId="37" numFmtId="172" xfId="0" applyAlignment="1" applyBorder="1" applyFont="1" applyNumberFormat="1">
      <alignment horizontal="right" vertical="bottom"/>
    </xf>
    <xf borderId="12" fillId="0" fontId="37" numFmtId="173" xfId="0" applyAlignment="1" applyBorder="1" applyFont="1" applyNumberFormat="1">
      <alignment horizontal="right" vertical="bottom"/>
    </xf>
    <xf borderId="12" fillId="0" fontId="37" numFmtId="10" xfId="0" applyAlignment="1" applyBorder="1" applyFont="1" applyNumberFormat="1">
      <alignment horizontal="right" vertical="bottom"/>
    </xf>
    <xf borderId="12" fillId="0" fontId="37" numFmtId="10" xfId="0" applyAlignment="1" applyBorder="1" applyFont="1" applyNumberFormat="1">
      <alignment horizontal="center" vertical="bottom"/>
    </xf>
    <xf borderId="7" fillId="0" fontId="5" numFmtId="0" xfId="0" applyBorder="1" applyFont="1"/>
    <xf borderId="12" fillId="0" fontId="5" numFmtId="0" xfId="0" applyBorder="1" applyFont="1"/>
    <xf borderId="12" fillId="23" fontId="37" numFmtId="0" xfId="0" applyAlignment="1" applyBorder="1" applyFont="1">
      <alignment horizontal="center" vertical="bottom"/>
    </xf>
    <xf borderId="5" fillId="0" fontId="37" numFmtId="0" xfId="0" applyAlignment="1" applyBorder="1" applyFont="1">
      <alignment horizontal="center" shrinkToFit="0" vertical="bottom" wrapText="1"/>
    </xf>
    <xf borderId="12" fillId="0" fontId="37" numFmtId="0" xfId="0" applyAlignment="1" applyBorder="1" applyFont="1">
      <alignment horizontal="center" readingOrder="0" vertical="bottom"/>
    </xf>
    <xf borderId="12" fillId="23" fontId="37" numFmtId="0" xfId="0" applyAlignment="1" applyBorder="1" applyFont="1">
      <alignment horizontal="left" readingOrder="0" vertical="bottom"/>
    </xf>
    <xf borderId="9" fillId="0" fontId="37" numFmtId="0" xfId="0" applyAlignment="1" applyBorder="1" applyFont="1">
      <alignment horizontal="center" shrinkToFit="0" vertical="bottom" wrapText="1"/>
    </xf>
    <xf borderId="12" fillId="23" fontId="37" numFmtId="0" xfId="0" applyAlignment="1" applyBorder="1" applyFont="1">
      <alignment horizontal="center" readingOrder="0" vertical="bottom"/>
    </xf>
    <xf borderId="9" fillId="23" fontId="37" numFmtId="0" xfId="0" applyAlignment="1" applyBorder="1" applyFont="1">
      <alignment horizontal="center" readingOrder="0" shrinkToFit="0" vertical="bottom" wrapText="1"/>
    </xf>
    <xf borderId="12" fillId="23" fontId="37" numFmtId="0" xfId="0" applyAlignment="1" applyBorder="1" applyFont="1">
      <alignment horizontal="left" vertical="bottom"/>
    </xf>
    <xf borderId="9" fillId="24" fontId="8" numFmtId="0" xfId="0" applyAlignment="1" applyBorder="1" applyFill="1" applyFont="1">
      <alignment horizontal="center" vertical="bottom"/>
    </xf>
    <xf borderId="12" fillId="24" fontId="22" numFmtId="0" xfId="0" applyAlignment="1" applyBorder="1" applyFont="1">
      <alignment vertical="bottom"/>
    </xf>
    <xf borderId="12" fillId="24" fontId="8" numFmtId="172" xfId="0" applyAlignment="1" applyBorder="1" applyFont="1" applyNumberFormat="1">
      <alignment horizontal="right" vertical="bottom"/>
    </xf>
    <xf borderId="12" fillId="24" fontId="8" numFmtId="173" xfId="0" applyAlignment="1" applyBorder="1" applyFont="1" applyNumberFormat="1">
      <alignment horizontal="right" vertical="bottom"/>
    </xf>
    <xf borderId="12" fillId="24" fontId="8" numFmtId="10" xfId="0" applyAlignment="1" applyBorder="1" applyFont="1" applyNumberFormat="1">
      <alignment horizontal="center" vertical="bottom"/>
    </xf>
    <xf borderId="12" fillId="24" fontId="8" numFmtId="173" xfId="0" applyAlignment="1" applyBorder="1" applyFont="1" applyNumberFormat="1">
      <alignment horizontal="center" vertical="bottom"/>
    </xf>
    <xf borderId="0" fillId="0" fontId="35" numFmtId="4" xfId="0" applyFont="1" applyNumberFormat="1"/>
    <xf borderId="0" fillId="0" fontId="35" numFmtId="0" xfId="0" applyFont="1"/>
    <xf borderId="0" fillId="0" fontId="35" numFmtId="164" xfId="0" applyFont="1" applyNumberFormat="1"/>
    <xf borderId="14" fillId="25" fontId="35" numFmtId="0" xfId="0" applyAlignment="1" applyBorder="1" applyFill="1" applyFont="1">
      <alignment horizontal="center" readingOrder="0"/>
    </xf>
    <xf borderId="14" fillId="25" fontId="35" numFmtId="164" xfId="0" applyAlignment="1" applyBorder="1" applyFont="1" applyNumberFormat="1">
      <alignment horizontal="center"/>
    </xf>
    <xf borderId="14" fillId="25" fontId="35" numFmtId="173" xfId="0" applyAlignment="1" applyBorder="1" applyFont="1" applyNumberFormat="1">
      <alignment horizontal="center" readingOrder="0"/>
    </xf>
    <xf borderId="14" fillId="25" fontId="35" numFmtId="173" xfId="0" applyAlignment="1" applyBorder="1" applyFont="1" applyNumberFormat="1">
      <alignment horizontal="center"/>
    </xf>
    <xf borderId="0" fillId="0" fontId="35" numFmtId="173" xfId="0" applyAlignment="1" applyFont="1" applyNumberFormat="1">
      <alignment horizontal="center"/>
    </xf>
    <xf borderId="14" fillId="9" fontId="35" numFmtId="0" xfId="0" applyAlignment="1" applyBorder="1" applyFont="1">
      <alignment readingOrder="0"/>
    </xf>
    <xf borderId="14" fillId="9" fontId="35" numFmtId="3" xfId="0" applyBorder="1" applyFont="1" applyNumberFormat="1"/>
    <xf borderId="14" fillId="9" fontId="35" numFmtId="10" xfId="0" applyBorder="1" applyFont="1" applyNumberFormat="1"/>
    <xf borderId="14" fillId="9" fontId="35" numFmtId="4" xfId="0" applyBorder="1" applyFont="1" applyNumberFormat="1"/>
    <xf borderId="14" fillId="9" fontId="35" numFmtId="4" xfId="0" applyAlignment="1" applyBorder="1" applyFont="1" applyNumberFormat="1">
      <alignment readingOrder="0"/>
    </xf>
    <xf borderId="14" fillId="0" fontId="35" numFmtId="0" xfId="0" applyBorder="1" applyFont="1"/>
    <xf borderId="14" fillId="0" fontId="35" numFmtId="3" xfId="0" applyBorder="1" applyFont="1" applyNumberFormat="1"/>
    <xf borderId="14" fillId="0" fontId="35" numFmtId="10" xfId="0" applyBorder="1" applyFont="1" applyNumberFormat="1"/>
    <xf borderId="14" fillId="0" fontId="35" numFmtId="4" xfId="0" applyBorder="1" applyFont="1" applyNumberFormat="1"/>
    <xf borderId="14" fillId="0" fontId="35" numFmtId="4" xfId="0" applyAlignment="1" applyBorder="1" applyFont="1" applyNumberFormat="1">
      <alignment readingOrder="0"/>
    </xf>
    <xf borderId="0" fillId="0" fontId="35" numFmtId="10" xfId="0" applyFont="1" applyNumberFormat="1"/>
    <xf borderId="14" fillId="9" fontId="35" numFmtId="0" xfId="0" applyBorder="1" applyFont="1"/>
    <xf borderId="0" fillId="0" fontId="35" numFmtId="3" xfId="0" applyFont="1" applyNumberFormat="1"/>
    <xf borderId="0" fillId="0" fontId="22" numFmtId="173" xfId="0" applyAlignment="1" applyFont="1" applyNumberFormat="1">
      <alignment readingOrder="0" vertical="bottom"/>
    </xf>
    <xf borderId="0" fillId="0" fontId="38" numFmtId="164" xfId="0" applyAlignment="1" applyFont="1" applyNumberFormat="1">
      <alignment horizontal="center" vertical="center"/>
    </xf>
    <xf borderId="14" fillId="23" fontId="38" numFmtId="164" xfId="0" applyAlignment="1" applyBorder="1" applyFont="1" applyNumberFormat="1">
      <alignment horizontal="center" vertical="center"/>
    </xf>
    <xf borderId="9" fillId="23" fontId="38" numFmtId="164" xfId="0" applyAlignment="1" applyBorder="1" applyFont="1" applyNumberFormat="1">
      <alignment horizontal="center" vertical="center"/>
    </xf>
    <xf borderId="9" fillId="23" fontId="38" numFmtId="173" xfId="0" applyAlignment="1" applyBorder="1" applyFont="1" applyNumberFormat="1">
      <alignment horizontal="center" vertical="center"/>
    </xf>
    <xf borderId="0" fillId="9" fontId="22" numFmtId="0" xfId="0" applyAlignment="1" applyFont="1">
      <alignment readingOrder="0" vertical="bottom"/>
    </xf>
    <xf borderId="0" fillId="9" fontId="22" numFmtId="0" xfId="0" applyAlignment="1" applyFont="1">
      <alignment vertical="bottom"/>
    </xf>
    <xf borderId="0" fillId="9" fontId="35" numFmtId="0" xfId="0" applyAlignment="1" applyFont="1">
      <alignment readingOrder="0"/>
    </xf>
    <xf borderId="14" fillId="23" fontId="39" numFmtId="164" xfId="0" applyAlignment="1" applyBorder="1" applyFont="1" applyNumberFormat="1">
      <alignment horizontal="center" vertical="center"/>
    </xf>
    <xf borderId="0" fillId="0" fontId="40" numFmtId="164" xfId="0" applyAlignment="1" applyFont="1" applyNumberFormat="1">
      <alignment horizontal="right" vertical="bottom"/>
    </xf>
    <xf borderId="14" fillId="0" fontId="40" numFmtId="164" xfId="0" applyAlignment="1" applyBorder="1" applyFont="1" applyNumberFormat="1">
      <alignment horizontal="right" readingOrder="0" vertical="bottom"/>
    </xf>
    <xf borderId="14" fillId="0" fontId="40" numFmtId="0" xfId="0" applyAlignment="1" applyBorder="1" applyFont="1">
      <alignment readingOrder="0" vertical="bottom"/>
    </xf>
    <xf borderId="14" fillId="26" fontId="40" numFmtId="0" xfId="0" applyAlignment="1" applyBorder="1" applyFill="1" applyFont="1">
      <alignment vertical="bottom"/>
    </xf>
    <xf borderId="14" fillId="0" fontId="40" numFmtId="172" xfId="0" applyAlignment="1" applyBorder="1" applyFont="1" applyNumberFormat="1">
      <alignment horizontal="right" readingOrder="0" vertical="bottom"/>
    </xf>
    <xf borderId="14" fillId="0" fontId="40" numFmtId="3" xfId="0" applyAlignment="1" applyBorder="1" applyFont="1" applyNumberFormat="1">
      <alignment horizontal="right" readingOrder="0" vertical="bottom"/>
    </xf>
    <xf borderId="14" fillId="0" fontId="40" numFmtId="173" xfId="0" applyAlignment="1" applyBorder="1" applyFont="1" applyNumberFormat="1">
      <alignment horizontal="right" readingOrder="0" vertical="bottom"/>
    </xf>
    <xf borderId="14" fillId="26" fontId="40" numFmtId="173" xfId="0" applyAlignment="1" applyBorder="1" applyFont="1" applyNumberFormat="1">
      <alignment horizontal="right" vertical="bottom"/>
    </xf>
    <xf borderId="0" fillId="26" fontId="22" numFmtId="0" xfId="0" applyAlignment="1" applyFont="1">
      <alignment readingOrder="0" vertical="bottom"/>
    </xf>
    <xf borderId="0" fillId="9" fontId="35" numFmtId="0" xfId="0" applyFont="1"/>
    <xf borderId="0" fillId="9" fontId="7" numFmtId="0" xfId="0" applyAlignment="1" applyFont="1">
      <alignment readingOrder="0" shrinkToFit="0" vertical="bottom" wrapText="0"/>
    </xf>
    <xf borderId="14" fillId="0" fontId="41" numFmtId="164" xfId="0" applyAlignment="1" applyBorder="1" applyFont="1" applyNumberFormat="1">
      <alignment readingOrder="0"/>
    </xf>
    <xf borderId="14" fillId="0" fontId="42" numFmtId="0" xfId="0" applyAlignment="1" applyBorder="1" applyFont="1">
      <alignment horizontal="left" readingOrder="0" shrinkToFit="0" wrapText="0"/>
    </xf>
    <xf borderId="14" fillId="0" fontId="42" numFmtId="4" xfId="0" applyAlignment="1" applyBorder="1" applyFont="1" applyNumberFormat="1">
      <alignment horizontal="right" readingOrder="0" shrinkToFit="0" wrapText="0"/>
    </xf>
    <xf borderId="14" fillId="0" fontId="41" numFmtId="0" xfId="0" applyAlignment="1" applyBorder="1" applyFont="1">
      <alignment readingOrder="0"/>
    </xf>
    <xf borderId="14" fillId="0" fontId="41" numFmtId="4" xfId="0" applyAlignment="1" applyBorder="1" applyFont="1" applyNumberFormat="1">
      <alignment readingOrder="0"/>
    </xf>
    <xf borderId="0" fillId="9" fontId="35" numFmtId="0" xfId="0" applyFont="1"/>
    <xf borderId="0" fillId="9" fontId="7" numFmtId="0" xfId="0" applyAlignment="1" applyFont="1">
      <alignment shrinkToFit="0" vertical="bottom" wrapText="0"/>
    </xf>
    <xf borderId="14" fillId="9" fontId="40" numFmtId="164" xfId="0" applyAlignment="1" applyBorder="1" applyFont="1" applyNumberFormat="1">
      <alignment horizontal="right" readingOrder="0" vertical="bottom"/>
    </xf>
    <xf borderId="14" fillId="9" fontId="40" numFmtId="0" xfId="0" applyAlignment="1" applyBorder="1" applyFont="1">
      <alignment readingOrder="0" vertical="bottom"/>
    </xf>
    <xf borderId="14" fillId="9" fontId="40" numFmtId="0" xfId="0" applyAlignment="1" applyBorder="1" applyFont="1">
      <alignment vertical="bottom"/>
    </xf>
    <xf borderId="14" fillId="9" fontId="40" numFmtId="172" xfId="0" applyAlignment="1" applyBorder="1" applyFont="1" applyNumberFormat="1">
      <alignment horizontal="right" readingOrder="0" vertical="bottom"/>
    </xf>
    <xf borderId="14" fillId="9" fontId="40" numFmtId="3" xfId="0" applyAlignment="1" applyBorder="1" applyFont="1" applyNumberFormat="1">
      <alignment horizontal="right" readingOrder="0" vertical="bottom"/>
    </xf>
    <xf borderId="14" fillId="9" fontId="40" numFmtId="173" xfId="0" applyAlignment="1" applyBorder="1" applyFont="1" applyNumberFormat="1">
      <alignment horizontal="right" readingOrder="0" vertical="bottom"/>
    </xf>
    <xf borderId="14" fillId="9" fontId="40" numFmtId="173" xfId="0" applyAlignment="1" applyBorder="1" applyFont="1" applyNumberFormat="1">
      <alignment horizontal="right" vertical="bottom"/>
    </xf>
    <xf borderId="14" fillId="0" fontId="40" numFmtId="4" xfId="0" applyAlignment="1" applyBorder="1" applyFont="1" applyNumberFormat="1">
      <alignment horizontal="right" readingOrder="0" vertical="bottom"/>
    </xf>
    <xf borderId="0" fillId="0" fontId="8" numFmtId="170" xfId="0" applyAlignment="1" applyFont="1" applyNumberFormat="1">
      <alignment readingOrder="0" vertical="bottom"/>
    </xf>
    <xf borderId="0" fillId="0" fontId="22" numFmtId="170" xfId="0" applyAlignment="1" applyFont="1" applyNumberFormat="1">
      <alignment vertical="bottom"/>
    </xf>
    <xf borderId="0" fillId="0" fontId="43" numFmtId="170" xfId="0" applyAlignment="1" applyFont="1" applyNumberFormat="1">
      <alignment readingOrder="0" vertical="bottom"/>
    </xf>
    <xf borderId="0" fillId="0" fontId="35" numFmtId="173" xfId="0" applyFont="1" applyNumberFormat="1"/>
    <xf borderId="0" fillId="0" fontId="40" numFmtId="170" xfId="0" applyAlignment="1" applyFont="1" applyNumberFormat="1">
      <alignment readingOrder="0" vertical="bottom"/>
    </xf>
    <xf borderId="0" fillId="0" fontId="40" numFmtId="170" xfId="0" applyAlignment="1" applyFont="1" applyNumberFormat="1">
      <alignment vertical="bottom"/>
    </xf>
    <xf borderId="0" fillId="0" fontId="41" numFmtId="164" xfId="0" applyAlignment="1" applyFont="1" applyNumberFormat="1">
      <alignment readingOrder="0"/>
    </xf>
    <xf borderId="0" fillId="0" fontId="41" numFmtId="0" xfId="0" applyAlignment="1" applyFont="1">
      <alignment readingOrder="0"/>
    </xf>
    <xf borderId="0" fillId="0" fontId="41" numFmtId="4" xfId="0" applyAlignment="1" applyFont="1" applyNumberFormat="1">
      <alignment readingOrder="0"/>
    </xf>
    <xf borderId="0" fillId="7" fontId="44" numFmtId="4" xfId="0" applyAlignment="1" applyFont="1" applyNumberFormat="1">
      <alignment horizontal="center" readingOrder="0" shrinkToFit="0" wrapText="0"/>
    </xf>
    <xf borderId="14" fillId="0" fontId="38" numFmtId="173" xfId="0" applyAlignment="1" applyBorder="1" applyFont="1" applyNumberFormat="1">
      <alignment horizontal="right" readingOrder="0" vertical="bottom"/>
    </xf>
    <xf borderId="14" fillId="27" fontId="22" numFmtId="0" xfId="0" applyAlignment="1" applyBorder="1" applyFill="1" applyFont="1">
      <alignment horizontal="center" vertical="bottom"/>
    </xf>
    <xf borderId="12" fillId="4" fontId="21" numFmtId="0" xfId="0" applyAlignment="1" applyBorder="1" applyFont="1">
      <alignment horizontal="center" vertical="bottom"/>
    </xf>
    <xf borderId="0" fillId="28" fontId="21" numFmtId="0" xfId="0" applyAlignment="1" applyFill="1" applyFont="1">
      <alignment horizontal="center"/>
    </xf>
    <xf borderId="9" fillId="28" fontId="21" numFmtId="0" xfId="0" applyAlignment="1" applyBorder="1" applyFont="1">
      <alignment horizontal="center"/>
    </xf>
    <xf borderId="12" fillId="27" fontId="21" numFmtId="0" xfId="0" applyAlignment="1" applyBorder="1" applyFont="1">
      <alignment horizontal="center"/>
    </xf>
    <xf borderId="12" fillId="29" fontId="22" numFmtId="0" xfId="0" applyAlignment="1" applyBorder="1" applyFill="1" applyFont="1">
      <alignment horizontal="center" vertical="bottom"/>
    </xf>
    <xf borderId="12" fillId="28" fontId="21" numFmtId="0" xfId="0" applyAlignment="1" applyBorder="1" applyFont="1">
      <alignment horizontal="center" readingOrder="0"/>
    </xf>
    <xf borderId="12" fillId="28" fontId="21" numFmtId="0" xfId="0" applyAlignment="1" applyBorder="1" applyFont="1">
      <alignment horizontal="center"/>
    </xf>
    <xf borderId="11" fillId="3" fontId="45" numFmtId="0" xfId="0" applyAlignment="1" applyBorder="1" applyFont="1">
      <alignment horizontal="center" readingOrder="0" vertical="bottom"/>
    </xf>
    <xf borderId="11" fillId="0" fontId="22" numFmtId="0" xfId="0" applyAlignment="1" applyBorder="1" applyFont="1">
      <alignment vertical="bottom"/>
    </xf>
    <xf borderId="14" fillId="23" fontId="21" numFmtId="164" xfId="0" applyAlignment="1" applyBorder="1" applyFont="1" applyNumberFormat="1">
      <alignment horizontal="center" readingOrder="0" vertical="bottom"/>
    </xf>
    <xf borderId="14" fillId="0" fontId="22" numFmtId="4" xfId="0" applyAlignment="1" applyBorder="1" applyFont="1" applyNumberFormat="1">
      <alignment horizontal="center" readingOrder="0" vertical="bottom"/>
    </xf>
    <xf borderId="14" fillId="30" fontId="21" numFmtId="174" xfId="0" applyAlignment="1" applyBorder="1" applyFill="1" applyFont="1" applyNumberFormat="1">
      <alignment horizontal="center" vertical="bottom"/>
    </xf>
    <xf borderId="14" fillId="23" fontId="21" numFmtId="4" xfId="0" applyAlignment="1" applyBorder="1" applyFont="1" applyNumberFormat="1">
      <alignment horizontal="center" readingOrder="0" vertical="bottom"/>
    </xf>
    <xf borderId="14" fillId="7" fontId="22" numFmtId="174" xfId="0" applyAlignment="1" applyBorder="1" applyFont="1" applyNumberFormat="1">
      <alignment horizontal="center" vertical="bottom"/>
    </xf>
    <xf borderId="14" fillId="0" fontId="22" numFmtId="170" xfId="0" applyAlignment="1" applyBorder="1" applyFont="1" applyNumberFormat="1">
      <alignment vertical="bottom"/>
    </xf>
    <xf borderId="14" fillId="0" fontId="22" numFmtId="4" xfId="0" applyAlignment="1" applyBorder="1" applyFont="1" applyNumberFormat="1">
      <alignment horizontal="center" vertical="bottom"/>
    </xf>
    <xf borderId="14" fillId="0" fontId="22" numFmtId="0" xfId="0" applyAlignment="1" applyBorder="1" applyFont="1">
      <alignment vertical="bottom"/>
    </xf>
    <xf borderId="0" fillId="0" fontId="22" numFmtId="170" xfId="0" applyAlignment="1" applyFont="1" applyNumberFormat="1">
      <alignment vertical="bottom"/>
    </xf>
    <xf borderId="0" fillId="0" fontId="22" numFmtId="4" xfId="0" applyAlignment="1" applyFont="1" applyNumberFormat="1">
      <alignment readingOrder="0" vertical="bottom"/>
    </xf>
    <xf borderId="0" fillId="3" fontId="45" numFmtId="0" xfId="0" applyAlignment="1" applyFont="1">
      <alignment horizontal="center"/>
    </xf>
    <xf borderId="11" fillId="3" fontId="45" numFmtId="0" xfId="0" applyAlignment="1" applyBorder="1" applyFont="1">
      <alignment horizontal="center" readingOrder="0"/>
    </xf>
    <xf borderId="11" fillId="0" fontId="22" numFmtId="0" xfId="0" applyBorder="1" applyFont="1"/>
    <xf borderId="0" fillId="0" fontId="22" numFmtId="164" xfId="0" applyAlignment="1" applyFont="1" applyNumberFormat="1">
      <alignment horizontal="center" readingOrder="0" vertical="center"/>
    </xf>
    <xf borderId="5" fillId="0" fontId="22" numFmtId="164" xfId="0" applyAlignment="1" applyBorder="1" applyFont="1" applyNumberFormat="1">
      <alignment horizontal="center" readingOrder="0" vertical="center"/>
    </xf>
    <xf borderId="15" fillId="12" fontId="22" numFmtId="0" xfId="0" applyAlignment="1" applyBorder="1" applyFont="1">
      <alignment horizontal="center"/>
    </xf>
    <xf borderId="3" fillId="0" fontId="22" numFmtId="0" xfId="0" applyAlignment="1" applyBorder="1" applyFont="1">
      <alignment horizontal="center"/>
    </xf>
    <xf borderId="3" fillId="0" fontId="22" numFmtId="3" xfId="0" applyAlignment="1" applyBorder="1" applyFont="1" applyNumberFormat="1">
      <alignment horizontal="center" vertical="center"/>
    </xf>
    <xf borderId="5" fillId="0" fontId="22" numFmtId="164" xfId="0" applyAlignment="1" applyBorder="1" applyFont="1" applyNumberFormat="1">
      <alignment horizontal="center" vertical="center"/>
    </xf>
    <xf borderId="14" fillId="12" fontId="22" numFmtId="0" xfId="0" applyAlignment="1" applyBorder="1" applyFont="1">
      <alignment horizontal="center"/>
    </xf>
    <xf borderId="3" fillId="0" fontId="22" numFmtId="0" xfId="0" applyBorder="1" applyFont="1"/>
    <xf borderId="12" fillId="23" fontId="22" numFmtId="0" xfId="0" applyAlignment="1" applyBorder="1" applyFont="1">
      <alignment horizontal="center"/>
    </xf>
    <xf borderId="0" fillId="0" fontId="22" numFmtId="3" xfId="0" applyAlignment="1" applyFont="1" applyNumberFormat="1">
      <alignment horizontal="center"/>
    </xf>
    <xf borderId="0" fillId="0" fontId="22" numFmtId="3" xfId="0" applyAlignment="1" applyFont="1" applyNumberFormat="1">
      <alignment horizontal="center" vertical="center"/>
    </xf>
    <xf borderId="14" fillId="23" fontId="22" numFmtId="0" xfId="0" applyAlignment="1" applyBorder="1" applyFont="1">
      <alignment horizontal="center"/>
    </xf>
    <xf borderId="0" fillId="0" fontId="22" numFmtId="0" xfId="0" applyFont="1"/>
    <xf borderId="12" fillId="31" fontId="22" numFmtId="0" xfId="0" applyAlignment="1" applyBorder="1" applyFill="1" applyFont="1">
      <alignment horizontal="center"/>
    </xf>
    <xf borderId="14" fillId="31" fontId="22" numFmtId="0" xfId="0" applyAlignment="1" applyBorder="1" applyFont="1">
      <alignment horizontal="center"/>
    </xf>
    <xf borderId="12" fillId="11" fontId="22" numFmtId="0" xfId="0" applyAlignment="1" applyBorder="1" applyFont="1">
      <alignment horizontal="center"/>
    </xf>
    <xf borderId="11" fillId="0" fontId="22" numFmtId="3" xfId="0" applyAlignment="1" applyBorder="1" applyFont="1" applyNumberFormat="1">
      <alignment horizontal="center"/>
    </xf>
    <xf borderId="11" fillId="0" fontId="22" numFmtId="3" xfId="0" applyAlignment="1" applyBorder="1" applyFont="1" applyNumberFormat="1">
      <alignment horizontal="center" vertical="center"/>
    </xf>
    <xf borderId="14" fillId="11" fontId="22" numFmtId="0" xfId="0" applyAlignment="1" applyBorder="1" applyFont="1">
      <alignment horizontal="center"/>
    </xf>
    <xf borderId="0" fillId="0" fontId="22" numFmtId="0" xfId="0" applyAlignment="1" applyFont="1">
      <alignment horizontal="center"/>
    </xf>
    <xf borderId="0" fillId="0" fontId="22" numFmtId="3" xfId="0" applyFont="1" applyNumberFormat="1"/>
    <xf borderId="11" fillId="0" fontId="35" numFmtId="3" xfId="0" applyAlignment="1" applyBorder="1" applyFont="1" applyNumberFormat="1">
      <alignment horizontal="center"/>
    </xf>
    <xf borderId="11" fillId="0" fontId="22" numFmtId="3" xfId="0" applyBorder="1" applyFont="1" applyNumberFormat="1"/>
    <xf borderId="0" fillId="23" fontId="22" numFmtId="0" xfId="0" applyAlignment="1" applyFont="1">
      <alignment horizontal="center" vertical="center"/>
    </xf>
    <xf borderId="6" fillId="23" fontId="22" numFmtId="0" xfId="0" applyAlignment="1" applyBorder="1" applyFont="1">
      <alignment horizontal="center" vertical="center"/>
    </xf>
    <xf borderId="16" fillId="12" fontId="22" numFmtId="0" xfId="0" applyAlignment="1" applyBorder="1" applyFont="1">
      <alignment horizontal="center"/>
    </xf>
    <xf borderId="2" fillId="0" fontId="22" numFmtId="3" xfId="0" applyAlignment="1" applyBorder="1" applyFont="1" applyNumberFormat="1">
      <alignment horizontal="center"/>
    </xf>
    <xf borderId="3" fillId="0" fontId="22" numFmtId="3" xfId="0" applyAlignment="1" applyBorder="1" applyFont="1" applyNumberFormat="1">
      <alignment horizontal="center"/>
    </xf>
    <xf borderId="11" fillId="23" fontId="22" numFmtId="0" xfId="0" applyAlignment="1" applyBorder="1" applyFont="1">
      <alignment horizontal="center"/>
    </xf>
    <xf borderId="8" fillId="0" fontId="22" numFmtId="3" xfId="0" applyAlignment="1" applyBorder="1" applyFont="1" applyNumberFormat="1">
      <alignment horizontal="center"/>
    </xf>
    <xf borderId="11" fillId="31" fontId="22" numFmtId="0" xfId="0" applyAlignment="1" applyBorder="1" applyFont="1">
      <alignment horizontal="center"/>
    </xf>
    <xf borderId="11" fillId="11" fontId="22" numFmtId="0" xfId="0" applyAlignment="1" applyBorder="1" applyFont="1">
      <alignment horizontal="center"/>
    </xf>
    <xf borderId="10" fillId="0" fontId="22" numFmtId="3" xfId="0" applyAlignment="1" applyBorder="1" applyFont="1" applyNumberFormat="1">
      <alignment horizontal="center"/>
    </xf>
    <xf borderId="0" fillId="0" fontId="4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14" fillId="26" fontId="46" numFmtId="0" xfId="0" applyAlignment="1" applyBorder="1" applyFont="1">
      <alignment readingOrder="0" shrinkToFit="0" vertical="center" wrapText="0"/>
    </xf>
    <xf borderId="14" fillId="26" fontId="7" numFmtId="0" xfId="0" applyAlignment="1" applyBorder="1" applyFont="1">
      <alignment readingOrder="0" shrinkToFit="0" vertical="center" wrapText="0"/>
    </xf>
    <xf borderId="14" fillId="26" fontId="7" numFmtId="0" xfId="0" applyAlignment="1" applyBorder="1" applyFont="1">
      <alignment horizontal="center" readingOrder="0" shrinkToFit="0" vertical="center" wrapText="0"/>
    </xf>
    <xf borderId="14" fillId="0" fontId="7" numFmtId="164" xfId="0" applyAlignment="1" applyBorder="1" applyFont="1" applyNumberFormat="1">
      <alignment readingOrder="0" shrinkToFit="0" wrapText="0"/>
    </xf>
    <xf borderId="14" fillId="0" fontId="7" numFmtId="0" xfId="0" applyAlignment="1" applyBorder="1" applyFont="1">
      <alignment readingOrder="0" shrinkToFit="0" wrapText="0"/>
    </xf>
    <xf borderId="14" fillId="9" fontId="7" numFmtId="164" xfId="0" applyAlignment="1" applyBorder="1" applyFont="1" applyNumberFormat="1">
      <alignment readingOrder="0" shrinkToFit="0" wrapText="0"/>
    </xf>
    <xf borderId="14" fillId="9" fontId="7" numFmtId="0" xfId="0" applyAlignment="1" applyBorder="1" applyFont="1">
      <alignment readingOrder="0" shrinkToFit="0" wrapText="0"/>
    </xf>
    <xf borderId="14" fillId="9" fontId="7" numFmtId="4" xfId="0" applyAlignment="1" applyBorder="1" applyFont="1" applyNumberFormat="1">
      <alignment readingOrder="0" shrinkToFit="0" wrapText="0"/>
    </xf>
    <xf borderId="14" fillId="0" fontId="7" numFmtId="4" xfId="0" applyAlignment="1" applyBorder="1" applyFont="1" applyNumberFormat="1">
      <alignment readingOrder="0" shrinkToFit="0" wrapText="0"/>
    </xf>
    <xf borderId="14" fillId="0" fontId="35" numFmtId="164" xfId="0" applyAlignment="1" applyBorder="1" applyFont="1" applyNumberFormat="1">
      <alignment readingOrder="0"/>
    </xf>
  </cellXfs>
  <cellStyles count="1">
    <cellStyle xfId="0" name="Normal" builtinId="0"/>
  </cellStyles>
  <dxfs count="2">
    <dxf>
      <font>
        <b/>
        <color theme="5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K526" sheet="jiliarena_活动分析数据_底稿"/>
  </cacheSource>
  <cacheFields>
    <cacheField name="日期" numFmtId="164">
      <sharedItems containsDate="1" containsString="0" containsBlank="1">
        <d v="2026-03-01T00:00:00Z"/>
        <m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</sharedItems>
    </cacheField>
    <cacheField name="活动类型" numFmtId="0">
      <sharedItems containsBlank="1">
        <s v="玩家返水"/>
        <s v="RNG Rebate"/>
        <s v="LIVE Rebate"/>
        <s v="笔笔存送"/>
        <s v="3% TOP UP BONUS EVERY TIME"/>
        <s v="首存"/>
        <s v="50% first deposit bonus"/>
        <s v="签到奖励"/>
        <s v="Free daily check-in rewards"/>
        <s v="登录任务"/>
        <s v="DAILY LOGIN TASK BONUS"/>
        <s v="邀请返佣"/>
        <s v="成就奖励"/>
        <s v="充值返佣"/>
        <s v="邀请奖励"/>
        <s v="投注返佣"/>
        <s v="升级奖励"/>
        <s v="JILI ARENA REWARD CLUB"/>
        <m/>
        <s v="PVP Rebate"/>
        <s v="10% PP PG slot bonus 500"/>
        <s v="10% PP PG slot bonus 1000"/>
        <s v="任务排行榜"/>
        <s v="JILI GRAND LUCKY DRAW"/>
        <s v="免费转券"/>
        <s v="JILI FREE SPIN 3/11"/>
      </sharedItems>
    </cacheField>
    <cacheField name="活动类型2" numFmtId="0">
      <sharedItems containsBlank="1">
        <s v="GAME_REBATE"/>
        <s v=""/>
        <s v="DEPOSIT"/>
        <s v="FIRST_DEPOSIT"/>
        <s v="LOGIN"/>
        <s v="登录任务"/>
        <s v="邀请返佣"/>
        <s v="UPGRADE_BONUS"/>
        <m/>
        <s v="任务排行榜"/>
        <s v="免费转券"/>
      </sharedItems>
    </cacheField>
    <cacheField name="中文" numFmtId="0">
      <sharedItems containsBlank="1">
        <s v="玩家返水"/>
        <s v=""/>
        <s v="笔笔存送"/>
        <s v="首存"/>
        <s v="签到奖励"/>
        <s v="登录任务"/>
        <s v="邀请返佣"/>
        <s v="升级奖励"/>
        <m/>
        <s v="任务排行榜"/>
        <s v="免费转券"/>
      </sharedItems>
    </cacheField>
    <cacheField name="笔数" numFmtId="172">
      <sharedItems containsString="0" containsBlank="1" containsNumber="1" containsInteger="1">
        <n v="347.0"/>
        <n v="345.0"/>
        <n v="5.0"/>
        <n v="193.0"/>
        <n v="323.0"/>
        <n v="3537.0"/>
        <n v="0.0"/>
        <n v="114.0"/>
        <n v="16.0"/>
        <n v="20.0"/>
        <n v="73.0"/>
        <n v="336.0"/>
        <m/>
        <n v="622.0"/>
        <n v="621.0"/>
        <n v="117.0"/>
        <n v="65.0"/>
        <n v="2710.0"/>
        <n v="129.0"/>
        <n v="1.0"/>
        <n v="23.0"/>
        <n v="8.0"/>
        <n v="97.0"/>
        <n v="165.0"/>
        <n v="325.0"/>
        <n v="4.0"/>
        <n v="101.0"/>
        <n v="42.0"/>
        <n v="2707.0"/>
        <n v="111.0"/>
        <n v="18.0"/>
        <n v="14.0"/>
        <n v="78.0"/>
        <n v="229.0"/>
        <n v="299.0"/>
        <n v="298.0"/>
        <n v="6.0"/>
        <n v="105.0"/>
        <n v="55.0"/>
        <n v="2581.0"/>
        <n v="128.0"/>
        <n v="3.0"/>
        <n v="85.0"/>
        <n v="175.0"/>
        <n v="288.0"/>
        <n v="287.0"/>
        <n v="113.0"/>
        <n v="2.0"/>
        <n v="110.0"/>
        <n v="80.0"/>
        <n v="3342.0"/>
        <n v="137.0"/>
        <n v="19.0"/>
        <n v="166.0"/>
        <n v="353.0"/>
        <n v="350.0"/>
        <n v="118.0"/>
        <n v="3329.0"/>
        <n v="140.0"/>
        <n v="131.0"/>
        <n v="24.0"/>
        <n v="84.0"/>
        <n v="247.0"/>
        <n v="305.0"/>
        <n v="108.0"/>
        <n v="103.0"/>
        <n v="39.0"/>
        <n v="2601.0"/>
        <n v="116.0"/>
        <n v="92.0"/>
        <n v="152.0"/>
        <n v="242.0"/>
        <n v="241.0"/>
        <n v="7.0"/>
        <n v="82.0"/>
        <n v="41.0"/>
        <n v="2615.0"/>
        <n v="127.0"/>
        <n v="112.0"/>
        <n v="12.0"/>
        <n v="225.0"/>
        <n v="224.0"/>
        <n v="64.0"/>
        <n v="63.0"/>
        <n v="26.0"/>
        <n v="2392.0"/>
        <n v="95.0"/>
        <n v="197.0"/>
        <n v="76.0"/>
        <n v="74.0"/>
        <n v="27.0"/>
        <n v="2266.0"/>
        <n v="99.0"/>
        <n v="120.0"/>
        <n v="98.0"/>
        <n v="212.0"/>
        <n v="211.0"/>
        <n v="83.0"/>
        <n v="53.0"/>
        <n v="4578.0"/>
        <n v="208.0"/>
        <n v="5365.0"/>
      </sharedItems>
    </cacheField>
    <cacheField name="人数" numFmtId="3">
      <sharedItems containsString="0" containsBlank="1" containsNumber="1" containsInteger="1">
        <n v="347.0"/>
        <n v="345.0"/>
        <n v="5.0"/>
        <n v="138.0"/>
        <n v="323.0"/>
        <n v="3537.0"/>
        <n v="504.0"/>
        <n v="91.0"/>
        <n v="4.0"/>
        <n v="16.0"/>
        <n v="20.0"/>
        <n v="73.0"/>
        <n v="283.0"/>
        <m/>
        <n v="622.0"/>
        <n v="621.0"/>
        <n v="96.0"/>
        <n v="65.0"/>
        <n v="2710.0"/>
        <n v="208.0"/>
        <n v="106.0"/>
        <n v="1.0"/>
        <n v="23.0"/>
        <n v="8.0"/>
        <n v="97.0"/>
        <n v="143.0"/>
        <n v="325.0"/>
        <n v="66.0"/>
        <n v="42.0"/>
        <n v="2707.0"/>
        <n v="171.0"/>
        <n v="90.0"/>
        <n v="18.0"/>
        <n v="13.0"/>
        <n v="78.0"/>
        <n v="189.0"/>
        <n v="299.0"/>
        <n v="298.0"/>
        <n v="6.0"/>
        <n v="79.0"/>
        <n v="55.0"/>
        <n v="2581.0"/>
        <n v="177.0"/>
        <n v="103.0"/>
        <n v="3.0"/>
        <n v="85.0"/>
        <n v="154.0"/>
        <n v="288.0"/>
        <n v="287.0"/>
        <n v="92.0"/>
        <n v="2.0"/>
        <n v="80.0"/>
        <n v="3342.0"/>
        <n v="210.0"/>
        <n v="75.0"/>
        <n v="19.0"/>
        <n v="15.0"/>
        <n v="144.0"/>
        <n v="353.0"/>
        <n v="350.0"/>
        <n v="86.0"/>
        <n v="3329.0"/>
        <n v="165.0"/>
        <n v="99.0"/>
        <n v="24.0"/>
        <n v="84.0"/>
        <n v="305.0"/>
        <n v="77.0"/>
        <n v="76.0"/>
        <n v="39.0"/>
        <n v="2601.0"/>
        <n v="67.0"/>
        <n v="131.0"/>
        <n v="242.0"/>
        <n v="241.0"/>
        <n v="7.0"/>
        <n v="61.0"/>
        <n v="59.0"/>
        <n v="41.0"/>
        <n v="2615.0"/>
        <n v="133.0"/>
        <n v="62.0"/>
        <n v="12.0"/>
        <n v="113.0"/>
        <n v="225.0"/>
        <n v="224.0"/>
        <n v="48.0"/>
        <n v="47.0"/>
        <n v="26.0"/>
        <n v="2392.0"/>
        <n v="81.0"/>
        <n v="14.0"/>
        <n v="87.0"/>
        <n v="197.0"/>
        <n v="60.0"/>
        <n v="58.0"/>
        <n v="27.0"/>
        <n v="2266.0"/>
        <n v="107.0"/>
        <n v="94.0"/>
        <n v="88.0"/>
        <n v="212.0"/>
        <n v="211.0"/>
        <n v="2717.0"/>
        <n v="53.0"/>
        <n v="4578.0"/>
        <n v="2832.0"/>
        <n v="128.0"/>
        <n v="2754.0"/>
        <n v="11.0"/>
        <n v="10806.0"/>
      </sharedItems>
    </cacheField>
    <cacheField name="活动金额" numFmtId="173">
      <sharedItems containsString="0" containsBlank="1" containsNumber="1">
        <n v="2895.46"/>
        <n v="2885.83"/>
        <n v="9.63"/>
        <n v="734.22"/>
        <n v="21696.0"/>
        <n v="4988.0"/>
        <n v="0.0"/>
        <n v="381.75"/>
        <n v="35.0"/>
        <n v="5.39"/>
        <n v="300.0"/>
        <n v="41.36"/>
        <n v="572.0"/>
        <m/>
        <n v="4082.18"/>
        <n v="4068.24"/>
        <n v="13.94"/>
        <n v="523.26"/>
        <n v="4305.0"/>
        <n v="4192.0"/>
        <n v="178.84"/>
        <n v="5.0"/>
        <n v="6.48"/>
        <n v="120.0"/>
        <n v="47.36"/>
        <n v="276.0"/>
        <n v="2947.54"/>
        <n v="2945.62"/>
        <n v="1.92"/>
        <n v="499.89"/>
        <n v="3010.0"/>
        <n v="4078.0"/>
        <n v="251.89"/>
        <n v="15.0"/>
        <n v="3.15"/>
        <n v="210.0"/>
        <n v="23.74"/>
        <n v="426.0"/>
        <n v="1945.7"/>
        <n v="1939.79"/>
        <n v="5.85"/>
        <n v="0.06"/>
        <n v="636.6"/>
        <n v="3877.0"/>
        <n v="4123.0"/>
        <n v="431.34"/>
        <n v="80.0"/>
        <n v="4.63"/>
        <n v="46.71"/>
        <n v="312.0"/>
        <n v="1722.23"/>
        <n v="1710.12"/>
        <n v="12.11"/>
        <n v="732.41"/>
        <n v="100.0"/>
        <n v="532.41"/>
        <n v="4918.5"/>
        <n v="4733.0"/>
        <n v="317.77"/>
        <n v="20.0"/>
        <n v="7.02"/>
        <n v="240.0"/>
        <n v="50.75"/>
        <n v="305.0"/>
        <n v="3686.1"/>
        <n v="3683.49"/>
        <n v="2.61"/>
        <n v="767.05"/>
        <n v="367.05"/>
        <n v="4864.5"/>
        <n v="4946.0"/>
        <n v="402.89"/>
        <n v="45.0"/>
        <n v="10.26"/>
        <n v="47.64"/>
        <n v="439.0"/>
        <n v="1784.98"/>
        <n v="1782.6"/>
        <n v="2.38"/>
        <n v="777.03"/>
        <n v="200.0"/>
        <n v="477.03"/>
        <n v="2409.0"/>
        <n v="4108.0"/>
        <n v="119.46"/>
        <n v="10.0"/>
        <n v="5.91"/>
        <n v="60.0"/>
        <n v="43.54"/>
        <n v="282.0"/>
        <n v="1759.84"/>
        <n v="1740.3"/>
        <n v="19.54"/>
        <n v="374.44"/>
        <n v="274.44"/>
        <n v="2455.5"/>
        <n v="4149.0"/>
        <n v="223.22"/>
        <n v="2.54"/>
        <n v="180.0"/>
        <n v="30.67"/>
        <n v="224.0"/>
        <n v="2055.56"/>
        <n v="2053.59"/>
        <n v="1.97"/>
        <n v="394.34"/>
        <n v="50.0"/>
        <n v="344.34"/>
        <n v="1700.0"/>
        <n v="3706.0"/>
        <n v="255.43"/>
        <n v="7.95"/>
        <n v="32.48"/>
        <n v="170.0"/>
        <n v="872.27"/>
        <n v="870.92"/>
        <n v="1.35"/>
        <n v="354.46"/>
        <n v="254.46"/>
        <n v="1802.5"/>
        <n v="3624.0"/>
        <n v="341.04"/>
        <n v="2.96"/>
        <n v="28.08"/>
        <n v="186.0"/>
        <n v="1556.69"/>
        <n v="1549.49"/>
        <n v="7.2"/>
        <n v="27154.0"/>
        <n v="352.88"/>
        <n v="302.88"/>
        <n v="3425.0"/>
        <n v="6015.0"/>
        <n v="242.4"/>
        <n v="4.99"/>
        <n v="37.41"/>
        <n v="327.0"/>
        <n v="39072.97"/>
      </sharedItems>
    </cacheField>
    <cacheField name="兑换票券金额" numFmtId="173">
      <sharedItems containsString="0" containsBlank="1" containsNumber="1" containsInteger="1">
        <n v="0.0"/>
        <n v="765.0"/>
        <m/>
        <n v="329.0"/>
        <n v="263.0"/>
        <n v="308.0"/>
        <n v="149.0"/>
        <n v="268.0"/>
        <n v="206.0"/>
        <n v="237.0"/>
        <n v="171.0"/>
        <n v="182.0"/>
        <n v="174.0"/>
        <n v="138.0"/>
        <n v="88.0"/>
        <n v="181.0"/>
        <n v="115.0"/>
        <n v="187.0"/>
        <n v="147.0"/>
        <n v="334.0"/>
      </sharedItems>
    </cacheField>
    <cacheField name="兑换票券数" numFmtId="173">
      <sharedItems containsString="0" containsBlank="1" containsNumber="1" containsInteger="1">
        <n v="0.0"/>
        <n v="557.0"/>
        <m/>
        <n v="229.0"/>
        <n v="187.0"/>
        <n v="196.0"/>
        <n v="222.0"/>
        <n v="67.0"/>
        <n v="185.0"/>
        <n v="98.0"/>
        <n v="161.0"/>
        <n v="74.0"/>
        <n v="142.0"/>
        <n v="77.0"/>
        <n v="92.0"/>
        <n v="48.0"/>
        <n v="124.0"/>
        <n v="51.0"/>
        <n v="2893.0"/>
        <n v="139.0"/>
        <n v="2754.0"/>
        <n v="68.0"/>
        <n v="2961.0"/>
      </sharedItems>
    </cacheField>
    <cacheField name="金额相加F+G" numFmtId="173">
      <sharedItems containsString="0" containsBlank="1" containsNumber="1">
        <n v="2895.46"/>
        <n v="2885.83"/>
        <n v="9.63"/>
        <n v="734.22"/>
        <n v="21696.0"/>
        <n v="4988.0"/>
        <n v="765.0"/>
        <n v="381.75"/>
        <n v="35.0"/>
        <n v="5.39"/>
        <n v="300.0"/>
        <n v="41.36"/>
        <n v="572.0"/>
        <m/>
        <n v="4082.18"/>
        <n v="4068.24"/>
        <n v="13.94"/>
        <n v="523.26"/>
        <n v="4305.0"/>
        <n v="4192.0"/>
        <n v="329.0"/>
        <n v="178.84"/>
        <n v="5.0"/>
        <n v="6.48"/>
        <n v="120.0"/>
        <n v="47.36"/>
        <n v="276.0"/>
        <n v="2947.54"/>
        <n v="2945.62"/>
        <n v="1.92"/>
        <n v="499.89"/>
        <n v="3010.0"/>
        <n v="4078.0"/>
        <n v="263.0"/>
        <n v="251.89"/>
        <n v="15.0"/>
        <n v="3.15"/>
        <n v="210.0"/>
        <n v="23.74"/>
        <n v="426.0"/>
        <n v="1945.7"/>
        <n v="1939.79"/>
        <n v="5.85"/>
        <n v="0.06"/>
        <n v="636.6"/>
        <n v="3877.0"/>
        <n v="4123.0"/>
        <n v="431.34"/>
        <n v="80.0"/>
        <n v="4.63"/>
        <n v="46.71"/>
        <n v="312.0"/>
        <n v="1722.23"/>
        <n v="1710.12"/>
        <n v="12.11"/>
        <n v="732.41"/>
        <n v="100.0"/>
        <n v="532.41"/>
        <n v="4918.5"/>
        <n v="4733.0"/>
        <n v="308.0"/>
        <n v="149.0"/>
        <n v="317.77"/>
        <n v="20.0"/>
        <n v="7.02"/>
        <n v="240.0"/>
        <n v="50.75"/>
        <n v="305.0"/>
        <n v="3686.1"/>
        <n v="3683.49"/>
        <n v="2.61"/>
        <n v="767.05"/>
        <n v="367.05"/>
        <n v="4864.5"/>
        <n v="4946.0"/>
        <n v="268.0"/>
        <n v="206.0"/>
        <n v="402.89"/>
        <n v="45.0"/>
        <n v="10.26"/>
        <n v="47.64"/>
        <n v="439.0"/>
        <n v="1784.98"/>
        <n v="1782.6"/>
        <n v="2.38"/>
        <n v="777.03"/>
        <n v="200.0"/>
        <n v="477.03"/>
        <n v="2409.0"/>
        <n v="4108.0"/>
        <n v="237.0"/>
        <n v="171.0"/>
        <n v="119.46"/>
        <n v="10.0"/>
        <n v="5.91"/>
        <n v="60.0"/>
        <n v="43.54"/>
        <n v="282.0"/>
        <n v="1759.84"/>
        <n v="1740.3"/>
        <n v="19.54"/>
        <n v="374.44"/>
        <n v="274.44"/>
        <n v="2455.5"/>
        <n v="4149.0"/>
        <n v="182.0"/>
        <n v="174.0"/>
        <n v="223.22"/>
        <n v="2.54"/>
        <n v="180.0"/>
        <n v="30.67"/>
        <n v="224.0"/>
        <n v="2055.56"/>
        <n v="2053.59"/>
        <n v="1.97"/>
        <n v="394.34"/>
        <n v="50.0"/>
        <n v="344.34"/>
        <n v="1700.0"/>
        <n v="3706.0"/>
        <n v="138.0"/>
        <n v="88.0"/>
        <n v="255.43"/>
        <n v="7.95"/>
        <n v="32.48"/>
        <n v="170.0"/>
        <n v="872.27"/>
        <n v="870.92"/>
        <n v="1.35"/>
        <n v="354.46"/>
        <n v="254.46"/>
        <n v="1802.5"/>
        <n v="3624.0"/>
        <n v="181.0"/>
        <n v="115.0"/>
        <n v="341.04"/>
        <n v="2.96"/>
        <n v="28.08"/>
        <n v="186.0"/>
        <n v="1556.69"/>
        <n v="1549.49"/>
        <n v="7.2"/>
        <n v="27154.0"/>
        <n v="352.88"/>
        <n v="302.88"/>
        <n v="3425.0"/>
        <n v="6015.0"/>
        <n v="187.0"/>
        <n v="0.0"/>
        <n v="147.0"/>
        <n v="242.4"/>
        <n v="4.99"/>
        <n v="37.41"/>
        <n v="327.0"/>
        <n v="39406.9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T2:V233" sheet="jiliarena_活动分析数据_底稿"/>
  </cacheSource>
  <cacheFields>
    <cacheField name="日期" numFmtId="0">
      <sharedItems containsString="0" containsBlank="1">
        <m/>
      </sharedItems>
    </cacheField>
    <cacheField name="活动类型" numFmtId="0">
      <sharedItems containsString="0" containsBlank="1">
        <m/>
      </sharedItems>
    </cacheField>
    <cacheField name="存值金额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jiliarena_活动总表-整月" cacheId="0" dataCaption="" rowGrandTotals="0" compact="0" compactData="0">
  <location ref="A3:E12" firstHeaderRow="0" firstDataRow="3" firstDataCol="0" rowPageCount="1" colPageCount="1"/>
  <pivotFields>
    <pivotField name="日期" axis="axisPage" compact="0" numFmtId="16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name="活动类型" axis="axisRow" compact="0" outline="0" multipleItemSelectionAllowed="1" showAll="0" sortType="ascending">
      <items>
        <item x="18"/>
        <item x="21"/>
        <item x="20"/>
        <item x="4"/>
        <item x="6"/>
        <item x="3"/>
        <item x="12"/>
        <item x="13"/>
        <item x="9"/>
        <item x="24"/>
        <item x="7"/>
        <item x="22"/>
        <item x="16"/>
        <item x="5"/>
        <item x="15"/>
        <item x="0"/>
        <item x="11"/>
        <item x="14"/>
        <item x="10"/>
        <item x="8"/>
        <item x="17"/>
        <item x="25"/>
        <item x="23"/>
        <item x="2"/>
        <item x="19"/>
        <item x="1"/>
        <item t="default"/>
      </items>
    </pivotField>
    <pivotField name="活动类型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中文" axis="axisRow" compact="0" outline="0" multipleItemSelectionAllowed="1" showAll="0" sortType="ascending" defaultSubtotal="0">
      <items>
        <item x="8"/>
        <item x="1"/>
        <item x="2"/>
        <item x="5"/>
        <item x="10"/>
        <item x="4"/>
        <item x="9"/>
        <item x="7"/>
        <item x="3"/>
        <item x="0"/>
        <item x="6"/>
      </items>
    </pivotField>
    <pivotField name="笔数" dataField="1" compact="0" numFmtId="17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人数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活动金额" dataField="1" compact="0" numFmtId="17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兑换票券金额" dataField="1" compact="0" numFmtId="17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兑换票券数" dataField="1" compact="0" numFmtId="17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金额相加F+G" compact="0" numFmtId="17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</pivotFields>
  <rowFields>
    <field x="3"/>
    <field x="1"/>
  </rowFields>
  <colFields>
    <field x="-2"/>
  </colFields>
  <pageFields>
    <pageField fld="0"/>
  </pageFields>
  <dataFields>
    <dataField name="SUM of 笔数" fld="4" baseField="0"/>
    <dataField name="SUM of 人数" fld="5" baseField="0"/>
    <dataField name="SUM of 活动金额" fld="6" baseField="0"/>
    <dataField name="SUM of 兑换票券金额" fld="7" baseField="0"/>
    <dataField name="SUM of 兑换票券数" fld="8" baseField="0"/>
  </dataFields>
</pivotTableDefinition>
</file>

<file path=xl/pivotTables/pivotTable2.xml><?xml version="1.0" encoding="utf-8"?>
<pivotTableDefinition xmlns="http://schemas.openxmlformats.org/spreadsheetml/2006/main" name="jiliarena_活动总表-整月 2" cacheId="1" dataCaption="" compact="0" compactData="0">
  <location ref="I79:J81" firstHeaderRow="0" firstDataRow="1" firstDataCol="0"/>
  <pivotFields>
    <pivotField name="日期" compact="0" outline="0" multipleItemSelectionAllowed="1" showAll="0">
      <items>
        <item x="0"/>
        <item t="default"/>
      </items>
    </pivotField>
    <pivotField name="活动类型" axis="axisRow" compact="0" outline="0" multipleItemSelectionAllowed="1" showAll="0" sortType="ascending">
      <items>
        <item x="0"/>
        <item t="default"/>
      </items>
    </pivotField>
    <pivotField name="存值金额" dataField="1" compact="0" outline="0" multipleItemSelectionAllowed="1" showAll="0">
      <items>
        <item x="0"/>
        <item t="default"/>
      </items>
    </pivotField>
  </pivotFields>
  <rowFields>
    <field x="1"/>
  </rowFields>
  <dataFields>
    <dataField name="SUM of 存值金额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0"/>
    <col customWidth="1" min="2" max="2" width="5.38"/>
    <col customWidth="1" min="9" max="9" width="15.63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 t="s">
        <v>10</v>
      </c>
    </row>
    <row r="2">
      <c r="A2" s="6">
        <f>B2</f>
        <v>46082</v>
      </c>
      <c r="B2" s="7">
        <v>46082.0</v>
      </c>
      <c r="C2" s="8" t="s">
        <v>11</v>
      </c>
      <c r="D2" s="9">
        <f>SUMIFS('渠道充值成功率_底稿'!$C:$C,'渠道充值成功率_底稿'!$A:$A,$A2,'渠道充值成功率_底稿'!$B:$B,D$1)</f>
        <v>1458</v>
      </c>
      <c r="E2" s="9">
        <f>SUMIFS('渠道充值成功率_底稿'!$C:$C,'渠道充值成功率_底稿'!$A:$A,$A2,'渠道充值成功率_底稿'!$B:$B,E$1)</f>
        <v>32</v>
      </c>
      <c r="F2" s="9">
        <f>SUMIFS('渠道充值成功率_底稿'!$C:$C,'渠道充值成功率_底稿'!$A:$A,$A2,'渠道充值成功率_底稿'!$B:$B,F$1)</f>
        <v>61</v>
      </c>
      <c r="G2" s="9">
        <f>SUMIFS('渠道充值成功率_底稿'!$C:$C,'渠道充值成功率_底稿'!$A:$A,$A2,'渠道充值成功率_底稿'!$B:$B,G$1)</f>
        <v>146</v>
      </c>
      <c r="H2" s="9">
        <f>SUMIFS('渠道充值成功率_底稿'!$C:$C,'渠道充值成功率_底稿'!$A:$A,$A2,'渠道充值成功率_底稿'!$B:$B,H$1)</f>
        <v>0</v>
      </c>
      <c r="I2" s="9">
        <f>SUMIFS('渠道充值成功率_底稿'!$C:$C,'渠道充值成功率_底稿'!$A:$A,$A2,'渠道充值成功率_底稿'!$B:$B,I$1)</f>
        <v>0</v>
      </c>
      <c r="J2" s="9">
        <f>SUMIFS('渠道充值成功率_底稿'!$C:$C,'渠道充值成功率_底稿'!$A:$A,$A2,'渠道充值成功率_底稿'!$B:$B,J$1)</f>
        <v>0</v>
      </c>
      <c r="K2" s="9">
        <f>SUMIFS('渠道充值成功率_底稿'!$C:$C,'渠道充值成功率_底稿'!$A:$A,$A2,'渠道充值成功率_底稿'!$B:$B,K$1)</f>
        <v>6</v>
      </c>
      <c r="L2" s="10">
        <f>SUMIFS('渠道充值成功率_底稿'!$C:$C,'渠道充值成功率_底稿'!$A:$A,$A2,'渠道充值成功率_底稿'!$B:$B,L$1)</f>
        <v>0</v>
      </c>
    </row>
    <row r="3">
      <c r="A3" s="6">
        <f>B2</f>
        <v>46082</v>
      </c>
      <c r="B3" s="11"/>
      <c r="C3" s="12" t="s">
        <v>12</v>
      </c>
      <c r="D3" s="13">
        <f>SUMIFS('渠道充值成功率_底稿'!$F:$F,'渠道充值成功率_底稿'!$A:$A,$A3,'渠道充值成功率_底稿'!$B:$B,D$1)</f>
        <v>1065</v>
      </c>
      <c r="E3" s="13">
        <f>SUMIFS('渠道充值成功率_底稿'!$F:$F,'渠道充值成功率_底稿'!$A:$A,$A3,'渠道充值成功率_底稿'!$B:$B,E$1)</f>
        <v>24</v>
      </c>
      <c r="F3" s="13">
        <f>SUMIFS('渠道充值成功率_底稿'!$F:$F,'渠道充值成功率_底稿'!$A:$A,$A3,'渠道充值成功率_底稿'!$B:$B,F$1)</f>
        <v>41</v>
      </c>
      <c r="G3" s="13">
        <f>SUMIFS('渠道充值成功率_底稿'!$F:$F,'渠道充值成功率_底稿'!$A:$A,$A3,'渠道充值成功率_底稿'!$B:$B,G$1)</f>
        <v>117</v>
      </c>
      <c r="H3" s="13">
        <f>SUMIFS('渠道充值成功率_底稿'!$F:$F,'渠道充值成功率_底稿'!$A:$A,$A3,'渠道充值成功率_底稿'!$B:$B,H$1)</f>
        <v>0</v>
      </c>
      <c r="I3" s="13">
        <f>SUMIFS('渠道充值成功率_底稿'!$F:$F,'渠道充值成功率_底稿'!$A:$A,$A3,'渠道充值成功率_底稿'!$B:$B,I$1)</f>
        <v>0</v>
      </c>
      <c r="J3" s="13">
        <f>SUMIFS('渠道充值成功率_底稿'!$F:$F,'渠道充值成功率_底稿'!$A:$A,$A3,'渠道充值成功率_底稿'!$B:$B,J$1)</f>
        <v>0</v>
      </c>
      <c r="K3" s="13">
        <f>SUMIFS('渠道充值成功率_底稿'!$F:$F,'渠道充值成功率_底稿'!$A:$A,$A3,'渠道充值成功率_底稿'!$B:$B,K$1)</f>
        <v>4</v>
      </c>
      <c r="L3" s="14">
        <f>SUMIFS('渠道充值成功率_底稿'!$F:$F,'渠道充值成功率_底稿'!$A:$A,$A3,'渠道充值成功率_底稿'!$B:$B,L$1)</f>
        <v>0</v>
      </c>
    </row>
    <row r="4">
      <c r="A4" s="6">
        <f>B2</f>
        <v>46082</v>
      </c>
      <c r="B4" s="11"/>
      <c r="C4" s="15" t="s">
        <v>13</v>
      </c>
      <c r="D4" s="16">
        <f t="shared" ref="D4:L4" si="1">IFERROR(ROUND(D3/D2,6),"0")</f>
        <v>0.730453</v>
      </c>
      <c r="E4" s="16">
        <f t="shared" si="1"/>
        <v>0.75</v>
      </c>
      <c r="F4" s="16">
        <f t="shared" si="1"/>
        <v>0.672131</v>
      </c>
      <c r="G4" s="16">
        <f t="shared" si="1"/>
        <v>0.80137</v>
      </c>
      <c r="H4" s="16" t="str">
        <f t="shared" si="1"/>
        <v>0</v>
      </c>
      <c r="I4" s="16" t="str">
        <f t="shared" si="1"/>
        <v>0</v>
      </c>
      <c r="J4" s="16" t="str">
        <f t="shared" si="1"/>
        <v>0</v>
      </c>
      <c r="K4" s="16">
        <f t="shared" si="1"/>
        <v>0.666667</v>
      </c>
      <c r="L4" s="17" t="str">
        <f t="shared" si="1"/>
        <v>0</v>
      </c>
    </row>
    <row r="5">
      <c r="A5" s="6">
        <f>B2</f>
        <v>46082</v>
      </c>
      <c r="B5" s="11"/>
      <c r="C5" s="12" t="s">
        <v>14</v>
      </c>
      <c r="D5" s="18">
        <f>SUMIFS('渠道充值成功率_底稿'!$D:$D,'渠道充值成功率_底稿'!$A:$A,$A6,'渠道充值成功率_底稿'!$B:$B,D$1)</f>
        <v>201674</v>
      </c>
      <c r="E5" s="18">
        <f>SUMIFS('渠道充值成功率_底稿'!$D:$D,'渠道充值成功率_底稿'!$A:$A,$A5,'渠道充值成功率_底稿'!$B:$B,E$1)</f>
        <v>5860</v>
      </c>
      <c r="F5" s="18">
        <f>SUMIFS('渠道充值成功率_底稿'!$D:$D,'渠道充值成功率_底稿'!$A:$A,$A5,'渠道充值成功率_底稿'!$B:$B,F$1)</f>
        <v>8630</v>
      </c>
      <c r="G5" s="18">
        <f>SUMIFS('渠道充值成功率_底稿'!$D:$D,'渠道充值成功率_底稿'!$A:$A,$A5,'渠道充值成功率_底稿'!$B:$B,G$1)</f>
        <v>18592</v>
      </c>
      <c r="H5" s="18">
        <f>SUMIFS('渠道充值成功率_底稿'!$D:$D,'渠道充值成功率_底稿'!$A:$A,$A5,'渠道充值成功率_底稿'!$B:$B,H$1)</f>
        <v>0</v>
      </c>
      <c r="I5" s="18">
        <f>SUMIFS('渠道充值成功率_底稿'!$D:$D,'渠道充值成功率_底稿'!$A:$A,$A5,'渠道充值成功率_底稿'!$B:$B,I$1)</f>
        <v>0</v>
      </c>
      <c r="J5" s="18">
        <f>SUMIFS('渠道充值成功率_底稿'!$D:$D,'渠道充值成功率_底稿'!$A:$A,$A5,'渠道充值成功率_底稿'!$B:$B,J$1)</f>
        <v>0</v>
      </c>
      <c r="K5" s="18">
        <f>SUMIFS('渠道充值成功率_底稿'!$D:$D,'渠道充值成功率_底稿'!$A:$A,$A5,'渠道充值成功率_底稿'!$B:$B,K$1)</f>
        <v>900</v>
      </c>
      <c r="L5" s="14">
        <f>SUMIFS('渠道充值成功率_底稿'!$D:$D,'渠道充值成功率_底稿'!$A:$A,$A5,'渠道充值成功率_底稿'!$B:$B,L$1)</f>
        <v>0</v>
      </c>
    </row>
    <row r="6">
      <c r="A6" s="6">
        <f>B2</f>
        <v>46082</v>
      </c>
      <c r="B6" s="11"/>
      <c r="C6" s="19" t="s">
        <v>15</v>
      </c>
      <c r="D6" s="18">
        <f>SUMIFS('渠道充值成功率_底稿'!$G:$G,'渠道充值成功率_底稿'!$A:$A,$A7,'渠道充值成功率_底稿'!$B:$B,D$1)</f>
        <v>162179</v>
      </c>
      <c r="E6" s="18">
        <f>SUMIFS('渠道充值成功率_底稿'!$G:$G,'渠道充值成功率_底稿'!$A:$A,$A6,'渠道充值成功率_底稿'!$B:$B,E$1)</f>
        <v>4610</v>
      </c>
      <c r="F6" s="18">
        <f>SUMIFS('渠道充值成功率_底稿'!$G:$G,'渠道充值成功率_底稿'!$A:$A,$A6,'渠道充值成功率_底稿'!$B:$B,F$1)</f>
        <v>5980</v>
      </c>
      <c r="G6" s="18">
        <f>SUMIFS('渠道充值成功率_底稿'!$G:$G,'渠道充值成功率_底稿'!$A:$A,$A6,'渠道充值成功率_底稿'!$B:$B,G$1)</f>
        <v>13472</v>
      </c>
      <c r="H6" s="18">
        <f>SUMIFS('渠道充值成功率_底稿'!$G:$G,'渠道充值成功率_底稿'!$A:$A,$A6,'渠道充值成功率_底稿'!$B:$B,H$1)</f>
        <v>0</v>
      </c>
      <c r="I6" s="18">
        <f>SUMIFS('渠道充值成功率_底稿'!$G:$G,'渠道充值成功率_底稿'!$A:$A,$A6,'渠道充值成功率_底稿'!$B:$B,I$1)</f>
        <v>0</v>
      </c>
      <c r="J6" s="18">
        <f>SUMIFS('渠道充值成功率_底稿'!$G:$G,'渠道充值成功率_底稿'!$A:$A,$A6,'渠道充值成功率_底稿'!$B:$B,J$1)</f>
        <v>0</v>
      </c>
      <c r="K6" s="18">
        <f>SUMIFS('渠道充值成功率_底稿'!$G:$G,'渠道充值成功率_底稿'!$A:$A,$A6,'渠道充值成功率_底稿'!$B:$B,K$1)</f>
        <v>700</v>
      </c>
      <c r="L6" s="14">
        <f>SUMIFS('渠道充值成功率_底稿'!$G:$G,'渠道充值成功率_底稿'!$A:$A,$A6,'渠道充值成功率_底稿'!$B:$B,L$1)</f>
        <v>0</v>
      </c>
    </row>
    <row r="7">
      <c r="A7" s="6">
        <f>B2</f>
        <v>46082</v>
      </c>
      <c r="B7" s="20"/>
      <c r="C7" s="21" t="s">
        <v>16</v>
      </c>
      <c r="D7" s="22">
        <f t="shared" ref="D7:L7" si="2">IFERROR(ROUND(D6/D5,6),"0")</f>
        <v>0.804164</v>
      </c>
      <c r="E7" s="22">
        <f t="shared" si="2"/>
        <v>0.786689</v>
      </c>
      <c r="F7" s="22">
        <f t="shared" si="2"/>
        <v>0.692932</v>
      </c>
      <c r="G7" s="22">
        <f t="shared" si="2"/>
        <v>0.724613</v>
      </c>
      <c r="H7" s="22" t="str">
        <f t="shared" si="2"/>
        <v>0</v>
      </c>
      <c r="I7" s="22" t="str">
        <f t="shared" si="2"/>
        <v>0</v>
      </c>
      <c r="J7" s="22" t="str">
        <f t="shared" si="2"/>
        <v>0</v>
      </c>
      <c r="K7" s="22">
        <f t="shared" si="2"/>
        <v>0.777778</v>
      </c>
      <c r="L7" s="23" t="str">
        <f t="shared" si="2"/>
        <v>0</v>
      </c>
    </row>
    <row r="8">
      <c r="A8" s="6">
        <f>B8</f>
        <v>46083</v>
      </c>
      <c r="B8" s="7">
        <f>B2+1</f>
        <v>46083</v>
      </c>
      <c r="C8" s="8" t="s">
        <v>11</v>
      </c>
      <c r="D8" s="9">
        <f>SUMIFS('渠道充值成功率_底稿'!$C:$C,'渠道充值成功率_底稿'!$A:$A,$A8,'渠道充值成功率_底稿'!$B:$B,D$1)</f>
        <v>611</v>
      </c>
      <c r="E8" s="9">
        <f>SUMIFS('渠道充值成功率_底稿'!$C:$C,'渠道充值成功率_底稿'!$A:$A,$A8,'渠道充值成功率_底稿'!$B:$B,E$1)</f>
        <v>14</v>
      </c>
      <c r="F8" s="9">
        <f>SUMIFS('渠道充值成功率_底稿'!$C:$C,'渠道充值成功率_底稿'!$A:$A,$A8,'渠道充值成功率_底稿'!$B:$B,F$1)</f>
        <v>30</v>
      </c>
      <c r="G8" s="9">
        <f>SUMIFS('渠道充值成功率_底稿'!$C:$C,'渠道充值成功率_底稿'!$A:$A,$A8,'渠道充值成功率_底稿'!$B:$B,G$1)</f>
        <v>81</v>
      </c>
      <c r="H8" s="9">
        <f>SUMIFS('渠道充值成功率_底稿'!$C:$C,'渠道充值成功率_底稿'!$A:$A,$A8,'渠道充值成功率_底稿'!$B:$B,H$1)</f>
        <v>0</v>
      </c>
      <c r="I8" s="9">
        <f>SUMIFS('渠道充值成功率_底稿'!$C:$C,'渠道充值成功率_底稿'!$A:$A,$A8,'渠道充值成功率_底稿'!$B:$B,I$1)</f>
        <v>0</v>
      </c>
      <c r="J8" s="9">
        <f>SUMIFS('渠道充值成功率_底稿'!$C:$C,'渠道充值成功率_底稿'!$A:$A,$A8,'渠道充值成功率_底稿'!$B:$B,J$1)</f>
        <v>0</v>
      </c>
      <c r="K8" s="9">
        <f>SUMIFS('渠道充值成功率_底稿'!$C:$C,'渠道充值成功率_底稿'!$A:$A,$A8,'渠道充值成功率_底稿'!$B:$B,K$1)</f>
        <v>14</v>
      </c>
      <c r="L8" s="10">
        <f>SUMIFS('渠道充值成功率_底稿'!$C:$C,'渠道充值成功率_底稿'!$A:$A,$A8,'渠道充值成功率_底稿'!$B:$B,L$1)</f>
        <v>0</v>
      </c>
    </row>
    <row r="9">
      <c r="A9" s="6">
        <f>B8</f>
        <v>46083</v>
      </c>
      <c r="B9" s="11"/>
      <c r="C9" s="12" t="s">
        <v>12</v>
      </c>
      <c r="D9" s="13">
        <f>SUMIFS('渠道充值成功率_底稿'!$F:$F,'渠道充值成功率_底稿'!$A:$A,$A9,'渠道充值成功率_底稿'!$B:$B,D$1)</f>
        <v>492</v>
      </c>
      <c r="E9" s="13">
        <f>SUMIFS('渠道充值成功率_底稿'!$F:$F,'渠道充值成功率_底稿'!$A:$A,$A9,'渠道充值成功率_底稿'!$B:$B,E$1)</f>
        <v>13</v>
      </c>
      <c r="F9" s="13">
        <f>SUMIFS('渠道充值成功率_底稿'!$F:$F,'渠道充值成功率_底稿'!$A:$A,$A9,'渠道充值成功率_底稿'!$B:$B,F$1)</f>
        <v>24</v>
      </c>
      <c r="G9" s="13">
        <f>SUMIFS('渠道充值成功率_底稿'!$F:$F,'渠道充值成功率_底稿'!$A:$A,$A9,'渠道充值成功率_底稿'!$B:$B,G$1)</f>
        <v>57</v>
      </c>
      <c r="H9" s="13">
        <f>SUMIFS('渠道充值成功率_底稿'!$F:$F,'渠道充值成功率_底稿'!$A:$A,$A9,'渠道充值成功率_底稿'!$B:$B,H$1)</f>
        <v>0</v>
      </c>
      <c r="I9" s="13">
        <f>SUMIFS('渠道充值成功率_底稿'!$F:$F,'渠道充值成功率_底稿'!$A:$A,$A9,'渠道充值成功率_底稿'!$B:$B,I$1)</f>
        <v>0</v>
      </c>
      <c r="J9" s="13">
        <f>SUMIFS('渠道充值成功率_底稿'!$F:$F,'渠道充值成功率_底稿'!$A:$A,$A9,'渠道充值成功率_底稿'!$B:$B,J$1)</f>
        <v>0</v>
      </c>
      <c r="K9" s="13">
        <f>SUMIFS('渠道充值成功率_底稿'!$F:$F,'渠道充值成功率_底稿'!$A:$A,$A9,'渠道充值成功率_底稿'!$B:$B,K$1)</f>
        <v>13</v>
      </c>
      <c r="L9" s="14">
        <f>SUMIFS('渠道充值成功率_底稿'!$F:$F,'渠道充值成功率_底稿'!$A:$A,$A9,'渠道充值成功率_底稿'!$B:$B,L$1)</f>
        <v>0</v>
      </c>
    </row>
    <row r="10">
      <c r="A10" s="6">
        <f>B8</f>
        <v>46083</v>
      </c>
      <c r="B10" s="11"/>
      <c r="C10" s="15" t="s">
        <v>13</v>
      </c>
      <c r="D10" s="16">
        <f t="shared" ref="D10:L10" si="3">IFERROR(ROUND(D9/D8,6),"0")</f>
        <v>0.805237</v>
      </c>
      <c r="E10" s="16">
        <f t="shared" si="3"/>
        <v>0.928571</v>
      </c>
      <c r="F10" s="16">
        <f t="shared" si="3"/>
        <v>0.8</v>
      </c>
      <c r="G10" s="16">
        <f t="shared" si="3"/>
        <v>0.703704</v>
      </c>
      <c r="H10" s="16" t="str">
        <f t="shared" si="3"/>
        <v>0</v>
      </c>
      <c r="I10" s="16" t="str">
        <f t="shared" si="3"/>
        <v>0</v>
      </c>
      <c r="J10" s="16" t="str">
        <f t="shared" si="3"/>
        <v>0</v>
      </c>
      <c r="K10" s="16">
        <f t="shared" si="3"/>
        <v>0.928571</v>
      </c>
      <c r="L10" s="17" t="str">
        <f t="shared" si="3"/>
        <v>0</v>
      </c>
    </row>
    <row r="11">
      <c r="A11" s="6">
        <f>B8</f>
        <v>46083</v>
      </c>
      <c r="B11" s="11"/>
      <c r="C11" s="12" t="s">
        <v>14</v>
      </c>
      <c r="D11" s="18">
        <f>SUMIFS('渠道充值成功率_底稿'!$D:$D,'渠道充值成功率_底稿'!$A:$A,$A12,'渠道充值成功率_底稿'!$B:$B,D$1)</f>
        <v>97556</v>
      </c>
      <c r="E11" s="18">
        <f>SUMIFS('渠道充值成功率_底稿'!$D:$D,'渠道充值成功率_底稿'!$A:$A,$A11,'渠道充值成功率_底稿'!$B:$B,E$1)</f>
        <v>2325</v>
      </c>
      <c r="F11" s="18">
        <f>SUMIFS('渠道充值成功率_底稿'!$D:$D,'渠道充值成功率_底稿'!$A:$A,$A11,'渠道充值成功率_底稿'!$B:$B,F$1)</f>
        <v>4167</v>
      </c>
      <c r="G11" s="18">
        <f>SUMIFS('渠道充值成功率_底稿'!$D:$D,'渠道充值成功率_底稿'!$A:$A,$A11,'渠道充值成功率_底稿'!$B:$B,G$1)</f>
        <v>9777</v>
      </c>
      <c r="H11" s="18">
        <f>SUMIFS('渠道充值成功率_底稿'!$D:$D,'渠道充值成功率_底稿'!$A:$A,$A11,'渠道充值成功率_底稿'!$B:$B,H$1)</f>
        <v>0</v>
      </c>
      <c r="I11" s="18">
        <f>SUMIFS('渠道充值成功率_底稿'!$D:$D,'渠道充值成功率_底稿'!$A:$A,$A11,'渠道充值成功率_底稿'!$B:$B,I$1)</f>
        <v>0</v>
      </c>
      <c r="J11" s="18">
        <f>SUMIFS('渠道充值成功率_底稿'!$D:$D,'渠道充值成功率_底稿'!$A:$A,$A11,'渠道充值成功率_底稿'!$B:$B,J$1)</f>
        <v>0</v>
      </c>
      <c r="K11" s="18">
        <f>SUMIFS('渠道充值成功率_底稿'!$D:$D,'渠道充值成功率_底稿'!$A:$A,$A11,'渠道充值成功率_底稿'!$B:$B,K$1)</f>
        <v>3110</v>
      </c>
      <c r="L11" s="14">
        <f>SUMIFS('渠道充值成功率_底稿'!$D:$D,'渠道充值成功率_底稿'!$A:$A,$A11,'渠道充值成功率_底稿'!$B:$B,L$1)</f>
        <v>0</v>
      </c>
    </row>
    <row r="12">
      <c r="A12" s="6">
        <f>B8</f>
        <v>46083</v>
      </c>
      <c r="B12" s="11"/>
      <c r="C12" s="19" t="s">
        <v>15</v>
      </c>
      <c r="D12" s="18">
        <f>SUMIFS('渠道充值成功率_底稿'!$G:$G,'渠道充值成功率_底稿'!$A:$A,$A13,'渠道充值成功率_底稿'!$B:$B,D$1)</f>
        <v>76391</v>
      </c>
      <c r="E12" s="18">
        <f>SUMIFS('渠道充值成功率_底稿'!$G:$G,'渠道充值成功率_底稿'!$A:$A,$A12,'渠道充值成功率_底稿'!$B:$B,E$1)</f>
        <v>2225</v>
      </c>
      <c r="F12" s="18">
        <f>SUMIFS('渠道充值成功率_底稿'!$G:$G,'渠道充值成功率_底稿'!$A:$A,$A12,'渠道充值成功率_底稿'!$B:$B,F$1)</f>
        <v>3467</v>
      </c>
      <c r="G12" s="18">
        <f>SUMIFS('渠道充值成功率_底稿'!$G:$G,'渠道充值成功率_底稿'!$A:$A,$A12,'渠道充值成功率_底稿'!$B:$B,G$1)</f>
        <v>5458</v>
      </c>
      <c r="H12" s="18">
        <f>SUMIFS('渠道充值成功率_底稿'!$G:$G,'渠道充值成功率_底稿'!$A:$A,$A12,'渠道充值成功率_底稿'!$B:$B,H$1)</f>
        <v>0</v>
      </c>
      <c r="I12" s="18">
        <f>SUMIFS('渠道充值成功率_底稿'!$G:$G,'渠道充值成功率_底稿'!$A:$A,$A12,'渠道充值成功率_底稿'!$B:$B,I$1)</f>
        <v>0</v>
      </c>
      <c r="J12" s="18">
        <f>SUMIFS('渠道充值成功率_底稿'!$G:$G,'渠道充值成功率_底稿'!$A:$A,$A12,'渠道充值成功率_底稿'!$B:$B,J$1)</f>
        <v>0</v>
      </c>
      <c r="K12" s="18">
        <f>SUMIFS('渠道充值成功率_底稿'!$G:$G,'渠道充值成功率_底稿'!$A:$A,$A12,'渠道充值成功率_底稿'!$B:$B,K$1)</f>
        <v>2910</v>
      </c>
      <c r="L12" s="14">
        <f>SUMIFS('渠道充值成功率_底稿'!$G:$G,'渠道充值成功率_底稿'!$A:$A,$A12,'渠道充值成功率_底稿'!$B:$B,L$1)</f>
        <v>0</v>
      </c>
    </row>
    <row r="13">
      <c r="A13" s="6">
        <f>B8</f>
        <v>46083</v>
      </c>
      <c r="B13" s="20"/>
      <c r="C13" s="21" t="s">
        <v>16</v>
      </c>
      <c r="D13" s="22">
        <f t="shared" ref="D13:L13" si="4">IFERROR(ROUND(D12/D11,6),"0")</f>
        <v>0.783048</v>
      </c>
      <c r="E13" s="22">
        <f t="shared" si="4"/>
        <v>0.956989</v>
      </c>
      <c r="F13" s="22">
        <f t="shared" si="4"/>
        <v>0.832013</v>
      </c>
      <c r="G13" s="22">
        <f t="shared" si="4"/>
        <v>0.558249</v>
      </c>
      <c r="H13" s="22" t="str">
        <f t="shared" si="4"/>
        <v>0</v>
      </c>
      <c r="I13" s="22" t="str">
        <f t="shared" si="4"/>
        <v>0</v>
      </c>
      <c r="J13" s="22" t="str">
        <f t="shared" si="4"/>
        <v>0</v>
      </c>
      <c r="K13" s="22">
        <f t="shared" si="4"/>
        <v>0.935691</v>
      </c>
      <c r="L13" s="23" t="str">
        <f t="shared" si="4"/>
        <v>0</v>
      </c>
    </row>
    <row r="14">
      <c r="A14" s="6">
        <f>B14</f>
        <v>46084</v>
      </c>
      <c r="B14" s="7">
        <f>B8+1</f>
        <v>46084</v>
      </c>
      <c r="C14" s="8" t="s">
        <v>11</v>
      </c>
      <c r="D14" s="9">
        <f>SUMIFS('渠道充值成功率_底稿'!$C:$C,'渠道充值成功率_底稿'!$A:$A,$A14,'渠道充值成功率_底稿'!$B:$B,D$1)</f>
        <v>563</v>
      </c>
      <c r="E14" s="9">
        <f>SUMIFS('渠道充值成功率_底稿'!$C:$C,'渠道充值成功率_底稿'!$A:$A,$A14,'渠道充值成功率_底稿'!$B:$B,E$1)</f>
        <v>22</v>
      </c>
      <c r="F14" s="9">
        <f>SUMIFS('渠道充值成功率_底稿'!$C:$C,'渠道充值成功率_底稿'!$A:$A,$A14,'渠道充值成功率_底稿'!$B:$B,F$1)</f>
        <v>26</v>
      </c>
      <c r="G14" s="9">
        <f>SUMIFS('渠道充值成功率_底稿'!$C:$C,'渠道充值成功率_底稿'!$A:$A,$A14,'渠道充值成功率_底稿'!$B:$B,G$1)</f>
        <v>59</v>
      </c>
      <c r="H14" s="9">
        <f>SUMIFS('渠道充值成功率_底稿'!$C:$C,'渠道充值成功率_底稿'!$A:$A,$A14,'渠道充值成功率_底稿'!$B:$B,H$1)</f>
        <v>0</v>
      </c>
      <c r="I14" s="9">
        <f>SUMIFS('渠道充值成功率_底稿'!$C:$C,'渠道充值成功率_底稿'!$A:$A,$A14,'渠道充值成功率_底稿'!$B:$B,I$1)</f>
        <v>0</v>
      </c>
      <c r="J14" s="9">
        <f>SUMIFS('渠道充值成功率_底稿'!$C:$C,'渠道充值成功率_底稿'!$A:$A,$A14,'渠道充值成功率_底稿'!$B:$B,J$1)</f>
        <v>0</v>
      </c>
      <c r="K14" s="9">
        <f>SUMIFS('渠道充值成功率_底稿'!$C:$C,'渠道充值成功率_底稿'!$A:$A,$A14,'渠道充值成功率_底稿'!$B:$B,K$1)</f>
        <v>11</v>
      </c>
      <c r="L14" s="10">
        <f>SUMIFS('渠道充值成功率_底稿'!$C:$C,'渠道充值成功率_底稿'!$A:$A,$A14,'渠道充值成功率_底稿'!$B:$B,L$1)</f>
        <v>0</v>
      </c>
    </row>
    <row r="15">
      <c r="A15" s="6">
        <f>B14</f>
        <v>46084</v>
      </c>
      <c r="B15" s="11"/>
      <c r="C15" s="12" t="s">
        <v>12</v>
      </c>
      <c r="D15" s="13">
        <f>SUMIFS('渠道充值成功率_底稿'!$F:$F,'渠道充值成功率_底稿'!$A:$A,$A15,'渠道充值成功率_底稿'!$B:$B,D$1)</f>
        <v>435</v>
      </c>
      <c r="E15" s="13">
        <f>SUMIFS('渠道充值成功率_底稿'!$F:$F,'渠道充值成功率_底稿'!$A:$A,$A15,'渠道充值成功率_底稿'!$B:$B,E$1)</f>
        <v>21</v>
      </c>
      <c r="F15" s="13">
        <f>SUMIFS('渠道充值成功率_底稿'!$F:$F,'渠道充值成功率_底稿'!$A:$A,$A15,'渠道充值成功率_底稿'!$B:$B,F$1)</f>
        <v>18</v>
      </c>
      <c r="G15" s="13">
        <f>SUMIFS('渠道充值成功率_底稿'!$F:$F,'渠道充值成功率_底稿'!$A:$A,$A15,'渠道充值成功率_底稿'!$B:$B,G$1)</f>
        <v>48</v>
      </c>
      <c r="H15" s="13">
        <f>SUMIFS('渠道充值成功率_底稿'!$F:$F,'渠道充值成功率_底稿'!$A:$A,$A15,'渠道充值成功率_底稿'!$B:$B,H$1)</f>
        <v>0</v>
      </c>
      <c r="I15" s="13">
        <f>SUMIFS('渠道充值成功率_底稿'!$F:$F,'渠道充值成功率_底稿'!$A:$A,$A15,'渠道充值成功率_底稿'!$B:$B,I$1)</f>
        <v>0</v>
      </c>
      <c r="J15" s="13">
        <f>SUMIFS('渠道充值成功率_底稿'!$F:$F,'渠道充值成功率_底稿'!$A:$A,$A15,'渠道充值成功率_底稿'!$B:$B,J$1)</f>
        <v>0</v>
      </c>
      <c r="K15" s="13">
        <f>SUMIFS('渠道充值成功率_底稿'!$F:$F,'渠道充值成功率_底稿'!$A:$A,$A15,'渠道充值成功率_底稿'!$B:$B,K$1)</f>
        <v>6</v>
      </c>
      <c r="L15" s="14">
        <f>SUMIFS('渠道充值成功率_底稿'!$F:$F,'渠道充值成功率_底稿'!$A:$A,$A15,'渠道充值成功率_底稿'!$B:$B,L$1)</f>
        <v>0</v>
      </c>
    </row>
    <row r="16">
      <c r="A16" s="6">
        <f>B14</f>
        <v>46084</v>
      </c>
      <c r="B16" s="11"/>
      <c r="C16" s="15" t="s">
        <v>13</v>
      </c>
      <c r="D16" s="16">
        <f t="shared" ref="D16:L16" si="5">IFERROR(ROUND(D15/D14,6),"0")</f>
        <v>0.772647</v>
      </c>
      <c r="E16" s="16">
        <f t="shared" si="5"/>
        <v>0.954545</v>
      </c>
      <c r="F16" s="16">
        <f t="shared" si="5"/>
        <v>0.692308</v>
      </c>
      <c r="G16" s="16">
        <f t="shared" si="5"/>
        <v>0.813559</v>
      </c>
      <c r="H16" s="16" t="str">
        <f t="shared" si="5"/>
        <v>0</v>
      </c>
      <c r="I16" s="16" t="str">
        <f t="shared" si="5"/>
        <v>0</v>
      </c>
      <c r="J16" s="16" t="str">
        <f t="shared" si="5"/>
        <v>0</v>
      </c>
      <c r="K16" s="16">
        <f t="shared" si="5"/>
        <v>0.545455</v>
      </c>
      <c r="L16" s="17" t="str">
        <f t="shared" si="5"/>
        <v>0</v>
      </c>
    </row>
    <row r="17">
      <c r="A17" s="6">
        <f>B14</f>
        <v>46084</v>
      </c>
      <c r="B17" s="11"/>
      <c r="C17" s="12" t="s">
        <v>14</v>
      </c>
      <c r="D17" s="18">
        <f>SUMIFS('渠道充值成功率_底稿'!$D:$D,'渠道充值成功率_底稿'!$A:$A,$A18,'渠道充值成功率_底稿'!$B:$B,D$1)</f>
        <v>89488</v>
      </c>
      <c r="E17" s="18">
        <f>SUMIFS('渠道充值成功率_底稿'!$D:$D,'渠道充值成功率_底稿'!$A:$A,$A17,'渠道充值成功率_底稿'!$B:$B,E$1)</f>
        <v>3250</v>
      </c>
      <c r="F17" s="18">
        <f>SUMIFS('渠道充值成功率_底稿'!$D:$D,'渠道充值成功率_底稿'!$A:$A,$A17,'渠道充值成功率_底稿'!$B:$B,F$1)</f>
        <v>3975</v>
      </c>
      <c r="G17" s="18">
        <f>SUMIFS('渠道充值成功率_底稿'!$D:$D,'渠道充值成功率_底稿'!$A:$A,$A17,'渠道充值成功率_底稿'!$B:$B,G$1)</f>
        <v>10480</v>
      </c>
      <c r="H17" s="18">
        <f>SUMIFS('渠道充值成功率_底稿'!$D:$D,'渠道充值成功率_底稿'!$A:$A,$A17,'渠道充值成功率_底稿'!$B:$B,H$1)</f>
        <v>0</v>
      </c>
      <c r="I17" s="18">
        <f>SUMIFS('渠道充值成功率_底稿'!$D:$D,'渠道充值成功率_底稿'!$A:$A,$A17,'渠道充值成功率_底稿'!$B:$B,I$1)</f>
        <v>0</v>
      </c>
      <c r="J17" s="18">
        <f>SUMIFS('渠道充值成功率_底稿'!$D:$D,'渠道充值成功率_底稿'!$A:$A,$A17,'渠道充值成功率_底稿'!$B:$B,J$1)</f>
        <v>0</v>
      </c>
      <c r="K17" s="18">
        <f>SUMIFS('渠道充值成功率_底稿'!$D:$D,'渠道充值成功率_底稿'!$A:$A,$A17,'渠道充值成功率_底稿'!$B:$B,K$1)</f>
        <v>2100</v>
      </c>
      <c r="L17" s="14">
        <f>SUMIFS('渠道充值成功率_底稿'!$D:$D,'渠道充值成功率_底稿'!$A:$A,$A17,'渠道充值成功率_底稿'!$B:$B,L$1)</f>
        <v>0</v>
      </c>
    </row>
    <row r="18">
      <c r="A18" s="6">
        <f>B14</f>
        <v>46084</v>
      </c>
      <c r="B18" s="11"/>
      <c r="C18" s="19" t="s">
        <v>15</v>
      </c>
      <c r="D18" s="18">
        <f>SUMIFS('渠道充值成功率_底稿'!$G:$G,'渠道充值成功率_底稿'!$A:$A,$A19,'渠道充值成功率_底稿'!$B:$B,D$1)</f>
        <v>71452</v>
      </c>
      <c r="E18" s="18">
        <f>SUMIFS('渠道充值成功率_底稿'!$G:$G,'渠道充值成功率_底稿'!$A:$A,$A18,'渠道充值成功率_底稿'!$B:$B,E$1)</f>
        <v>3050</v>
      </c>
      <c r="F18" s="18">
        <f>SUMIFS('渠道充值成功率_底稿'!$G:$G,'渠道充值成功率_底稿'!$A:$A,$A18,'渠道充值成功率_底稿'!$B:$B,F$1)</f>
        <v>2925</v>
      </c>
      <c r="G18" s="18">
        <f>SUMIFS('渠道充值成功率_底稿'!$G:$G,'渠道充值成功率_底稿'!$A:$A,$A18,'渠道充值成功率_底稿'!$B:$B,G$1)</f>
        <v>8681</v>
      </c>
      <c r="H18" s="18">
        <f>SUMIFS('渠道充值成功率_底稿'!$G:$G,'渠道充值成功率_底稿'!$A:$A,$A18,'渠道充值成功率_底稿'!$B:$B,H$1)</f>
        <v>0</v>
      </c>
      <c r="I18" s="18">
        <f>SUMIFS('渠道充值成功率_底稿'!$G:$G,'渠道充值成功率_底稿'!$A:$A,$A18,'渠道充值成功率_底稿'!$B:$B,I$1)</f>
        <v>0</v>
      </c>
      <c r="J18" s="18">
        <f>SUMIFS('渠道充值成功率_底稿'!$G:$G,'渠道充值成功率_底稿'!$A:$A,$A18,'渠道充值成功率_底稿'!$B:$B,J$1)</f>
        <v>0</v>
      </c>
      <c r="K18" s="18">
        <f>SUMIFS('渠道充值成功率_底稿'!$G:$G,'渠道充值成功率_底稿'!$A:$A,$A18,'渠道充值成功率_底稿'!$B:$B,K$1)</f>
        <v>1200</v>
      </c>
      <c r="L18" s="14">
        <f>SUMIFS('渠道充值成功率_底稿'!$G:$G,'渠道充值成功率_底稿'!$A:$A,$A18,'渠道充值成功率_底稿'!$B:$B,L$1)</f>
        <v>0</v>
      </c>
    </row>
    <row r="19">
      <c r="A19" s="6">
        <f>B14</f>
        <v>46084</v>
      </c>
      <c r="B19" s="20"/>
      <c r="C19" s="21" t="s">
        <v>16</v>
      </c>
      <c r="D19" s="22">
        <f t="shared" ref="D19:L19" si="6">IFERROR(ROUND(D18/D17,6),"0")</f>
        <v>0.798453</v>
      </c>
      <c r="E19" s="22">
        <f t="shared" si="6"/>
        <v>0.938462</v>
      </c>
      <c r="F19" s="22">
        <f t="shared" si="6"/>
        <v>0.735849</v>
      </c>
      <c r="G19" s="22">
        <f t="shared" si="6"/>
        <v>0.82834</v>
      </c>
      <c r="H19" s="22" t="str">
        <f t="shared" si="6"/>
        <v>0</v>
      </c>
      <c r="I19" s="22" t="str">
        <f t="shared" si="6"/>
        <v>0</v>
      </c>
      <c r="J19" s="22" t="str">
        <f t="shared" si="6"/>
        <v>0</v>
      </c>
      <c r="K19" s="22">
        <f t="shared" si="6"/>
        <v>0.571429</v>
      </c>
      <c r="L19" s="23" t="str">
        <f t="shared" si="6"/>
        <v>0</v>
      </c>
    </row>
    <row r="20">
      <c r="A20" s="6">
        <f>B20</f>
        <v>46085</v>
      </c>
      <c r="B20" s="7">
        <f>B14+1</f>
        <v>46085</v>
      </c>
      <c r="C20" s="8" t="s">
        <v>11</v>
      </c>
      <c r="D20" s="9">
        <f>SUMIFS('渠道充值成功率_底稿'!$C:$C,'渠道充值成功率_底稿'!$A:$A,$A20,'渠道充值成功率_底稿'!$B:$B,D$1)</f>
        <v>495</v>
      </c>
      <c r="E20" s="9">
        <f>SUMIFS('渠道充值成功率_底稿'!$C:$C,'渠道充值成功率_底稿'!$A:$A,$A20,'渠道充值成功率_底稿'!$B:$B,E$1)</f>
        <v>15</v>
      </c>
      <c r="F20" s="9">
        <f>SUMIFS('渠道充值成功率_底稿'!$C:$C,'渠道充值成功率_底稿'!$A:$A,$A20,'渠道充值成功率_底稿'!$B:$B,F$1)</f>
        <v>28</v>
      </c>
      <c r="G20" s="9">
        <f>SUMIFS('渠道充值成功率_底稿'!$C:$C,'渠道充值成功率_底稿'!$A:$A,$A20,'渠道充值成功率_底稿'!$B:$B,G$1)</f>
        <v>54</v>
      </c>
      <c r="H20" s="9">
        <f>SUMIFS('渠道充值成功率_底稿'!$C:$C,'渠道充值成功率_底稿'!$A:$A,$A20,'渠道充值成功率_底稿'!$B:$B,H$1)</f>
        <v>0</v>
      </c>
      <c r="I20" s="9">
        <f>SUMIFS('渠道充值成功率_底稿'!$C:$C,'渠道充值成功率_底稿'!$A:$A,$A20,'渠道充值成功率_底稿'!$B:$B,I$1)</f>
        <v>0</v>
      </c>
      <c r="J20" s="9">
        <f>SUMIFS('渠道充值成功率_底稿'!$C:$C,'渠道充值成功率_底稿'!$A:$A,$A20,'渠道充值成功率_底稿'!$B:$B,J$1)</f>
        <v>0</v>
      </c>
      <c r="K20" s="9">
        <f>SUMIFS('渠道充值成功率_底稿'!$C:$C,'渠道充值成功率_底稿'!$A:$A,$A20,'渠道充值成功率_底稿'!$B:$B,K$1)</f>
        <v>2</v>
      </c>
      <c r="L20" s="10">
        <f>SUMIFS('渠道充值成功率_底稿'!$C:$C,'渠道充值成功率_底稿'!$A:$A,$A20,'渠道充值成功率_底稿'!$B:$B,L$1)</f>
        <v>0</v>
      </c>
    </row>
    <row r="21">
      <c r="A21" s="6">
        <f>B20</f>
        <v>46085</v>
      </c>
      <c r="B21" s="11"/>
      <c r="C21" s="12" t="s">
        <v>12</v>
      </c>
      <c r="D21" s="13">
        <f>SUMIFS('渠道充值成功率_底稿'!$F:$F,'渠道充值成功率_底稿'!$A:$A,$A21,'渠道充值成功率_底稿'!$B:$B,D$1)</f>
        <v>427</v>
      </c>
      <c r="E21" s="13">
        <f>SUMIFS('渠道充值成功率_底稿'!$F:$F,'渠道充值成功率_底稿'!$A:$A,$A21,'渠道充值成功率_底稿'!$B:$B,E$1)</f>
        <v>7</v>
      </c>
      <c r="F21" s="13">
        <f>SUMIFS('渠道充值成功率_底稿'!$F:$F,'渠道充值成功率_底稿'!$A:$A,$A21,'渠道充值成功率_底稿'!$B:$B,F$1)</f>
        <v>19</v>
      </c>
      <c r="G21" s="13">
        <f>SUMIFS('渠道充值成功率_底稿'!$F:$F,'渠道充值成功率_底稿'!$A:$A,$A21,'渠道充值成功率_底稿'!$B:$B,G$1)</f>
        <v>49</v>
      </c>
      <c r="H21" s="13">
        <f>SUMIFS('渠道充值成功率_底稿'!$F:$F,'渠道充值成功率_底稿'!$A:$A,$A21,'渠道充值成功率_底稿'!$B:$B,H$1)</f>
        <v>0</v>
      </c>
      <c r="I21" s="13">
        <f>SUMIFS('渠道充值成功率_底稿'!$F:$F,'渠道充值成功率_底稿'!$A:$A,$A21,'渠道充值成功率_底稿'!$B:$B,I$1)</f>
        <v>0</v>
      </c>
      <c r="J21" s="13">
        <f>SUMIFS('渠道充值成功率_底稿'!$F:$F,'渠道充值成功率_底稿'!$A:$A,$A21,'渠道充值成功率_底稿'!$B:$B,J$1)</f>
        <v>0</v>
      </c>
      <c r="K21" s="13">
        <f>SUMIFS('渠道充值成功率_底稿'!$F:$F,'渠道充值成功率_底稿'!$A:$A,$A21,'渠道充值成功率_底稿'!$B:$B,K$1)</f>
        <v>2</v>
      </c>
      <c r="L21" s="14">
        <f>SUMIFS('渠道充值成功率_底稿'!$F:$F,'渠道充值成功率_底稿'!$A:$A,$A21,'渠道充值成功率_底稿'!$B:$B,L$1)</f>
        <v>0</v>
      </c>
    </row>
    <row r="22">
      <c r="A22" s="6">
        <f>B20</f>
        <v>46085</v>
      </c>
      <c r="B22" s="11"/>
      <c r="C22" s="15" t="s">
        <v>13</v>
      </c>
      <c r="D22" s="16">
        <f t="shared" ref="D22:L22" si="7">IFERROR(ROUND(D21/D20,6),"0")</f>
        <v>0.862626</v>
      </c>
      <c r="E22" s="16">
        <f t="shared" si="7"/>
        <v>0.466667</v>
      </c>
      <c r="F22" s="16">
        <f t="shared" si="7"/>
        <v>0.678571</v>
      </c>
      <c r="G22" s="16">
        <f t="shared" si="7"/>
        <v>0.907407</v>
      </c>
      <c r="H22" s="16" t="str">
        <f t="shared" si="7"/>
        <v>0</v>
      </c>
      <c r="I22" s="16" t="str">
        <f t="shared" si="7"/>
        <v>0</v>
      </c>
      <c r="J22" s="16" t="str">
        <f t="shared" si="7"/>
        <v>0</v>
      </c>
      <c r="K22" s="16">
        <f t="shared" si="7"/>
        <v>1</v>
      </c>
      <c r="L22" s="17" t="str">
        <f t="shared" si="7"/>
        <v>0</v>
      </c>
    </row>
    <row r="23">
      <c r="A23" s="6">
        <f>B20</f>
        <v>46085</v>
      </c>
      <c r="B23" s="11"/>
      <c r="C23" s="12" t="s">
        <v>14</v>
      </c>
      <c r="D23" s="18">
        <f>SUMIFS('渠道充值成功率_底稿'!$D:$D,'渠道充值成功率_底稿'!$A:$A,$A24,'渠道充值成功率_底稿'!$B:$B,D$1)</f>
        <v>75867</v>
      </c>
      <c r="E23" s="18">
        <f>SUMIFS('渠道充值成功率_底稿'!$D:$D,'渠道充值成功率_底稿'!$A:$A,$A23,'渠道充值成功率_底稿'!$B:$B,E$1)</f>
        <v>3270</v>
      </c>
      <c r="F23" s="18">
        <f>SUMIFS('渠道充值成功率_底稿'!$D:$D,'渠道充值成功率_底稿'!$A:$A,$A23,'渠道充值成功率_底稿'!$B:$B,F$1)</f>
        <v>4140</v>
      </c>
      <c r="G23" s="18">
        <f>SUMIFS('渠道充值成功率_底稿'!$D:$D,'渠道充值成功率_底稿'!$A:$A,$A23,'渠道充值成功率_底稿'!$B:$B,G$1)</f>
        <v>12150</v>
      </c>
      <c r="H23" s="18">
        <f>SUMIFS('渠道充值成功率_底稿'!$D:$D,'渠道充值成功率_底稿'!$A:$A,$A23,'渠道充值成功率_底稿'!$B:$B,H$1)</f>
        <v>0</v>
      </c>
      <c r="I23" s="18">
        <f>SUMIFS('渠道充值成功率_底稿'!$D:$D,'渠道充值成功率_底稿'!$A:$A,$A23,'渠道充值成功率_底稿'!$B:$B,I$1)</f>
        <v>0</v>
      </c>
      <c r="J23" s="18">
        <f>SUMIFS('渠道充值成功率_底稿'!$D:$D,'渠道充值成功率_底稿'!$A:$A,$A23,'渠道充值成功率_底稿'!$B:$B,J$1)</f>
        <v>0</v>
      </c>
      <c r="K23" s="18">
        <f>SUMIFS('渠道充值成功率_底稿'!$D:$D,'渠道充值成功率_底稿'!$A:$A,$A23,'渠道充值成功率_底稿'!$B:$B,K$1)</f>
        <v>330</v>
      </c>
      <c r="L23" s="14">
        <f>SUMIFS('渠道充值成功率_底稿'!$D:$D,'渠道充值成功率_底稿'!$A:$A,$A23,'渠道充值成功率_底稿'!$B:$B,L$1)</f>
        <v>0</v>
      </c>
    </row>
    <row r="24">
      <c r="A24" s="6">
        <f>B20</f>
        <v>46085</v>
      </c>
      <c r="B24" s="11"/>
      <c r="C24" s="19" t="s">
        <v>15</v>
      </c>
      <c r="D24" s="18">
        <f>SUMIFS('渠道充值成功率_底稿'!$G:$G,'渠道充值成功率_底稿'!$A:$A,$A25,'渠道充值成功率_底稿'!$B:$B,D$1)</f>
        <v>68188</v>
      </c>
      <c r="E24" s="18">
        <f>SUMIFS('渠道充值成功率_底稿'!$G:$G,'渠道充值成功率_底稿'!$A:$A,$A24,'渠道充值成功率_底稿'!$B:$B,E$1)</f>
        <v>1570</v>
      </c>
      <c r="F24" s="18">
        <f>SUMIFS('渠道充值成功率_底稿'!$G:$G,'渠道充值成功率_底稿'!$A:$A,$A24,'渠道充值成功率_底稿'!$B:$B,F$1)</f>
        <v>2440</v>
      </c>
      <c r="G24" s="18">
        <f>SUMIFS('渠道充值成功率_底稿'!$G:$G,'渠道充值成功率_底稿'!$A:$A,$A24,'渠道充值成功率_底稿'!$B:$B,G$1)</f>
        <v>10700</v>
      </c>
      <c r="H24" s="18">
        <f>SUMIFS('渠道充值成功率_底稿'!$G:$G,'渠道充值成功率_底稿'!$A:$A,$A24,'渠道充值成功率_底稿'!$B:$B,H$1)</f>
        <v>0</v>
      </c>
      <c r="I24" s="18">
        <f>SUMIFS('渠道充值成功率_底稿'!$G:$G,'渠道充值成功率_底稿'!$A:$A,$A24,'渠道充值成功率_底稿'!$B:$B,I$1)</f>
        <v>0</v>
      </c>
      <c r="J24" s="18">
        <f>SUMIFS('渠道充值成功率_底稿'!$G:$G,'渠道充值成功率_底稿'!$A:$A,$A24,'渠道充值成功率_底稿'!$B:$B,J$1)</f>
        <v>0</v>
      </c>
      <c r="K24" s="18">
        <f>SUMIFS('渠道充值成功率_底稿'!$G:$G,'渠道充值成功率_底稿'!$A:$A,$A24,'渠道充值成功率_底稿'!$B:$B,K$1)</f>
        <v>330</v>
      </c>
      <c r="L24" s="14">
        <f>SUMIFS('渠道充值成功率_底稿'!$G:$G,'渠道充值成功率_底稿'!$A:$A,$A24,'渠道充值成功率_底稿'!$B:$B,L$1)</f>
        <v>0</v>
      </c>
    </row>
    <row r="25">
      <c r="A25" s="6">
        <f>B20</f>
        <v>46085</v>
      </c>
      <c r="B25" s="20"/>
      <c r="C25" s="21" t="s">
        <v>16</v>
      </c>
      <c r="D25" s="22">
        <f t="shared" ref="D25:L25" si="8">IFERROR(ROUND(D24/D23,6),"0")</f>
        <v>0.898783</v>
      </c>
      <c r="E25" s="22">
        <f t="shared" si="8"/>
        <v>0.480122</v>
      </c>
      <c r="F25" s="22">
        <f t="shared" si="8"/>
        <v>0.589372</v>
      </c>
      <c r="G25" s="22">
        <f t="shared" si="8"/>
        <v>0.880658</v>
      </c>
      <c r="H25" s="22" t="str">
        <f t="shared" si="8"/>
        <v>0</v>
      </c>
      <c r="I25" s="22" t="str">
        <f t="shared" si="8"/>
        <v>0</v>
      </c>
      <c r="J25" s="22" t="str">
        <f t="shared" si="8"/>
        <v>0</v>
      </c>
      <c r="K25" s="22">
        <f t="shared" si="8"/>
        <v>1</v>
      </c>
      <c r="L25" s="23" t="str">
        <f t="shared" si="8"/>
        <v>0</v>
      </c>
    </row>
    <row r="26">
      <c r="A26" s="6">
        <f>B26</f>
        <v>46086</v>
      </c>
      <c r="B26" s="7">
        <f>B20+1</f>
        <v>46086</v>
      </c>
      <c r="C26" s="8" t="s">
        <v>11</v>
      </c>
      <c r="D26" s="9">
        <f>SUMIFS('渠道充值成功率_底稿'!$C:$C,'渠道充值成功率_底稿'!$A:$A,$A26,'渠道充值成功率_底稿'!$B:$B,D$1)</f>
        <v>746</v>
      </c>
      <c r="E26" s="9">
        <f>SUMIFS('渠道充值成功率_底稿'!$C:$C,'渠道充值成功率_底稿'!$A:$A,$A26,'渠道充值成功率_底稿'!$B:$B,E$1)</f>
        <v>25</v>
      </c>
      <c r="F26" s="9">
        <f>SUMIFS('渠道充值成功率_底稿'!$C:$C,'渠道充值成功率_底稿'!$A:$A,$A26,'渠道充值成功率_底稿'!$B:$B,F$1)</f>
        <v>66</v>
      </c>
      <c r="G26" s="9">
        <f>SUMIFS('渠道充值成功率_底稿'!$C:$C,'渠道充值成功率_底稿'!$A:$A,$A26,'渠道充值成功率_底稿'!$B:$B,G$1)</f>
        <v>80</v>
      </c>
      <c r="H26" s="9">
        <f>SUMIFS('渠道充值成功率_底稿'!$C:$C,'渠道充值成功率_底稿'!$A:$A,$A26,'渠道充值成功率_底稿'!$B:$B,H$1)</f>
        <v>0</v>
      </c>
      <c r="I26" s="9">
        <f>SUMIFS('渠道充值成功率_底稿'!$C:$C,'渠道充值成功率_底稿'!$A:$A,$A26,'渠道充值成功率_底稿'!$B:$B,I$1)</f>
        <v>0</v>
      </c>
      <c r="J26" s="9">
        <f>SUMIFS('渠道充值成功率_底稿'!$C:$C,'渠道充值成功率_底稿'!$A:$A,$A26,'渠道充值成功率_底稿'!$B:$B,J$1)</f>
        <v>0</v>
      </c>
      <c r="K26" s="9">
        <f>SUMIFS('渠道充值成功率_底稿'!$C:$C,'渠道充值成功率_底稿'!$A:$A,$A26,'渠道充值成功率_底稿'!$B:$B,K$1)</f>
        <v>21</v>
      </c>
      <c r="L26" s="10">
        <f>SUMIFS('渠道充值成功率_底稿'!$C:$C,'渠道充值成功率_底稿'!$A:$A,$A26,'渠道充值成功率_底稿'!$B:$B,L$1)</f>
        <v>0</v>
      </c>
    </row>
    <row r="27">
      <c r="A27" s="6">
        <f>B26</f>
        <v>46086</v>
      </c>
      <c r="B27" s="11"/>
      <c r="C27" s="12" t="s">
        <v>12</v>
      </c>
      <c r="D27" s="13">
        <f>SUMIFS('渠道充值成功率_底稿'!$F:$F,'渠道充值成功率_底稿'!$A:$A,$A27,'渠道充值成功率_底稿'!$B:$B,D$1)</f>
        <v>494</v>
      </c>
      <c r="E27" s="13">
        <f>SUMIFS('渠道充值成功率_底稿'!$F:$F,'渠道充值成功率_底稿'!$A:$A,$A27,'渠道充值成功率_底稿'!$B:$B,E$1)</f>
        <v>24</v>
      </c>
      <c r="F27" s="13">
        <f>SUMIFS('渠道充值成功率_底稿'!$F:$F,'渠道充值成功率_底稿'!$A:$A,$A27,'渠道充值成功率_底稿'!$B:$B,F$1)</f>
        <v>30</v>
      </c>
      <c r="G27" s="13">
        <f>SUMIFS('渠道充值成功率_底稿'!$F:$F,'渠道充值成功率_底稿'!$A:$A,$A27,'渠道充值成功率_底稿'!$B:$B,G$1)</f>
        <v>66</v>
      </c>
      <c r="H27" s="13">
        <f>SUMIFS('渠道充值成功率_底稿'!$F:$F,'渠道充值成功率_底稿'!$A:$A,$A27,'渠道充值成功率_底稿'!$B:$B,H$1)</f>
        <v>0</v>
      </c>
      <c r="I27" s="13">
        <f>SUMIFS('渠道充值成功率_底稿'!$F:$F,'渠道充值成功率_底稿'!$A:$A,$A27,'渠道充值成功率_底稿'!$B:$B,I$1)</f>
        <v>0</v>
      </c>
      <c r="J27" s="13">
        <f>SUMIFS('渠道充值成功率_底稿'!$F:$F,'渠道充值成功率_底稿'!$A:$A,$A27,'渠道充值成功率_底稿'!$B:$B,J$1)</f>
        <v>0</v>
      </c>
      <c r="K27" s="13">
        <f>SUMIFS('渠道充值成功率_底稿'!$F:$F,'渠道充值成功率_底稿'!$A:$A,$A27,'渠道充值成功率_底稿'!$B:$B,K$1)</f>
        <v>15</v>
      </c>
      <c r="L27" s="14">
        <f>SUMIFS('渠道充值成功率_底稿'!$F:$F,'渠道充值成功率_底稿'!$A:$A,$A27,'渠道充值成功率_底稿'!$B:$B,L$1)</f>
        <v>0</v>
      </c>
    </row>
    <row r="28">
      <c r="A28" s="6">
        <f>B26</f>
        <v>46086</v>
      </c>
      <c r="B28" s="11"/>
      <c r="C28" s="15" t="s">
        <v>13</v>
      </c>
      <c r="D28" s="16">
        <f t="shared" ref="D28:L28" si="9">IFERROR(ROUND(D27/D26,6),"0")</f>
        <v>0.662198</v>
      </c>
      <c r="E28" s="16">
        <f t="shared" si="9"/>
        <v>0.96</v>
      </c>
      <c r="F28" s="16">
        <f t="shared" si="9"/>
        <v>0.454545</v>
      </c>
      <c r="G28" s="16">
        <f t="shared" si="9"/>
        <v>0.825</v>
      </c>
      <c r="H28" s="16" t="str">
        <f t="shared" si="9"/>
        <v>0</v>
      </c>
      <c r="I28" s="16" t="str">
        <f t="shared" si="9"/>
        <v>0</v>
      </c>
      <c r="J28" s="16" t="str">
        <f t="shared" si="9"/>
        <v>0</v>
      </c>
      <c r="K28" s="16">
        <f t="shared" si="9"/>
        <v>0.714286</v>
      </c>
      <c r="L28" s="17" t="str">
        <f t="shared" si="9"/>
        <v>0</v>
      </c>
    </row>
    <row r="29">
      <c r="A29" s="6">
        <f>B26</f>
        <v>46086</v>
      </c>
      <c r="B29" s="11"/>
      <c r="C29" s="12" t="s">
        <v>14</v>
      </c>
      <c r="D29" s="18">
        <f>SUMIFS('渠道充值成功率_底稿'!$D:$D,'渠道充值成功率_底稿'!$A:$A,$A30,'渠道充值成功率_底稿'!$B:$B,D$1)</f>
        <v>129434</v>
      </c>
      <c r="E29" s="18">
        <f>SUMIFS('渠道充值成功率_底稿'!$D:$D,'渠道充值成功率_底稿'!$A:$A,$A29,'渠道充值成功率_底稿'!$B:$B,E$1)</f>
        <v>4680</v>
      </c>
      <c r="F29" s="18">
        <f>SUMIFS('渠道充值成功率_底稿'!$D:$D,'渠道充值成功率_底稿'!$A:$A,$A29,'渠道充值成功率_底稿'!$B:$B,F$1)</f>
        <v>10670</v>
      </c>
      <c r="G29" s="18">
        <f>SUMIFS('渠道充值成功率_底稿'!$D:$D,'渠道充值成功率_底稿'!$A:$A,$A29,'渠道充值成功率_底稿'!$B:$B,G$1)</f>
        <v>28649</v>
      </c>
      <c r="H29" s="18">
        <f>SUMIFS('渠道充值成功率_底稿'!$D:$D,'渠道充值成功率_底稿'!$A:$A,$A29,'渠道充值成功率_底稿'!$B:$B,H$1)</f>
        <v>0</v>
      </c>
      <c r="I29" s="18">
        <f>SUMIFS('渠道充值成功率_底稿'!$D:$D,'渠道充值成功率_底稿'!$A:$A,$A29,'渠道充值成功率_底稿'!$B:$B,I$1)</f>
        <v>0</v>
      </c>
      <c r="J29" s="18">
        <f>SUMIFS('渠道充值成功率_底稿'!$D:$D,'渠道充值成功率_底稿'!$A:$A,$A29,'渠道充值成功率_底稿'!$B:$B,J$1)</f>
        <v>0</v>
      </c>
      <c r="K29" s="18">
        <f>SUMIFS('渠道充值成功率_底稿'!$D:$D,'渠道充值成功率_底稿'!$A:$A,$A29,'渠道充值成功率_底稿'!$B:$B,K$1)</f>
        <v>4550</v>
      </c>
      <c r="L29" s="14">
        <f>SUMIFS('渠道充值成功率_底稿'!$D:$D,'渠道充值成功率_底稿'!$A:$A,$A29,'渠道充值成功率_底稿'!$B:$B,L$1)</f>
        <v>0</v>
      </c>
    </row>
    <row r="30">
      <c r="A30" s="6">
        <f>B26</f>
        <v>46086</v>
      </c>
      <c r="B30" s="11"/>
      <c r="C30" s="19" t="s">
        <v>15</v>
      </c>
      <c r="D30" s="18">
        <f>SUMIFS('渠道充值成功率_底稿'!$G:$G,'渠道充值成功率_底稿'!$A:$A,$A31,'渠道充值成功率_底稿'!$B:$B,D$1)</f>
        <v>89429</v>
      </c>
      <c r="E30" s="18">
        <f>SUMIFS('渠道充值成功率_底稿'!$G:$G,'渠道充值成功率_底稿'!$A:$A,$A30,'渠道充值成功率_底稿'!$B:$B,E$1)</f>
        <v>4480</v>
      </c>
      <c r="F30" s="18">
        <f>SUMIFS('渠道充值成功率_底稿'!$G:$G,'渠道充值成功率_底稿'!$A:$A,$A30,'渠道充值成功率_底稿'!$B:$B,F$1)</f>
        <v>4183</v>
      </c>
      <c r="G30" s="18">
        <f>SUMIFS('渠道充值成功率_底稿'!$G:$G,'渠道充值成功率_底稿'!$A:$A,$A30,'渠道充值成功率_底稿'!$B:$B,G$1)</f>
        <v>22356</v>
      </c>
      <c r="H30" s="18">
        <f>SUMIFS('渠道充值成功率_底稿'!$G:$G,'渠道充值成功率_底稿'!$A:$A,$A30,'渠道充值成功率_底稿'!$B:$B,H$1)</f>
        <v>0</v>
      </c>
      <c r="I30" s="18">
        <f>SUMIFS('渠道充值成功率_底稿'!$G:$G,'渠道充值成功率_底稿'!$A:$A,$A30,'渠道充值成功率_底稿'!$B:$B,I$1)</f>
        <v>0</v>
      </c>
      <c r="J30" s="18">
        <f>SUMIFS('渠道充值成功率_底稿'!$G:$G,'渠道充值成功率_底稿'!$A:$A,$A30,'渠道充值成功率_底稿'!$B:$B,J$1)</f>
        <v>0</v>
      </c>
      <c r="K30" s="18">
        <f>SUMIFS('渠道充值成功率_底稿'!$G:$G,'渠道充值成功率_底稿'!$A:$A,$A30,'渠道充值成功率_底稿'!$B:$B,K$1)</f>
        <v>2250</v>
      </c>
      <c r="L30" s="14">
        <f>SUMIFS('渠道充值成功率_底稿'!$G:$G,'渠道充值成功率_底稿'!$A:$A,$A30,'渠道充值成功率_底稿'!$B:$B,L$1)</f>
        <v>0</v>
      </c>
    </row>
    <row r="31">
      <c r="A31" s="6">
        <f>B26</f>
        <v>46086</v>
      </c>
      <c r="B31" s="20"/>
      <c r="C31" s="21" t="s">
        <v>16</v>
      </c>
      <c r="D31" s="22">
        <f t="shared" ref="D31:L31" si="10">IFERROR(ROUND(D30/D29,6),"0")</f>
        <v>0.690924</v>
      </c>
      <c r="E31" s="22">
        <f t="shared" si="10"/>
        <v>0.957265</v>
      </c>
      <c r="F31" s="22">
        <f t="shared" si="10"/>
        <v>0.392034</v>
      </c>
      <c r="G31" s="22">
        <f t="shared" si="10"/>
        <v>0.780341</v>
      </c>
      <c r="H31" s="22" t="str">
        <f t="shared" si="10"/>
        <v>0</v>
      </c>
      <c r="I31" s="22" t="str">
        <f t="shared" si="10"/>
        <v>0</v>
      </c>
      <c r="J31" s="22" t="str">
        <f t="shared" si="10"/>
        <v>0</v>
      </c>
      <c r="K31" s="22">
        <f t="shared" si="10"/>
        <v>0.494505</v>
      </c>
      <c r="L31" s="23" t="str">
        <f t="shared" si="10"/>
        <v>0</v>
      </c>
    </row>
    <row r="32">
      <c r="A32" s="6">
        <f>B32</f>
        <v>46087</v>
      </c>
      <c r="B32" s="7">
        <f>B26+1</f>
        <v>46087</v>
      </c>
      <c r="C32" s="8" t="s">
        <v>11</v>
      </c>
      <c r="D32" s="9">
        <f>SUMIFS('渠道充值成功率_底稿'!$C:$C,'渠道充值成功率_底稿'!$A:$A,$A32,'渠道充值成功率_底稿'!$B:$B,D$1)</f>
        <v>731</v>
      </c>
      <c r="E32" s="9">
        <f>SUMIFS('渠道充值成功率_底稿'!$C:$C,'渠道充值成功率_底稿'!$A:$A,$A32,'渠道充值成功率_底稿'!$B:$B,E$1)</f>
        <v>36</v>
      </c>
      <c r="F32" s="9">
        <f>SUMIFS('渠道充值成功率_底稿'!$C:$C,'渠道充值成功率_底稿'!$A:$A,$A32,'渠道充值成功率_底稿'!$B:$B,F$1)</f>
        <v>60</v>
      </c>
      <c r="G32" s="9">
        <f>SUMIFS('渠道充值成功率_底稿'!$C:$C,'渠道充值成功率_底稿'!$A:$A,$A32,'渠道充值成功率_底稿'!$B:$B,G$1)</f>
        <v>90</v>
      </c>
      <c r="H32" s="9">
        <f>SUMIFS('渠道充值成功率_底稿'!$C:$C,'渠道充值成功率_底稿'!$A:$A,$A32,'渠道充值成功率_底稿'!$B:$B,H$1)</f>
        <v>0</v>
      </c>
      <c r="I32" s="9">
        <f>SUMIFS('渠道充值成功率_底稿'!$C:$C,'渠道充值成功率_底稿'!$A:$A,$A32,'渠道充值成功率_底稿'!$B:$B,I$1)</f>
        <v>0</v>
      </c>
      <c r="J32" s="9">
        <f>SUMIFS('渠道充值成功率_底稿'!$C:$C,'渠道充值成功率_底稿'!$A:$A,$A32,'渠道充值成功率_底稿'!$B:$B,J$1)</f>
        <v>0</v>
      </c>
      <c r="K32" s="9">
        <f>SUMIFS('渠道充值成功率_底稿'!$C:$C,'渠道充值成功率_底稿'!$A:$A,$A32,'渠道充值成功率_底稿'!$B:$B,K$1)</f>
        <v>8</v>
      </c>
      <c r="L32" s="10">
        <f>SUMIFS('渠道充值成功率_底稿'!$C:$C,'渠道充值成功率_底稿'!$A:$A,$A32,'渠道充值成功率_底稿'!$B:$B,L$1)</f>
        <v>0</v>
      </c>
    </row>
    <row r="33">
      <c r="A33" s="6">
        <f>B32</f>
        <v>46087</v>
      </c>
      <c r="B33" s="11"/>
      <c r="C33" s="12" t="s">
        <v>12</v>
      </c>
      <c r="D33" s="13">
        <f>SUMIFS('渠道充值成功率_底稿'!$F:$F,'渠道充值成功率_底稿'!$A:$A,$A33,'渠道充值成功率_底稿'!$B:$B,D$1)</f>
        <v>400</v>
      </c>
      <c r="E33" s="13">
        <f>SUMIFS('渠道充值成功率_底稿'!$F:$F,'渠道充值成功率_底稿'!$A:$A,$A33,'渠道充值成功率_底稿'!$B:$B,E$1)</f>
        <v>29</v>
      </c>
      <c r="F33" s="13">
        <f>SUMIFS('渠道充值成功率_底稿'!$F:$F,'渠道充值成功率_底稿'!$A:$A,$A33,'渠道充值成功率_底稿'!$B:$B,F$1)</f>
        <v>26</v>
      </c>
      <c r="G33" s="13">
        <f>SUMIFS('渠道充值成功率_底稿'!$F:$F,'渠道充值成功率_底稿'!$A:$A,$A33,'渠道充值成功率_底稿'!$B:$B,G$1)</f>
        <v>69</v>
      </c>
      <c r="H33" s="13">
        <f>SUMIFS('渠道充值成功率_底稿'!$F:$F,'渠道充值成功率_底稿'!$A:$A,$A33,'渠道充值成功率_底稿'!$B:$B,H$1)</f>
        <v>0</v>
      </c>
      <c r="I33" s="13">
        <f>SUMIFS('渠道充值成功率_底稿'!$F:$F,'渠道充值成功率_底稿'!$A:$A,$A33,'渠道充值成功率_底稿'!$B:$B,I$1)</f>
        <v>0</v>
      </c>
      <c r="J33" s="13">
        <f>SUMIFS('渠道充值成功率_底稿'!$F:$F,'渠道充值成功率_底稿'!$A:$A,$A33,'渠道充值成功率_底稿'!$B:$B,J$1)</f>
        <v>0</v>
      </c>
      <c r="K33" s="13">
        <f>SUMIFS('渠道充值成功率_底稿'!$F:$F,'渠道充值成功率_底稿'!$A:$A,$A33,'渠道充值成功率_底稿'!$B:$B,K$1)</f>
        <v>7</v>
      </c>
      <c r="L33" s="14">
        <f>SUMIFS('渠道充值成功率_底稿'!$F:$F,'渠道充值成功率_底稿'!$A:$A,$A33,'渠道充值成功率_底稿'!$B:$B,L$1)</f>
        <v>0</v>
      </c>
    </row>
    <row r="34">
      <c r="A34" s="6">
        <f>B32</f>
        <v>46087</v>
      </c>
      <c r="B34" s="11"/>
      <c r="C34" s="15" t="s">
        <v>13</v>
      </c>
      <c r="D34" s="16">
        <f t="shared" ref="D34:L34" si="11">IFERROR(ROUND(D33/D32,6),"0")</f>
        <v>0.547196</v>
      </c>
      <c r="E34" s="16">
        <f t="shared" si="11"/>
        <v>0.805556</v>
      </c>
      <c r="F34" s="16">
        <f t="shared" si="11"/>
        <v>0.433333</v>
      </c>
      <c r="G34" s="16">
        <f t="shared" si="11"/>
        <v>0.766667</v>
      </c>
      <c r="H34" s="16" t="str">
        <f t="shared" si="11"/>
        <v>0</v>
      </c>
      <c r="I34" s="16" t="str">
        <f t="shared" si="11"/>
        <v>0</v>
      </c>
      <c r="J34" s="16" t="str">
        <f t="shared" si="11"/>
        <v>0</v>
      </c>
      <c r="K34" s="16">
        <f t="shared" si="11"/>
        <v>0.875</v>
      </c>
      <c r="L34" s="17" t="str">
        <f t="shared" si="11"/>
        <v>0</v>
      </c>
    </row>
    <row r="35">
      <c r="A35" s="6">
        <f>B32</f>
        <v>46087</v>
      </c>
      <c r="B35" s="11"/>
      <c r="C35" s="12" t="s">
        <v>14</v>
      </c>
      <c r="D35" s="18">
        <f>SUMIFS('渠道充值成功率_底稿'!$D:$D,'渠道充值成功率_底稿'!$A:$A,$A36,'渠道充值成功率_底稿'!$B:$B,D$1)</f>
        <v>123829</v>
      </c>
      <c r="E35" s="18">
        <f>SUMIFS('渠道充值成功率_底稿'!$D:$D,'渠道充值成功率_底稿'!$A:$A,$A35,'渠道充值成功率_底稿'!$B:$B,E$1)</f>
        <v>9587</v>
      </c>
      <c r="F35" s="18">
        <f>SUMIFS('渠道充值成功率_底稿'!$D:$D,'渠道充值成功率_底稿'!$A:$A,$A35,'渠道充值成功率_底稿'!$B:$B,F$1)</f>
        <v>13060</v>
      </c>
      <c r="G35" s="18">
        <f>SUMIFS('渠道充值成功率_底稿'!$D:$D,'渠道充值成功率_底稿'!$A:$A,$A35,'渠道充值成功率_底稿'!$B:$B,G$1)</f>
        <v>9860</v>
      </c>
      <c r="H35" s="18">
        <f>SUMIFS('渠道充值成功率_底稿'!$D:$D,'渠道充值成功率_底稿'!$A:$A,$A35,'渠道充值成功率_底稿'!$B:$B,H$1)</f>
        <v>0</v>
      </c>
      <c r="I35" s="18">
        <f>SUMIFS('渠道充值成功率_底稿'!$D:$D,'渠道充值成功率_底稿'!$A:$A,$A35,'渠道充值成功率_底稿'!$B:$B,I$1)</f>
        <v>0</v>
      </c>
      <c r="J35" s="18">
        <f>SUMIFS('渠道充值成功率_底稿'!$D:$D,'渠道充值成功率_底稿'!$A:$A,$A35,'渠道充值成功率_底稿'!$B:$B,J$1)</f>
        <v>0</v>
      </c>
      <c r="K35" s="18">
        <f>SUMIFS('渠道充值成功率_底稿'!$D:$D,'渠道充值成功率_底稿'!$A:$A,$A35,'渠道充值成功率_底稿'!$B:$B,K$1)</f>
        <v>2020</v>
      </c>
      <c r="L35" s="14">
        <f>SUMIFS('渠道充值成功率_底稿'!$D:$D,'渠道充值成功率_底稿'!$A:$A,$A35,'渠道充值成功率_底稿'!$B:$B,L$1)</f>
        <v>0</v>
      </c>
    </row>
    <row r="36">
      <c r="A36" s="6">
        <f>B32</f>
        <v>46087</v>
      </c>
      <c r="B36" s="11"/>
      <c r="C36" s="19" t="s">
        <v>15</v>
      </c>
      <c r="D36" s="18">
        <f>SUMIFS('渠道充值成功率_底稿'!$G:$G,'渠道充值成功率_底稿'!$A:$A,$A37,'渠道充值成功率_底稿'!$B:$B,D$1)</f>
        <v>62040</v>
      </c>
      <c r="E36" s="18">
        <f>SUMIFS('渠道充值成功率_底稿'!$G:$G,'渠道充值成功率_底稿'!$A:$A,$A36,'渠道充值成功率_底稿'!$B:$B,E$1)</f>
        <v>6087</v>
      </c>
      <c r="F36" s="18">
        <f>SUMIFS('渠道充值成功率_底稿'!$G:$G,'渠道充值成功率_底稿'!$A:$A,$A36,'渠道充值成功率_底稿'!$B:$B,F$1)</f>
        <v>5460</v>
      </c>
      <c r="G36" s="18">
        <f>SUMIFS('渠道充值成功率_底稿'!$G:$G,'渠道充值成功率_底稿'!$A:$A,$A36,'渠道充值成功率_底稿'!$B:$B,G$1)</f>
        <v>7338</v>
      </c>
      <c r="H36" s="18">
        <f>SUMIFS('渠道充值成功率_底稿'!$G:$G,'渠道充值成功率_底稿'!$A:$A,$A36,'渠道充值成功率_底稿'!$B:$B,H$1)</f>
        <v>0</v>
      </c>
      <c r="I36" s="18">
        <f>SUMIFS('渠道充值成功率_底稿'!$G:$G,'渠道充值成功率_底稿'!$A:$A,$A36,'渠道充值成功率_底稿'!$B:$B,I$1)</f>
        <v>0</v>
      </c>
      <c r="J36" s="18">
        <f>SUMIFS('渠道充值成功率_底稿'!$G:$G,'渠道充值成功率_底稿'!$A:$A,$A36,'渠道充值成功率_底稿'!$B:$B,J$1)</f>
        <v>0</v>
      </c>
      <c r="K36" s="18">
        <f>SUMIFS('渠道充值成功率_底稿'!$G:$G,'渠道充值成功率_底稿'!$A:$A,$A36,'渠道充值成功率_底稿'!$B:$B,K$1)</f>
        <v>1520</v>
      </c>
      <c r="L36" s="14">
        <f>SUMIFS('渠道充值成功率_底稿'!$G:$G,'渠道充值成功率_底稿'!$A:$A,$A36,'渠道充值成功率_底稿'!$B:$B,L$1)</f>
        <v>0</v>
      </c>
    </row>
    <row r="37">
      <c r="A37" s="6">
        <f>B32</f>
        <v>46087</v>
      </c>
      <c r="B37" s="20"/>
      <c r="C37" s="21" t="s">
        <v>16</v>
      </c>
      <c r="D37" s="22">
        <f t="shared" ref="D37:L37" si="12">IFERROR(ROUND(D36/D35,6),"0")</f>
        <v>0.501013</v>
      </c>
      <c r="E37" s="22">
        <f t="shared" si="12"/>
        <v>0.634922</v>
      </c>
      <c r="F37" s="22">
        <f t="shared" si="12"/>
        <v>0.41807</v>
      </c>
      <c r="G37" s="22">
        <f t="shared" si="12"/>
        <v>0.744219</v>
      </c>
      <c r="H37" s="22" t="str">
        <f t="shared" si="12"/>
        <v>0</v>
      </c>
      <c r="I37" s="22" t="str">
        <f t="shared" si="12"/>
        <v>0</v>
      </c>
      <c r="J37" s="22" t="str">
        <f t="shared" si="12"/>
        <v>0</v>
      </c>
      <c r="K37" s="22">
        <f t="shared" si="12"/>
        <v>0.752475</v>
      </c>
      <c r="L37" s="23" t="str">
        <f t="shared" si="12"/>
        <v>0</v>
      </c>
    </row>
    <row r="38">
      <c r="A38" s="6">
        <f>B38</f>
        <v>46088</v>
      </c>
      <c r="B38" s="7">
        <f>B32+1</f>
        <v>46088</v>
      </c>
      <c r="C38" s="8" t="s">
        <v>11</v>
      </c>
      <c r="D38" s="9">
        <f>SUMIFS('渠道充值成功率_底稿'!$C:$C,'渠道充值成功率_底稿'!$A:$A,$A38,'渠道充值成功率_底稿'!$B:$B,D$1)</f>
        <v>465</v>
      </c>
      <c r="E38" s="9">
        <f>SUMIFS('渠道充值成功率_底稿'!$C:$C,'渠道充值成功率_底稿'!$A:$A,$A38,'渠道充值成功率_底稿'!$B:$B,E$1)</f>
        <v>11</v>
      </c>
      <c r="F38" s="9">
        <f>SUMIFS('渠道充值成功率_底稿'!$C:$C,'渠道充值成功率_底稿'!$A:$A,$A38,'渠道充值成功率_底稿'!$B:$B,F$1)</f>
        <v>34</v>
      </c>
      <c r="G38" s="9">
        <f>SUMIFS('渠道充值成功率_底稿'!$C:$C,'渠道充值成功率_底稿'!$A:$A,$A38,'渠道充值成功率_底稿'!$B:$B,G$1)</f>
        <v>43</v>
      </c>
      <c r="H38" s="9">
        <f>SUMIFS('渠道充值成功率_底稿'!$C:$C,'渠道充值成功率_底稿'!$A:$A,$A38,'渠道充值成功率_底稿'!$B:$B,H$1)</f>
        <v>0</v>
      </c>
      <c r="I38" s="9">
        <f>SUMIFS('渠道充值成功率_底稿'!$C:$C,'渠道充值成功率_底稿'!$A:$A,$A38,'渠道充值成功率_底稿'!$B:$B,I$1)</f>
        <v>0</v>
      </c>
      <c r="J38" s="9">
        <f>SUMIFS('渠道充值成功率_底稿'!$C:$C,'渠道充值成功率_底稿'!$A:$A,$A38,'渠道充值成功率_底稿'!$B:$B,J$1)</f>
        <v>0</v>
      </c>
      <c r="K38" s="9">
        <f>SUMIFS('渠道充值成功率_底稿'!$C:$C,'渠道充值成功率_底稿'!$A:$A,$A38,'渠道充值成功率_底稿'!$B:$B,K$1)</f>
        <v>5</v>
      </c>
      <c r="L38" s="10">
        <f>SUMIFS('渠道充值成功率_底稿'!$C:$C,'渠道充值成功率_底稿'!$A:$A,$A38,'渠道充值成功率_底稿'!$B:$B,L$1)</f>
        <v>0</v>
      </c>
    </row>
    <row r="39">
      <c r="A39" s="6">
        <f>B38</f>
        <v>46088</v>
      </c>
      <c r="B39" s="11"/>
      <c r="C39" s="12" t="s">
        <v>12</v>
      </c>
      <c r="D39" s="13">
        <f>SUMIFS('渠道充值成功率_底稿'!$F:$F,'渠道充值成功率_底稿'!$A:$A,$A39,'渠道充值成功率_底稿'!$B:$B,D$1)</f>
        <v>388</v>
      </c>
      <c r="E39" s="13">
        <f>SUMIFS('渠道充值成功率_底稿'!$F:$F,'渠道充值成功率_底稿'!$A:$A,$A39,'渠道充值成功率_底稿'!$B:$B,E$1)</f>
        <v>10</v>
      </c>
      <c r="F39" s="13">
        <f>SUMIFS('渠道充值成功率_底稿'!$F:$F,'渠道充值成功率_底稿'!$A:$A,$A39,'渠道充值成功率_底稿'!$B:$B,F$1)</f>
        <v>21</v>
      </c>
      <c r="G39" s="13">
        <f>SUMIFS('渠道充值成功率_底稿'!$F:$F,'渠道充值成功率_底稿'!$A:$A,$A39,'渠道充值成功率_底稿'!$B:$B,G$1)</f>
        <v>38</v>
      </c>
      <c r="H39" s="13">
        <f>SUMIFS('渠道充值成功率_底稿'!$F:$F,'渠道充值成功率_底稿'!$A:$A,$A39,'渠道充值成功率_底稿'!$B:$B,H$1)</f>
        <v>0</v>
      </c>
      <c r="I39" s="13">
        <f>SUMIFS('渠道充值成功率_底稿'!$F:$F,'渠道充值成功率_底稿'!$A:$A,$A39,'渠道充值成功率_底稿'!$B:$B,I$1)</f>
        <v>0</v>
      </c>
      <c r="J39" s="13">
        <f>SUMIFS('渠道充值成功率_底稿'!$F:$F,'渠道充值成功率_底稿'!$A:$A,$A39,'渠道充值成功率_底稿'!$B:$B,J$1)</f>
        <v>0</v>
      </c>
      <c r="K39" s="13">
        <f>SUMIFS('渠道充值成功率_底稿'!$F:$F,'渠道充值成功率_底稿'!$A:$A,$A39,'渠道充值成功率_底稿'!$B:$B,K$1)</f>
        <v>3</v>
      </c>
      <c r="L39" s="14">
        <f>SUMIFS('渠道充值成功率_底稿'!$F:$F,'渠道充值成功率_底稿'!$A:$A,$A39,'渠道充值成功率_底稿'!$B:$B,L$1)</f>
        <v>0</v>
      </c>
    </row>
    <row r="40">
      <c r="A40" s="6">
        <f>B38</f>
        <v>46088</v>
      </c>
      <c r="B40" s="11"/>
      <c r="C40" s="15" t="s">
        <v>13</v>
      </c>
      <c r="D40" s="16">
        <f t="shared" ref="D40:L40" si="13">IFERROR(ROUND(D39/D38,6),"0")</f>
        <v>0.834409</v>
      </c>
      <c r="E40" s="16">
        <f t="shared" si="13"/>
        <v>0.909091</v>
      </c>
      <c r="F40" s="16">
        <f t="shared" si="13"/>
        <v>0.617647</v>
      </c>
      <c r="G40" s="16">
        <f t="shared" si="13"/>
        <v>0.883721</v>
      </c>
      <c r="H40" s="16" t="str">
        <f t="shared" si="13"/>
        <v>0</v>
      </c>
      <c r="I40" s="16" t="str">
        <f t="shared" si="13"/>
        <v>0</v>
      </c>
      <c r="J40" s="16" t="str">
        <f t="shared" si="13"/>
        <v>0</v>
      </c>
      <c r="K40" s="16">
        <f t="shared" si="13"/>
        <v>0.6</v>
      </c>
      <c r="L40" s="17" t="str">
        <f t="shared" si="13"/>
        <v>0</v>
      </c>
    </row>
    <row r="41">
      <c r="A41" s="6">
        <f>B38</f>
        <v>46088</v>
      </c>
      <c r="B41" s="11"/>
      <c r="C41" s="12" t="s">
        <v>14</v>
      </c>
      <c r="D41" s="18">
        <f>SUMIFS('渠道充值成功率_底稿'!$D:$D,'渠道充值成功率_底稿'!$A:$A,$A42,'渠道充值成功率_底稿'!$B:$B,D$1)</f>
        <v>80552</v>
      </c>
      <c r="E41" s="18">
        <f>SUMIFS('渠道充值成功率_底稿'!$D:$D,'渠道充值成功率_底稿'!$A:$A,$A41,'渠道充值成功率_底稿'!$B:$B,E$1)</f>
        <v>2150</v>
      </c>
      <c r="F41" s="18">
        <f>SUMIFS('渠道充值成功率_底稿'!$D:$D,'渠道充值成功率_底稿'!$A:$A,$A41,'渠道充值成功率_底稿'!$B:$B,F$1)</f>
        <v>5543</v>
      </c>
      <c r="G41" s="18">
        <f>SUMIFS('渠道充值成功率_底稿'!$D:$D,'渠道充值成功率_底稿'!$A:$A,$A41,'渠道充值成功率_底稿'!$B:$B,G$1)</f>
        <v>4750</v>
      </c>
      <c r="H41" s="18">
        <f>SUMIFS('渠道充值成功率_底稿'!$D:$D,'渠道充值成功率_底稿'!$A:$A,$A41,'渠道充值成功率_底稿'!$B:$B,H$1)</f>
        <v>0</v>
      </c>
      <c r="I41" s="18">
        <f>SUMIFS('渠道充值成功率_底稿'!$D:$D,'渠道充值成功率_底稿'!$A:$A,$A41,'渠道充值成功率_底稿'!$B:$B,I$1)</f>
        <v>0</v>
      </c>
      <c r="J41" s="18">
        <f>SUMIFS('渠道充值成功率_底稿'!$D:$D,'渠道充值成功率_底稿'!$A:$A,$A41,'渠道充值成功率_底稿'!$B:$B,J$1)</f>
        <v>0</v>
      </c>
      <c r="K41" s="18">
        <f>SUMIFS('渠道充值成功率_底稿'!$D:$D,'渠道充值成功率_底稿'!$A:$A,$A41,'渠道充值成功率_底稿'!$B:$B,K$1)</f>
        <v>921</v>
      </c>
      <c r="L41" s="14">
        <f>SUMIFS('渠道充值成功率_底稿'!$D:$D,'渠道充值成功率_底稿'!$A:$A,$A41,'渠道充值成功率_底稿'!$B:$B,L$1)</f>
        <v>0</v>
      </c>
    </row>
    <row r="42">
      <c r="A42" s="6">
        <f>B38</f>
        <v>46088</v>
      </c>
      <c r="B42" s="11"/>
      <c r="C42" s="19" t="s">
        <v>15</v>
      </c>
      <c r="D42" s="18">
        <f>SUMIFS('渠道充值成功率_底稿'!$G:$G,'渠道充值成功率_底稿'!$A:$A,$A43,'渠道充值成功率_底稿'!$B:$B,D$1)</f>
        <v>68301</v>
      </c>
      <c r="E42" s="18">
        <f>SUMIFS('渠道充值成功率_底稿'!$G:$G,'渠道充值成功率_底稿'!$A:$A,$A42,'渠道充值成功率_底稿'!$B:$B,E$1)</f>
        <v>2000</v>
      </c>
      <c r="F42" s="18">
        <f>SUMIFS('渠道充值成功率_底稿'!$G:$G,'渠道充值成功率_底稿'!$A:$A,$A42,'渠道充值成功率_底稿'!$B:$B,F$1)</f>
        <v>3623</v>
      </c>
      <c r="G42" s="18">
        <f>SUMIFS('渠道充值成功率_底稿'!$G:$G,'渠道充值成功率_底稿'!$A:$A,$A42,'渠道充值成功率_底稿'!$B:$B,G$1)</f>
        <v>3829</v>
      </c>
      <c r="H42" s="18">
        <f>SUMIFS('渠道充值成功率_底稿'!$G:$G,'渠道充值成功率_底稿'!$A:$A,$A42,'渠道充值成功率_底稿'!$B:$B,H$1)</f>
        <v>0</v>
      </c>
      <c r="I42" s="18">
        <f>SUMIFS('渠道充值成功率_底稿'!$G:$G,'渠道充值成功率_底稿'!$A:$A,$A42,'渠道充值成功率_底稿'!$B:$B,I$1)</f>
        <v>0</v>
      </c>
      <c r="J42" s="18">
        <f>SUMIFS('渠道充值成功率_底稿'!$G:$G,'渠道充值成功率_底稿'!$A:$A,$A42,'渠道充值成功率_底稿'!$B:$B,J$1)</f>
        <v>0</v>
      </c>
      <c r="K42" s="18">
        <f>SUMIFS('渠道充值成功率_底稿'!$G:$G,'渠道充值成功率_底稿'!$A:$A,$A42,'渠道充值成功率_底稿'!$B:$B,K$1)</f>
        <v>500</v>
      </c>
      <c r="L42" s="14">
        <f>SUMIFS('渠道充值成功率_底稿'!$G:$G,'渠道充值成功率_底稿'!$A:$A,$A42,'渠道充值成功率_底稿'!$B:$B,L$1)</f>
        <v>0</v>
      </c>
    </row>
    <row r="43">
      <c r="A43" s="6">
        <f>B38</f>
        <v>46088</v>
      </c>
      <c r="B43" s="20"/>
      <c r="C43" s="21" t="s">
        <v>16</v>
      </c>
      <c r="D43" s="22">
        <f t="shared" ref="D43:L43" si="14">IFERROR(ROUND(D42/D41,6),"0")</f>
        <v>0.847912</v>
      </c>
      <c r="E43" s="22">
        <f t="shared" si="14"/>
        <v>0.930233</v>
      </c>
      <c r="F43" s="22">
        <f t="shared" si="14"/>
        <v>0.653617</v>
      </c>
      <c r="G43" s="22">
        <f t="shared" si="14"/>
        <v>0.806105</v>
      </c>
      <c r="H43" s="22" t="str">
        <f t="shared" si="14"/>
        <v>0</v>
      </c>
      <c r="I43" s="22" t="str">
        <f t="shared" si="14"/>
        <v>0</v>
      </c>
      <c r="J43" s="22" t="str">
        <f t="shared" si="14"/>
        <v>0</v>
      </c>
      <c r="K43" s="22">
        <f t="shared" si="14"/>
        <v>0.542888</v>
      </c>
      <c r="L43" s="23" t="str">
        <f t="shared" si="14"/>
        <v>0</v>
      </c>
    </row>
    <row r="44">
      <c r="A44" s="6">
        <f>B44</f>
        <v>46089</v>
      </c>
      <c r="B44" s="7">
        <f>B38+1</f>
        <v>46089</v>
      </c>
      <c r="C44" s="8" t="s">
        <v>11</v>
      </c>
      <c r="D44" s="9">
        <f>SUMIFS('渠道充值成功率_底稿'!$C:$C,'渠道充值成功率_底稿'!$A:$A,$A44,'渠道充值成功率_底稿'!$B:$B,D$1)</f>
        <v>477</v>
      </c>
      <c r="E44" s="9">
        <f>SUMIFS('渠道充值成功率_底稿'!$C:$C,'渠道充值成功率_底稿'!$A:$A,$A44,'渠道充值成功率_底稿'!$B:$B,E$1)</f>
        <v>16</v>
      </c>
      <c r="F44" s="9">
        <f>SUMIFS('渠道充值成功率_底稿'!$C:$C,'渠道充值成功率_底稿'!$A:$A,$A44,'渠道充值成功率_底稿'!$B:$B,F$1)</f>
        <v>39</v>
      </c>
      <c r="G44" s="9">
        <f>SUMIFS('渠道充值成功率_底稿'!$C:$C,'渠道充值成功率_底稿'!$A:$A,$A44,'渠道充值成功率_底稿'!$B:$B,G$1)</f>
        <v>57</v>
      </c>
      <c r="H44" s="9">
        <f>SUMIFS('渠道充值成功率_底稿'!$C:$C,'渠道充值成功率_底稿'!$A:$A,$A44,'渠道充值成功率_底稿'!$B:$B,H$1)</f>
        <v>0</v>
      </c>
      <c r="I44" s="9">
        <f>SUMIFS('渠道充值成功率_底稿'!$C:$C,'渠道充值成功率_底稿'!$A:$A,$A44,'渠道充值成功率_底稿'!$B:$B,I$1)</f>
        <v>0</v>
      </c>
      <c r="J44" s="9">
        <f>SUMIFS('渠道充值成功率_底稿'!$C:$C,'渠道充值成功率_底稿'!$A:$A,$A44,'渠道充值成功率_底稿'!$B:$B,J$1)</f>
        <v>0</v>
      </c>
      <c r="K44" s="9">
        <f>SUMIFS('渠道充值成功率_底稿'!$C:$C,'渠道充值成功率_底稿'!$A:$A,$A44,'渠道充值成功率_底稿'!$B:$B,K$1)</f>
        <v>0</v>
      </c>
      <c r="L44" s="10">
        <f>SUMIFS('渠道充值成功率_底稿'!$C:$C,'渠道充值成功率_底稿'!$A:$A,$A44,'渠道充值成功率_底稿'!$B:$B,L$1)</f>
        <v>0</v>
      </c>
    </row>
    <row r="45">
      <c r="A45" s="6">
        <f>B44</f>
        <v>46089</v>
      </c>
      <c r="B45" s="11"/>
      <c r="C45" s="12" t="s">
        <v>12</v>
      </c>
      <c r="D45" s="13">
        <f>SUMIFS('渠道充值成功率_底稿'!$F:$F,'渠道充值成功率_底稿'!$A:$A,$A45,'渠道充值成功率_底稿'!$B:$B,D$1)</f>
        <v>370</v>
      </c>
      <c r="E45" s="13">
        <f>SUMIFS('渠道充值成功率_底稿'!$F:$F,'渠道充值成功率_底稿'!$A:$A,$A45,'渠道充值成功率_底稿'!$B:$B,E$1)</f>
        <v>13</v>
      </c>
      <c r="F45" s="13">
        <f>SUMIFS('渠道充值成功率_底稿'!$F:$F,'渠道充值成功率_底稿'!$A:$A,$A45,'渠道充值成功率_底稿'!$B:$B,F$1)</f>
        <v>24</v>
      </c>
      <c r="G45" s="13">
        <f>SUMIFS('渠道充值成功率_底稿'!$F:$F,'渠道充值成功率_底稿'!$A:$A,$A45,'渠道充值成功率_底稿'!$B:$B,G$1)</f>
        <v>45</v>
      </c>
      <c r="H45" s="13">
        <f>SUMIFS('渠道充值成功率_底稿'!$F:$F,'渠道充值成功率_底稿'!$A:$A,$A45,'渠道充值成功率_底稿'!$B:$B,H$1)</f>
        <v>0</v>
      </c>
      <c r="I45" s="13">
        <f>SUMIFS('渠道充值成功率_底稿'!$F:$F,'渠道充值成功率_底稿'!$A:$A,$A45,'渠道充值成功率_底稿'!$B:$B,I$1)</f>
        <v>0</v>
      </c>
      <c r="J45" s="13">
        <f>SUMIFS('渠道充值成功率_底稿'!$F:$F,'渠道充值成功率_底稿'!$A:$A,$A45,'渠道充值成功率_底稿'!$B:$B,J$1)</f>
        <v>0</v>
      </c>
      <c r="K45" s="13">
        <f>SUMIFS('渠道充值成功率_底稿'!$F:$F,'渠道充值成功率_底稿'!$A:$A,$A45,'渠道充值成功率_底稿'!$B:$B,K$1)</f>
        <v>0</v>
      </c>
      <c r="L45" s="14">
        <f>SUMIFS('渠道充值成功率_底稿'!$F:$F,'渠道充值成功率_底稿'!$A:$A,$A45,'渠道充值成功率_底稿'!$B:$B,L$1)</f>
        <v>0</v>
      </c>
    </row>
    <row r="46">
      <c r="A46" s="6">
        <f>B44</f>
        <v>46089</v>
      </c>
      <c r="B46" s="11"/>
      <c r="C46" s="15" t="s">
        <v>13</v>
      </c>
      <c r="D46" s="16">
        <f t="shared" ref="D46:L46" si="15">IFERROR(ROUND(D45/D44,6),"0")</f>
        <v>0.775681</v>
      </c>
      <c r="E46" s="16">
        <f t="shared" si="15"/>
        <v>0.8125</v>
      </c>
      <c r="F46" s="16">
        <f t="shared" si="15"/>
        <v>0.615385</v>
      </c>
      <c r="G46" s="16">
        <f t="shared" si="15"/>
        <v>0.789474</v>
      </c>
      <c r="H46" s="16" t="str">
        <f t="shared" si="15"/>
        <v>0</v>
      </c>
      <c r="I46" s="16" t="str">
        <f t="shared" si="15"/>
        <v>0</v>
      </c>
      <c r="J46" s="16" t="str">
        <f t="shared" si="15"/>
        <v>0</v>
      </c>
      <c r="K46" s="16" t="str">
        <f t="shared" si="15"/>
        <v>0</v>
      </c>
      <c r="L46" s="17" t="str">
        <f t="shared" si="15"/>
        <v>0</v>
      </c>
    </row>
    <row r="47">
      <c r="A47" s="6">
        <f>B44</f>
        <v>46089</v>
      </c>
      <c r="B47" s="11"/>
      <c r="C47" s="12" t="s">
        <v>14</v>
      </c>
      <c r="D47" s="18">
        <f>SUMIFS('渠道充值成功率_底稿'!$D:$D,'渠道充值成功率_底稿'!$A:$A,$A48,'渠道充值成功率_底稿'!$B:$B,D$1)</f>
        <v>76396</v>
      </c>
      <c r="E47" s="18">
        <f>SUMIFS('渠道充值成功率_底稿'!$D:$D,'渠道充值成功率_底稿'!$A:$A,$A47,'渠道充值成功率_底稿'!$B:$B,E$1)</f>
        <v>3452</v>
      </c>
      <c r="F47" s="18">
        <f>SUMIFS('渠道充值成功率_底稿'!$D:$D,'渠道充值成功率_底稿'!$A:$A,$A47,'渠道充值成功率_底稿'!$B:$B,F$1)</f>
        <v>6753</v>
      </c>
      <c r="G47" s="18">
        <f>SUMIFS('渠道充值成功率_底稿'!$D:$D,'渠道充值成功率_底稿'!$A:$A,$A47,'渠道充值成功率_底稿'!$B:$B,G$1)</f>
        <v>6354</v>
      </c>
      <c r="H47" s="18">
        <f>SUMIFS('渠道充值成功率_底稿'!$D:$D,'渠道充值成功率_底稿'!$A:$A,$A47,'渠道充值成功率_底稿'!$B:$B,H$1)</f>
        <v>0</v>
      </c>
      <c r="I47" s="18">
        <f>SUMIFS('渠道充值成功率_底稿'!$D:$D,'渠道充值成功率_底稿'!$A:$A,$A47,'渠道充值成功率_底稿'!$B:$B,I$1)</f>
        <v>0</v>
      </c>
      <c r="J47" s="18">
        <f>SUMIFS('渠道充值成功率_底稿'!$D:$D,'渠道充值成功率_底稿'!$A:$A,$A47,'渠道充值成功率_底稿'!$B:$B,J$1)</f>
        <v>0</v>
      </c>
      <c r="K47" s="18">
        <f>SUMIFS('渠道充值成功率_底稿'!$D:$D,'渠道充值成功率_底稿'!$A:$A,$A47,'渠道充值成功率_底稿'!$B:$B,K$1)</f>
        <v>0</v>
      </c>
      <c r="L47" s="14">
        <f>SUMIFS('渠道充值成功率_底稿'!$D:$D,'渠道充值成功率_底稿'!$A:$A,$A47,'渠道充值成功率_底稿'!$B:$B,L$1)</f>
        <v>0</v>
      </c>
    </row>
    <row r="48">
      <c r="A48" s="6">
        <f>B44</f>
        <v>46089</v>
      </c>
      <c r="B48" s="11"/>
      <c r="C48" s="19" t="s">
        <v>15</v>
      </c>
      <c r="D48" s="18">
        <f>SUMIFS('渠道充值成功率_底稿'!$G:$G,'渠道充值成功率_底稿'!$A:$A,$A49,'渠道充值成功率_底稿'!$B:$B,D$1)</f>
        <v>62867</v>
      </c>
      <c r="E48" s="18">
        <f>SUMIFS('渠道充值成功率_底稿'!$G:$G,'渠道充值成功率_底稿'!$A:$A,$A48,'渠道充值成功率_底稿'!$B:$B,E$1)</f>
        <v>2752</v>
      </c>
      <c r="F48" s="18">
        <f>SUMIFS('渠道充值成功率_底稿'!$G:$G,'渠道充值成功率_底稿'!$A:$A,$A48,'渠道充值成功率_底稿'!$B:$B,F$1)</f>
        <v>4021</v>
      </c>
      <c r="G48" s="18">
        <f>SUMIFS('渠道充值成功率_底稿'!$G:$G,'渠道充值成功率_底稿'!$A:$A,$A48,'渠道充值成功率_底稿'!$B:$B,G$1)</f>
        <v>4554</v>
      </c>
      <c r="H48" s="18">
        <f>SUMIFS('渠道充值成功率_底稿'!$G:$G,'渠道充值成功率_底稿'!$A:$A,$A48,'渠道充值成功率_底稿'!$B:$B,H$1)</f>
        <v>0</v>
      </c>
      <c r="I48" s="18">
        <f>SUMIFS('渠道充值成功率_底稿'!$G:$G,'渠道充值成功率_底稿'!$A:$A,$A48,'渠道充值成功率_底稿'!$B:$B,I$1)</f>
        <v>0</v>
      </c>
      <c r="J48" s="18">
        <f>SUMIFS('渠道充值成功率_底稿'!$G:$G,'渠道充值成功率_底稿'!$A:$A,$A48,'渠道充值成功率_底稿'!$B:$B,J$1)</f>
        <v>0</v>
      </c>
      <c r="K48" s="18">
        <f>SUMIFS('渠道充值成功率_底稿'!$G:$G,'渠道充值成功率_底稿'!$A:$A,$A48,'渠道充值成功率_底稿'!$B:$B,K$1)</f>
        <v>0</v>
      </c>
      <c r="L48" s="14">
        <f>SUMIFS('渠道充值成功率_底稿'!$G:$G,'渠道充值成功率_底稿'!$A:$A,$A48,'渠道充值成功率_底稿'!$B:$B,L$1)</f>
        <v>0</v>
      </c>
    </row>
    <row r="49">
      <c r="A49" s="6">
        <f>B44</f>
        <v>46089</v>
      </c>
      <c r="B49" s="20"/>
      <c r="C49" s="21" t="s">
        <v>16</v>
      </c>
      <c r="D49" s="22">
        <f t="shared" ref="D49:L49" si="16">IFERROR(ROUND(D48/D47,6),"0")</f>
        <v>0.82291</v>
      </c>
      <c r="E49" s="22">
        <f t="shared" si="16"/>
        <v>0.797219</v>
      </c>
      <c r="F49" s="22">
        <f t="shared" si="16"/>
        <v>0.595439</v>
      </c>
      <c r="G49" s="22">
        <f t="shared" si="16"/>
        <v>0.716714</v>
      </c>
      <c r="H49" s="22" t="str">
        <f t="shared" si="16"/>
        <v>0</v>
      </c>
      <c r="I49" s="22" t="str">
        <f t="shared" si="16"/>
        <v>0</v>
      </c>
      <c r="J49" s="22" t="str">
        <f t="shared" si="16"/>
        <v>0</v>
      </c>
      <c r="K49" s="22" t="str">
        <f t="shared" si="16"/>
        <v>0</v>
      </c>
      <c r="L49" s="23" t="str">
        <f t="shared" si="16"/>
        <v>0</v>
      </c>
    </row>
    <row r="50">
      <c r="A50" s="6">
        <f>B50</f>
        <v>46090</v>
      </c>
      <c r="B50" s="7">
        <f>B44+1</f>
        <v>46090</v>
      </c>
      <c r="C50" s="8" t="s">
        <v>11</v>
      </c>
      <c r="D50" s="9">
        <f>SUMIFS('渠道充值成功率_底稿'!$C:$C,'渠道充值成功率_底稿'!$A:$A,$A50,'渠道充值成功率_底稿'!$B:$B,D$1)</f>
        <v>293</v>
      </c>
      <c r="E50" s="9">
        <f>SUMIFS('渠道充值成功率_底稿'!$C:$C,'渠道充值成功率_底稿'!$A:$A,$A50,'渠道充值成功率_底稿'!$B:$B,E$1)</f>
        <v>4</v>
      </c>
      <c r="F50" s="9">
        <f>SUMIFS('渠道充值成功率_底稿'!$C:$C,'渠道充值成功率_底稿'!$A:$A,$A50,'渠道充值成功率_底稿'!$B:$B,F$1)</f>
        <v>16</v>
      </c>
      <c r="G50" s="9">
        <f>SUMIFS('渠道充值成功率_底稿'!$C:$C,'渠道充值成功率_底稿'!$A:$A,$A50,'渠道充值成功率_底稿'!$B:$B,G$1)</f>
        <v>53</v>
      </c>
      <c r="H50" s="9">
        <f>SUMIFS('渠道充值成功率_底稿'!$C:$C,'渠道充值成功率_底稿'!$A:$A,$A50,'渠道充值成功率_底稿'!$B:$B,H$1)</f>
        <v>0</v>
      </c>
      <c r="I50" s="9">
        <f>SUMIFS('渠道充值成功率_底稿'!$C:$C,'渠道充值成功率_底稿'!$A:$A,$A50,'渠道充值成功率_底稿'!$B:$B,I$1)</f>
        <v>0</v>
      </c>
      <c r="J50" s="9">
        <f>SUMIFS('渠道充值成功率_底稿'!$C:$C,'渠道充值成功率_底稿'!$A:$A,$A50,'渠道充值成功率_底稿'!$B:$B,J$1)</f>
        <v>0</v>
      </c>
      <c r="K50" s="9">
        <f>SUMIFS('渠道充值成功率_底稿'!$C:$C,'渠道充值成功率_底稿'!$A:$A,$A50,'渠道充值成功率_底稿'!$B:$B,K$1)</f>
        <v>4</v>
      </c>
      <c r="L50" s="10">
        <f>SUMIFS('渠道充值成功率_底稿'!$C:$C,'渠道充值成功率_底稿'!$A:$A,$A50,'渠道充值成功率_底稿'!$B:$B,L$1)</f>
        <v>0</v>
      </c>
    </row>
    <row r="51">
      <c r="A51" s="6">
        <f>B50</f>
        <v>46090</v>
      </c>
      <c r="B51" s="11"/>
      <c r="C51" s="12" t="s">
        <v>12</v>
      </c>
      <c r="D51" s="13">
        <f>SUMIFS('渠道充值成功率_底稿'!$F:$F,'渠道充值成功率_底稿'!$A:$A,$A51,'渠道充值成功率_底稿'!$B:$B,D$1)</f>
        <v>235</v>
      </c>
      <c r="E51" s="13">
        <f>SUMIFS('渠道充值成功率_底稿'!$F:$F,'渠道充值成功率_底稿'!$A:$A,$A51,'渠道充值成功率_底稿'!$B:$B,E$1)</f>
        <v>4</v>
      </c>
      <c r="F51" s="13">
        <f>SUMIFS('渠道充值成功率_底稿'!$F:$F,'渠道充值成功率_底稿'!$A:$A,$A51,'渠道充值成功率_底稿'!$B:$B,F$1)</f>
        <v>10</v>
      </c>
      <c r="G51" s="13">
        <f>SUMIFS('渠道充值成功率_底稿'!$F:$F,'渠道充值成功率_底稿'!$A:$A,$A51,'渠道充值成功率_底稿'!$B:$B,G$1)</f>
        <v>48</v>
      </c>
      <c r="H51" s="13">
        <f>SUMIFS('渠道充值成功率_底稿'!$F:$F,'渠道充值成功率_底稿'!$A:$A,$A51,'渠道充值成功率_底稿'!$B:$B,H$1)</f>
        <v>0</v>
      </c>
      <c r="I51" s="13">
        <f>SUMIFS('渠道充值成功率_底稿'!$F:$F,'渠道充值成功率_底稿'!$A:$A,$A51,'渠道充值成功率_底稿'!$B:$B,I$1)</f>
        <v>0</v>
      </c>
      <c r="J51" s="13">
        <f>SUMIFS('渠道充值成功率_底稿'!$F:$F,'渠道充值成功率_底稿'!$A:$A,$A51,'渠道充值成功率_底稿'!$B:$B,J$1)</f>
        <v>0</v>
      </c>
      <c r="K51" s="13">
        <f>SUMIFS('渠道充值成功率_底稿'!$F:$F,'渠道充值成功率_底稿'!$A:$A,$A51,'渠道充值成功率_底稿'!$B:$B,K$1)</f>
        <v>4</v>
      </c>
      <c r="L51" s="14">
        <f>SUMIFS('渠道充值成功率_底稿'!$F:$F,'渠道充值成功率_底稿'!$A:$A,$A51,'渠道充值成功率_底稿'!$B:$B,L$1)</f>
        <v>0</v>
      </c>
    </row>
    <row r="52">
      <c r="A52" s="6">
        <f>B50</f>
        <v>46090</v>
      </c>
      <c r="B52" s="11"/>
      <c r="C52" s="15" t="s">
        <v>13</v>
      </c>
      <c r="D52" s="16">
        <f t="shared" ref="D52:L52" si="17">IFERROR(ROUND(D51/D50,6),"0")</f>
        <v>0.802048</v>
      </c>
      <c r="E52" s="16">
        <f t="shared" si="17"/>
        <v>1</v>
      </c>
      <c r="F52" s="16">
        <f t="shared" si="17"/>
        <v>0.625</v>
      </c>
      <c r="G52" s="16">
        <f t="shared" si="17"/>
        <v>0.90566</v>
      </c>
      <c r="H52" s="16" t="str">
        <f t="shared" si="17"/>
        <v>0</v>
      </c>
      <c r="I52" s="16" t="str">
        <f t="shared" si="17"/>
        <v>0</v>
      </c>
      <c r="J52" s="16" t="str">
        <f t="shared" si="17"/>
        <v>0</v>
      </c>
      <c r="K52" s="16">
        <f t="shared" si="17"/>
        <v>1</v>
      </c>
      <c r="L52" s="17" t="str">
        <f t="shared" si="17"/>
        <v>0</v>
      </c>
    </row>
    <row r="53">
      <c r="A53" s="6">
        <f>B50</f>
        <v>46090</v>
      </c>
      <c r="B53" s="11"/>
      <c r="C53" s="12" t="s">
        <v>14</v>
      </c>
      <c r="D53" s="18">
        <f>SUMIFS('渠道充值成功率_底稿'!$D:$D,'渠道充值成功率_底稿'!$A:$A,$A54,'渠道充值成功率_底稿'!$B:$B,D$1)</f>
        <v>43671</v>
      </c>
      <c r="E53" s="18">
        <f>SUMIFS('渠道充值成功率_底稿'!$D:$D,'渠道充值成功率_底稿'!$A:$A,$A53,'渠道充值成功率_底稿'!$B:$B,E$1)</f>
        <v>600</v>
      </c>
      <c r="F53" s="18">
        <f>SUMIFS('渠道充值成功率_底稿'!$D:$D,'渠道充值成功率_底稿'!$A:$A,$A53,'渠道充值成功率_底稿'!$B:$B,F$1)</f>
        <v>1833</v>
      </c>
      <c r="G53" s="18">
        <f>SUMIFS('渠道充值成功率_底稿'!$D:$D,'渠道充值成功率_底稿'!$A:$A,$A53,'渠道充值成功率_底稿'!$B:$B,G$1)</f>
        <v>9036</v>
      </c>
      <c r="H53" s="18">
        <f>SUMIFS('渠道充值成功率_底稿'!$D:$D,'渠道充值成功率_底稿'!$A:$A,$A53,'渠道充值成功率_底稿'!$B:$B,H$1)</f>
        <v>0</v>
      </c>
      <c r="I53" s="18">
        <f>SUMIFS('渠道充值成功率_底稿'!$D:$D,'渠道充值成功率_底稿'!$A:$A,$A53,'渠道充值成功率_底稿'!$B:$B,I$1)</f>
        <v>0</v>
      </c>
      <c r="J53" s="18">
        <f>SUMIFS('渠道充值成功率_底稿'!$D:$D,'渠道充值成功率_底稿'!$A:$A,$A53,'渠道充值成功率_底稿'!$B:$B,J$1)</f>
        <v>0</v>
      </c>
      <c r="K53" s="18">
        <f>SUMIFS('渠道充值成功率_底稿'!$D:$D,'渠道充值成功率_底稿'!$A:$A,$A53,'渠道充值成功率_底稿'!$B:$B,K$1)</f>
        <v>920</v>
      </c>
      <c r="L53" s="14">
        <f>SUMIFS('渠道充值成功率_底稿'!$D:$D,'渠道充值成功率_底稿'!$A:$A,$A53,'渠道充值成功率_底稿'!$B:$B,L$1)</f>
        <v>0</v>
      </c>
    </row>
    <row r="54">
      <c r="A54" s="6">
        <f>B50</f>
        <v>46090</v>
      </c>
      <c r="B54" s="11"/>
      <c r="C54" s="19" t="s">
        <v>15</v>
      </c>
      <c r="D54" s="18">
        <f>SUMIFS('渠道充值成功率_底稿'!$G:$G,'渠道充值成功率_底稿'!$A:$A,$A55,'渠道充值成功率_底稿'!$B:$B,D$1)</f>
        <v>32246</v>
      </c>
      <c r="E54" s="18">
        <f>SUMIFS('渠道充值成功率_底稿'!$G:$G,'渠道充值成功率_底稿'!$A:$A,$A54,'渠道充值成功率_底稿'!$B:$B,E$1)</f>
        <v>600</v>
      </c>
      <c r="F54" s="18">
        <f>SUMIFS('渠道充值成功率_底稿'!$G:$G,'渠道充值成功率_底稿'!$A:$A,$A54,'渠道充值成功率_底稿'!$B:$B,F$1)</f>
        <v>1224</v>
      </c>
      <c r="G54" s="18">
        <f>SUMIFS('渠道充值成功率_底稿'!$G:$G,'渠道充值成功率_底稿'!$A:$A,$A54,'渠道充值成功率_底稿'!$B:$B,G$1)</f>
        <v>8535</v>
      </c>
      <c r="H54" s="18">
        <f>SUMIFS('渠道充值成功率_底稿'!$G:$G,'渠道充值成功率_底稿'!$A:$A,$A54,'渠道充值成功率_底稿'!$B:$B,H$1)</f>
        <v>0</v>
      </c>
      <c r="I54" s="18">
        <f>SUMIFS('渠道充值成功率_底稿'!$G:$G,'渠道充值成功率_底稿'!$A:$A,$A54,'渠道充值成功率_底稿'!$B:$B,I$1)</f>
        <v>0</v>
      </c>
      <c r="J54" s="18">
        <f>SUMIFS('渠道充值成功率_底稿'!$G:$G,'渠道充值成功率_底稿'!$A:$A,$A54,'渠道充值成功率_底稿'!$B:$B,J$1)</f>
        <v>0</v>
      </c>
      <c r="K54" s="18">
        <f>SUMIFS('渠道充值成功率_底稿'!$G:$G,'渠道充值成功率_底稿'!$A:$A,$A54,'渠道充值成功率_底稿'!$B:$B,K$1)</f>
        <v>920</v>
      </c>
      <c r="L54" s="14">
        <f>SUMIFS('渠道充值成功率_底稿'!$G:$G,'渠道充值成功率_底稿'!$A:$A,$A54,'渠道充值成功率_底稿'!$B:$B,L$1)</f>
        <v>0</v>
      </c>
    </row>
    <row r="55" ht="14.25" customHeight="1">
      <c r="A55" s="6">
        <f>B50</f>
        <v>46090</v>
      </c>
      <c r="B55" s="20"/>
      <c r="C55" s="21" t="s">
        <v>16</v>
      </c>
      <c r="D55" s="22">
        <f t="shared" ref="D55:L55" si="18">IFERROR(ROUND(D54/D53,6),"0")</f>
        <v>0.738385</v>
      </c>
      <c r="E55" s="22">
        <f t="shared" si="18"/>
        <v>1</v>
      </c>
      <c r="F55" s="22">
        <f t="shared" si="18"/>
        <v>0.667758</v>
      </c>
      <c r="G55" s="22">
        <f t="shared" si="18"/>
        <v>0.944555</v>
      </c>
      <c r="H55" s="22" t="str">
        <f t="shared" si="18"/>
        <v>0</v>
      </c>
      <c r="I55" s="22" t="str">
        <f t="shared" si="18"/>
        <v>0</v>
      </c>
      <c r="J55" s="22" t="str">
        <f t="shared" si="18"/>
        <v>0</v>
      </c>
      <c r="K55" s="22">
        <f t="shared" si="18"/>
        <v>1</v>
      </c>
      <c r="L55" s="23" t="str">
        <f t="shared" si="18"/>
        <v>0</v>
      </c>
    </row>
    <row r="56">
      <c r="A56" s="6">
        <f>B56</f>
        <v>46091</v>
      </c>
      <c r="B56" s="7">
        <f>B50+1</f>
        <v>46091</v>
      </c>
      <c r="C56" s="8" t="s">
        <v>11</v>
      </c>
      <c r="D56" s="9">
        <f>SUMIFS('渠道充值成功率_底稿'!$C:$C,'渠道充值成功率_底稿'!$A:$A,$A56,'渠道充值成功率_底稿'!$B:$B,D$1)</f>
        <v>357</v>
      </c>
      <c r="E56" s="9">
        <f>SUMIFS('渠道充值成功率_底稿'!$C:$C,'渠道充值成功率_底稿'!$A:$A,$A56,'渠道充值成功率_底稿'!$B:$B,E$1)</f>
        <v>12</v>
      </c>
      <c r="F56" s="9">
        <f>SUMIFS('渠道充值成功率_底稿'!$C:$C,'渠道充值成功率_底稿'!$A:$A,$A56,'渠道充值成功率_底稿'!$B:$B,F$1)</f>
        <v>19</v>
      </c>
      <c r="G56" s="9">
        <f>SUMIFS('渠道充值成功率_底稿'!$C:$C,'渠道充值成功率_底稿'!$A:$A,$A56,'渠道充值成功率_底稿'!$B:$B,G$1)</f>
        <v>58</v>
      </c>
      <c r="H56" s="9">
        <f>SUMIFS('渠道充值成功率_底稿'!$C:$C,'渠道充值成功率_底稿'!$A:$A,$A56,'渠道充值成功率_底稿'!$B:$B,H$1)</f>
        <v>0</v>
      </c>
      <c r="I56" s="9">
        <f>SUMIFS('渠道充值成功率_底稿'!$C:$C,'渠道充值成功率_底稿'!$A:$A,$A56,'渠道充值成功率_底稿'!$B:$B,I$1)</f>
        <v>0</v>
      </c>
      <c r="J56" s="9">
        <f>SUMIFS('渠道充值成功率_底稿'!$C:$C,'渠道充值成功率_底稿'!$A:$A,$A56,'渠道充值成功率_底稿'!$B:$B,J$1)</f>
        <v>0</v>
      </c>
      <c r="K56" s="9">
        <f>SUMIFS('渠道充值成功率_底稿'!$C:$C,'渠道充值成功率_底稿'!$A:$A,$A56,'渠道充值成功率_底稿'!$B:$B,K$1)</f>
        <v>0</v>
      </c>
      <c r="L56" s="10">
        <f>SUMIFS('渠道充值成功率_底稿'!$C:$C,'渠道充值成功率_底稿'!$A:$A,$A56,'渠道充值成功率_底稿'!$B:$B,L$1)</f>
        <v>0</v>
      </c>
    </row>
    <row r="57">
      <c r="A57" s="6">
        <f>B56</f>
        <v>46091</v>
      </c>
      <c r="B57" s="11"/>
      <c r="C57" s="12" t="s">
        <v>12</v>
      </c>
      <c r="D57" s="13">
        <f>SUMIFS('渠道充值成功率_底稿'!$F:$F,'渠道充值成功率_底稿'!$A:$A,$A57,'渠道充值成功率_底稿'!$B:$B,D$1)</f>
        <v>278</v>
      </c>
      <c r="E57" s="13">
        <f>SUMIFS('渠道充值成功率_底稿'!$F:$F,'渠道充值成功率_底稿'!$A:$A,$A57,'渠道充值成功率_底稿'!$B:$B,E$1)</f>
        <v>11</v>
      </c>
      <c r="F57" s="13">
        <f>SUMIFS('渠道充值成功率_底稿'!$F:$F,'渠道充值成功率_底稿'!$A:$A,$A57,'渠道充值成功率_底稿'!$B:$B,F$1)</f>
        <v>11</v>
      </c>
      <c r="G57" s="13">
        <f>SUMIFS('渠道充值成功率_底稿'!$F:$F,'渠道充值成功率_底稿'!$A:$A,$A57,'渠道充值成功率_底稿'!$B:$B,G$1)</f>
        <v>42</v>
      </c>
      <c r="H57" s="13">
        <f>SUMIFS('渠道充值成功率_底稿'!$F:$F,'渠道充值成功率_底稿'!$A:$A,$A57,'渠道充值成功率_底稿'!$B:$B,H$1)</f>
        <v>0</v>
      </c>
      <c r="I57" s="13">
        <f>SUMIFS('渠道充值成功率_底稿'!$F:$F,'渠道充值成功率_底稿'!$A:$A,$A57,'渠道充值成功率_底稿'!$B:$B,I$1)</f>
        <v>0</v>
      </c>
      <c r="J57" s="13">
        <f>SUMIFS('渠道充值成功率_底稿'!$F:$F,'渠道充值成功率_底稿'!$A:$A,$A57,'渠道充值成功率_底稿'!$B:$B,J$1)</f>
        <v>0</v>
      </c>
      <c r="K57" s="13">
        <f>SUMIFS('渠道充值成功率_底稿'!$F:$F,'渠道充值成功率_底稿'!$A:$A,$A57,'渠道充值成功率_底稿'!$B:$B,K$1)</f>
        <v>0</v>
      </c>
      <c r="L57" s="14">
        <f>SUMIFS('渠道充值成功率_底稿'!$F:$F,'渠道充值成功率_底稿'!$A:$A,$A57,'渠道充值成功率_底稿'!$B:$B,L$1)</f>
        <v>0</v>
      </c>
    </row>
    <row r="58">
      <c r="A58" s="6">
        <f>B56</f>
        <v>46091</v>
      </c>
      <c r="B58" s="11"/>
      <c r="C58" s="15" t="s">
        <v>13</v>
      </c>
      <c r="D58" s="16">
        <f t="shared" ref="D58:L58" si="19">IFERROR(ROUND(D57/D56,6),"0")</f>
        <v>0.778711</v>
      </c>
      <c r="E58" s="16">
        <f t="shared" si="19"/>
        <v>0.916667</v>
      </c>
      <c r="F58" s="16">
        <f t="shared" si="19"/>
        <v>0.578947</v>
      </c>
      <c r="G58" s="16">
        <f t="shared" si="19"/>
        <v>0.724138</v>
      </c>
      <c r="H58" s="16" t="str">
        <f t="shared" si="19"/>
        <v>0</v>
      </c>
      <c r="I58" s="16" t="str">
        <f t="shared" si="19"/>
        <v>0</v>
      </c>
      <c r="J58" s="16" t="str">
        <f t="shared" si="19"/>
        <v>0</v>
      </c>
      <c r="K58" s="16" t="str">
        <f t="shared" si="19"/>
        <v>0</v>
      </c>
      <c r="L58" s="17" t="str">
        <f t="shared" si="19"/>
        <v>0</v>
      </c>
    </row>
    <row r="59">
      <c r="A59" s="6">
        <f>B56</f>
        <v>46091</v>
      </c>
      <c r="B59" s="11"/>
      <c r="C59" s="12" t="s">
        <v>14</v>
      </c>
      <c r="D59" s="18">
        <f>SUMIFS('渠道充值成功率_底稿'!$D:$D,'渠道充值成功率_底稿'!$A:$A,$A60,'渠道充值成功率_底稿'!$B:$B,D$1)</f>
        <v>59453</v>
      </c>
      <c r="E59" s="18">
        <f>SUMIFS('渠道充值成功率_底稿'!$D:$D,'渠道充值成功率_底稿'!$A:$A,$A59,'渠道充值成功率_底稿'!$B:$B,E$1)</f>
        <v>4106</v>
      </c>
      <c r="F59" s="18">
        <f>SUMIFS('渠道充值成功率_底稿'!$D:$D,'渠道充值成功率_底稿'!$A:$A,$A59,'渠道充值成功率_底稿'!$B:$B,F$1)</f>
        <v>2150</v>
      </c>
      <c r="G59" s="18">
        <f>SUMIFS('渠道充值成功率_底稿'!$D:$D,'渠道充值成功率_底稿'!$A:$A,$A59,'渠道充值成功率_底稿'!$B:$B,G$1)</f>
        <v>6569</v>
      </c>
      <c r="H59" s="18">
        <f>SUMIFS('渠道充值成功率_底稿'!$D:$D,'渠道充值成功率_底稿'!$A:$A,$A59,'渠道充值成功率_底稿'!$B:$B,H$1)</f>
        <v>0</v>
      </c>
      <c r="I59" s="18">
        <f>SUMIFS('渠道充值成功率_底稿'!$D:$D,'渠道充值成功率_底稿'!$A:$A,$A59,'渠道充值成功率_底稿'!$B:$B,I$1)</f>
        <v>0</v>
      </c>
      <c r="J59" s="18">
        <f>SUMIFS('渠道充值成功率_底稿'!$D:$D,'渠道充值成功率_底稿'!$A:$A,$A59,'渠道充值成功率_底稿'!$B:$B,J$1)</f>
        <v>0</v>
      </c>
      <c r="K59" s="18">
        <f>SUMIFS('渠道充值成功率_底稿'!$D:$D,'渠道充值成功率_底稿'!$A:$A,$A59,'渠道充值成功率_底稿'!$B:$B,K$1)</f>
        <v>0</v>
      </c>
      <c r="L59" s="14">
        <f>SUMIFS('渠道充值成功率_底稿'!$D:$D,'渠道充值成功率_底稿'!$A:$A,$A59,'渠道充值成功率_底稿'!$B:$B,L$1)</f>
        <v>0</v>
      </c>
    </row>
    <row r="60">
      <c r="A60" s="6">
        <f>B56</f>
        <v>46091</v>
      </c>
      <c r="B60" s="11"/>
      <c r="C60" s="19" t="s">
        <v>15</v>
      </c>
      <c r="D60" s="18">
        <f>SUMIFS('渠道充值成功率_底稿'!$G:$G,'渠道充值成功率_底稿'!$A:$A,$A61,'渠道充值成功率_底稿'!$B:$B,D$1)</f>
        <v>43783</v>
      </c>
      <c r="E60" s="18">
        <f>SUMIFS('渠道充值成功率_底稿'!$G:$G,'渠道充值成功率_底稿'!$A:$A,$A60,'渠道充值成功率_底稿'!$B:$B,E$1)</f>
        <v>4003</v>
      </c>
      <c r="F60" s="18">
        <f>SUMIFS('渠道充值成功率_底稿'!$G:$G,'渠道充值成功率_底稿'!$A:$A,$A60,'渠道充值成功率_底稿'!$B:$B,F$1)</f>
        <v>1250</v>
      </c>
      <c r="G60" s="18">
        <f>SUMIFS('渠道充值成功率_底稿'!$G:$G,'渠道充值成功率_底稿'!$A:$A,$A60,'渠道充值成功率_底稿'!$B:$B,G$1)</f>
        <v>4709</v>
      </c>
      <c r="H60" s="18">
        <f>SUMIFS('渠道充值成功率_底稿'!$G:$G,'渠道充值成功率_底稿'!$A:$A,$A60,'渠道充值成功率_底稿'!$B:$B,H$1)</f>
        <v>0</v>
      </c>
      <c r="I60" s="18">
        <f>SUMIFS('渠道充值成功率_底稿'!$G:$G,'渠道充值成功率_底稿'!$A:$A,$A60,'渠道充值成功率_底稿'!$B:$B,I$1)</f>
        <v>0</v>
      </c>
      <c r="J60" s="18">
        <f>SUMIFS('渠道充值成功率_底稿'!$G:$G,'渠道充值成功率_底稿'!$A:$A,$A60,'渠道充值成功率_底稿'!$B:$B,J$1)</f>
        <v>0</v>
      </c>
      <c r="K60" s="18">
        <f>SUMIFS('渠道充值成功率_底稿'!$G:$G,'渠道充值成功率_底稿'!$A:$A,$A60,'渠道充值成功率_底稿'!$B:$B,K$1)</f>
        <v>0</v>
      </c>
      <c r="L60" s="14">
        <f>SUMIFS('渠道充值成功率_底稿'!$G:$G,'渠道充值成功率_底稿'!$A:$A,$A60,'渠道充值成功率_底稿'!$B:$B,L$1)</f>
        <v>0</v>
      </c>
    </row>
    <row r="61">
      <c r="A61" s="6">
        <f>B56</f>
        <v>46091</v>
      </c>
      <c r="B61" s="20"/>
      <c r="C61" s="21" t="s">
        <v>16</v>
      </c>
      <c r="D61" s="22">
        <f t="shared" ref="D61:L61" si="20">IFERROR(ROUND(D60/D59,6),"0")</f>
        <v>0.73643</v>
      </c>
      <c r="E61" s="22">
        <f t="shared" si="20"/>
        <v>0.974915</v>
      </c>
      <c r="F61" s="22">
        <f t="shared" si="20"/>
        <v>0.581395</v>
      </c>
      <c r="G61" s="22">
        <f t="shared" si="20"/>
        <v>0.716852</v>
      </c>
      <c r="H61" s="22" t="str">
        <f t="shared" si="20"/>
        <v>0</v>
      </c>
      <c r="I61" s="22" t="str">
        <f t="shared" si="20"/>
        <v>0</v>
      </c>
      <c r="J61" s="22" t="str">
        <f t="shared" si="20"/>
        <v>0</v>
      </c>
      <c r="K61" s="22" t="str">
        <f t="shared" si="20"/>
        <v>0</v>
      </c>
      <c r="L61" s="23" t="str">
        <f t="shared" si="20"/>
        <v>0</v>
      </c>
    </row>
    <row r="62">
      <c r="A62" s="6">
        <f>B62</f>
        <v>46092</v>
      </c>
      <c r="B62" s="7">
        <f>B56+1</f>
        <v>46092</v>
      </c>
      <c r="C62" s="8" t="s">
        <v>11</v>
      </c>
      <c r="D62" s="9">
        <f>SUMIFS('渠道充值成功率_底稿'!$C:$C,'渠道充值成功率_底稿'!$A:$A,$A62,'渠道充值成功率_底稿'!$B:$B,D$1)</f>
        <v>479</v>
      </c>
      <c r="E62" s="9">
        <f>SUMIFS('渠道充值成功率_底稿'!$C:$C,'渠道充值成功率_底稿'!$A:$A,$A62,'渠道充值成功率_底稿'!$B:$B,E$1)</f>
        <v>18</v>
      </c>
      <c r="F62" s="9">
        <f>SUMIFS('渠道充值成功率_底稿'!$C:$C,'渠道充值成功率_底稿'!$A:$A,$A62,'渠道充值成功率_底稿'!$B:$B,F$1)</f>
        <v>26</v>
      </c>
      <c r="G62" s="9">
        <f>SUMIFS('渠道充值成功率_底稿'!$C:$C,'渠道充值成功率_底稿'!$A:$A,$A62,'渠道充值成功率_底稿'!$B:$B,G$1)</f>
        <v>70</v>
      </c>
      <c r="H62" s="9">
        <f>SUMIFS('渠道充值成功率_底稿'!$C:$C,'渠道充值成功率_底稿'!$A:$A,$A62,'渠道充值成功率_底稿'!$B:$B,H$1)</f>
        <v>0</v>
      </c>
      <c r="I62" s="9">
        <f>SUMIFS('渠道充值成功率_底稿'!$C:$C,'渠道充值成功率_底稿'!$A:$A,$A62,'渠道充值成功率_底稿'!$B:$B,I$1)</f>
        <v>0</v>
      </c>
      <c r="J62" s="9">
        <f>SUMIFS('渠道充值成功率_底稿'!$C:$C,'渠道充值成功率_底稿'!$A:$A,$A62,'渠道充值成功率_底稿'!$B:$B,J$1)</f>
        <v>0</v>
      </c>
      <c r="K62" s="9">
        <f>SUMIFS('渠道充值成功率_底稿'!$C:$C,'渠道充值成功率_底稿'!$A:$A,$A62,'渠道充值成功率_底稿'!$B:$B,K$1)</f>
        <v>5</v>
      </c>
      <c r="L62" s="10">
        <f>SUMIFS('渠道充值成功率_底稿'!$C:$C,'渠道充值成功率_底稿'!$A:$A,$A62,'渠道充值成功率_底稿'!$B:$B,L$1)</f>
        <v>0</v>
      </c>
    </row>
    <row r="63">
      <c r="A63" s="6">
        <f>B62</f>
        <v>46092</v>
      </c>
      <c r="B63" s="11"/>
      <c r="C63" s="12" t="s">
        <v>12</v>
      </c>
      <c r="D63" s="13">
        <f>SUMIFS('渠道充值成功率_底稿'!$F:$F,'渠道充值成功率_底稿'!$A:$A,$A63,'渠道充值成功率_底稿'!$B:$B,D$1)</f>
        <v>331</v>
      </c>
      <c r="E63" s="13">
        <f>SUMIFS('渠道充值成功率_底稿'!$F:$F,'渠道充值成功率_底稿'!$A:$A,$A63,'渠道充值成功率_底稿'!$B:$B,E$1)</f>
        <v>12</v>
      </c>
      <c r="F63" s="13">
        <f>SUMIFS('渠道充值成功率_底稿'!$F:$F,'渠道充值成功率_底稿'!$A:$A,$A63,'渠道充值成功率_底稿'!$B:$B,F$1)</f>
        <v>11</v>
      </c>
      <c r="G63" s="13">
        <f>SUMIFS('渠道充值成功率_底稿'!$F:$F,'渠道充值成功率_底稿'!$A:$A,$A63,'渠道充值成功率_底稿'!$B:$B,G$1)</f>
        <v>49</v>
      </c>
      <c r="H63" s="13">
        <f>SUMIFS('渠道充值成功率_底稿'!$F:$F,'渠道充值成功率_底稿'!$A:$A,$A63,'渠道充值成功率_底稿'!$B:$B,H$1)</f>
        <v>0</v>
      </c>
      <c r="I63" s="13">
        <f>SUMIFS('渠道充值成功率_底稿'!$F:$F,'渠道充值成功率_底稿'!$A:$A,$A63,'渠道充值成功率_底稿'!$B:$B,I$1)</f>
        <v>0</v>
      </c>
      <c r="J63" s="13">
        <f>SUMIFS('渠道充值成功率_底稿'!$F:$F,'渠道充值成功率_底稿'!$A:$A,$A63,'渠道充值成功率_底稿'!$B:$B,J$1)</f>
        <v>0</v>
      </c>
      <c r="K63" s="13">
        <f>SUMIFS('渠道充值成功率_底稿'!$F:$F,'渠道充值成功率_底稿'!$A:$A,$A63,'渠道充值成功率_底稿'!$B:$B,K$1)</f>
        <v>5</v>
      </c>
      <c r="L63" s="14">
        <f>SUMIFS('渠道充值成功率_底稿'!$F:$F,'渠道充值成功率_底稿'!$A:$A,$A63,'渠道充值成功率_底稿'!$B:$B,L$1)</f>
        <v>0</v>
      </c>
    </row>
    <row r="64">
      <c r="A64" s="6">
        <f>B62</f>
        <v>46092</v>
      </c>
      <c r="B64" s="11"/>
      <c r="C64" s="15" t="s">
        <v>13</v>
      </c>
      <c r="D64" s="16">
        <f t="shared" ref="D64:L64" si="21">IFERROR(ROUND(D63/D62,6),"0")</f>
        <v>0.691023</v>
      </c>
      <c r="E64" s="16">
        <f t="shared" si="21"/>
        <v>0.666667</v>
      </c>
      <c r="F64" s="16">
        <f t="shared" si="21"/>
        <v>0.423077</v>
      </c>
      <c r="G64" s="16">
        <f t="shared" si="21"/>
        <v>0.7</v>
      </c>
      <c r="H64" s="16" t="str">
        <f t="shared" si="21"/>
        <v>0</v>
      </c>
      <c r="I64" s="16" t="str">
        <f t="shared" si="21"/>
        <v>0</v>
      </c>
      <c r="J64" s="16" t="str">
        <f t="shared" si="21"/>
        <v>0</v>
      </c>
      <c r="K64" s="16">
        <f t="shared" si="21"/>
        <v>1</v>
      </c>
      <c r="L64" s="17" t="str">
        <f t="shared" si="21"/>
        <v>0</v>
      </c>
    </row>
    <row r="65">
      <c r="A65" s="6">
        <f>B62</f>
        <v>46092</v>
      </c>
      <c r="B65" s="11"/>
      <c r="C65" s="12" t="s">
        <v>14</v>
      </c>
      <c r="D65" s="18">
        <f>SUMIFS('渠道充值成功率_底稿'!$D:$D,'渠道充值成功率_底稿'!$A:$A,$A66,'渠道充值成功率_底稿'!$B:$B,D$1)</f>
        <v>63978</v>
      </c>
      <c r="E65" s="18">
        <f>SUMIFS('渠道充值成功率_底稿'!$D:$D,'渠道充值成功率_底稿'!$A:$A,$A65,'渠道充值成功率_底稿'!$B:$B,E$1)</f>
        <v>4270</v>
      </c>
      <c r="F65" s="18">
        <f>SUMIFS('渠道充值成功率_底稿'!$D:$D,'渠道充值成功率_底稿'!$A:$A,$A65,'渠道充值成功率_底稿'!$B:$B,F$1)</f>
        <v>3306</v>
      </c>
      <c r="G65" s="18">
        <f>SUMIFS('渠道充值成功率_底稿'!$D:$D,'渠道充值成功率_底稿'!$A:$A,$A65,'渠道充值成功率_底稿'!$B:$B,G$1)</f>
        <v>10363</v>
      </c>
      <c r="H65" s="18">
        <f>SUMIFS('渠道充值成功率_底稿'!$D:$D,'渠道充值成功率_底稿'!$A:$A,$A65,'渠道充值成功率_底稿'!$B:$B,H$1)</f>
        <v>0</v>
      </c>
      <c r="I65" s="18">
        <f>SUMIFS('渠道充值成功率_底稿'!$D:$D,'渠道充值成功率_底稿'!$A:$A,$A65,'渠道充值成功率_底稿'!$B:$B,I$1)</f>
        <v>0</v>
      </c>
      <c r="J65" s="18">
        <f>SUMIFS('渠道充值成功率_底稿'!$D:$D,'渠道充值成功率_底稿'!$A:$A,$A65,'渠道充值成功率_底稿'!$B:$B,J$1)</f>
        <v>0</v>
      </c>
      <c r="K65" s="18">
        <f>SUMIFS('渠道充值成功率_底稿'!$D:$D,'渠道充值成功率_底稿'!$A:$A,$A65,'渠道充值成功率_底稿'!$B:$B,K$1)</f>
        <v>600</v>
      </c>
      <c r="L65" s="14">
        <f>SUMIFS('渠道充值成功率_底稿'!$D:$D,'渠道充值成功率_底稿'!$A:$A,$A65,'渠道充值成功率_底稿'!$B:$B,L$1)</f>
        <v>0</v>
      </c>
    </row>
    <row r="66">
      <c r="A66" s="6">
        <f>B62</f>
        <v>46092</v>
      </c>
      <c r="B66" s="11"/>
      <c r="C66" s="19" t="s">
        <v>15</v>
      </c>
      <c r="D66" s="18">
        <f>SUMIFS('渠道充值成功率_底稿'!$G:$G,'渠道充值成功率_底稿'!$A:$A,$A67,'渠道充值成功率_底稿'!$B:$B,D$1)</f>
        <v>43743</v>
      </c>
      <c r="E66" s="18">
        <f>SUMIFS('渠道充值成功率_底稿'!$G:$G,'渠道充值成功率_底稿'!$A:$A,$A66,'渠道充值成功率_底稿'!$B:$B,E$1)</f>
        <v>2770</v>
      </c>
      <c r="F66" s="18">
        <f>SUMIFS('渠道充值成功率_底稿'!$G:$G,'渠道充值成功率_底稿'!$A:$A,$A66,'渠道充值成功率_底稿'!$B:$B,F$1)</f>
        <v>1151</v>
      </c>
      <c r="G66" s="18">
        <f>SUMIFS('渠道充值成功率_底稿'!$G:$G,'渠道充值成功率_底稿'!$A:$A,$A66,'渠道充值成功率_底稿'!$B:$B,G$1)</f>
        <v>5004</v>
      </c>
      <c r="H66" s="18">
        <f>SUMIFS('渠道充值成功率_底稿'!$G:$G,'渠道充值成功率_底稿'!$A:$A,$A66,'渠道充值成功率_底稿'!$B:$B,H$1)</f>
        <v>0</v>
      </c>
      <c r="I66" s="18">
        <f>SUMIFS('渠道充值成功率_底稿'!$G:$G,'渠道充值成功率_底稿'!$A:$A,$A66,'渠道充值成功率_底稿'!$B:$B,I$1)</f>
        <v>0</v>
      </c>
      <c r="J66" s="18">
        <f>SUMIFS('渠道充值成功率_底稿'!$G:$G,'渠道充值成功率_底稿'!$A:$A,$A66,'渠道充值成功率_底稿'!$B:$B,J$1)</f>
        <v>0</v>
      </c>
      <c r="K66" s="18">
        <f>SUMIFS('渠道充值成功率_底稿'!$G:$G,'渠道充值成功率_底稿'!$A:$A,$A66,'渠道充值成功率_底稿'!$B:$B,K$1)</f>
        <v>600</v>
      </c>
      <c r="L66" s="14">
        <f>SUMIFS('渠道充值成功率_底稿'!$G:$G,'渠道充值成功率_底稿'!$A:$A,$A66,'渠道充值成功率_底稿'!$B:$B,L$1)</f>
        <v>0</v>
      </c>
    </row>
    <row r="67">
      <c r="A67" s="6">
        <f>B62</f>
        <v>46092</v>
      </c>
      <c r="B67" s="20"/>
      <c r="C67" s="21" t="s">
        <v>16</v>
      </c>
      <c r="D67" s="22">
        <f t="shared" ref="D67:L67" si="22">IFERROR(ROUND(D66/D65,6),"0")</f>
        <v>0.683719</v>
      </c>
      <c r="E67" s="22">
        <f t="shared" si="22"/>
        <v>0.648712</v>
      </c>
      <c r="F67" s="22">
        <f t="shared" si="22"/>
        <v>0.348155</v>
      </c>
      <c r="G67" s="22">
        <f t="shared" si="22"/>
        <v>0.482872</v>
      </c>
      <c r="H67" s="22" t="str">
        <f t="shared" si="22"/>
        <v>0</v>
      </c>
      <c r="I67" s="22" t="str">
        <f t="shared" si="22"/>
        <v>0</v>
      </c>
      <c r="J67" s="22" t="str">
        <f t="shared" si="22"/>
        <v>0</v>
      </c>
      <c r="K67" s="22">
        <f t="shared" si="22"/>
        <v>1</v>
      </c>
      <c r="L67" s="23" t="str">
        <f t="shared" si="22"/>
        <v>0</v>
      </c>
    </row>
    <row r="68">
      <c r="A68" s="6">
        <f>B68</f>
        <v>46093</v>
      </c>
      <c r="B68" s="7">
        <f>B62+1</f>
        <v>46093</v>
      </c>
      <c r="C68" s="8" t="s">
        <v>11</v>
      </c>
      <c r="D68" s="9">
        <f>SUMIFS('渠道充值成功率_底稿'!$C:$C,'渠道充值成功率_底稿'!$A:$A,$A68,'渠道充值成功率_底稿'!$B:$B,D$1)</f>
        <v>0</v>
      </c>
      <c r="E68" s="9">
        <f>SUMIFS('渠道充值成功率_底稿'!$C:$C,'渠道充值成功率_底稿'!$A:$A,$A68,'渠道充值成功率_底稿'!$B:$B,E$1)</f>
        <v>0</v>
      </c>
      <c r="F68" s="9">
        <f>SUMIFS('渠道充值成功率_底稿'!$C:$C,'渠道充值成功率_底稿'!$A:$A,$A68,'渠道充值成功率_底稿'!$B:$B,F$1)</f>
        <v>0</v>
      </c>
      <c r="G68" s="9">
        <f>SUMIFS('渠道充值成功率_底稿'!$C:$C,'渠道充值成功率_底稿'!$A:$A,$A68,'渠道充值成功率_底稿'!$B:$B,G$1)</f>
        <v>0</v>
      </c>
      <c r="H68" s="9">
        <f>SUMIFS('渠道充值成功率_底稿'!$C:$C,'渠道充值成功率_底稿'!$A:$A,$A68,'渠道充值成功率_底稿'!$B:$B,H$1)</f>
        <v>0</v>
      </c>
      <c r="I68" s="9">
        <f>SUMIFS('渠道充值成功率_底稿'!$C:$C,'渠道充值成功率_底稿'!$A:$A,$A68,'渠道充值成功率_底稿'!$B:$B,I$1)</f>
        <v>0</v>
      </c>
      <c r="J68" s="9">
        <f>SUMIFS('渠道充值成功率_底稿'!$C:$C,'渠道充值成功率_底稿'!$A:$A,$A68,'渠道充值成功率_底稿'!$B:$B,J$1)</f>
        <v>0</v>
      </c>
      <c r="K68" s="9">
        <f>SUMIFS('渠道充值成功率_底稿'!$C:$C,'渠道充值成功率_底稿'!$A:$A,$A68,'渠道充值成功率_底稿'!$B:$B,K$1)</f>
        <v>0</v>
      </c>
      <c r="L68" s="10">
        <f>SUMIFS('渠道充值成功率_底稿'!$C:$C,'渠道充值成功率_底稿'!$A:$A,$A68,'渠道充值成功率_底稿'!$B:$B,L$1)</f>
        <v>0</v>
      </c>
    </row>
    <row r="69">
      <c r="A69" s="6">
        <f>B68</f>
        <v>46093</v>
      </c>
      <c r="B69" s="11"/>
      <c r="C69" s="12" t="s">
        <v>12</v>
      </c>
      <c r="D69" s="13">
        <f>SUMIFS('渠道充值成功率_底稿'!$F:$F,'渠道充值成功率_底稿'!$A:$A,$A69,'渠道充值成功率_底稿'!$B:$B,D$1)</f>
        <v>0</v>
      </c>
      <c r="E69" s="13">
        <f>SUMIFS('渠道充值成功率_底稿'!$F:$F,'渠道充值成功率_底稿'!$A:$A,$A69,'渠道充值成功率_底稿'!$B:$B,E$1)</f>
        <v>0</v>
      </c>
      <c r="F69" s="13">
        <f>SUMIFS('渠道充值成功率_底稿'!$F:$F,'渠道充值成功率_底稿'!$A:$A,$A69,'渠道充值成功率_底稿'!$B:$B,F$1)</f>
        <v>0</v>
      </c>
      <c r="G69" s="13">
        <f>SUMIFS('渠道充值成功率_底稿'!$F:$F,'渠道充值成功率_底稿'!$A:$A,$A69,'渠道充值成功率_底稿'!$B:$B,G$1)</f>
        <v>0</v>
      </c>
      <c r="H69" s="13">
        <f>SUMIFS('渠道充值成功率_底稿'!$F:$F,'渠道充值成功率_底稿'!$A:$A,$A69,'渠道充值成功率_底稿'!$B:$B,H$1)</f>
        <v>0</v>
      </c>
      <c r="I69" s="13">
        <f>SUMIFS('渠道充值成功率_底稿'!$F:$F,'渠道充值成功率_底稿'!$A:$A,$A69,'渠道充值成功率_底稿'!$B:$B,I$1)</f>
        <v>0</v>
      </c>
      <c r="J69" s="13">
        <f>SUMIFS('渠道充值成功率_底稿'!$F:$F,'渠道充值成功率_底稿'!$A:$A,$A69,'渠道充值成功率_底稿'!$B:$B,J$1)</f>
        <v>0</v>
      </c>
      <c r="K69" s="13">
        <f>SUMIFS('渠道充值成功率_底稿'!$F:$F,'渠道充值成功率_底稿'!$A:$A,$A69,'渠道充值成功率_底稿'!$B:$B,K$1)</f>
        <v>0</v>
      </c>
      <c r="L69" s="14">
        <f>SUMIFS('渠道充值成功率_底稿'!$F:$F,'渠道充值成功率_底稿'!$A:$A,$A69,'渠道充值成功率_底稿'!$B:$B,L$1)</f>
        <v>0</v>
      </c>
    </row>
    <row r="70">
      <c r="A70" s="6">
        <f>B68</f>
        <v>46093</v>
      </c>
      <c r="B70" s="11"/>
      <c r="C70" s="15" t="s">
        <v>13</v>
      </c>
      <c r="D70" s="16" t="str">
        <f t="shared" ref="D70:L70" si="23">IFERROR(ROUND(D69/D68,6),"0")</f>
        <v>0</v>
      </c>
      <c r="E70" s="16" t="str">
        <f t="shared" si="23"/>
        <v>0</v>
      </c>
      <c r="F70" s="16" t="str">
        <f t="shared" si="23"/>
        <v>0</v>
      </c>
      <c r="G70" s="16" t="str">
        <f t="shared" si="23"/>
        <v>0</v>
      </c>
      <c r="H70" s="16" t="str">
        <f t="shared" si="23"/>
        <v>0</v>
      </c>
      <c r="I70" s="16" t="str">
        <f t="shared" si="23"/>
        <v>0</v>
      </c>
      <c r="J70" s="16" t="str">
        <f t="shared" si="23"/>
        <v>0</v>
      </c>
      <c r="K70" s="16" t="str">
        <f t="shared" si="23"/>
        <v>0</v>
      </c>
      <c r="L70" s="17" t="str">
        <f t="shared" si="23"/>
        <v>0</v>
      </c>
    </row>
    <row r="71">
      <c r="A71" s="6">
        <f>B68</f>
        <v>46093</v>
      </c>
      <c r="B71" s="11"/>
      <c r="C71" s="12" t="s">
        <v>14</v>
      </c>
      <c r="D71" s="18">
        <f>SUMIFS('渠道充值成功率_底稿'!$D:$D,'渠道充值成功率_底稿'!$A:$A,$A72,'渠道充值成功率_底稿'!$B:$B,D$1)</f>
        <v>0</v>
      </c>
      <c r="E71" s="18">
        <f>SUMIFS('渠道充值成功率_底稿'!$D:$D,'渠道充值成功率_底稿'!$A:$A,$A71,'渠道充值成功率_底稿'!$B:$B,E$1)</f>
        <v>0</v>
      </c>
      <c r="F71" s="18">
        <f>SUMIFS('渠道充值成功率_底稿'!$D:$D,'渠道充值成功率_底稿'!$A:$A,$A71,'渠道充值成功率_底稿'!$B:$B,F$1)</f>
        <v>0</v>
      </c>
      <c r="G71" s="18">
        <f>SUMIFS('渠道充值成功率_底稿'!$D:$D,'渠道充值成功率_底稿'!$A:$A,$A71,'渠道充值成功率_底稿'!$B:$B,G$1)</f>
        <v>0</v>
      </c>
      <c r="H71" s="18">
        <f>SUMIFS('渠道充值成功率_底稿'!$D:$D,'渠道充值成功率_底稿'!$A:$A,$A71,'渠道充值成功率_底稿'!$B:$B,H$1)</f>
        <v>0</v>
      </c>
      <c r="I71" s="18">
        <f>SUMIFS('渠道充值成功率_底稿'!$D:$D,'渠道充值成功率_底稿'!$A:$A,$A71,'渠道充值成功率_底稿'!$B:$B,I$1)</f>
        <v>0</v>
      </c>
      <c r="J71" s="18">
        <f>SUMIFS('渠道充值成功率_底稿'!$D:$D,'渠道充值成功率_底稿'!$A:$A,$A71,'渠道充值成功率_底稿'!$B:$B,J$1)</f>
        <v>0</v>
      </c>
      <c r="K71" s="18">
        <f>SUMIFS('渠道充值成功率_底稿'!$D:$D,'渠道充值成功率_底稿'!$A:$A,$A71,'渠道充值成功率_底稿'!$B:$B,K$1)</f>
        <v>0</v>
      </c>
      <c r="L71" s="14">
        <f>SUMIFS('渠道充值成功率_底稿'!$D:$D,'渠道充值成功率_底稿'!$A:$A,$A71,'渠道充值成功率_底稿'!$B:$B,L$1)</f>
        <v>0</v>
      </c>
    </row>
    <row r="72">
      <c r="A72" s="6">
        <f>B68</f>
        <v>46093</v>
      </c>
      <c r="B72" s="11"/>
      <c r="C72" s="19" t="s">
        <v>15</v>
      </c>
      <c r="D72" s="18">
        <f>SUMIFS('渠道充值成功率_底稿'!$G:$G,'渠道充值成功率_底稿'!$A:$A,$A73,'渠道充值成功率_底稿'!$B:$B,D$1)</f>
        <v>0</v>
      </c>
      <c r="E72" s="18">
        <f>SUMIFS('渠道充值成功率_底稿'!$G:$G,'渠道充值成功率_底稿'!$A:$A,$A72,'渠道充值成功率_底稿'!$B:$B,E$1)</f>
        <v>0</v>
      </c>
      <c r="F72" s="18">
        <f>SUMIFS('渠道充值成功率_底稿'!$G:$G,'渠道充值成功率_底稿'!$A:$A,$A72,'渠道充值成功率_底稿'!$B:$B,F$1)</f>
        <v>0</v>
      </c>
      <c r="G72" s="18">
        <f>SUMIFS('渠道充值成功率_底稿'!$G:$G,'渠道充值成功率_底稿'!$A:$A,$A72,'渠道充值成功率_底稿'!$B:$B,G$1)</f>
        <v>0</v>
      </c>
      <c r="H72" s="18">
        <f>SUMIFS('渠道充值成功率_底稿'!$G:$G,'渠道充值成功率_底稿'!$A:$A,$A72,'渠道充值成功率_底稿'!$B:$B,H$1)</f>
        <v>0</v>
      </c>
      <c r="I72" s="18">
        <f>SUMIFS('渠道充值成功率_底稿'!$G:$G,'渠道充值成功率_底稿'!$A:$A,$A72,'渠道充值成功率_底稿'!$B:$B,I$1)</f>
        <v>0</v>
      </c>
      <c r="J72" s="18">
        <f>SUMIFS('渠道充值成功率_底稿'!$G:$G,'渠道充值成功率_底稿'!$A:$A,$A72,'渠道充值成功率_底稿'!$B:$B,J$1)</f>
        <v>0</v>
      </c>
      <c r="K72" s="18">
        <f>SUMIFS('渠道充值成功率_底稿'!$G:$G,'渠道充值成功率_底稿'!$A:$A,$A72,'渠道充值成功率_底稿'!$B:$B,K$1)</f>
        <v>0</v>
      </c>
      <c r="L72" s="14">
        <f>SUMIFS('渠道充值成功率_底稿'!$G:$G,'渠道充值成功率_底稿'!$A:$A,$A72,'渠道充值成功率_底稿'!$B:$B,L$1)</f>
        <v>0</v>
      </c>
    </row>
    <row r="73">
      <c r="A73" s="6">
        <f>B68</f>
        <v>46093</v>
      </c>
      <c r="B73" s="20"/>
      <c r="C73" s="21" t="s">
        <v>16</v>
      </c>
      <c r="D73" s="22" t="str">
        <f t="shared" ref="D73:L73" si="24">IFERROR(ROUND(D72/D71,6),"0")</f>
        <v>0</v>
      </c>
      <c r="E73" s="22" t="str">
        <f t="shared" si="24"/>
        <v>0</v>
      </c>
      <c r="F73" s="22" t="str">
        <f t="shared" si="24"/>
        <v>0</v>
      </c>
      <c r="G73" s="22" t="str">
        <f t="shared" si="24"/>
        <v>0</v>
      </c>
      <c r="H73" s="22" t="str">
        <f t="shared" si="24"/>
        <v>0</v>
      </c>
      <c r="I73" s="22" t="str">
        <f t="shared" si="24"/>
        <v>0</v>
      </c>
      <c r="J73" s="22" t="str">
        <f t="shared" si="24"/>
        <v>0</v>
      </c>
      <c r="K73" s="22" t="str">
        <f t="shared" si="24"/>
        <v>0</v>
      </c>
      <c r="L73" s="23" t="str">
        <f t="shared" si="24"/>
        <v>0</v>
      </c>
    </row>
    <row r="74">
      <c r="A74" s="6">
        <f>B74</f>
        <v>46094</v>
      </c>
      <c r="B74" s="7">
        <f>B68+1</f>
        <v>46094</v>
      </c>
      <c r="C74" s="8" t="s">
        <v>11</v>
      </c>
      <c r="D74" s="9">
        <f>SUMIFS('渠道充值成功率_底稿'!$C:$C,'渠道充值成功率_底稿'!$A:$A,$A74,'渠道充值成功率_底稿'!$B:$B,D$1)</f>
        <v>0</v>
      </c>
      <c r="E74" s="9">
        <f>SUMIFS('渠道充值成功率_底稿'!$C:$C,'渠道充值成功率_底稿'!$A:$A,$A74,'渠道充值成功率_底稿'!$B:$B,E$1)</f>
        <v>0</v>
      </c>
      <c r="F74" s="9">
        <f>SUMIFS('渠道充值成功率_底稿'!$C:$C,'渠道充值成功率_底稿'!$A:$A,$A74,'渠道充值成功率_底稿'!$B:$B,F$1)</f>
        <v>0</v>
      </c>
      <c r="G74" s="9">
        <f>SUMIFS('渠道充值成功率_底稿'!$C:$C,'渠道充值成功率_底稿'!$A:$A,$A74,'渠道充值成功率_底稿'!$B:$B,G$1)</f>
        <v>0</v>
      </c>
      <c r="H74" s="9">
        <f>SUMIFS('渠道充值成功率_底稿'!$C:$C,'渠道充值成功率_底稿'!$A:$A,$A74,'渠道充值成功率_底稿'!$B:$B,H$1)</f>
        <v>0</v>
      </c>
      <c r="I74" s="9">
        <f>SUMIFS('渠道充值成功率_底稿'!$C:$C,'渠道充值成功率_底稿'!$A:$A,$A74,'渠道充值成功率_底稿'!$B:$B,I$1)</f>
        <v>0</v>
      </c>
      <c r="J74" s="9">
        <f>SUMIFS('渠道充值成功率_底稿'!$C:$C,'渠道充值成功率_底稿'!$A:$A,$A74,'渠道充值成功率_底稿'!$B:$B,J$1)</f>
        <v>0</v>
      </c>
      <c r="K74" s="9">
        <f>SUMIFS('渠道充值成功率_底稿'!$C:$C,'渠道充值成功率_底稿'!$A:$A,$A74,'渠道充值成功率_底稿'!$B:$B,K$1)</f>
        <v>0</v>
      </c>
      <c r="L74" s="10">
        <f>SUMIFS('渠道充值成功率_底稿'!$C:$C,'渠道充值成功率_底稿'!$A:$A,$A74,'渠道充值成功率_底稿'!$B:$B,L$1)</f>
        <v>0</v>
      </c>
    </row>
    <row r="75">
      <c r="A75" s="6">
        <f>B74</f>
        <v>46094</v>
      </c>
      <c r="B75" s="11"/>
      <c r="C75" s="12" t="s">
        <v>12</v>
      </c>
      <c r="D75" s="13">
        <f>SUMIFS('渠道充值成功率_底稿'!$F:$F,'渠道充值成功率_底稿'!$A:$A,$A75,'渠道充值成功率_底稿'!$B:$B,D$1)</f>
        <v>0</v>
      </c>
      <c r="E75" s="13">
        <f>SUMIFS('渠道充值成功率_底稿'!$F:$F,'渠道充值成功率_底稿'!$A:$A,$A75,'渠道充值成功率_底稿'!$B:$B,E$1)</f>
        <v>0</v>
      </c>
      <c r="F75" s="13">
        <f>SUMIFS('渠道充值成功率_底稿'!$F:$F,'渠道充值成功率_底稿'!$A:$A,$A75,'渠道充值成功率_底稿'!$B:$B,F$1)</f>
        <v>0</v>
      </c>
      <c r="G75" s="13">
        <f>SUMIFS('渠道充值成功率_底稿'!$F:$F,'渠道充值成功率_底稿'!$A:$A,$A75,'渠道充值成功率_底稿'!$B:$B,G$1)</f>
        <v>0</v>
      </c>
      <c r="H75" s="13">
        <f>SUMIFS('渠道充值成功率_底稿'!$F:$F,'渠道充值成功率_底稿'!$A:$A,$A75,'渠道充值成功率_底稿'!$B:$B,H$1)</f>
        <v>0</v>
      </c>
      <c r="I75" s="13">
        <f>SUMIFS('渠道充值成功率_底稿'!$F:$F,'渠道充值成功率_底稿'!$A:$A,$A75,'渠道充值成功率_底稿'!$B:$B,I$1)</f>
        <v>0</v>
      </c>
      <c r="J75" s="13">
        <f>SUMIFS('渠道充值成功率_底稿'!$F:$F,'渠道充值成功率_底稿'!$A:$A,$A75,'渠道充值成功率_底稿'!$B:$B,J$1)</f>
        <v>0</v>
      </c>
      <c r="K75" s="13">
        <f>SUMIFS('渠道充值成功率_底稿'!$F:$F,'渠道充值成功率_底稿'!$A:$A,$A75,'渠道充值成功率_底稿'!$B:$B,K$1)</f>
        <v>0</v>
      </c>
      <c r="L75" s="14">
        <f>SUMIFS('渠道充值成功率_底稿'!$F:$F,'渠道充值成功率_底稿'!$A:$A,$A75,'渠道充值成功率_底稿'!$B:$B,L$1)</f>
        <v>0</v>
      </c>
    </row>
    <row r="76">
      <c r="A76" s="6">
        <f>B74</f>
        <v>46094</v>
      </c>
      <c r="B76" s="11"/>
      <c r="C76" s="15" t="s">
        <v>13</v>
      </c>
      <c r="D76" s="16" t="str">
        <f t="shared" ref="D76:L76" si="25">IFERROR(ROUND(D75/D74,6),"0")</f>
        <v>0</v>
      </c>
      <c r="E76" s="16" t="str">
        <f t="shared" si="25"/>
        <v>0</v>
      </c>
      <c r="F76" s="16" t="str">
        <f t="shared" si="25"/>
        <v>0</v>
      </c>
      <c r="G76" s="16" t="str">
        <f t="shared" si="25"/>
        <v>0</v>
      </c>
      <c r="H76" s="16" t="str">
        <f t="shared" si="25"/>
        <v>0</v>
      </c>
      <c r="I76" s="16" t="str">
        <f t="shared" si="25"/>
        <v>0</v>
      </c>
      <c r="J76" s="16" t="str">
        <f t="shared" si="25"/>
        <v>0</v>
      </c>
      <c r="K76" s="16" t="str">
        <f t="shared" si="25"/>
        <v>0</v>
      </c>
      <c r="L76" s="17" t="str">
        <f t="shared" si="25"/>
        <v>0</v>
      </c>
    </row>
    <row r="77">
      <c r="A77" s="6">
        <f>B74</f>
        <v>46094</v>
      </c>
      <c r="B77" s="11"/>
      <c r="C77" s="12" t="s">
        <v>14</v>
      </c>
      <c r="D77" s="18">
        <f>SUMIFS('渠道充值成功率_底稿'!$D:$D,'渠道充值成功率_底稿'!$A:$A,$A78,'渠道充值成功率_底稿'!$B:$B,D$1)</f>
        <v>0</v>
      </c>
      <c r="E77" s="18">
        <f>SUMIFS('渠道充值成功率_底稿'!$D:$D,'渠道充值成功率_底稿'!$A:$A,$A77,'渠道充值成功率_底稿'!$B:$B,E$1)</f>
        <v>0</v>
      </c>
      <c r="F77" s="18">
        <f>SUMIFS('渠道充值成功率_底稿'!$D:$D,'渠道充值成功率_底稿'!$A:$A,$A77,'渠道充值成功率_底稿'!$B:$B,F$1)</f>
        <v>0</v>
      </c>
      <c r="G77" s="18">
        <f>SUMIFS('渠道充值成功率_底稿'!$D:$D,'渠道充值成功率_底稿'!$A:$A,$A77,'渠道充值成功率_底稿'!$B:$B,G$1)</f>
        <v>0</v>
      </c>
      <c r="H77" s="18">
        <f>SUMIFS('渠道充值成功率_底稿'!$D:$D,'渠道充值成功率_底稿'!$A:$A,$A77,'渠道充值成功率_底稿'!$B:$B,H$1)</f>
        <v>0</v>
      </c>
      <c r="I77" s="18">
        <f>SUMIFS('渠道充值成功率_底稿'!$D:$D,'渠道充值成功率_底稿'!$A:$A,$A77,'渠道充值成功率_底稿'!$B:$B,I$1)</f>
        <v>0</v>
      </c>
      <c r="J77" s="18">
        <f>SUMIFS('渠道充值成功率_底稿'!$D:$D,'渠道充值成功率_底稿'!$A:$A,$A77,'渠道充值成功率_底稿'!$B:$B,J$1)</f>
        <v>0</v>
      </c>
      <c r="K77" s="18">
        <f>SUMIFS('渠道充值成功率_底稿'!$D:$D,'渠道充值成功率_底稿'!$A:$A,$A77,'渠道充值成功率_底稿'!$B:$B,K$1)</f>
        <v>0</v>
      </c>
      <c r="L77" s="14">
        <f>SUMIFS('渠道充值成功率_底稿'!$D:$D,'渠道充值成功率_底稿'!$A:$A,$A77,'渠道充值成功率_底稿'!$B:$B,L$1)</f>
        <v>0</v>
      </c>
    </row>
    <row r="78">
      <c r="A78" s="6">
        <f>B74</f>
        <v>46094</v>
      </c>
      <c r="B78" s="11"/>
      <c r="C78" s="19" t="s">
        <v>15</v>
      </c>
      <c r="D78" s="18">
        <f>SUMIFS('渠道充值成功率_底稿'!$G:$G,'渠道充值成功率_底稿'!$A:$A,$A79,'渠道充值成功率_底稿'!$B:$B,D$1)</f>
        <v>0</v>
      </c>
      <c r="E78" s="18">
        <f>SUMIFS('渠道充值成功率_底稿'!$G:$G,'渠道充值成功率_底稿'!$A:$A,$A78,'渠道充值成功率_底稿'!$B:$B,E$1)</f>
        <v>0</v>
      </c>
      <c r="F78" s="18">
        <f>SUMIFS('渠道充值成功率_底稿'!$G:$G,'渠道充值成功率_底稿'!$A:$A,$A78,'渠道充值成功率_底稿'!$B:$B,F$1)</f>
        <v>0</v>
      </c>
      <c r="G78" s="18">
        <f>SUMIFS('渠道充值成功率_底稿'!$G:$G,'渠道充值成功率_底稿'!$A:$A,$A78,'渠道充值成功率_底稿'!$B:$B,G$1)</f>
        <v>0</v>
      </c>
      <c r="H78" s="18">
        <f>SUMIFS('渠道充值成功率_底稿'!$G:$G,'渠道充值成功率_底稿'!$A:$A,$A78,'渠道充值成功率_底稿'!$B:$B,H$1)</f>
        <v>0</v>
      </c>
      <c r="I78" s="18">
        <f>SUMIFS('渠道充值成功率_底稿'!$G:$G,'渠道充值成功率_底稿'!$A:$A,$A78,'渠道充值成功率_底稿'!$B:$B,I$1)</f>
        <v>0</v>
      </c>
      <c r="J78" s="18">
        <f>SUMIFS('渠道充值成功率_底稿'!$G:$G,'渠道充值成功率_底稿'!$A:$A,$A78,'渠道充值成功率_底稿'!$B:$B,J$1)</f>
        <v>0</v>
      </c>
      <c r="K78" s="18">
        <f>SUMIFS('渠道充值成功率_底稿'!$G:$G,'渠道充值成功率_底稿'!$A:$A,$A78,'渠道充值成功率_底稿'!$B:$B,K$1)</f>
        <v>0</v>
      </c>
      <c r="L78" s="14">
        <f>SUMIFS('渠道充值成功率_底稿'!$G:$G,'渠道充值成功率_底稿'!$A:$A,$A78,'渠道充值成功率_底稿'!$B:$B,L$1)</f>
        <v>0</v>
      </c>
    </row>
    <row r="79">
      <c r="A79" s="6">
        <f>B74</f>
        <v>46094</v>
      </c>
      <c r="B79" s="20"/>
      <c r="C79" s="21" t="s">
        <v>16</v>
      </c>
      <c r="D79" s="22" t="str">
        <f t="shared" ref="D79:L79" si="26">IFERROR(ROUND(D78/D77,6),"0")</f>
        <v>0</v>
      </c>
      <c r="E79" s="22" t="str">
        <f t="shared" si="26"/>
        <v>0</v>
      </c>
      <c r="F79" s="22" t="str">
        <f t="shared" si="26"/>
        <v>0</v>
      </c>
      <c r="G79" s="22" t="str">
        <f t="shared" si="26"/>
        <v>0</v>
      </c>
      <c r="H79" s="22" t="str">
        <f t="shared" si="26"/>
        <v>0</v>
      </c>
      <c r="I79" s="22" t="str">
        <f t="shared" si="26"/>
        <v>0</v>
      </c>
      <c r="J79" s="22" t="str">
        <f t="shared" si="26"/>
        <v>0</v>
      </c>
      <c r="K79" s="22" t="str">
        <f t="shared" si="26"/>
        <v>0</v>
      </c>
      <c r="L79" s="23" t="str">
        <f t="shared" si="26"/>
        <v>0</v>
      </c>
    </row>
    <row r="80">
      <c r="A80" s="6">
        <f>B80</f>
        <v>46095</v>
      </c>
      <c r="B80" s="7">
        <f>B74+1</f>
        <v>46095</v>
      </c>
      <c r="C80" s="8" t="s">
        <v>11</v>
      </c>
      <c r="D80" s="9">
        <f>SUMIFS('渠道充值成功率_底稿'!$C:$C,'渠道充值成功率_底稿'!$A:$A,$A80,'渠道充值成功率_底稿'!$B:$B,D$1)</f>
        <v>0</v>
      </c>
      <c r="E80" s="9">
        <f>SUMIFS('渠道充值成功率_底稿'!$C:$C,'渠道充值成功率_底稿'!$A:$A,$A80,'渠道充值成功率_底稿'!$B:$B,E$1)</f>
        <v>0</v>
      </c>
      <c r="F80" s="9">
        <f>SUMIFS('渠道充值成功率_底稿'!$C:$C,'渠道充值成功率_底稿'!$A:$A,$A80,'渠道充值成功率_底稿'!$B:$B,F$1)</f>
        <v>0</v>
      </c>
      <c r="G80" s="9">
        <f>SUMIFS('渠道充值成功率_底稿'!$C:$C,'渠道充值成功率_底稿'!$A:$A,$A80,'渠道充值成功率_底稿'!$B:$B,G$1)</f>
        <v>0</v>
      </c>
      <c r="H80" s="9">
        <f>SUMIFS('渠道充值成功率_底稿'!$C:$C,'渠道充值成功率_底稿'!$A:$A,$A80,'渠道充值成功率_底稿'!$B:$B,H$1)</f>
        <v>0</v>
      </c>
      <c r="I80" s="9">
        <f>SUMIFS('渠道充值成功率_底稿'!$C:$C,'渠道充值成功率_底稿'!$A:$A,$A80,'渠道充值成功率_底稿'!$B:$B,I$1)</f>
        <v>0</v>
      </c>
      <c r="J80" s="9">
        <f>SUMIFS('渠道充值成功率_底稿'!$C:$C,'渠道充值成功率_底稿'!$A:$A,$A80,'渠道充值成功率_底稿'!$B:$B,J$1)</f>
        <v>0</v>
      </c>
      <c r="K80" s="9">
        <f>SUMIFS('渠道充值成功率_底稿'!$C:$C,'渠道充值成功率_底稿'!$A:$A,$A80,'渠道充值成功率_底稿'!$B:$B,K$1)</f>
        <v>0</v>
      </c>
      <c r="L80" s="10">
        <f>SUMIFS('渠道充值成功率_底稿'!$C:$C,'渠道充值成功率_底稿'!$A:$A,$A80,'渠道充值成功率_底稿'!$B:$B,L$1)</f>
        <v>0</v>
      </c>
    </row>
    <row r="81">
      <c r="A81" s="6">
        <f>B80</f>
        <v>46095</v>
      </c>
      <c r="B81" s="11"/>
      <c r="C81" s="12" t="s">
        <v>12</v>
      </c>
      <c r="D81" s="13">
        <f>SUMIFS('渠道充值成功率_底稿'!$F:$F,'渠道充值成功率_底稿'!$A:$A,$A81,'渠道充值成功率_底稿'!$B:$B,D$1)</f>
        <v>0</v>
      </c>
      <c r="E81" s="13">
        <f>SUMIFS('渠道充值成功率_底稿'!$F:$F,'渠道充值成功率_底稿'!$A:$A,$A81,'渠道充值成功率_底稿'!$B:$B,E$1)</f>
        <v>0</v>
      </c>
      <c r="F81" s="13">
        <f>SUMIFS('渠道充值成功率_底稿'!$F:$F,'渠道充值成功率_底稿'!$A:$A,$A81,'渠道充值成功率_底稿'!$B:$B,F$1)</f>
        <v>0</v>
      </c>
      <c r="G81" s="13">
        <f>SUMIFS('渠道充值成功率_底稿'!$F:$F,'渠道充值成功率_底稿'!$A:$A,$A81,'渠道充值成功率_底稿'!$B:$B,G$1)</f>
        <v>0</v>
      </c>
      <c r="H81" s="13">
        <f>SUMIFS('渠道充值成功率_底稿'!$F:$F,'渠道充值成功率_底稿'!$A:$A,$A81,'渠道充值成功率_底稿'!$B:$B,H$1)</f>
        <v>0</v>
      </c>
      <c r="I81" s="13">
        <f>SUMIFS('渠道充值成功率_底稿'!$F:$F,'渠道充值成功率_底稿'!$A:$A,$A81,'渠道充值成功率_底稿'!$B:$B,I$1)</f>
        <v>0</v>
      </c>
      <c r="J81" s="13">
        <f>SUMIFS('渠道充值成功率_底稿'!$F:$F,'渠道充值成功率_底稿'!$A:$A,$A81,'渠道充值成功率_底稿'!$B:$B,J$1)</f>
        <v>0</v>
      </c>
      <c r="K81" s="13">
        <f>SUMIFS('渠道充值成功率_底稿'!$F:$F,'渠道充值成功率_底稿'!$A:$A,$A81,'渠道充值成功率_底稿'!$B:$B,K$1)</f>
        <v>0</v>
      </c>
      <c r="L81" s="14">
        <f>SUMIFS('渠道充值成功率_底稿'!$F:$F,'渠道充值成功率_底稿'!$A:$A,$A81,'渠道充值成功率_底稿'!$B:$B,L$1)</f>
        <v>0</v>
      </c>
    </row>
    <row r="82">
      <c r="A82" s="6">
        <f>B80</f>
        <v>46095</v>
      </c>
      <c r="B82" s="11"/>
      <c r="C82" s="15" t="s">
        <v>13</v>
      </c>
      <c r="D82" s="16" t="str">
        <f t="shared" ref="D82:L82" si="27">IFERROR(ROUND(D81/D80,6),"0")</f>
        <v>0</v>
      </c>
      <c r="E82" s="16" t="str">
        <f t="shared" si="27"/>
        <v>0</v>
      </c>
      <c r="F82" s="16" t="str">
        <f t="shared" si="27"/>
        <v>0</v>
      </c>
      <c r="G82" s="16" t="str">
        <f t="shared" si="27"/>
        <v>0</v>
      </c>
      <c r="H82" s="16" t="str">
        <f t="shared" si="27"/>
        <v>0</v>
      </c>
      <c r="I82" s="16" t="str">
        <f t="shared" si="27"/>
        <v>0</v>
      </c>
      <c r="J82" s="16" t="str">
        <f t="shared" si="27"/>
        <v>0</v>
      </c>
      <c r="K82" s="16" t="str">
        <f t="shared" si="27"/>
        <v>0</v>
      </c>
      <c r="L82" s="17" t="str">
        <f t="shared" si="27"/>
        <v>0</v>
      </c>
    </row>
    <row r="83">
      <c r="A83" s="6">
        <f>B80</f>
        <v>46095</v>
      </c>
      <c r="B83" s="11"/>
      <c r="C83" s="12" t="s">
        <v>14</v>
      </c>
      <c r="D83" s="18">
        <f>SUMIFS('渠道充值成功率_底稿'!$D:$D,'渠道充值成功率_底稿'!$A:$A,$A84,'渠道充值成功率_底稿'!$B:$B,D$1)</f>
        <v>0</v>
      </c>
      <c r="E83" s="18">
        <f>SUMIFS('渠道充值成功率_底稿'!$D:$D,'渠道充值成功率_底稿'!$A:$A,$A83,'渠道充值成功率_底稿'!$B:$B,E$1)</f>
        <v>0</v>
      </c>
      <c r="F83" s="18">
        <f>SUMIFS('渠道充值成功率_底稿'!$D:$D,'渠道充值成功率_底稿'!$A:$A,$A83,'渠道充值成功率_底稿'!$B:$B,F$1)</f>
        <v>0</v>
      </c>
      <c r="G83" s="18">
        <f>SUMIFS('渠道充值成功率_底稿'!$D:$D,'渠道充值成功率_底稿'!$A:$A,$A83,'渠道充值成功率_底稿'!$B:$B,G$1)</f>
        <v>0</v>
      </c>
      <c r="H83" s="18">
        <f>SUMIFS('渠道充值成功率_底稿'!$D:$D,'渠道充值成功率_底稿'!$A:$A,$A83,'渠道充值成功率_底稿'!$B:$B,H$1)</f>
        <v>0</v>
      </c>
      <c r="I83" s="18">
        <f>SUMIFS('渠道充值成功率_底稿'!$D:$D,'渠道充值成功率_底稿'!$A:$A,$A83,'渠道充值成功率_底稿'!$B:$B,I$1)</f>
        <v>0</v>
      </c>
      <c r="J83" s="18">
        <f>SUMIFS('渠道充值成功率_底稿'!$D:$D,'渠道充值成功率_底稿'!$A:$A,$A83,'渠道充值成功率_底稿'!$B:$B,J$1)</f>
        <v>0</v>
      </c>
      <c r="K83" s="18">
        <f>SUMIFS('渠道充值成功率_底稿'!$D:$D,'渠道充值成功率_底稿'!$A:$A,$A83,'渠道充值成功率_底稿'!$B:$B,K$1)</f>
        <v>0</v>
      </c>
      <c r="L83" s="14">
        <f>SUMIFS('渠道充值成功率_底稿'!$D:$D,'渠道充值成功率_底稿'!$A:$A,$A83,'渠道充值成功率_底稿'!$B:$B,L$1)</f>
        <v>0</v>
      </c>
    </row>
    <row r="84">
      <c r="A84" s="6">
        <f>B80</f>
        <v>46095</v>
      </c>
      <c r="B84" s="11"/>
      <c r="C84" s="19" t="s">
        <v>15</v>
      </c>
      <c r="D84" s="18">
        <f>SUMIFS('渠道充值成功率_底稿'!$G:$G,'渠道充值成功率_底稿'!$A:$A,$A85,'渠道充值成功率_底稿'!$B:$B,D$1)</f>
        <v>0</v>
      </c>
      <c r="E84" s="18">
        <f>SUMIFS('渠道充值成功率_底稿'!$G:$G,'渠道充值成功率_底稿'!$A:$A,$A84,'渠道充值成功率_底稿'!$B:$B,E$1)</f>
        <v>0</v>
      </c>
      <c r="F84" s="18">
        <f>SUMIFS('渠道充值成功率_底稿'!$G:$G,'渠道充值成功率_底稿'!$A:$A,$A84,'渠道充值成功率_底稿'!$B:$B,F$1)</f>
        <v>0</v>
      </c>
      <c r="G84" s="18">
        <f>SUMIFS('渠道充值成功率_底稿'!$G:$G,'渠道充值成功率_底稿'!$A:$A,$A84,'渠道充值成功率_底稿'!$B:$B,G$1)</f>
        <v>0</v>
      </c>
      <c r="H84" s="18">
        <f>SUMIFS('渠道充值成功率_底稿'!$G:$G,'渠道充值成功率_底稿'!$A:$A,$A84,'渠道充值成功率_底稿'!$B:$B,H$1)</f>
        <v>0</v>
      </c>
      <c r="I84" s="18">
        <f>SUMIFS('渠道充值成功率_底稿'!$G:$G,'渠道充值成功率_底稿'!$A:$A,$A84,'渠道充值成功率_底稿'!$B:$B,I$1)</f>
        <v>0</v>
      </c>
      <c r="J84" s="18">
        <f>SUMIFS('渠道充值成功率_底稿'!$G:$G,'渠道充值成功率_底稿'!$A:$A,$A84,'渠道充值成功率_底稿'!$B:$B,J$1)</f>
        <v>0</v>
      </c>
      <c r="K84" s="18">
        <f>SUMIFS('渠道充值成功率_底稿'!$G:$G,'渠道充值成功率_底稿'!$A:$A,$A84,'渠道充值成功率_底稿'!$B:$B,K$1)</f>
        <v>0</v>
      </c>
      <c r="L84" s="14">
        <f>SUMIFS('渠道充值成功率_底稿'!$G:$G,'渠道充值成功率_底稿'!$A:$A,$A84,'渠道充值成功率_底稿'!$B:$B,L$1)</f>
        <v>0</v>
      </c>
    </row>
    <row r="85">
      <c r="A85" s="6">
        <f>B80</f>
        <v>46095</v>
      </c>
      <c r="B85" s="20"/>
      <c r="C85" s="21" t="s">
        <v>16</v>
      </c>
      <c r="D85" s="22" t="str">
        <f t="shared" ref="D85:L85" si="28">IFERROR(ROUND(D84/D83,6),"0")</f>
        <v>0</v>
      </c>
      <c r="E85" s="22" t="str">
        <f t="shared" si="28"/>
        <v>0</v>
      </c>
      <c r="F85" s="22" t="str">
        <f t="shared" si="28"/>
        <v>0</v>
      </c>
      <c r="G85" s="22" t="str">
        <f t="shared" si="28"/>
        <v>0</v>
      </c>
      <c r="H85" s="22" t="str">
        <f t="shared" si="28"/>
        <v>0</v>
      </c>
      <c r="I85" s="22" t="str">
        <f t="shared" si="28"/>
        <v>0</v>
      </c>
      <c r="J85" s="22" t="str">
        <f t="shared" si="28"/>
        <v>0</v>
      </c>
      <c r="K85" s="22" t="str">
        <f t="shared" si="28"/>
        <v>0</v>
      </c>
      <c r="L85" s="23" t="str">
        <f t="shared" si="28"/>
        <v>0</v>
      </c>
    </row>
    <row r="86">
      <c r="A86" s="6">
        <f>B86</f>
        <v>46096</v>
      </c>
      <c r="B86" s="7">
        <f>B80+1</f>
        <v>46096</v>
      </c>
      <c r="C86" s="8" t="s">
        <v>11</v>
      </c>
      <c r="D86" s="9">
        <f>SUMIFS('渠道充值成功率_底稿'!$C:$C,'渠道充值成功率_底稿'!$A:$A,$A86,'渠道充值成功率_底稿'!$B:$B,D$1)</f>
        <v>0</v>
      </c>
      <c r="E86" s="9">
        <f>SUMIFS('渠道充值成功率_底稿'!$C:$C,'渠道充值成功率_底稿'!$A:$A,$A86,'渠道充值成功率_底稿'!$B:$B,E$1)</f>
        <v>0</v>
      </c>
      <c r="F86" s="9">
        <f>SUMIFS('渠道充值成功率_底稿'!$C:$C,'渠道充值成功率_底稿'!$A:$A,$A86,'渠道充值成功率_底稿'!$B:$B,F$1)</f>
        <v>0</v>
      </c>
      <c r="G86" s="9">
        <f>SUMIFS('渠道充值成功率_底稿'!$C:$C,'渠道充值成功率_底稿'!$A:$A,$A86,'渠道充值成功率_底稿'!$B:$B,G$1)</f>
        <v>0</v>
      </c>
      <c r="H86" s="9">
        <f>SUMIFS('渠道充值成功率_底稿'!$C:$C,'渠道充值成功率_底稿'!$A:$A,$A86,'渠道充值成功率_底稿'!$B:$B,H$1)</f>
        <v>0</v>
      </c>
      <c r="I86" s="9">
        <f>SUMIFS('渠道充值成功率_底稿'!$C:$C,'渠道充值成功率_底稿'!$A:$A,$A86,'渠道充值成功率_底稿'!$B:$B,I$1)</f>
        <v>0</v>
      </c>
      <c r="J86" s="9">
        <f>SUMIFS('渠道充值成功率_底稿'!$C:$C,'渠道充值成功率_底稿'!$A:$A,$A86,'渠道充值成功率_底稿'!$B:$B,J$1)</f>
        <v>0</v>
      </c>
      <c r="K86" s="9">
        <f>SUMIFS('渠道充值成功率_底稿'!$C:$C,'渠道充值成功率_底稿'!$A:$A,$A86,'渠道充值成功率_底稿'!$B:$B,K$1)</f>
        <v>0</v>
      </c>
      <c r="L86" s="10">
        <f>SUMIFS('渠道充值成功率_底稿'!$C:$C,'渠道充值成功率_底稿'!$A:$A,$A86,'渠道充值成功率_底稿'!$B:$B,L$1)</f>
        <v>0</v>
      </c>
    </row>
    <row r="87">
      <c r="A87" s="6">
        <f>B86</f>
        <v>46096</v>
      </c>
      <c r="B87" s="11"/>
      <c r="C87" s="12" t="s">
        <v>12</v>
      </c>
      <c r="D87" s="13">
        <f>SUMIFS('渠道充值成功率_底稿'!$F:$F,'渠道充值成功率_底稿'!$A:$A,$A87,'渠道充值成功率_底稿'!$B:$B,D$1)</f>
        <v>0</v>
      </c>
      <c r="E87" s="13">
        <f>SUMIFS('渠道充值成功率_底稿'!$F:$F,'渠道充值成功率_底稿'!$A:$A,$A87,'渠道充值成功率_底稿'!$B:$B,E$1)</f>
        <v>0</v>
      </c>
      <c r="F87" s="13">
        <f>SUMIFS('渠道充值成功率_底稿'!$F:$F,'渠道充值成功率_底稿'!$A:$A,$A87,'渠道充值成功率_底稿'!$B:$B,F$1)</f>
        <v>0</v>
      </c>
      <c r="G87" s="13">
        <f>SUMIFS('渠道充值成功率_底稿'!$F:$F,'渠道充值成功率_底稿'!$A:$A,$A87,'渠道充值成功率_底稿'!$B:$B,G$1)</f>
        <v>0</v>
      </c>
      <c r="H87" s="13">
        <f>SUMIFS('渠道充值成功率_底稿'!$F:$F,'渠道充值成功率_底稿'!$A:$A,$A87,'渠道充值成功率_底稿'!$B:$B,H$1)</f>
        <v>0</v>
      </c>
      <c r="I87" s="13">
        <f>SUMIFS('渠道充值成功率_底稿'!$F:$F,'渠道充值成功率_底稿'!$A:$A,$A87,'渠道充值成功率_底稿'!$B:$B,I$1)</f>
        <v>0</v>
      </c>
      <c r="J87" s="13">
        <f>SUMIFS('渠道充值成功率_底稿'!$F:$F,'渠道充值成功率_底稿'!$A:$A,$A87,'渠道充值成功率_底稿'!$B:$B,J$1)</f>
        <v>0</v>
      </c>
      <c r="K87" s="13">
        <f>SUMIFS('渠道充值成功率_底稿'!$F:$F,'渠道充值成功率_底稿'!$A:$A,$A87,'渠道充值成功率_底稿'!$B:$B,K$1)</f>
        <v>0</v>
      </c>
      <c r="L87" s="14">
        <f>SUMIFS('渠道充值成功率_底稿'!$F:$F,'渠道充值成功率_底稿'!$A:$A,$A87,'渠道充值成功率_底稿'!$B:$B,L$1)</f>
        <v>0</v>
      </c>
    </row>
    <row r="88">
      <c r="A88" s="6">
        <f>B86</f>
        <v>46096</v>
      </c>
      <c r="B88" s="11"/>
      <c r="C88" s="15" t="s">
        <v>13</v>
      </c>
      <c r="D88" s="16" t="str">
        <f t="shared" ref="D88:L88" si="29">IFERROR(ROUND(D87/D86,6),"0")</f>
        <v>0</v>
      </c>
      <c r="E88" s="16" t="str">
        <f t="shared" si="29"/>
        <v>0</v>
      </c>
      <c r="F88" s="16" t="str">
        <f t="shared" si="29"/>
        <v>0</v>
      </c>
      <c r="G88" s="16" t="str">
        <f t="shared" si="29"/>
        <v>0</v>
      </c>
      <c r="H88" s="16" t="str">
        <f t="shared" si="29"/>
        <v>0</v>
      </c>
      <c r="I88" s="16" t="str">
        <f t="shared" si="29"/>
        <v>0</v>
      </c>
      <c r="J88" s="16" t="str">
        <f t="shared" si="29"/>
        <v>0</v>
      </c>
      <c r="K88" s="16" t="str">
        <f t="shared" si="29"/>
        <v>0</v>
      </c>
      <c r="L88" s="17" t="str">
        <f t="shared" si="29"/>
        <v>0</v>
      </c>
    </row>
    <row r="89">
      <c r="A89" s="6">
        <f>B86</f>
        <v>46096</v>
      </c>
      <c r="B89" s="11"/>
      <c r="C89" s="12" t="s">
        <v>14</v>
      </c>
      <c r="D89" s="18">
        <f>SUMIFS('渠道充值成功率_底稿'!$D:$D,'渠道充值成功率_底稿'!$A:$A,$A90,'渠道充值成功率_底稿'!$B:$B,D$1)</f>
        <v>0</v>
      </c>
      <c r="E89" s="18">
        <f>SUMIFS('渠道充值成功率_底稿'!$D:$D,'渠道充值成功率_底稿'!$A:$A,$A89,'渠道充值成功率_底稿'!$B:$B,E$1)</f>
        <v>0</v>
      </c>
      <c r="F89" s="18">
        <f>SUMIFS('渠道充值成功率_底稿'!$D:$D,'渠道充值成功率_底稿'!$A:$A,$A89,'渠道充值成功率_底稿'!$B:$B,F$1)</f>
        <v>0</v>
      </c>
      <c r="G89" s="18">
        <f>SUMIFS('渠道充值成功率_底稿'!$D:$D,'渠道充值成功率_底稿'!$A:$A,$A89,'渠道充值成功率_底稿'!$B:$B,G$1)</f>
        <v>0</v>
      </c>
      <c r="H89" s="18">
        <f>SUMIFS('渠道充值成功率_底稿'!$D:$D,'渠道充值成功率_底稿'!$A:$A,$A89,'渠道充值成功率_底稿'!$B:$B,H$1)</f>
        <v>0</v>
      </c>
      <c r="I89" s="18">
        <f>SUMIFS('渠道充值成功率_底稿'!$D:$D,'渠道充值成功率_底稿'!$A:$A,$A89,'渠道充值成功率_底稿'!$B:$B,I$1)</f>
        <v>0</v>
      </c>
      <c r="J89" s="18">
        <f>SUMIFS('渠道充值成功率_底稿'!$D:$D,'渠道充值成功率_底稿'!$A:$A,$A89,'渠道充值成功率_底稿'!$B:$B,J$1)</f>
        <v>0</v>
      </c>
      <c r="K89" s="18">
        <f>SUMIFS('渠道充值成功率_底稿'!$D:$D,'渠道充值成功率_底稿'!$A:$A,$A89,'渠道充值成功率_底稿'!$B:$B,K$1)</f>
        <v>0</v>
      </c>
      <c r="L89" s="14">
        <f>SUMIFS('渠道充值成功率_底稿'!$D:$D,'渠道充值成功率_底稿'!$A:$A,$A89,'渠道充值成功率_底稿'!$B:$B,L$1)</f>
        <v>0</v>
      </c>
    </row>
    <row r="90">
      <c r="A90" s="6">
        <f>B86</f>
        <v>46096</v>
      </c>
      <c r="B90" s="11"/>
      <c r="C90" s="19" t="s">
        <v>15</v>
      </c>
      <c r="D90" s="18">
        <f>SUMIFS('渠道充值成功率_底稿'!$G:$G,'渠道充值成功率_底稿'!$A:$A,$A91,'渠道充值成功率_底稿'!$B:$B,D$1)</f>
        <v>0</v>
      </c>
      <c r="E90" s="18">
        <f>SUMIFS('渠道充值成功率_底稿'!$G:$G,'渠道充值成功率_底稿'!$A:$A,$A90,'渠道充值成功率_底稿'!$B:$B,E$1)</f>
        <v>0</v>
      </c>
      <c r="F90" s="18">
        <f>SUMIFS('渠道充值成功率_底稿'!$G:$G,'渠道充值成功率_底稿'!$A:$A,$A90,'渠道充值成功率_底稿'!$B:$B,F$1)</f>
        <v>0</v>
      </c>
      <c r="G90" s="18">
        <f>SUMIFS('渠道充值成功率_底稿'!$G:$G,'渠道充值成功率_底稿'!$A:$A,$A90,'渠道充值成功率_底稿'!$B:$B,G$1)</f>
        <v>0</v>
      </c>
      <c r="H90" s="18">
        <f>SUMIFS('渠道充值成功率_底稿'!$G:$G,'渠道充值成功率_底稿'!$A:$A,$A90,'渠道充值成功率_底稿'!$B:$B,H$1)</f>
        <v>0</v>
      </c>
      <c r="I90" s="18">
        <f>SUMIFS('渠道充值成功率_底稿'!$G:$G,'渠道充值成功率_底稿'!$A:$A,$A90,'渠道充值成功率_底稿'!$B:$B,I$1)</f>
        <v>0</v>
      </c>
      <c r="J90" s="18">
        <f>SUMIFS('渠道充值成功率_底稿'!$G:$G,'渠道充值成功率_底稿'!$A:$A,$A90,'渠道充值成功率_底稿'!$B:$B,J$1)</f>
        <v>0</v>
      </c>
      <c r="K90" s="18">
        <f>SUMIFS('渠道充值成功率_底稿'!$G:$G,'渠道充值成功率_底稿'!$A:$A,$A90,'渠道充值成功率_底稿'!$B:$B,K$1)</f>
        <v>0</v>
      </c>
      <c r="L90" s="14">
        <f>SUMIFS('渠道充值成功率_底稿'!$G:$G,'渠道充值成功率_底稿'!$A:$A,$A90,'渠道充值成功率_底稿'!$B:$B,L$1)</f>
        <v>0</v>
      </c>
    </row>
    <row r="91">
      <c r="A91" s="6">
        <f>B86</f>
        <v>46096</v>
      </c>
      <c r="B91" s="20"/>
      <c r="C91" s="21" t="s">
        <v>16</v>
      </c>
      <c r="D91" s="22" t="str">
        <f t="shared" ref="D91:L91" si="30">IFERROR(ROUND(D90/D89,6),"0")</f>
        <v>0</v>
      </c>
      <c r="E91" s="22" t="str">
        <f t="shared" si="30"/>
        <v>0</v>
      </c>
      <c r="F91" s="22" t="str">
        <f t="shared" si="30"/>
        <v>0</v>
      </c>
      <c r="G91" s="22" t="str">
        <f t="shared" si="30"/>
        <v>0</v>
      </c>
      <c r="H91" s="22" t="str">
        <f t="shared" si="30"/>
        <v>0</v>
      </c>
      <c r="I91" s="22" t="str">
        <f t="shared" si="30"/>
        <v>0</v>
      </c>
      <c r="J91" s="22" t="str">
        <f t="shared" si="30"/>
        <v>0</v>
      </c>
      <c r="K91" s="22" t="str">
        <f t="shared" si="30"/>
        <v>0</v>
      </c>
      <c r="L91" s="23" t="str">
        <f t="shared" si="30"/>
        <v>0</v>
      </c>
    </row>
    <row r="92">
      <c r="A92" s="6">
        <f>B92</f>
        <v>46097</v>
      </c>
      <c r="B92" s="7">
        <f>B86+1</f>
        <v>46097</v>
      </c>
      <c r="C92" s="8" t="s">
        <v>11</v>
      </c>
      <c r="D92" s="9">
        <f>SUMIFS('渠道充值成功率_底稿'!$C:$C,'渠道充值成功率_底稿'!$A:$A,$A92,'渠道充值成功率_底稿'!$B:$B,D$1)</f>
        <v>0</v>
      </c>
      <c r="E92" s="9">
        <f>SUMIFS('渠道充值成功率_底稿'!$C:$C,'渠道充值成功率_底稿'!$A:$A,$A92,'渠道充值成功率_底稿'!$B:$B,E$1)</f>
        <v>0</v>
      </c>
      <c r="F92" s="9">
        <f>SUMIFS('渠道充值成功率_底稿'!$C:$C,'渠道充值成功率_底稿'!$A:$A,$A92,'渠道充值成功率_底稿'!$B:$B,F$1)</f>
        <v>0</v>
      </c>
      <c r="G92" s="9">
        <f>SUMIFS('渠道充值成功率_底稿'!$C:$C,'渠道充值成功率_底稿'!$A:$A,$A92,'渠道充值成功率_底稿'!$B:$B,G$1)</f>
        <v>0</v>
      </c>
      <c r="H92" s="9">
        <f>SUMIFS('渠道充值成功率_底稿'!$C:$C,'渠道充值成功率_底稿'!$A:$A,$A92,'渠道充值成功率_底稿'!$B:$B,H$1)</f>
        <v>0</v>
      </c>
      <c r="I92" s="9">
        <f>SUMIFS('渠道充值成功率_底稿'!$C:$C,'渠道充值成功率_底稿'!$A:$A,$A92,'渠道充值成功率_底稿'!$B:$B,I$1)</f>
        <v>0</v>
      </c>
      <c r="J92" s="9">
        <f>SUMIFS('渠道充值成功率_底稿'!$C:$C,'渠道充值成功率_底稿'!$A:$A,$A92,'渠道充值成功率_底稿'!$B:$B,J$1)</f>
        <v>0</v>
      </c>
      <c r="K92" s="9">
        <f>SUMIFS('渠道充值成功率_底稿'!$C:$C,'渠道充值成功率_底稿'!$A:$A,$A92,'渠道充值成功率_底稿'!$B:$B,K$1)</f>
        <v>0</v>
      </c>
      <c r="L92" s="10">
        <f>SUMIFS('渠道充值成功率_底稿'!$C:$C,'渠道充值成功率_底稿'!$A:$A,$A92,'渠道充值成功率_底稿'!$B:$B,L$1)</f>
        <v>0</v>
      </c>
    </row>
    <row r="93">
      <c r="A93" s="6">
        <f>B92</f>
        <v>46097</v>
      </c>
      <c r="B93" s="11"/>
      <c r="C93" s="12" t="s">
        <v>12</v>
      </c>
      <c r="D93" s="13">
        <f>SUMIFS('渠道充值成功率_底稿'!$F:$F,'渠道充值成功率_底稿'!$A:$A,$A93,'渠道充值成功率_底稿'!$B:$B,D$1)</f>
        <v>0</v>
      </c>
      <c r="E93" s="13">
        <f>SUMIFS('渠道充值成功率_底稿'!$F:$F,'渠道充值成功率_底稿'!$A:$A,$A93,'渠道充值成功率_底稿'!$B:$B,E$1)</f>
        <v>0</v>
      </c>
      <c r="F93" s="13">
        <f>SUMIFS('渠道充值成功率_底稿'!$F:$F,'渠道充值成功率_底稿'!$A:$A,$A93,'渠道充值成功率_底稿'!$B:$B,F$1)</f>
        <v>0</v>
      </c>
      <c r="G93" s="13">
        <f>SUMIFS('渠道充值成功率_底稿'!$F:$F,'渠道充值成功率_底稿'!$A:$A,$A93,'渠道充值成功率_底稿'!$B:$B,G$1)</f>
        <v>0</v>
      </c>
      <c r="H93" s="13">
        <f>SUMIFS('渠道充值成功率_底稿'!$F:$F,'渠道充值成功率_底稿'!$A:$A,$A93,'渠道充值成功率_底稿'!$B:$B,H$1)</f>
        <v>0</v>
      </c>
      <c r="I93" s="13">
        <f>SUMIFS('渠道充值成功率_底稿'!$F:$F,'渠道充值成功率_底稿'!$A:$A,$A93,'渠道充值成功率_底稿'!$B:$B,I$1)</f>
        <v>0</v>
      </c>
      <c r="J93" s="13">
        <f>SUMIFS('渠道充值成功率_底稿'!$F:$F,'渠道充值成功率_底稿'!$A:$A,$A93,'渠道充值成功率_底稿'!$B:$B,J$1)</f>
        <v>0</v>
      </c>
      <c r="K93" s="13">
        <f>SUMIFS('渠道充值成功率_底稿'!$F:$F,'渠道充值成功率_底稿'!$A:$A,$A93,'渠道充值成功率_底稿'!$B:$B,K$1)</f>
        <v>0</v>
      </c>
      <c r="L93" s="14">
        <f>SUMIFS('渠道充值成功率_底稿'!$F:$F,'渠道充值成功率_底稿'!$A:$A,$A93,'渠道充值成功率_底稿'!$B:$B,L$1)</f>
        <v>0</v>
      </c>
    </row>
    <row r="94">
      <c r="A94" s="6">
        <f>B92</f>
        <v>46097</v>
      </c>
      <c r="B94" s="11"/>
      <c r="C94" s="15" t="s">
        <v>13</v>
      </c>
      <c r="D94" s="16" t="str">
        <f t="shared" ref="D94:L94" si="31">IFERROR(ROUND(D93/D92,6),"0")</f>
        <v>0</v>
      </c>
      <c r="E94" s="16" t="str">
        <f t="shared" si="31"/>
        <v>0</v>
      </c>
      <c r="F94" s="16" t="str">
        <f t="shared" si="31"/>
        <v>0</v>
      </c>
      <c r="G94" s="16" t="str">
        <f t="shared" si="31"/>
        <v>0</v>
      </c>
      <c r="H94" s="16" t="str">
        <f t="shared" si="31"/>
        <v>0</v>
      </c>
      <c r="I94" s="16" t="str">
        <f t="shared" si="31"/>
        <v>0</v>
      </c>
      <c r="J94" s="16" t="str">
        <f t="shared" si="31"/>
        <v>0</v>
      </c>
      <c r="K94" s="16" t="str">
        <f t="shared" si="31"/>
        <v>0</v>
      </c>
      <c r="L94" s="17" t="str">
        <f t="shared" si="31"/>
        <v>0</v>
      </c>
    </row>
    <row r="95">
      <c r="A95" s="6">
        <f>B92</f>
        <v>46097</v>
      </c>
      <c r="B95" s="11"/>
      <c r="C95" s="12" t="s">
        <v>14</v>
      </c>
      <c r="D95" s="18">
        <f>SUMIFS('渠道充值成功率_底稿'!$D:$D,'渠道充值成功率_底稿'!$A:$A,$A96,'渠道充值成功率_底稿'!$B:$B,D$1)</f>
        <v>0</v>
      </c>
      <c r="E95" s="18">
        <f>SUMIFS('渠道充值成功率_底稿'!$D:$D,'渠道充值成功率_底稿'!$A:$A,$A95,'渠道充值成功率_底稿'!$B:$B,E$1)</f>
        <v>0</v>
      </c>
      <c r="F95" s="18">
        <f>SUMIFS('渠道充值成功率_底稿'!$D:$D,'渠道充值成功率_底稿'!$A:$A,$A95,'渠道充值成功率_底稿'!$B:$B,F$1)</f>
        <v>0</v>
      </c>
      <c r="G95" s="18">
        <f>SUMIFS('渠道充值成功率_底稿'!$D:$D,'渠道充值成功率_底稿'!$A:$A,$A95,'渠道充值成功率_底稿'!$B:$B,G$1)</f>
        <v>0</v>
      </c>
      <c r="H95" s="18">
        <f>SUMIFS('渠道充值成功率_底稿'!$D:$D,'渠道充值成功率_底稿'!$A:$A,$A95,'渠道充值成功率_底稿'!$B:$B,H$1)</f>
        <v>0</v>
      </c>
      <c r="I95" s="18">
        <f>SUMIFS('渠道充值成功率_底稿'!$D:$D,'渠道充值成功率_底稿'!$A:$A,$A95,'渠道充值成功率_底稿'!$B:$B,I$1)</f>
        <v>0</v>
      </c>
      <c r="J95" s="18">
        <f>SUMIFS('渠道充值成功率_底稿'!$D:$D,'渠道充值成功率_底稿'!$A:$A,$A95,'渠道充值成功率_底稿'!$B:$B,J$1)</f>
        <v>0</v>
      </c>
      <c r="K95" s="18">
        <f>SUMIFS('渠道充值成功率_底稿'!$D:$D,'渠道充值成功率_底稿'!$A:$A,$A95,'渠道充值成功率_底稿'!$B:$B,K$1)</f>
        <v>0</v>
      </c>
      <c r="L95" s="14">
        <f>SUMIFS('渠道充值成功率_底稿'!$D:$D,'渠道充值成功率_底稿'!$A:$A,$A95,'渠道充值成功率_底稿'!$B:$B,L$1)</f>
        <v>0</v>
      </c>
    </row>
    <row r="96">
      <c r="A96" s="6">
        <f>B92</f>
        <v>46097</v>
      </c>
      <c r="B96" s="11"/>
      <c r="C96" s="19" t="s">
        <v>15</v>
      </c>
      <c r="D96" s="18">
        <f>SUMIFS('渠道充值成功率_底稿'!$G:$G,'渠道充值成功率_底稿'!$A:$A,$A97,'渠道充值成功率_底稿'!$B:$B,D$1)</f>
        <v>0</v>
      </c>
      <c r="E96" s="18">
        <f>SUMIFS('渠道充值成功率_底稿'!$G:$G,'渠道充值成功率_底稿'!$A:$A,$A96,'渠道充值成功率_底稿'!$B:$B,E$1)</f>
        <v>0</v>
      </c>
      <c r="F96" s="18">
        <f>SUMIFS('渠道充值成功率_底稿'!$G:$G,'渠道充值成功率_底稿'!$A:$A,$A96,'渠道充值成功率_底稿'!$B:$B,F$1)</f>
        <v>0</v>
      </c>
      <c r="G96" s="18">
        <f>SUMIFS('渠道充值成功率_底稿'!$G:$G,'渠道充值成功率_底稿'!$A:$A,$A96,'渠道充值成功率_底稿'!$B:$B,G$1)</f>
        <v>0</v>
      </c>
      <c r="H96" s="18">
        <f>SUMIFS('渠道充值成功率_底稿'!$G:$G,'渠道充值成功率_底稿'!$A:$A,$A96,'渠道充值成功率_底稿'!$B:$B,H$1)</f>
        <v>0</v>
      </c>
      <c r="I96" s="18">
        <f>SUMIFS('渠道充值成功率_底稿'!$G:$G,'渠道充值成功率_底稿'!$A:$A,$A96,'渠道充值成功率_底稿'!$B:$B,I$1)</f>
        <v>0</v>
      </c>
      <c r="J96" s="18">
        <f>SUMIFS('渠道充值成功率_底稿'!$G:$G,'渠道充值成功率_底稿'!$A:$A,$A96,'渠道充值成功率_底稿'!$B:$B,J$1)</f>
        <v>0</v>
      </c>
      <c r="K96" s="18">
        <f>SUMIFS('渠道充值成功率_底稿'!$G:$G,'渠道充值成功率_底稿'!$A:$A,$A96,'渠道充值成功率_底稿'!$B:$B,K$1)</f>
        <v>0</v>
      </c>
      <c r="L96" s="14">
        <f>SUMIFS('渠道充值成功率_底稿'!$G:$G,'渠道充值成功率_底稿'!$A:$A,$A96,'渠道充值成功率_底稿'!$B:$B,L$1)</f>
        <v>0</v>
      </c>
    </row>
    <row r="97">
      <c r="A97" s="6">
        <f>B92</f>
        <v>46097</v>
      </c>
      <c r="B97" s="20"/>
      <c r="C97" s="21" t="s">
        <v>16</v>
      </c>
      <c r="D97" s="22" t="str">
        <f t="shared" ref="D97:L97" si="32">IFERROR(ROUND(D96/D95,6),"0")</f>
        <v>0</v>
      </c>
      <c r="E97" s="22" t="str">
        <f t="shared" si="32"/>
        <v>0</v>
      </c>
      <c r="F97" s="22" t="str">
        <f t="shared" si="32"/>
        <v>0</v>
      </c>
      <c r="G97" s="22" t="str">
        <f t="shared" si="32"/>
        <v>0</v>
      </c>
      <c r="H97" s="22" t="str">
        <f t="shared" si="32"/>
        <v>0</v>
      </c>
      <c r="I97" s="22" t="str">
        <f t="shared" si="32"/>
        <v>0</v>
      </c>
      <c r="J97" s="22" t="str">
        <f t="shared" si="32"/>
        <v>0</v>
      </c>
      <c r="K97" s="22" t="str">
        <f t="shared" si="32"/>
        <v>0</v>
      </c>
      <c r="L97" s="23" t="str">
        <f t="shared" si="32"/>
        <v>0</v>
      </c>
    </row>
    <row r="98">
      <c r="A98" s="6">
        <f>B98</f>
        <v>46098</v>
      </c>
      <c r="B98" s="7">
        <f>B92+1</f>
        <v>46098</v>
      </c>
      <c r="C98" s="8" t="s">
        <v>11</v>
      </c>
      <c r="D98" s="9">
        <f>SUMIFS('渠道充值成功率_底稿'!$C:$C,'渠道充值成功率_底稿'!$A:$A,$A98,'渠道充值成功率_底稿'!$B:$B,D$1)</f>
        <v>0</v>
      </c>
      <c r="E98" s="9">
        <f>SUMIFS('渠道充值成功率_底稿'!$C:$C,'渠道充值成功率_底稿'!$A:$A,$A98,'渠道充值成功率_底稿'!$B:$B,E$1)</f>
        <v>0</v>
      </c>
      <c r="F98" s="9">
        <f>SUMIFS('渠道充值成功率_底稿'!$C:$C,'渠道充值成功率_底稿'!$A:$A,$A98,'渠道充值成功率_底稿'!$B:$B,F$1)</f>
        <v>0</v>
      </c>
      <c r="G98" s="9">
        <f>SUMIFS('渠道充值成功率_底稿'!$C:$C,'渠道充值成功率_底稿'!$A:$A,$A98,'渠道充值成功率_底稿'!$B:$B,G$1)</f>
        <v>0</v>
      </c>
      <c r="H98" s="9">
        <f>SUMIFS('渠道充值成功率_底稿'!$C:$C,'渠道充值成功率_底稿'!$A:$A,$A98,'渠道充值成功率_底稿'!$B:$B,H$1)</f>
        <v>0</v>
      </c>
      <c r="I98" s="9">
        <f>SUMIFS('渠道充值成功率_底稿'!$C:$C,'渠道充值成功率_底稿'!$A:$A,$A98,'渠道充值成功率_底稿'!$B:$B,I$1)</f>
        <v>0</v>
      </c>
      <c r="J98" s="9">
        <f>SUMIFS('渠道充值成功率_底稿'!$C:$C,'渠道充值成功率_底稿'!$A:$A,$A98,'渠道充值成功率_底稿'!$B:$B,J$1)</f>
        <v>0</v>
      </c>
      <c r="K98" s="9">
        <f>SUMIFS('渠道充值成功率_底稿'!$C:$C,'渠道充值成功率_底稿'!$A:$A,$A98,'渠道充值成功率_底稿'!$B:$B,K$1)</f>
        <v>0</v>
      </c>
      <c r="L98" s="10">
        <f>SUMIFS('渠道充值成功率_底稿'!$C:$C,'渠道充值成功率_底稿'!$A:$A,$A98,'渠道充值成功率_底稿'!$B:$B,L$1)</f>
        <v>0</v>
      </c>
    </row>
    <row r="99">
      <c r="A99" s="6">
        <f>B98</f>
        <v>46098</v>
      </c>
      <c r="B99" s="11"/>
      <c r="C99" s="12" t="s">
        <v>12</v>
      </c>
      <c r="D99" s="13">
        <f>SUMIFS('渠道充值成功率_底稿'!$F:$F,'渠道充值成功率_底稿'!$A:$A,$A99,'渠道充值成功率_底稿'!$B:$B,D$1)</f>
        <v>0</v>
      </c>
      <c r="E99" s="13">
        <f>SUMIFS('渠道充值成功率_底稿'!$F:$F,'渠道充值成功率_底稿'!$A:$A,$A99,'渠道充值成功率_底稿'!$B:$B,E$1)</f>
        <v>0</v>
      </c>
      <c r="F99" s="13">
        <f>SUMIFS('渠道充值成功率_底稿'!$F:$F,'渠道充值成功率_底稿'!$A:$A,$A99,'渠道充值成功率_底稿'!$B:$B,F$1)</f>
        <v>0</v>
      </c>
      <c r="G99" s="13">
        <f>SUMIFS('渠道充值成功率_底稿'!$F:$F,'渠道充值成功率_底稿'!$A:$A,$A99,'渠道充值成功率_底稿'!$B:$B,G$1)</f>
        <v>0</v>
      </c>
      <c r="H99" s="13">
        <f>SUMIFS('渠道充值成功率_底稿'!$F:$F,'渠道充值成功率_底稿'!$A:$A,$A99,'渠道充值成功率_底稿'!$B:$B,H$1)</f>
        <v>0</v>
      </c>
      <c r="I99" s="13">
        <f>SUMIFS('渠道充值成功率_底稿'!$F:$F,'渠道充值成功率_底稿'!$A:$A,$A99,'渠道充值成功率_底稿'!$B:$B,I$1)</f>
        <v>0</v>
      </c>
      <c r="J99" s="13">
        <f>SUMIFS('渠道充值成功率_底稿'!$F:$F,'渠道充值成功率_底稿'!$A:$A,$A99,'渠道充值成功率_底稿'!$B:$B,J$1)</f>
        <v>0</v>
      </c>
      <c r="K99" s="13">
        <f>SUMIFS('渠道充值成功率_底稿'!$F:$F,'渠道充值成功率_底稿'!$A:$A,$A99,'渠道充值成功率_底稿'!$B:$B,K$1)</f>
        <v>0</v>
      </c>
      <c r="L99" s="14">
        <f>SUMIFS('渠道充值成功率_底稿'!$F:$F,'渠道充值成功率_底稿'!$A:$A,$A99,'渠道充值成功率_底稿'!$B:$B,L$1)</f>
        <v>0</v>
      </c>
    </row>
    <row r="100">
      <c r="A100" s="6">
        <f>B98</f>
        <v>46098</v>
      </c>
      <c r="B100" s="11"/>
      <c r="C100" s="15" t="s">
        <v>13</v>
      </c>
      <c r="D100" s="16" t="str">
        <f t="shared" ref="D100:L100" si="33">IFERROR(ROUND(D99/D98,6),"0")</f>
        <v>0</v>
      </c>
      <c r="E100" s="16" t="str">
        <f t="shared" si="33"/>
        <v>0</v>
      </c>
      <c r="F100" s="16" t="str">
        <f t="shared" si="33"/>
        <v>0</v>
      </c>
      <c r="G100" s="16" t="str">
        <f t="shared" si="33"/>
        <v>0</v>
      </c>
      <c r="H100" s="16" t="str">
        <f t="shared" si="33"/>
        <v>0</v>
      </c>
      <c r="I100" s="16" t="str">
        <f t="shared" si="33"/>
        <v>0</v>
      </c>
      <c r="J100" s="16" t="str">
        <f t="shared" si="33"/>
        <v>0</v>
      </c>
      <c r="K100" s="16" t="str">
        <f t="shared" si="33"/>
        <v>0</v>
      </c>
      <c r="L100" s="17" t="str">
        <f t="shared" si="33"/>
        <v>0</v>
      </c>
    </row>
    <row r="101">
      <c r="A101" s="6">
        <f>B98</f>
        <v>46098</v>
      </c>
      <c r="B101" s="11"/>
      <c r="C101" s="12" t="s">
        <v>14</v>
      </c>
      <c r="D101" s="18">
        <f>SUMIFS('渠道充值成功率_底稿'!$D:$D,'渠道充值成功率_底稿'!$A:$A,$A102,'渠道充值成功率_底稿'!$B:$B,D$1)</f>
        <v>0</v>
      </c>
      <c r="E101" s="18">
        <f>SUMIFS('渠道充值成功率_底稿'!$D:$D,'渠道充值成功率_底稿'!$A:$A,$A101,'渠道充值成功率_底稿'!$B:$B,E$1)</f>
        <v>0</v>
      </c>
      <c r="F101" s="18">
        <f>SUMIFS('渠道充值成功率_底稿'!$D:$D,'渠道充值成功率_底稿'!$A:$A,$A101,'渠道充值成功率_底稿'!$B:$B,F$1)</f>
        <v>0</v>
      </c>
      <c r="G101" s="18">
        <f>SUMIFS('渠道充值成功率_底稿'!$D:$D,'渠道充值成功率_底稿'!$A:$A,$A101,'渠道充值成功率_底稿'!$B:$B,G$1)</f>
        <v>0</v>
      </c>
      <c r="H101" s="18">
        <f>SUMIFS('渠道充值成功率_底稿'!$D:$D,'渠道充值成功率_底稿'!$A:$A,$A101,'渠道充值成功率_底稿'!$B:$B,H$1)</f>
        <v>0</v>
      </c>
      <c r="I101" s="18">
        <f>SUMIFS('渠道充值成功率_底稿'!$D:$D,'渠道充值成功率_底稿'!$A:$A,$A101,'渠道充值成功率_底稿'!$B:$B,I$1)</f>
        <v>0</v>
      </c>
      <c r="J101" s="18">
        <f>SUMIFS('渠道充值成功率_底稿'!$D:$D,'渠道充值成功率_底稿'!$A:$A,$A101,'渠道充值成功率_底稿'!$B:$B,J$1)</f>
        <v>0</v>
      </c>
      <c r="K101" s="18">
        <f>SUMIFS('渠道充值成功率_底稿'!$D:$D,'渠道充值成功率_底稿'!$A:$A,$A101,'渠道充值成功率_底稿'!$B:$B,K$1)</f>
        <v>0</v>
      </c>
      <c r="L101" s="14">
        <f>SUMIFS('渠道充值成功率_底稿'!$D:$D,'渠道充值成功率_底稿'!$A:$A,$A101,'渠道充值成功率_底稿'!$B:$B,L$1)</f>
        <v>0</v>
      </c>
    </row>
    <row r="102">
      <c r="A102" s="6">
        <f>B98</f>
        <v>46098</v>
      </c>
      <c r="B102" s="11"/>
      <c r="C102" s="19" t="s">
        <v>15</v>
      </c>
      <c r="D102" s="18">
        <f>SUMIFS('渠道充值成功率_底稿'!$G:$G,'渠道充值成功率_底稿'!$A:$A,$A103,'渠道充值成功率_底稿'!$B:$B,D$1)</f>
        <v>0</v>
      </c>
      <c r="E102" s="18">
        <f>SUMIFS('渠道充值成功率_底稿'!$G:$G,'渠道充值成功率_底稿'!$A:$A,$A102,'渠道充值成功率_底稿'!$B:$B,E$1)</f>
        <v>0</v>
      </c>
      <c r="F102" s="18">
        <f>SUMIFS('渠道充值成功率_底稿'!$G:$G,'渠道充值成功率_底稿'!$A:$A,$A102,'渠道充值成功率_底稿'!$B:$B,F$1)</f>
        <v>0</v>
      </c>
      <c r="G102" s="18">
        <f>SUMIFS('渠道充值成功率_底稿'!$G:$G,'渠道充值成功率_底稿'!$A:$A,$A102,'渠道充值成功率_底稿'!$B:$B,G$1)</f>
        <v>0</v>
      </c>
      <c r="H102" s="18">
        <f>SUMIFS('渠道充值成功率_底稿'!$G:$G,'渠道充值成功率_底稿'!$A:$A,$A102,'渠道充值成功率_底稿'!$B:$B,H$1)</f>
        <v>0</v>
      </c>
      <c r="I102" s="18">
        <f>SUMIFS('渠道充值成功率_底稿'!$G:$G,'渠道充值成功率_底稿'!$A:$A,$A102,'渠道充值成功率_底稿'!$B:$B,I$1)</f>
        <v>0</v>
      </c>
      <c r="J102" s="18">
        <f>SUMIFS('渠道充值成功率_底稿'!$G:$G,'渠道充值成功率_底稿'!$A:$A,$A102,'渠道充值成功率_底稿'!$B:$B,J$1)</f>
        <v>0</v>
      </c>
      <c r="K102" s="18">
        <f>SUMIFS('渠道充值成功率_底稿'!$G:$G,'渠道充值成功率_底稿'!$A:$A,$A102,'渠道充值成功率_底稿'!$B:$B,K$1)</f>
        <v>0</v>
      </c>
      <c r="L102" s="14">
        <f>SUMIFS('渠道充值成功率_底稿'!$G:$G,'渠道充值成功率_底稿'!$A:$A,$A102,'渠道充值成功率_底稿'!$B:$B,L$1)</f>
        <v>0</v>
      </c>
    </row>
    <row r="103">
      <c r="A103" s="6">
        <f>B98</f>
        <v>46098</v>
      </c>
      <c r="B103" s="20"/>
      <c r="C103" s="21" t="s">
        <v>16</v>
      </c>
      <c r="D103" s="22" t="str">
        <f t="shared" ref="D103:L103" si="34">IFERROR(ROUND(D102/D101,6),"0")</f>
        <v>0</v>
      </c>
      <c r="E103" s="22" t="str">
        <f t="shared" si="34"/>
        <v>0</v>
      </c>
      <c r="F103" s="22" t="str">
        <f t="shared" si="34"/>
        <v>0</v>
      </c>
      <c r="G103" s="22" t="str">
        <f t="shared" si="34"/>
        <v>0</v>
      </c>
      <c r="H103" s="22" t="str">
        <f t="shared" si="34"/>
        <v>0</v>
      </c>
      <c r="I103" s="22" t="str">
        <f t="shared" si="34"/>
        <v>0</v>
      </c>
      <c r="J103" s="22" t="str">
        <f t="shared" si="34"/>
        <v>0</v>
      </c>
      <c r="K103" s="22" t="str">
        <f t="shared" si="34"/>
        <v>0</v>
      </c>
      <c r="L103" s="23" t="str">
        <f t="shared" si="34"/>
        <v>0</v>
      </c>
    </row>
    <row r="104">
      <c r="A104" s="6">
        <f>B104</f>
        <v>46099</v>
      </c>
      <c r="B104" s="7">
        <f>B98+1</f>
        <v>46099</v>
      </c>
      <c r="C104" s="8" t="s">
        <v>11</v>
      </c>
      <c r="D104" s="9">
        <f>SUMIFS('渠道充值成功率_底稿'!$C:$C,'渠道充值成功率_底稿'!$A:$A,$A104,'渠道充值成功率_底稿'!$B:$B,D$1)</f>
        <v>0</v>
      </c>
      <c r="E104" s="9">
        <f>SUMIFS('渠道充值成功率_底稿'!$C:$C,'渠道充值成功率_底稿'!$A:$A,$A104,'渠道充值成功率_底稿'!$B:$B,E$1)</f>
        <v>0</v>
      </c>
      <c r="F104" s="9">
        <f>SUMIFS('渠道充值成功率_底稿'!$C:$C,'渠道充值成功率_底稿'!$A:$A,$A104,'渠道充值成功率_底稿'!$B:$B,F$1)</f>
        <v>0</v>
      </c>
      <c r="G104" s="9">
        <f>SUMIFS('渠道充值成功率_底稿'!$C:$C,'渠道充值成功率_底稿'!$A:$A,$A104,'渠道充值成功率_底稿'!$B:$B,G$1)</f>
        <v>0</v>
      </c>
      <c r="H104" s="9">
        <f>SUMIFS('渠道充值成功率_底稿'!$C:$C,'渠道充值成功率_底稿'!$A:$A,$A104,'渠道充值成功率_底稿'!$B:$B,H$1)</f>
        <v>0</v>
      </c>
      <c r="I104" s="9">
        <f>SUMIFS('渠道充值成功率_底稿'!$C:$C,'渠道充值成功率_底稿'!$A:$A,$A104,'渠道充值成功率_底稿'!$B:$B,I$1)</f>
        <v>0</v>
      </c>
      <c r="J104" s="9">
        <f>SUMIFS('渠道充值成功率_底稿'!$C:$C,'渠道充值成功率_底稿'!$A:$A,$A104,'渠道充值成功率_底稿'!$B:$B,J$1)</f>
        <v>0</v>
      </c>
      <c r="K104" s="9">
        <f>SUMIFS('渠道充值成功率_底稿'!$C:$C,'渠道充值成功率_底稿'!$A:$A,$A104,'渠道充值成功率_底稿'!$B:$B,K$1)</f>
        <v>0</v>
      </c>
      <c r="L104" s="10">
        <f>SUMIFS('渠道充值成功率_底稿'!$C:$C,'渠道充值成功率_底稿'!$A:$A,$A104,'渠道充值成功率_底稿'!$B:$B,L$1)</f>
        <v>0</v>
      </c>
    </row>
    <row r="105">
      <c r="A105" s="6">
        <f>B104</f>
        <v>46099</v>
      </c>
      <c r="B105" s="11"/>
      <c r="C105" s="12" t="s">
        <v>12</v>
      </c>
      <c r="D105" s="13">
        <f>SUMIFS('渠道充值成功率_底稿'!$F:$F,'渠道充值成功率_底稿'!$A:$A,$A105,'渠道充值成功率_底稿'!$B:$B,D$1)</f>
        <v>0</v>
      </c>
      <c r="E105" s="13">
        <f>SUMIFS('渠道充值成功率_底稿'!$F:$F,'渠道充值成功率_底稿'!$A:$A,$A105,'渠道充值成功率_底稿'!$B:$B,E$1)</f>
        <v>0</v>
      </c>
      <c r="F105" s="13">
        <f>SUMIFS('渠道充值成功率_底稿'!$F:$F,'渠道充值成功率_底稿'!$A:$A,$A105,'渠道充值成功率_底稿'!$B:$B,F$1)</f>
        <v>0</v>
      </c>
      <c r="G105" s="13">
        <f>SUMIFS('渠道充值成功率_底稿'!$F:$F,'渠道充值成功率_底稿'!$A:$A,$A105,'渠道充值成功率_底稿'!$B:$B,G$1)</f>
        <v>0</v>
      </c>
      <c r="H105" s="13">
        <f>SUMIFS('渠道充值成功率_底稿'!$F:$F,'渠道充值成功率_底稿'!$A:$A,$A105,'渠道充值成功率_底稿'!$B:$B,H$1)</f>
        <v>0</v>
      </c>
      <c r="I105" s="13">
        <f>SUMIFS('渠道充值成功率_底稿'!$F:$F,'渠道充值成功率_底稿'!$A:$A,$A105,'渠道充值成功率_底稿'!$B:$B,I$1)</f>
        <v>0</v>
      </c>
      <c r="J105" s="13">
        <f>SUMIFS('渠道充值成功率_底稿'!$F:$F,'渠道充值成功率_底稿'!$A:$A,$A105,'渠道充值成功率_底稿'!$B:$B,J$1)</f>
        <v>0</v>
      </c>
      <c r="K105" s="13">
        <f>SUMIFS('渠道充值成功率_底稿'!$F:$F,'渠道充值成功率_底稿'!$A:$A,$A105,'渠道充值成功率_底稿'!$B:$B,K$1)</f>
        <v>0</v>
      </c>
      <c r="L105" s="14">
        <f>SUMIFS('渠道充值成功率_底稿'!$F:$F,'渠道充值成功率_底稿'!$A:$A,$A105,'渠道充值成功率_底稿'!$B:$B,L$1)</f>
        <v>0</v>
      </c>
    </row>
    <row r="106">
      <c r="A106" s="6">
        <f>B104</f>
        <v>46099</v>
      </c>
      <c r="B106" s="11"/>
      <c r="C106" s="15" t="s">
        <v>13</v>
      </c>
      <c r="D106" s="16" t="str">
        <f t="shared" ref="D106:L106" si="35">IFERROR(ROUND(D105/D104,6),"0")</f>
        <v>0</v>
      </c>
      <c r="E106" s="16" t="str">
        <f t="shared" si="35"/>
        <v>0</v>
      </c>
      <c r="F106" s="16" t="str">
        <f t="shared" si="35"/>
        <v>0</v>
      </c>
      <c r="G106" s="16" t="str">
        <f t="shared" si="35"/>
        <v>0</v>
      </c>
      <c r="H106" s="16" t="str">
        <f t="shared" si="35"/>
        <v>0</v>
      </c>
      <c r="I106" s="16" t="str">
        <f t="shared" si="35"/>
        <v>0</v>
      </c>
      <c r="J106" s="16" t="str">
        <f t="shared" si="35"/>
        <v>0</v>
      </c>
      <c r="K106" s="16" t="str">
        <f t="shared" si="35"/>
        <v>0</v>
      </c>
      <c r="L106" s="17" t="str">
        <f t="shared" si="35"/>
        <v>0</v>
      </c>
    </row>
    <row r="107">
      <c r="A107" s="6">
        <f>B104</f>
        <v>46099</v>
      </c>
      <c r="B107" s="11"/>
      <c r="C107" s="12" t="s">
        <v>14</v>
      </c>
      <c r="D107" s="18">
        <f>SUMIFS('渠道充值成功率_底稿'!$D:$D,'渠道充值成功率_底稿'!$A:$A,$A108,'渠道充值成功率_底稿'!$B:$B,D$1)</f>
        <v>0</v>
      </c>
      <c r="E107" s="18">
        <f>SUMIFS('渠道充值成功率_底稿'!$D:$D,'渠道充值成功率_底稿'!$A:$A,$A107,'渠道充值成功率_底稿'!$B:$B,E$1)</f>
        <v>0</v>
      </c>
      <c r="F107" s="18">
        <f>SUMIFS('渠道充值成功率_底稿'!$D:$D,'渠道充值成功率_底稿'!$A:$A,$A107,'渠道充值成功率_底稿'!$B:$B,F$1)</f>
        <v>0</v>
      </c>
      <c r="G107" s="18">
        <f>SUMIFS('渠道充值成功率_底稿'!$D:$D,'渠道充值成功率_底稿'!$A:$A,$A107,'渠道充值成功率_底稿'!$B:$B,G$1)</f>
        <v>0</v>
      </c>
      <c r="H107" s="18">
        <f>SUMIFS('渠道充值成功率_底稿'!$D:$D,'渠道充值成功率_底稿'!$A:$A,$A107,'渠道充值成功率_底稿'!$B:$B,H$1)</f>
        <v>0</v>
      </c>
      <c r="I107" s="18">
        <f>SUMIFS('渠道充值成功率_底稿'!$D:$D,'渠道充值成功率_底稿'!$A:$A,$A107,'渠道充值成功率_底稿'!$B:$B,I$1)</f>
        <v>0</v>
      </c>
      <c r="J107" s="18">
        <f>SUMIFS('渠道充值成功率_底稿'!$D:$D,'渠道充值成功率_底稿'!$A:$A,$A107,'渠道充值成功率_底稿'!$B:$B,J$1)</f>
        <v>0</v>
      </c>
      <c r="K107" s="18">
        <f>SUMIFS('渠道充值成功率_底稿'!$D:$D,'渠道充值成功率_底稿'!$A:$A,$A107,'渠道充值成功率_底稿'!$B:$B,K$1)</f>
        <v>0</v>
      </c>
      <c r="L107" s="14">
        <f>SUMIFS('渠道充值成功率_底稿'!$D:$D,'渠道充值成功率_底稿'!$A:$A,$A107,'渠道充值成功率_底稿'!$B:$B,L$1)</f>
        <v>0</v>
      </c>
    </row>
    <row r="108">
      <c r="A108" s="6">
        <f>B104</f>
        <v>46099</v>
      </c>
      <c r="B108" s="11"/>
      <c r="C108" s="19" t="s">
        <v>15</v>
      </c>
      <c r="D108" s="18">
        <f>SUMIFS('渠道充值成功率_底稿'!$G:$G,'渠道充值成功率_底稿'!$A:$A,$A109,'渠道充值成功率_底稿'!$B:$B,D$1)</f>
        <v>0</v>
      </c>
      <c r="E108" s="18">
        <f>SUMIFS('渠道充值成功率_底稿'!$G:$G,'渠道充值成功率_底稿'!$A:$A,$A108,'渠道充值成功率_底稿'!$B:$B,E$1)</f>
        <v>0</v>
      </c>
      <c r="F108" s="18">
        <f>SUMIFS('渠道充值成功率_底稿'!$G:$G,'渠道充值成功率_底稿'!$A:$A,$A108,'渠道充值成功率_底稿'!$B:$B,F$1)</f>
        <v>0</v>
      </c>
      <c r="G108" s="18">
        <f>SUMIFS('渠道充值成功率_底稿'!$G:$G,'渠道充值成功率_底稿'!$A:$A,$A108,'渠道充值成功率_底稿'!$B:$B,G$1)</f>
        <v>0</v>
      </c>
      <c r="H108" s="18">
        <f>SUMIFS('渠道充值成功率_底稿'!$G:$G,'渠道充值成功率_底稿'!$A:$A,$A108,'渠道充值成功率_底稿'!$B:$B,H$1)</f>
        <v>0</v>
      </c>
      <c r="I108" s="18">
        <f>SUMIFS('渠道充值成功率_底稿'!$G:$G,'渠道充值成功率_底稿'!$A:$A,$A108,'渠道充值成功率_底稿'!$B:$B,I$1)</f>
        <v>0</v>
      </c>
      <c r="J108" s="18">
        <f>SUMIFS('渠道充值成功率_底稿'!$G:$G,'渠道充值成功率_底稿'!$A:$A,$A108,'渠道充值成功率_底稿'!$B:$B,J$1)</f>
        <v>0</v>
      </c>
      <c r="K108" s="18">
        <f>SUMIFS('渠道充值成功率_底稿'!$G:$G,'渠道充值成功率_底稿'!$A:$A,$A108,'渠道充值成功率_底稿'!$B:$B,K$1)</f>
        <v>0</v>
      </c>
      <c r="L108" s="14">
        <f>SUMIFS('渠道充值成功率_底稿'!$G:$G,'渠道充值成功率_底稿'!$A:$A,$A108,'渠道充值成功率_底稿'!$B:$B,L$1)</f>
        <v>0</v>
      </c>
    </row>
    <row r="109">
      <c r="A109" s="6">
        <f>B104</f>
        <v>46099</v>
      </c>
      <c r="B109" s="20"/>
      <c r="C109" s="21" t="s">
        <v>16</v>
      </c>
      <c r="D109" s="22" t="str">
        <f t="shared" ref="D109:L109" si="36">IFERROR(ROUND(D108/D107,6),"0")</f>
        <v>0</v>
      </c>
      <c r="E109" s="22" t="str">
        <f t="shared" si="36"/>
        <v>0</v>
      </c>
      <c r="F109" s="22" t="str">
        <f t="shared" si="36"/>
        <v>0</v>
      </c>
      <c r="G109" s="22" t="str">
        <f t="shared" si="36"/>
        <v>0</v>
      </c>
      <c r="H109" s="22" t="str">
        <f t="shared" si="36"/>
        <v>0</v>
      </c>
      <c r="I109" s="22" t="str">
        <f t="shared" si="36"/>
        <v>0</v>
      </c>
      <c r="J109" s="22" t="str">
        <f t="shared" si="36"/>
        <v>0</v>
      </c>
      <c r="K109" s="22" t="str">
        <f t="shared" si="36"/>
        <v>0</v>
      </c>
      <c r="L109" s="23" t="str">
        <f t="shared" si="36"/>
        <v>0</v>
      </c>
    </row>
    <row r="110">
      <c r="A110" s="6">
        <f>B110</f>
        <v>46100</v>
      </c>
      <c r="B110" s="7">
        <f>B104+1</f>
        <v>46100</v>
      </c>
      <c r="C110" s="8" t="s">
        <v>11</v>
      </c>
      <c r="D110" s="9">
        <f>SUMIFS('渠道充值成功率_底稿'!$C:$C,'渠道充值成功率_底稿'!$A:$A,$A110,'渠道充值成功率_底稿'!$B:$B,D$1)</f>
        <v>0</v>
      </c>
      <c r="E110" s="9">
        <f>SUMIFS('渠道充值成功率_底稿'!$C:$C,'渠道充值成功率_底稿'!$A:$A,$A110,'渠道充值成功率_底稿'!$B:$B,E$1)</f>
        <v>0</v>
      </c>
      <c r="F110" s="9">
        <f>SUMIFS('渠道充值成功率_底稿'!$C:$C,'渠道充值成功率_底稿'!$A:$A,$A110,'渠道充值成功率_底稿'!$B:$B,F$1)</f>
        <v>0</v>
      </c>
      <c r="G110" s="9">
        <f>SUMIFS('渠道充值成功率_底稿'!$C:$C,'渠道充值成功率_底稿'!$A:$A,$A110,'渠道充值成功率_底稿'!$B:$B,G$1)</f>
        <v>0</v>
      </c>
      <c r="H110" s="9">
        <f>SUMIFS('渠道充值成功率_底稿'!$C:$C,'渠道充值成功率_底稿'!$A:$A,$A110,'渠道充值成功率_底稿'!$B:$B,H$1)</f>
        <v>0</v>
      </c>
      <c r="I110" s="9">
        <f>SUMIFS('渠道充值成功率_底稿'!$C:$C,'渠道充值成功率_底稿'!$A:$A,$A110,'渠道充值成功率_底稿'!$B:$B,I$1)</f>
        <v>0</v>
      </c>
      <c r="J110" s="9">
        <f>SUMIFS('渠道充值成功率_底稿'!$C:$C,'渠道充值成功率_底稿'!$A:$A,$A110,'渠道充值成功率_底稿'!$B:$B,J$1)</f>
        <v>0</v>
      </c>
      <c r="K110" s="9">
        <f>SUMIFS('渠道充值成功率_底稿'!$C:$C,'渠道充值成功率_底稿'!$A:$A,$A110,'渠道充值成功率_底稿'!$B:$B,K$1)</f>
        <v>0</v>
      </c>
      <c r="L110" s="10">
        <f>SUMIFS('渠道充值成功率_底稿'!$C:$C,'渠道充值成功率_底稿'!$A:$A,$A110,'渠道充值成功率_底稿'!$B:$B,L$1)</f>
        <v>0</v>
      </c>
    </row>
    <row r="111">
      <c r="A111" s="6">
        <f>B110</f>
        <v>46100</v>
      </c>
      <c r="B111" s="11"/>
      <c r="C111" s="12" t="s">
        <v>12</v>
      </c>
      <c r="D111" s="13">
        <f>SUMIFS('渠道充值成功率_底稿'!$F:$F,'渠道充值成功率_底稿'!$A:$A,$A111,'渠道充值成功率_底稿'!$B:$B,D$1)</f>
        <v>0</v>
      </c>
      <c r="E111" s="13">
        <f>SUMIFS('渠道充值成功率_底稿'!$F:$F,'渠道充值成功率_底稿'!$A:$A,$A111,'渠道充值成功率_底稿'!$B:$B,E$1)</f>
        <v>0</v>
      </c>
      <c r="F111" s="13">
        <f>SUMIFS('渠道充值成功率_底稿'!$F:$F,'渠道充值成功率_底稿'!$A:$A,$A111,'渠道充值成功率_底稿'!$B:$B,F$1)</f>
        <v>0</v>
      </c>
      <c r="G111" s="13">
        <f>SUMIFS('渠道充值成功率_底稿'!$F:$F,'渠道充值成功率_底稿'!$A:$A,$A111,'渠道充值成功率_底稿'!$B:$B,G$1)</f>
        <v>0</v>
      </c>
      <c r="H111" s="13">
        <f>SUMIFS('渠道充值成功率_底稿'!$F:$F,'渠道充值成功率_底稿'!$A:$A,$A111,'渠道充值成功率_底稿'!$B:$B,H$1)</f>
        <v>0</v>
      </c>
      <c r="I111" s="13">
        <f>SUMIFS('渠道充值成功率_底稿'!$F:$F,'渠道充值成功率_底稿'!$A:$A,$A111,'渠道充值成功率_底稿'!$B:$B,I$1)</f>
        <v>0</v>
      </c>
      <c r="J111" s="13">
        <f>SUMIFS('渠道充值成功率_底稿'!$F:$F,'渠道充值成功率_底稿'!$A:$A,$A111,'渠道充值成功率_底稿'!$B:$B,J$1)</f>
        <v>0</v>
      </c>
      <c r="K111" s="13">
        <f>SUMIFS('渠道充值成功率_底稿'!$F:$F,'渠道充值成功率_底稿'!$A:$A,$A111,'渠道充值成功率_底稿'!$B:$B,K$1)</f>
        <v>0</v>
      </c>
      <c r="L111" s="14">
        <f>SUMIFS('渠道充值成功率_底稿'!$F:$F,'渠道充值成功率_底稿'!$A:$A,$A111,'渠道充值成功率_底稿'!$B:$B,L$1)</f>
        <v>0</v>
      </c>
    </row>
    <row r="112">
      <c r="A112" s="6">
        <f>B110</f>
        <v>46100</v>
      </c>
      <c r="B112" s="11"/>
      <c r="C112" s="15" t="s">
        <v>13</v>
      </c>
      <c r="D112" s="16" t="str">
        <f t="shared" ref="D112:L112" si="37">IFERROR(ROUND(D111/D110,6),"0")</f>
        <v>0</v>
      </c>
      <c r="E112" s="16" t="str">
        <f t="shared" si="37"/>
        <v>0</v>
      </c>
      <c r="F112" s="16" t="str">
        <f t="shared" si="37"/>
        <v>0</v>
      </c>
      <c r="G112" s="16" t="str">
        <f t="shared" si="37"/>
        <v>0</v>
      </c>
      <c r="H112" s="16" t="str">
        <f t="shared" si="37"/>
        <v>0</v>
      </c>
      <c r="I112" s="16" t="str">
        <f t="shared" si="37"/>
        <v>0</v>
      </c>
      <c r="J112" s="16" t="str">
        <f t="shared" si="37"/>
        <v>0</v>
      </c>
      <c r="K112" s="16" t="str">
        <f t="shared" si="37"/>
        <v>0</v>
      </c>
      <c r="L112" s="17" t="str">
        <f t="shared" si="37"/>
        <v>0</v>
      </c>
    </row>
    <row r="113">
      <c r="A113" s="6">
        <f>B110</f>
        <v>46100</v>
      </c>
      <c r="B113" s="11"/>
      <c r="C113" s="12" t="s">
        <v>14</v>
      </c>
      <c r="D113" s="18">
        <f>SUMIFS('渠道充值成功率_底稿'!$D:$D,'渠道充值成功率_底稿'!$A:$A,$A114,'渠道充值成功率_底稿'!$B:$B,D$1)</f>
        <v>0</v>
      </c>
      <c r="E113" s="18">
        <f>SUMIFS('渠道充值成功率_底稿'!$D:$D,'渠道充值成功率_底稿'!$A:$A,$A113,'渠道充值成功率_底稿'!$B:$B,E$1)</f>
        <v>0</v>
      </c>
      <c r="F113" s="18">
        <f>SUMIFS('渠道充值成功率_底稿'!$D:$D,'渠道充值成功率_底稿'!$A:$A,$A113,'渠道充值成功率_底稿'!$B:$B,F$1)</f>
        <v>0</v>
      </c>
      <c r="G113" s="18">
        <f>SUMIFS('渠道充值成功率_底稿'!$D:$D,'渠道充值成功率_底稿'!$A:$A,$A113,'渠道充值成功率_底稿'!$B:$B,G$1)</f>
        <v>0</v>
      </c>
      <c r="H113" s="18">
        <f>SUMIFS('渠道充值成功率_底稿'!$D:$D,'渠道充值成功率_底稿'!$A:$A,$A113,'渠道充值成功率_底稿'!$B:$B,H$1)</f>
        <v>0</v>
      </c>
      <c r="I113" s="18">
        <f>SUMIFS('渠道充值成功率_底稿'!$D:$D,'渠道充值成功率_底稿'!$A:$A,$A113,'渠道充值成功率_底稿'!$B:$B,I$1)</f>
        <v>0</v>
      </c>
      <c r="J113" s="18">
        <f>SUMIFS('渠道充值成功率_底稿'!$D:$D,'渠道充值成功率_底稿'!$A:$A,$A113,'渠道充值成功率_底稿'!$B:$B,J$1)</f>
        <v>0</v>
      </c>
      <c r="K113" s="18">
        <f>SUMIFS('渠道充值成功率_底稿'!$D:$D,'渠道充值成功率_底稿'!$A:$A,$A113,'渠道充值成功率_底稿'!$B:$B,K$1)</f>
        <v>0</v>
      </c>
      <c r="L113" s="14">
        <f>SUMIFS('渠道充值成功率_底稿'!$D:$D,'渠道充值成功率_底稿'!$A:$A,$A113,'渠道充值成功率_底稿'!$B:$B,L$1)</f>
        <v>0</v>
      </c>
    </row>
    <row r="114">
      <c r="A114" s="6">
        <f>B110</f>
        <v>46100</v>
      </c>
      <c r="B114" s="11"/>
      <c r="C114" s="19" t="s">
        <v>15</v>
      </c>
      <c r="D114" s="18">
        <f>SUMIFS('渠道充值成功率_底稿'!$G:$G,'渠道充值成功率_底稿'!$A:$A,$A115,'渠道充值成功率_底稿'!$B:$B,D$1)</f>
        <v>0</v>
      </c>
      <c r="E114" s="18">
        <f>SUMIFS('渠道充值成功率_底稿'!$G:$G,'渠道充值成功率_底稿'!$A:$A,$A114,'渠道充值成功率_底稿'!$B:$B,E$1)</f>
        <v>0</v>
      </c>
      <c r="F114" s="18">
        <f>SUMIFS('渠道充值成功率_底稿'!$G:$G,'渠道充值成功率_底稿'!$A:$A,$A114,'渠道充值成功率_底稿'!$B:$B,F$1)</f>
        <v>0</v>
      </c>
      <c r="G114" s="18">
        <f>SUMIFS('渠道充值成功率_底稿'!$G:$G,'渠道充值成功率_底稿'!$A:$A,$A114,'渠道充值成功率_底稿'!$B:$B,G$1)</f>
        <v>0</v>
      </c>
      <c r="H114" s="18">
        <f>SUMIFS('渠道充值成功率_底稿'!$G:$G,'渠道充值成功率_底稿'!$A:$A,$A114,'渠道充值成功率_底稿'!$B:$B,H$1)</f>
        <v>0</v>
      </c>
      <c r="I114" s="18">
        <f>SUMIFS('渠道充值成功率_底稿'!$G:$G,'渠道充值成功率_底稿'!$A:$A,$A114,'渠道充值成功率_底稿'!$B:$B,I$1)</f>
        <v>0</v>
      </c>
      <c r="J114" s="18">
        <f>SUMIFS('渠道充值成功率_底稿'!$G:$G,'渠道充值成功率_底稿'!$A:$A,$A114,'渠道充值成功率_底稿'!$B:$B,J$1)</f>
        <v>0</v>
      </c>
      <c r="K114" s="18">
        <f>SUMIFS('渠道充值成功率_底稿'!$G:$G,'渠道充值成功率_底稿'!$A:$A,$A114,'渠道充值成功率_底稿'!$B:$B,K$1)</f>
        <v>0</v>
      </c>
      <c r="L114" s="14">
        <f>SUMIFS('渠道充值成功率_底稿'!$G:$G,'渠道充值成功率_底稿'!$A:$A,$A114,'渠道充值成功率_底稿'!$B:$B,L$1)</f>
        <v>0</v>
      </c>
    </row>
    <row r="115">
      <c r="A115" s="6">
        <f>B110</f>
        <v>46100</v>
      </c>
      <c r="B115" s="20"/>
      <c r="C115" s="21" t="s">
        <v>16</v>
      </c>
      <c r="D115" s="22" t="str">
        <f t="shared" ref="D115:L115" si="38">IFERROR(ROUND(D114/D113,6),"0")</f>
        <v>0</v>
      </c>
      <c r="E115" s="22" t="str">
        <f t="shared" si="38"/>
        <v>0</v>
      </c>
      <c r="F115" s="22" t="str">
        <f t="shared" si="38"/>
        <v>0</v>
      </c>
      <c r="G115" s="22" t="str">
        <f t="shared" si="38"/>
        <v>0</v>
      </c>
      <c r="H115" s="22" t="str">
        <f t="shared" si="38"/>
        <v>0</v>
      </c>
      <c r="I115" s="22" t="str">
        <f t="shared" si="38"/>
        <v>0</v>
      </c>
      <c r="J115" s="22" t="str">
        <f t="shared" si="38"/>
        <v>0</v>
      </c>
      <c r="K115" s="22" t="str">
        <f t="shared" si="38"/>
        <v>0</v>
      </c>
      <c r="L115" s="23" t="str">
        <f t="shared" si="38"/>
        <v>0</v>
      </c>
    </row>
    <row r="116">
      <c r="A116" s="6">
        <f>B116</f>
        <v>46101</v>
      </c>
      <c r="B116" s="7">
        <f>B110+1</f>
        <v>46101</v>
      </c>
      <c r="C116" s="8" t="s">
        <v>11</v>
      </c>
      <c r="D116" s="9">
        <f>SUMIFS('渠道充值成功率_底稿'!$C:$C,'渠道充值成功率_底稿'!$A:$A,$A116,'渠道充值成功率_底稿'!$B:$B,D$1)</f>
        <v>0</v>
      </c>
      <c r="E116" s="9">
        <f>SUMIFS('渠道充值成功率_底稿'!$C:$C,'渠道充值成功率_底稿'!$A:$A,$A116,'渠道充值成功率_底稿'!$B:$B,E$1)</f>
        <v>0</v>
      </c>
      <c r="F116" s="9">
        <f>SUMIFS('渠道充值成功率_底稿'!$C:$C,'渠道充值成功率_底稿'!$A:$A,$A116,'渠道充值成功率_底稿'!$B:$B,F$1)</f>
        <v>0</v>
      </c>
      <c r="G116" s="9">
        <f>SUMIFS('渠道充值成功率_底稿'!$C:$C,'渠道充值成功率_底稿'!$A:$A,$A116,'渠道充值成功率_底稿'!$B:$B,G$1)</f>
        <v>0</v>
      </c>
      <c r="H116" s="9">
        <f>SUMIFS('渠道充值成功率_底稿'!$C:$C,'渠道充值成功率_底稿'!$A:$A,$A116,'渠道充值成功率_底稿'!$B:$B,H$1)</f>
        <v>0</v>
      </c>
      <c r="I116" s="9">
        <f>SUMIFS('渠道充值成功率_底稿'!$C:$C,'渠道充值成功率_底稿'!$A:$A,$A116,'渠道充值成功率_底稿'!$B:$B,I$1)</f>
        <v>0</v>
      </c>
      <c r="J116" s="9">
        <f>SUMIFS('渠道充值成功率_底稿'!$C:$C,'渠道充值成功率_底稿'!$A:$A,$A116,'渠道充值成功率_底稿'!$B:$B,J$1)</f>
        <v>0</v>
      </c>
      <c r="K116" s="9">
        <f>SUMIFS('渠道充值成功率_底稿'!$C:$C,'渠道充值成功率_底稿'!$A:$A,$A116,'渠道充值成功率_底稿'!$B:$B,K$1)</f>
        <v>0</v>
      </c>
      <c r="L116" s="10">
        <f>SUMIFS('渠道充值成功率_底稿'!$C:$C,'渠道充值成功率_底稿'!$A:$A,$A116,'渠道充值成功率_底稿'!$B:$B,L$1)</f>
        <v>0</v>
      </c>
    </row>
    <row r="117">
      <c r="A117" s="6">
        <f>B116</f>
        <v>46101</v>
      </c>
      <c r="B117" s="11"/>
      <c r="C117" s="12" t="s">
        <v>12</v>
      </c>
      <c r="D117" s="13">
        <f>SUMIFS('渠道充值成功率_底稿'!$F:$F,'渠道充值成功率_底稿'!$A:$A,$A117,'渠道充值成功率_底稿'!$B:$B,D$1)</f>
        <v>0</v>
      </c>
      <c r="E117" s="13">
        <f>SUMIFS('渠道充值成功率_底稿'!$F:$F,'渠道充值成功率_底稿'!$A:$A,$A117,'渠道充值成功率_底稿'!$B:$B,E$1)</f>
        <v>0</v>
      </c>
      <c r="F117" s="13">
        <f>SUMIFS('渠道充值成功率_底稿'!$F:$F,'渠道充值成功率_底稿'!$A:$A,$A117,'渠道充值成功率_底稿'!$B:$B,F$1)</f>
        <v>0</v>
      </c>
      <c r="G117" s="13">
        <f>SUMIFS('渠道充值成功率_底稿'!$F:$F,'渠道充值成功率_底稿'!$A:$A,$A117,'渠道充值成功率_底稿'!$B:$B,G$1)</f>
        <v>0</v>
      </c>
      <c r="H117" s="13">
        <f>SUMIFS('渠道充值成功率_底稿'!$F:$F,'渠道充值成功率_底稿'!$A:$A,$A117,'渠道充值成功率_底稿'!$B:$B,H$1)</f>
        <v>0</v>
      </c>
      <c r="I117" s="13">
        <f>SUMIFS('渠道充值成功率_底稿'!$F:$F,'渠道充值成功率_底稿'!$A:$A,$A117,'渠道充值成功率_底稿'!$B:$B,I$1)</f>
        <v>0</v>
      </c>
      <c r="J117" s="13">
        <f>SUMIFS('渠道充值成功率_底稿'!$F:$F,'渠道充值成功率_底稿'!$A:$A,$A117,'渠道充值成功率_底稿'!$B:$B,J$1)</f>
        <v>0</v>
      </c>
      <c r="K117" s="13">
        <f>SUMIFS('渠道充值成功率_底稿'!$F:$F,'渠道充值成功率_底稿'!$A:$A,$A117,'渠道充值成功率_底稿'!$B:$B,K$1)</f>
        <v>0</v>
      </c>
      <c r="L117" s="14">
        <f>SUMIFS('渠道充值成功率_底稿'!$F:$F,'渠道充值成功率_底稿'!$A:$A,$A117,'渠道充值成功率_底稿'!$B:$B,L$1)</f>
        <v>0</v>
      </c>
    </row>
    <row r="118">
      <c r="A118" s="6">
        <f>B116</f>
        <v>46101</v>
      </c>
      <c r="B118" s="11"/>
      <c r="C118" s="15" t="s">
        <v>13</v>
      </c>
      <c r="D118" s="16" t="str">
        <f t="shared" ref="D118:L118" si="39">IFERROR(ROUND(D117/D116,6),"0")</f>
        <v>0</v>
      </c>
      <c r="E118" s="16" t="str">
        <f t="shared" si="39"/>
        <v>0</v>
      </c>
      <c r="F118" s="16" t="str">
        <f t="shared" si="39"/>
        <v>0</v>
      </c>
      <c r="G118" s="16" t="str">
        <f t="shared" si="39"/>
        <v>0</v>
      </c>
      <c r="H118" s="16" t="str">
        <f t="shared" si="39"/>
        <v>0</v>
      </c>
      <c r="I118" s="16" t="str">
        <f t="shared" si="39"/>
        <v>0</v>
      </c>
      <c r="J118" s="16" t="str">
        <f t="shared" si="39"/>
        <v>0</v>
      </c>
      <c r="K118" s="16" t="str">
        <f t="shared" si="39"/>
        <v>0</v>
      </c>
      <c r="L118" s="17" t="str">
        <f t="shared" si="39"/>
        <v>0</v>
      </c>
    </row>
    <row r="119">
      <c r="A119" s="6">
        <f>B116</f>
        <v>46101</v>
      </c>
      <c r="B119" s="11"/>
      <c r="C119" s="12" t="s">
        <v>14</v>
      </c>
      <c r="D119" s="18">
        <f>SUMIFS('渠道充值成功率_底稿'!$D:$D,'渠道充值成功率_底稿'!$A:$A,$A120,'渠道充值成功率_底稿'!$B:$B,D$1)</f>
        <v>0</v>
      </c>
      <c r="E119" s="18">
        <f>SUMIFS('渠道充值成功率_底稿'!$D:$D,'渠道充值成功率_底稿'!$A:$A,$A119,'渠道充值成功率_底稿'!$B:$B,E$1)</f>
        <v>0</v>
      </c>
      <c r="F119" s="18">
        <f>SUMIFS('渠道充值成功率_底稿'!$D:$D,'渠道充值成功率_底稿'!$A:$A,$A119,'渠道充值成功率_底稿'!$B:$B,F$1)</f>
        <v>0</v>
      </c>
      <c r="G119" s="18">
        <f>SUMIFS('渠道充值成功率_底稿'!$D:$D,'渠道充值成功率_底稿'!$A:$A,$A119,'渠道充值成功率_底稿'!$B:$B,G$1)</f>
        <v>0</v>
      </c>
      <c r="H119" s="18">
        <f>SUMIFS('渠道充值成功率_底稿'!$D:$D,'渠道充值成功率_底稿'!$A:$A,$A119,'渠道充值成功率_底稿'!$B:$B,H$1)</f>
        <v>0</v>
      </c>
      <c r="I119" s="18">
        <f>SUMIFS('渠道充值成功率_底稿'!$D:$D,'渠道充值成功率_底稿'!$A:$A,$A119,'渠道充值成功率_底稿'!$B:$B,I$1)</f>
        <v>0</v>
      </c>
      <c r="J119" s="18">
        <f>SUMIFS('渠道充值成功率_底稿'!$D:$D,'渠道充值成功率_底稿'!$A:$A,$A119,'渠道充值成功率_底稿'!$B:$B,J$1)</f>
        <v>0</v>
      </c>
      <c r="K119" s="18">
        <f>SUMIFS('渠道充值成功率_底稿'!$D:$D,'渠道充值成功率_底稿'!$A:$A,$A119,'渠道充值成功率_底稿'!$B:$B,K$1)</f>
        <v>0</v>
      </c>
      <c r="L119" s="14">
        <f>SUMIFS('渠道充值成功率_底稿'!$D:$D,'渠道充值成功率_底稿'!$A:$A,$A119,'渠道充值成功率_底稿'!$B:$B,L$1)</f>
        <v>0</v>
      </c>
    </row>
    <row r="120">
      <c r="A120" s="6">
        <f>B116</f>
        <v>46101</v>
      </c>
      <c r="B120" s="11"/>
      <c r="C120" s="19" t="s">
        <v>15</v>
      </c>
      <c r="D120" s="18">
        <f>SUMIFS('渠道充值成功率_底稿'!$G:$G,'渠道充值成功率_底稿'!$A:$A,$A121,'渠道充值成功率_底稿'!$B:$B,D$1)</f>
        <v>0</v>
      </c>
      <c r="E120" s="18">
        <f>SUMIFS('渠道充值成功率_底稿'!$G:$G,'渠道充值成功率_底稿'!$A:$A,$A120,'渠道充值成功率_底稿'!$B:$B,E$1)</f>
        <v>0</v>
      </c>
      <c r="F120" s="18">
        <f>SUMIFS('渠道充值成功率_底稿'!$G:$G,'渠道充值成功率_底稿'!$A:$A,$A120,'渠道充值成功率_底稿'!$B:$B,F$1)</f>
        <v>0</v>
      </c>
      <c r="G120" s="18">
        <f>SUMIFS('渠道充值成功率_底稿'!$G:$G,'渠道充值成功率_底稿'!$A:$A,$A120,'渠道充值成功率_底稿'!$B:$B,G$1)</f>
        <v>0</v>
      </c>
      <c r="H120" s="18">
        <f>SUMIFS('渠道充值成功率_底稿'!$G:$G,'渠道充值成功率_底稿'!$A:$A,$A120,'渠道充值成功率_底稿'!$B:$B,H$1)</f>
        <v>0</v>
      </c>
      <c r="I120" s="18">
        <f>SUMIFS('渠道充值成功率_底稿'!$G:$G,'渠道充值成功率_底稿'!$A:$A,$A120,'渠道充值成功率_底稿'!$B:$B,I$1)</f>
        <v>0</v>
      </c>
      <c r="J120" s="18">
        <f>SUMIFS('渠道充值成功率_底稿'!$G:$G,'渠道充值成功率_底稿'!$A:$A,$A120,'渠道充值成功率_底稿'!$B:$B,J$1)</f>
        <v>0</v>
      </c>
      <c r="K120" s="18">
        <f>SUMIFS('渠道充值成功率_底稿'!$G:$G,'渠道充值成功率_底稿'!$A:$A,$A120,'渠道充值成功率_底稿'!$B:$B,K$1)</f>
        <v>0</v>
      </c>
      <c r="L120" s="14">
        <f>SUMIFS('渠道充值成功率_底稿'!$G:$G,'渠道充值成功率_底稿'!$A:$A,$A120,'渠道充值成功率_底稿'!$B:$B,L$1)</f>
        <v>0</v>
      </c>
    </row>
    <row r="121">
      <c r="A121" s="6">
        <f>B116</f>
        <v>46101</v>
      </c>
      <c r="B121" s="20"/>
      <c r="C121" s="21" t="s">
        <v>16</v>
      </c>
      <c r="D121" s="22" t="str">
        <f t="shared" ref="D121:L121" si="40">IFERROR(ROUND(D120/D119,6),"0")</f>
        <v>0</v>
      </c>
      <c r="E121" s="22" t="str">
        <f t="shared" si="40"/>
        <v>0</v>
      </c>
      <c r="F121" s="22" t="str">
        <f t="shared" si="40"/>
        <v>0</v>
      </c>
      <c r="G121" s="22" t="str">
        <f t="shared" si="40"/>
        <v>0</v>
      </c>
      <c r="H121" s="22" t="str">
        <f t="shared" si="40"/>
        <v>0</v>
      </c>
      <c r="I121" s="22" t="str">
        <f t="shared" si="40"/>
        <v>0</v>
      </c>
      <c r="J121" s="22" t="str">
        <f t="shared" si="40"/>
        <v>0</v>
      </c>
      <c r="K121" s="22" t="str">
        <f t="shared" si="40"/>
        <v>0</v>
      </c>
      <c r="L121" s="23" t="str">
        <f t="shared" si="40"/>
        <v>0</v>
      </c>
    </row>
    <row r="122">
      <c r="A122" s="6">
        <f>B122</f>
        <v>46102</v>
      </c>
      <c r="B122" s="7">
        <f>B116+1</f>
        <v>46102</v>
      </c>
      <c r="C122" s="8" t="s">
        <v>11</v>
      </c>
      <c r="D122" s="9">
        <f>SUMIFS('渠道充值成功率_底稿'!$C:$C,'渠道充值成功率_底稿'!$A:$A,$A122,'渠道充值成功率_底稿'!$B:$B,D$1)</f>
        <v>0</v>
      </c>
      <c r="E122" s="9">
        <f>SUMIFS('渠道充值成功率_底稿'!$C:$C,'渠道充值成功率_底稿'!$A:$A,$A122,'渠道充值成功率_底稿'!$B:$B,E$1)</f>
        <v>0</v>
      </c>
      <c r="F122" s="9">
        <f>SUMIFS('渠道充值成功率_底稿'!$C:$C,'渠道充值成功率_底稿'!$A:$A,$A122,'渠道充值成功率_底稿'!$B:$B,F$1)</f>
        <v>0</v>
      </c>
      <c r="G122" s="9">
        <f>SUMIFS('渠道充值成功率_底稿'!$C:$C,'渠道充值成功率_底稿'!$A:$A,$A122,'渠道充值成功率_底稿'!$B:$B,G$1)</f>
        <v>0</v>
      </c>
      <c r="H122" s="9">
        <f>SUMIFS('渠道充值成功率_底稿'!$C:$C,'渠道充值成功率_底稿'!$A:$A,$A122,'渠道充值成功率_底稿'!$B:$B,H$1)</f>
        <v>0</v>
      </c>
      <c r="I122" s="9">
        <f>SUMIFS('渠道充值成功率_底稿'!$C:$C,'渠道充值成功率_底稿'!$A:$A,$A122,'渠道充值成功率_底稿'!$B:$B,I$1)</f>
        <v>0</v>
      </c>
      <c r="J122" s="9">
        <f>SUMIFS('渠道充值成功率_底稿'!$C:$C,'渠道充值成功率_底稿'!$A:$A,$A122,'渠道充值成功率_底稿'!$B:$B,J$1)</f>
        <v>0</v>
      </c>
      <c r="K122" s="9">
        <f>SUMIFS('渠道充值成功率_底稿'!$C:$C,'渠道充值成功率_底稿'!$A:$A,$A122,'渠道充值成功率_底稿'!$B:$B,K$1)</f>
        <v>0</v>
      </c>
      <c r="L122" s="10">
        <f>SUMIFS('渠道充值成功率_底稿'!$C:$C,'渠道充值成功率_底稿'!$A:$A,$A122,'渠道充值成功率_底稿'!$B:$B,L$1)</f>
        <v>0</v>
      </c>
    </row>
    <row r="123">
      <c r="A123" s="6">
        <f>B122</f>
        <v>46102</v>
      </c>
      <c r="B123" s="11"/>
      <c r="C123" s="12" t="s">
        <v>12</v>
      </c>
      <c r="D123" s="13">
        <f>SUMIFS('渠道充值成功率_底稿'!$F:$F,'渠道充值成功率_底稿'!$A:$A,$A123,'渠道充值成功率_底稿'!$B:$B,D$1)</f>
        <v>0</v>
      </c>
      <c r="E123" s="13">
        <f>SUMIFS('渠道充值成功率_底稿'!$F:$F,'渠道充值成功率_底稿'!$A:$A,$A123,'渠道充值成功率_底稿'!$B:$B,E$1)</f>
        <v>0</v>
      </c>
      <c r="F123" s="13">
        <f>SUMIFS('渠道充值成功率_底稿'!$F:$F,'渠道充值成功率_底稿'!$A:$A,$A123,'渠道充值成功率_底稿'!$B:$B,F$1)</f>
        <v>0</v>
      </c>
      <c r="G123" s="13">
        <f>SUMIFS('渠道充值成功率_底稿'!$F:$F,'渠道充值成功率_底稿'!$A:$A,$A123,'渠道充值成功率_底稿'!$B:$B,G$1)</f>
        <v>0</v>
      </c>
      <c r="H123" s="13">
        <f>SUMIFS('渠道充值成功率_底稿'!$F:$F,'渠道充值成功率_底稿'!$A:$A,$A123,'渠道充值成功率_底稿'!$B:$B,H$1)</f>
        <v>0</v>
      </c>
      <c r="I123" s="13">
        <f>SUMIFS('渠道充值成功率_底稿'!$F:$F,'渠道充值成功率_底稿'!$A:$A,$A123,'渠道充值成功率_底稿'!$B:$B,I$1)</f>
        <v>0</v>
      </c>
      <c r="J123" s="13">
        <f>SUMIFS('渠道充值成功率_底稿'!$F:$F,'渠道充值成功率_底稿'!$A:$A,$A123,'渠道充值成功率_底稿'!$B:$B,J$1)</f>
        <v>0</v>
      </c>
      <c r="K123" s="13">
        <f>SUMIFS('渠道充值成功率_底稿'!$F:$F,'渠道充值成功率_底稿'!$A:$A,$A123,'渠道充值成功率_底稿'!$B:$B,K$1)</f>
        <v>0</v>
      </c>
      <c r="L123" s="14">
        <f>SUMIFS('渠道充值成功率_底稿'!$F:$F,'渠道充值成功率_底稿'!$A:$A,$A123,'渠道充值成功率_底稿'!$B:$B,L$1)</f>
        <v>0</v>
      </c>
    </row>
    <row r="124">
      <c r="A124" s="6">
        <f>B122</f>
        <v>46102</v>
      </c>
      <c r="B124" s="11"/>
      <c r="C124" s="15" t="s">
        <v>13</v>
      </c>
      <c r="D124" s="16" t="str">
        <f t="shared" ref="D124:L124" si="41">IFERROR(ROUND(D123/D122,6),"0")</f>
        <v>0</v>
      </c>
      <c r="E124" s="16" t="str">
        <f t="shared" si="41"/>
        <v>0</v>
      </c>
      <c r="F124" s="16" t="str">
        <f t="shared" si="41"/>
        <v>0</v>
      </c>
      <c r="G124" s="16" t="str">
        <f t="shared" si="41"/>
        <v>0</v>
      </c>
      <c r="H124" s="16" t="str">
        <f t="shared" si="41"/>
        <v>0</v>
      </c>
      <c r="I124" s="16" t="str">
        <f t="shared" si="41"/>
        <v>0</v>
      </c>
      <c r="J124" s="16" t="str">
        <f t="shared" si="41"/>
        <v>0</v>
      </c>
      <c r="K124" s="16" t="str">
        <f t="shared" si="41"/>
        <v>0</v>
      </c>
      <c r="L124" s="17" t="str">
        <f t="shared" si="41"/>
        <v>0</v>
      </c>
    </row>
    <row r="125">
      <c r="A125" s="6">
        <f>B122</f>
        <v>46102</v>
      </c>
      <c r="B125" s="11"/>
      <c r="C125" s="12" t="s">
        <v>14</v>
      </c>
      <c r="D125" s="18">
        <f>SUMIFS('渠道充值成功率_底稿'!$D:$D,'渠道充值成功率_底稿'!$A:$A,$A126,'渠道充值成功率_底稿'!$B:$B,D$1)</f>
        <v>0</v>
      </c>
      <c r="E125" s="18">
        <f>SUMIFS('渠道充值成功率_底稿'!$D:$D,'渠道充值成功率_底稿'!$A:$A,$A125,'渠道充值成功率_底稿'!$B:$B,E$1)</f>
        <v>0</v>
      </c>
      <c r="F125" s="18">
        <f>SUMIFS('渠道充值成功率_底稿'!$D:$D,'渠道充值成功率_底稿'!$A:$A,$A125,'渠道充值成功率_底稿'!$B:$B,F$1)</f>
        <v>0</v>
      </c>
      <c r="G125" s="18">
        <f>SUMIFS('渠道充值成功率_底稿'!$D:$D,'渠道充值成功率_底稿'!$A:$A,$A125,'渠道充值成功率_底稿'!$B:$B,G$1)</f>
        <v>0</v>
      </c>
      <c r="H125" s="18">
        <f>SUMIFS('渠道充值成功率_底稿'!$D:$D,'渠道充值成功率_底稿'!$A:$A,$A125,'渠道充值成功率_底稿'!$B:$B,H$1)</f>
        <v>0</v>
      </c>
      <c r="I125" s="18">
        <f>SUMIFS('渠道充值成功率_底稿'!$D:$D,'渠道充值成功率_底稿'!$A:$A,$A125,'渠道充值成功率_底稿'!$B:$B,I$1)</f>
        <v>0</v>
      </c>
      <c r="J125" s="18">
        <f>SUMIFS('渠道充值成功率_底稿'!$D:$D,'渠道充值成功率_底稿'!$A:$A,$A125,'渠道充值成功率_底稿'!$B:$B,J$1)</f>
        <v>0</v>
      </c>
      <c r="K125" s="18">
        <f>SUMIFS('渠道充值成功率_底稿'!$D:$D,'渠道充值成功率_底稿'!$A:$A,$A125,'渠道充值成功率_底稿'!$B:$B,K$1)</f>
        <v>0</v>
      </c>
      <c r="L125" s="14">
        <f>SUMIFS('渠道充值成功率_底稿'!$D:$D,'渠道充值成功率_底稿'!$A:$A,$A125,'渠道充值成功率_底稿'!$B:$B,L$1)</f>
        <v>0</v>
      </c>
    </row>
    <row r="126">
      <c r="A126" s="6">
        <f>B122</f>
        <v>46102</v>
      </c>
      <c r="B126" s="11"/>
      <c r="C126" s="19" t="s">
        <v>15</v>
      </c>
      <c r="D126" s="18">
        <f>SUMIFS('渠道充值成功率_底稿'!$G:$G,'渠道充值成功率_底稿'!$A:$A,$A127,'渠道充值成功率_底稿'!$B:$B,D$1)</f>
        <v>0</v>
      </c>
      <c r="E126" s="18">
        <f>SUMIFS('渠道充值成功率_底稿'!$G:$G,'渠道充值成功率_底稿'!$A:$A,$A126,'渠道充值成功率_底稿'!$B:$B,E$1)</f>
        <v>0</v>
      </c>
      <c r="F126" s="18">
        <f>SUMIFS('渠道充值成功率_底稿'!$G:$G,'渠道充值成功率_底稿'!$A:$A,$A126,'渠道充值成功率_底稿'!$B:$B,F$1)</f>
        <v>0</v>
      </c>
      <c r="G126" s="18">
        <f>SUMIFS('渠道充值成功率_底稿'!$G:$G,'渠道充值成功率_底稿'!$A:$A,$A126,'渠道充值成功率_底稿'!$B:$B,G$1)</f>
        <v>0</v>
      </c>
      <c r="H126" s="18">
        <f>SUMIFS('渠道充值成功率_底稿'!$G:$G,'渠道充值成功率_底稿'!$A:$A,$A126,'渠道充值成功率_底稿'!$B:$B,H$1)</f>
        <v>0</v>
      </c>
      <c r="I126" s="18">
        <f>SUMIFS('渠道充值成功率_底稿'!$G:$G,'渠道充值成功率_底稿'!$A:$A,$A126,'渠道充值成功率_底稿'!$B:$B,I$1)</f>
        <v>0</v>
      </c>
      <c r="J126" s="18">
        <f>SUMIFS('渠道充值成功率_底稿'!$G:$G,'渠道充值成功率_底稿'!$A:$A,$A126,'渠道充值成功率_底稿'!$B:$B,J$1)</f>
        <v>0</v>
      </c>
      <c r="K126" s="18">
        <f>SUMIFS('渠道充值成功率_底稿'!$G:$G,'渠道充值成功率_底稿'!$A:$A,$A126,'渠道充值成功率_底稿'!$B:$B,K$1)</f>
        <v>0</v>
      </c>
      <c r="L126" s="14">
        <f>SUMIFS('渠道充值成功率_底稿'!$G:$G,'渠道充值成功率_底稿'!$A:$A,$A126,'渠道充值成功率_底稿'!$B:$B,L$1)</f>
        <v>0</v>
      </c>
    </row>
    <row r="127">
      <c r="A127" s="6">
        <f>B122</f>
        <v>46102</v>
      </c>
      <c r="B127" s="20"/>
      <c r="C127" s="21" t="s">
        <v>16</v>
      </c>
      <c r="D127" s="22" t="str">
        <f t="shared" ref="D127:L127" si="42">IFERROR(ROUND(D126/D125,6),"0")</f>
        <v>0</v>
      </c>
      <c r="E127" s="22" t="str">
        <f t="shared" si="42"/>
        <v>0</v>
      </c>
      <c r="F127" s="22" t="str">
        <f t="shared" si="42"/>
        <v>0</v>
      </c>
      <c r="G127" s="22" t="str">
        <f t="shared" si="42"/>
        <v>0</v>
      </c>
      <c r="H127" s="22" t="str">
        <f t="shared" si="42"/>
        <v>0</v>
      </c>
      <c r="I127" s="22" t="str">
        <f t="shared" si="42"/>
        <v>0</v>
      </c>
      <c r="J127" s="22" t="str">
        <f t="shared" si="42"/>
        <v>0</v>
      </c>
      <c r="K127" s="22" t="str">
        <f t="shared" si="42"/>
        <v>0</v>
      </c>
      <c r="L127" s="23" t="str">
        <f t="shared" si="42"/>
        <v>0</v>
      </c>
    </row>
    <row r="128">
      <c r="A128" s="6">
        <f>B128</f>
        <v>46103</v>
      </c>
      <c r="B128" s="7">
        <f>B122+1</f>
        <v>46103</v>
      </c>
      <c r="C128" s="8" t="s">
        <v>11</v>
      </c>
      <c r="D128" s="9">
        <f>SUMIFS('渠道充值成功率_底稿'!$C:$C,'渠道充值成功率_底稿'!$A:$A,$A128,'渠道充值成功率_底稿'!$B:$B,D$1)</f>
        <v>0</v>
      </c>
      <c r="E128" s="9">
        <f>SUMIFS('渠道充值成功率_底稿'!$C:$C,'渠道充值成功率_底稿'!$A:$A,$A128,'渠道充值成功率_底稿'!$B:$B,E$1)</f>
        <v>0</v>
      </c>
      <c r="F128" s="9">
        <f>SUMIFS('渠道充值成功率_底稿'!$C:$C,'渠道充值成功率_底稿'!$A:$A,$A128,'渠道充值成功率_底稿'!$B:$B,F$1)</f>
        <v>0</v>
      </c>
      <c r="G128" s="9">
        <f>SUMIFS('渠道充值成功率_底稿'!$C:$C,'渠道充值成功率_底稿'!$A:$A,$A128,'渠道充值成功率_底稿'!$B:$B,G$1)</f>
        <v>0</v>
      </c>
      <c r="H128" s="9">
        <f>SUMIFS('渠道充值成功率_底稿'!$C:$C,'渠道充值成功率_底稿'!$A:$A,$A128,'渠道充值成功率_底稿'!$B:$B,H$1)</f>
        <v>0</v>
      </c>
      <c r="I128" s="9">
        <f>SUMIFS('渠道充值成功率_底稿'!$C:$C,'渠道充值成功率_底稿'!$A:$A,$A128,'渠道充值成功率_底稿'!$B:$B,I$1)</f>
        <v>0</v>
      </c>
      <c r="J128" s="9">
        <f>SUMIFS('渠道充值成功率_底稿'!$C:$C,'渠道充值成功率_底稿'!$A:$A,$A128,'渠道充值成功率_底稿'!$B:$B,J$1)</f>
        <v>0</v>
      </c>
      <c r="K128" s="9">
        <f>SUMIFS('渠道充值成功率_底稿'!$C:$C,'渠道充值成功率_底稿'!$A:$A,$A128,'渠道充值成功率_底稿'!$B:$B,K$1)</f>
        <v>0</v>
      </c>
      <c r="L128" s="10">
        <f>SUMIFS('渠道充值成功率_底稿'!$C:$C,'渠道充值成功率_底稿'!$A:$A,$A128,'渠道充值成功率_底稿'!$B:$B,L$1)</f>
        <v>0</v>
      </c>
    </row>
    <row r="129">
      <c r="A129" s="6">
        <f>B128</f>
        <v>46103</v>
      </c>
      <c r="B129" s="11"/>
      <c r="C129" s="12" t="s">
        <v>12</v>
      </c>
      <c r="D129" s="13">
        <f>SUMIFS('渠道充值成功率_底稿'!$F:$F,'渠道充值成功率_底稿'!$A:$A,$A129,'渠道充值成功率_底稿'!$B:$B,D$1)</f>
        <v>0</v>
      </c>
      <c r="E129" s="13">
        <f>SUMIFS('渠道充值成功率_底稿'!$F:$F,'渠道充值成功率_底稿'!$A:$A,$A129,'渠道充值成功率_底稿'!$B:$B,E$1)</f>
        <v>0</v>
      </c>
      <c r="F129" s="13">
        <f>SUMIFS('渠道充值成功率_底稿'!$F:$F,'渠道充值成功率_底稿'!$A:$A,$A129,'渠道充值成功率_底稿'!$B:$B,F$1)</f>
        <v>0</v>
      </c>
      <c r="G129" s="13">
        <f>SUMIFS('渠道充值成功率_底稿'!$F:$F,'渠道充值成功率_底稿'!$A:$A,$A129,'渠道充值成功率_底稿'!$B:$B,G$1)</f>
        <v>0</v>
      </c>
      <c r="H129" s="13">
        <f>SUMIFS('渠道充值成功率_底稿'!$F:$F,'渠道充值成功率_底稿'!$A:$A,$A129,'渠道充值成功率_底稿'!$B:$B,H$1)</f>
        <v>0</v>
      </c>
      <c r="I129" s="13">
        <f>SUMIFS('渠道充值成功率_底稿'!$F:$F,'渠道充值成功率_底稿'!$A:$A,$A129,'渠道充值成功率_底稿'!$B:$B,I$1)</f>
        <v>0</v>
      </c>
      <c r="J129" s="13">
        <f>SUMIFS('渠道充值成功率_底稿'!$F:$F,'渠道充值成功率_底稿'!$A:$A,$A129,'渠道充值成功率_底稿'!$B:$B,J$1)</f>
        <v>0</v>
      </c>
      <c r="K129" s="13">
        <f>SUMIFS('渠道充值成功率_底稿'!$F:$F,'渠道充值成功率_底稿'!$A:$A,$A129,'渠道充值成功率_底稿'!$B:$B,K$1)</f>
        <v>0</v>
      </c>
      <c r="L129" s="14">
        <f>SUMIFS('渠道充值成功率_底稿'!$F:$F,'渠道充值成功率_底稿'!$A:$A,$A129,'渠道充值成功率_底稿'!$B:$B,L$1)</f>
        <v>0</v>
      </c>
    </row>
    <row r="130">
      <c r="A130" s="6">
        <f>B128</f>
        <v>46103</v>
      </c>
      <c r="B130" s="11"/>
      <c r="C130" s="15" t="s">
        <v>13</v>
      </c>
      <c r="D130" s="16" t="str">
        <f t="shared" ref="D130:L130" si="43">IFERROR(ROUND(D129/D128,6),"0")</f>
        <v>0</v>
      </c>
      <c r="E130" s="16" t="str">
        <f t="shared" si="43"/>
        <v>0</v>
      </c>
      <c r="F130" s="16" t="str">
        <f t="shared" si="43"/>
        <v>0</v>
      </c>
      <c r="G130" s="16" t="str">
        <f t="shared" si="43"/>
        <v>0</v>
      </c>
      <c r="H130" s="16" t="str">
        <f t="shared" si="43"/>
        <v>0</v>
      </c>
      <c r="I130" s="16" t="str">
        <f t="shared" si="43"/>
        <v>0</v>
      </c>
      <c r="J130" s="16" t="str">
        <f t="shared" si="43"/>
        <v>0</v>
      </c>
      <c r="K130" s="16" t="str">
        <f t="shared" si="43"/>
        <v>0</v>
      </c>
      <c r="L130" s="17" t="str">
        <f t="shared" si="43"/>
        <v>0</v>
      </c>
    </row>
    <row r="131">
      <c r="A131" s="6">
        <f>B128</f>
        <v>46103</v>
      </c>
      <c r="B131" s="11"/>
      <c r="C131" s="12" t="s">
        <v>14</v>
      </c>
      <c r="D131" s="18">
        <f>SUMIFS('渠道充值成功率_底稿'!$D:$D,'渠道充值成功率_底稿'!$A:$A,$A132,'渠道充值成功率_底稿'!$B:$B,D$1)</f>
        <v>0</v>
      </c>
      <c r="E131" s="18">
        <f>SUMIFS('渠道充值成功率_底稿'!$D:$D,'渠道充值成功率_底稿'!$A:$A,$A131,'渠道充值成功率_底稿'!$B:$B,E$1)</f>
        <v>0</v>
      </c>
      <c r="F131" s="18">
        <f>SUMIFS('渠道充值成功率_底稿'!$D:$D,'渠道充值成功率_底稿'!$A:$A,$A131,'渠道充值成功率_底稿'!$B:$B,F$1)</f>
        <v>0</v>
      </c>
      <c r="G131" s="18">
        <f>SUMIFS('渠道充值成功率_底稿'!$D:$D,'渠道充值成功率_底稿'!$A:$A,$A131,'渠道充值成功率_底稿'!$B:$B,G$1)</f>
        <v>0</v>
      </c>
      <c r="H131" s="18">
        <f>SUMIFS('渠道充值成功率_底稿'!$D:$D,'渠道充值成功率_底稿'!$A:$A,$A131,'渠道充值成功率_底稿'!$B:$B,H$1)</f>
        <v>0</v>
      </c>
      <c r="I131" s="18">
        <f>SUMIFS('渠道充值成功率_底稿'!$D:$D,'渠道充值成功率_底稿'!$A:$A,$A131,'渠道充值成功率_底稿'!$B:$B,I$1)</f>
        <v>0</v>
      </c>
      <c r="J131" s="18">
        <f>SUMIFS('渠道充值成功率_底稿'!$D:$D,'渠道充值成功率_底稿'!$A:$A,$A131,'渠道充值成功率_底稿'!$B:$B,J$1)</f>
        <v>0</v>
      </c>
      <c r="K131" s="18">
        <f>SUMIFS('渠道充值成功率_底稿'!$D:$D,'渠道充值成功率_底稿'!$A:$A,$A131,'渠道充值成功率_底稿'!$B:$B,K$1)</f>
        <v>0</v>
      </c>
      <c r="L131" s="14">
        <f>SUMIFS('渠道充值成功率_底稿'!$D:$D,'渠道充值成功率_底稿'!$A:$A,$A131,'渠道充值成功率_底稿'!$B:$B,L$1)</f>
        <v>0</v>
      </c>
    </row>
    <row r="132">
      <c r="A132" s="6">
        <f>B128</f>
        <v>46103</v>
      </c>
      <c r="B132" s="11"/>
      <c r="C132" s="19" t="s">
        <v>15</v>
      </c>
      <c r="D132" s="18">
        <f>SUMIFS('渠道充值成功率_底稿'!$G:$G,'渠道充值成功率_底稿'!$A:$A,$A133,'渠道充值成功率_底稿'!$B:$B,D$1)</f>
        <v>0</v>
      </c>
      <c r="E132" s="18">
        <f>SUMIFS('渠道充值成功率_底稿'!$G:$G,'渠道充值成功率_底稿'!$A:$A,$A132,'渠道充值成功率_底稿'!$B:$B,E$1)</f>
        <v>0</v>
      </c>
      <c r="F132" s="18">
        <f>SUMIFS('渠道充值成功率_底稿'!$G:$G,'渠道充值成功率_底稿'!$A:$A,$A132,'渠道充值成功率_底稿'!$B:$B,F$1)</f>
        <v>0</v>
      </c>
      <c r="G132" s="18">
        <f>SUMIFS('渠道充值成功率_底稿'!$G:$G,'渠道充值成功率_底稿'!$A:$A,$A132,'渠道充值成功率_底稿'!$B:$B,G$1)</f>
        <v>0</v>
      </c>
      <c r="H132" s="18">
        <f>SUMIFS('渠道充值成功率_底稿'!$G:$G,'渠道充值成功率_底稿'!$A:$A,$A132,'渠道充值成功率_底稿'!$B:$B,H$1)</f>
        <v>0</v>
      </c>
      <c r="I132" s="18">
        <f>SUMIFS('渠道充值成功率_底稿'!$G:$G,'渠道充值成功率_底稿'!$A:$A,$A132,'渠道充值成功率_底稿'!$B:$B,I$1)</f>
        <v>0</v>
      </c>
      <c r="J132" s="18">
        <f>SUMIFS('渠道充值成功率_底稿'!$G:$G,'渠道充值成功率_底稿'!$A:$A,$A132,'渠道充值成功率_底稿'!$B:$B,J$1)</f>
        <v>0</v>
      </c>
      <c r="K132" s="18">
        <f>SUMIFS('渠道充值成功率_底稿'!$G:$G,'渠道充值成功率_底稿'!$A:$A,$A132,'渠道充值成功率_底稿'!$B:$B,K$1)</f>
        <v>0</v>
      </c>
      <c r="L132" s="14">
        <f>SUMIFS('渠道充值成功率_底稿'!$G:$G,'渠道充值成功率_底稿'!$A:$A,$A132,'渠道充值成功率_底稿'!$B:$B,L$1)</f>
        <v>0</v>
      </c>
    </row>
    <row r="133">
      <c r="A133" s="6">
        <f>B128</f>
        <v>46103</v>
      </c>
      <c r="B133" s="20"/>
      <c r="C133" s="21" t="s">
        <v>16</v>
      </c>
      <c r="D133" s="22" t="str">
        <f t="shared" ref="D133:L133" si="44">IFERROR(ROUND(D132/D131,6),"0")</f>
        <v>0</v>
      </c>
      <c r="E133" s="22" t="str">
        <f t="shared" si="44"/>
        <v>0</v>
      </c>
      <c r="F133" s="22" t="str">
        <f t="shared" si="44"/>
        <v>0</v>
      </c>
      <c r="G133" s="22" t="str">
        <f t="shared" si="44"/>
        <v>0</v>
      </c>
      <c r="H133" s="22" t="str">
        <f t="shared" si="44"/>
        <v>0</v>
      </c>
      <c r="I133" s="22" t="str">
        <f t="shared" si="44"/>
        <v>0</v>
      </c>
      <c r="J133" s="22" t="str">
        <f t="shared" si="44"/>
        <v>0</v>
      </c>
      <c r="K133" s="22" t="str">
        <f t="shared" si="44"/>
        <v>0</v>
      </c>
      <c r="L133" s="23" t="str">
        <f t="shared" si="44"/>
        <v>0</v>
      </c>
    </row>
    <row r="134">
      <c r="A134" s="6">
        <f>B134</f>
        <v>46104</v>
      </c>
      <c r="B134" s="7">
        <f>B128+1</f>
        <v>46104</v>
      </c>
      <c r="C134" s="8" t="s">
        <v>11</v>
      </c>
      <c r="D134" s="9">
        <f>SUMIFS('渠道充值成功率_底稿'!$C:$C,'渠道充值成功率_底稿'!$A:$A,$A134,'渠道充值成功率_底稿'!$B:$B,D$1)</f>
        <v>0</v>
      </c>
      <c r="E134" s="9">
        <f>SUMIFS('渠道充值成功率_底稿'!$C:$C,'渠道充值成功率_底稿'!$A:$A,$A134,'渠道充值成功率_底稿'!$B:$B,E$1)</f>
        <v>0</v>
      </c>
      <c r="F134" s="9">
        <f>SUMIFS('渠道充值成功率_底稿'!$C:$C,'渠道充值成功率_底稿'!$A:$A,$A134,'渠道充值成功率_底稿'!$B:$B,F$1)</f>
        <v>0</v>
      </c>
      <c r="G134" s="9">
        <f>SUMIFS('渠道充值成功率_底稿'!$C:$C,'渠道充值成功率_底稿'!$A:$A,$A134,'渠道充值成功率_底稿'!$B:$B,G$1)</f>
        <v>0</v>
      </c>
      <c r="H134" s="9">
        <f>SUMIFS('渠道充值成功率_底稿'!$C:$C,'渠道充值成功率_底稿'!$A:$A,$A134,'渠道充值成功率_底稿'!$B:$B,H$1)</f>
        <v>0</v>
      </c>
      <c r="I134" s="9">
        <f>SUMIFS('渠道充值成功率_底稿'!$C:$C,'渠道充值成功率_底稿'!$A:$A,$A134,'渠道充值成功率_底稿'!$B:$B,I$1)</f>
        <v>0</v>
      </c>
      <c r="J134" s="9">
        <f>SUMIFS('渠道充值成功率_底稿'!$C:$C,'渠道充值成功率_底稿'!$A:$A,$A134,'渠道充值成功率_底稿'!$B:$B,J$1)</f>
        <v>0</v>
      </c>
      <c r="K134" s="9">
        <f>SUMIFS('渠道充值成功率_底稿'!$C:$C,'渠道充值成功率_底稿'!$A:$A,$A134,'渠道充值成功率_底稿'!$B:$B,K$1)</f>
        <v>0</v>
      </c>
      <c r="L134" s="10">
        <f>SUMIFS('渠道充值成功率_底稿'!$C:$C,'渠道充值成功率_底稿'!$A:$A,$A134,'渠道充值成功率_底稿'!$B:$B,L$1)</f>
        <v>0</v>
      </c>
    </row>
    <row r="135">
      <c r="A135" s="6">
        <f>B134</f>
        <v>46104</v>
      </c>
      <c r="B135" s="11"/>
      <c r="C135" s="12" t="s">
        <v>12</v>
      </c>
      <c r="D135" s="13">
        <f>SUMIFS('渠道充值成功率_底稿'!$F:$F,'渠道充值成功率_底稿'!$A:$A,$A135,'渠道充值成功率_底稿'!$B:$B,D$1)</f>
        <v>0</v>
      </c>
      <c r="E135" s="13">
        <f>SUMIFS('渠道充值成功率_底稿'!$F:$F,'渠道充值成功率_底稿'!$A:$A,$A135,'渠道充值成功率_底稿'!$B:$B,E$1)</f>
        <v>0</v>
      </c>
      <c r="F135" s="13">
        <f>SUMIFS('渠道充值成功率_底稿'!$F:$F,'渠道充值成功率_底稿'!$A:$A,$A135,'渠道充值成功率_底稿'!$B:$B,F$1)</f>
        <v>0</v>
      </c>
      <c r="G135" s="13">
        <f>SUMIFS('渠道充值成功率_底稿'!$F:$F,'渠道充值成功率_底稿'!$A:$A,$A135,'渠道充值成功率_底稿'!$B:$B,G$1)</f>
        <v>0</v>
      </c>
      <c r="H135" s="13">
        <f>SUMIFS('渠道充值成功率_底稿'!$F:$F,'渠道充值成功率_底稿'!$A:$A,$A135,'渠道充值成功率_底稿'!$B:$B,H$1)</f>
        <v>0</v>
      </c>
      <c r="I135" s="13">
        <f>SUMIFS('渠道充值成功率_底稿'!$F:$F,'渠道充值成功率_底稿'!$A:$A,$A135,'渠道充值成功率_底稿'!$B:$B,I$1)</f>
        <v>0</v>
      </c>
      <c r="J135" s="13">
        <f>SUMIFS('渠道充值成功率_底稿'!$F:$F,'渠道充值成功率_底稿'!$A:$A,$A135,'渠道充值成功率_底稿'!$B:$B,J$1)</f>
        <v>0</v>
      </c>
      <c r="K135" s="13">
        <f>SUMIFS('渠道充值成功率_底稿'!$F:$F,'渠道充值成功率_底稿'!$A:$A,$A135,'渠道充值成功率_底稿'!$B:$B,K$1)</f>
        <v>0</v>
      </c>
      <c r="L135" s="14">
        <f>SUMIFS('渠道充值成功率_底稿'!$F:$F,'渠道充值成功率_底稿'!$A:$A,$A135,'渠道充值成功率_底稿'!$B:$B,L$1)</f>
        <v>0</v>
      </c>
    </row>
    <row r="136">
      <c r="A136" s="6">
        <f>B134</f>
        <v>46104</v>
      </c>
      <c r="B136" s="11"/>
      <c r="C136" s="15" t="s">
        <v>13</v>
      </c>
      <c r="D136" s="16" t="str">
        <f t="shared" ref="D136:L136" si="45">IFERROR(ROUND(D135/D134,6),"0")</f>
        <v>0</v>
      </c>
      <c r="E136" s="16" t="str">
        <f t="shared" si="45"/>
        <v>0</v>
      </c>
      <c r="F136" s="16" t="str">
        <f t="shared" si="45"/>
        <v>0</v>
      </c>
      <c r="G136" s="16" t="str">
        <f t="shared" si="45"/>
        <v>0</v>
      </c>
      <c r="H136" s="16" t="str">
        <f t="shared" si="45"/>
        <v>0</v>
      </c>
      <c r="I136" s="16" t="str">
        <f t="shared" si="45"/>
        <v>0</v>
      </c>
      <c r="J136" s="16" t="str">
        <f t="shared" si="45"/>
        <v>0</v>
      </c>
      <c r="K136" s="16" t="str">
        <f t="shared" si="45"/>
        <v>0</v>
      </c>
      <c r="L136" s="17" t="str">
        <f t="shared" si="45"/>
        <v>0</v>
      </c>
    </row>
    <row r="137">
      <c r="A137" s="6">
        <f>A134</f>
        <v>46104</v>
      </c>
      <c r="B137" s="11"/>
      <c r="C137" s="12" t="s">
        <v>14</v>
      </c>
      <c r="D137" s="18">
        <f>SUMIFS('渠道充值成功率_底稿'!$D:$D,'渠道充值成功率_底稿'!$A:$A,$A138,'渠道充值成功率_底稿'!$B:$B,D$1)</f>
        <v>0</v>
      </c>
      <c r="E137" s="18">
        <f>SUMIFS('渠道充值成功率_底稿'!$D:$D,'渠道充值成功率_底稿'!$A:$A,$A137,'渠道充值成功率_底稿'!$B:$B,E$1)</f>
        <v>0</v>
      </c>
      <c r="F137" s="18">
        <f>SUMIFS('渠道充值成功率_底稿'!$D:$D,'渠道充值成功率_底稿'!$A:$A,$A137,'渠道充值成功率_底稿'!$B:$B,F$1)</f>
        <v>0</v>
      </c>
      <c r="G137" s="18">
        <f>SUMIFS('渠道充值成功率_底稿'!$D:$D,'渠道充值成功率_底稿'!$A:$A,$A137,'渠道充值成功率_底稿'!$B:$B,G$1)</f>
        <v>0</v>
      </c>
      <c r="H137" s="18">
        <f>SUMIFS('渠道充值成功率_底稿'!$D:$D,'渠道充值成功率_底稿'!$A:$A,$A137,'渠道充值成功率_底稿'!$B:$B,H$1)</f>
        <v>0</v>
      </c>
      <c r="I137" s="18">
        <f>SUMIFS('渠道充值成功率_底稿'!$D:$D,'渠道充值成功率_底稿'!$A:$A,$A137,'渠道充值成功率_底稿'!$B:$B,I$1)</f>
        <v>0</v>
      </c>
      <c r="J137" s="18">
        <f>SUMIFS('渠道充值成功率_底稿'!$D:$D,'渠道充值成功率_底稿'!$A:$A,$A137,'渠道充值成功率_底稿'!$B:$B,J$1)</f>
        <v>0</v>
      </c>
      <c r="K137" s="18">
        <f>SUMIFS('渠道充值成功率_底稿'!$D:$D,'渠道充值成功率_底稿'!$A:$A,$A137,'渠道充值成功率_底稿'!$B:$B,K$1)</f>
        <v>0</v>
      </c>
      <c r="L137" s="14">
        <f>SUMIFS('渠道充值成功率_底稿'!$D:$D,'渠道充值成功率_底稿'!$A:$A,$A137,'渠道充值成功率_底稿'!$B:$B,L$1)</f>
        <v>0</v>
      </c>
    </row>
    <row r="138">
      <c r="A138" s="6">
        <f>B134</f>
        <v>46104</v>
      </c>
      <c r="B138" s="11"/>
      <c r="C138" s="19" t="s">
        <v>15</v>
      </c>
      <c r="D138" s="18">
        <f>SUMIFS('渠道充值成功率_底稿'!$G:$G,'渠道充值成功率_底稿'!$A:$A,$A139,'渠道充值成功率_底稿'!$B:$B,D$1)</f>
        <v>0</v>
      </c>
      <c r="E138" s="18">
        <f>SUMIFS('渠道充值成功率_底稿'!$G:$G,'渠道充值成功率_底稿'!$A:$A,$A138,'渠道充值成功率_底稿'!$B:$B,E$1)</f>
        <v>0</v>
      </c>
      <c r="F138" s="18">
        <f>SUMIFS('渠道充值成功率_底稿'!$G:$G,'渠道充值成功率_底稿'!$A:$A,$A138,'渠道充值成功率_底稿'!$B:$B,F$1)</f>
        <v>0</v>
      </c>
      <c r="G138" s="18">
        <f>SUMIFS('渠道充值成功率_底稿'!$G:$G,'渠道充值成功率_底稿'!$A:$A,$A138,'渠道充值成功率_底稿'!$B:$B,G$1)</f>
        <v>0</v>
      </c>
      <c r="H138" s="18">
        <f>SUMIFS('渠道充值成功率_底稿'!$G:$G,'渠道充值成功率_底稿'!$A:$A,$A138,'渠道充值成功率_底稿'!$B:$B,H$1)</f>
        <v>0</v>
      </c>
      <c r="I138" s="18">
        <f>SUMIFS('渠道充值成功率_底稿'!$G:$G,'渠道充值成功率_底稿'!$A:$A,$A138,'渠道充值成功率_底稿'!$B:$B,I$1)</f>
        <v>0</v>
      </c>
      <c r="J138" s="18">
        <f>SUMIFS('渠道充值成功率_底稿'!$G:$G,'渠道充值成功率_底稿'!$A:$A,$A138,'渠道充值成功率_底稿'!$B:$B,J$1)</f>
        <v>0</v>
      </c>
      <c r="K138" s="18">
        <f>SUMIFS('渠道充值成功率_底稿'!$G:$G,'渠道充值成功率_底稿'!$A:$A,$A138,'渠道充值成功率_底稿'!$B:$B,K$1)</f>
        <v>0</v>
      </c>
      <c r="L138" s="14">
        <f>SUMIFS('渠道充值成功率_底稿'!$G:$G,'渠道充值成功率_底稿'!$A:$A,$A138,'渠道充值成功率_底稿'!$B:$B,L$1)</f>
        <v>0</v>
      </c>
    </row>
    <row r="139">
      <c r="A139" s="6">
        <f>B134</f>
        <v>46104</v>
      </c>
      <c r="B139" s="20"/>
      <c r="C139" s="21" t="s">
        <v>16</v>
      </c>
      <c r="D139" s="22" t="str">
        <f t="shared" ref="D139:L139" si="46">IFERROR(ROUND(D138/D137,6),"0")</f>
        <v>0</v>
      </c>
      <c r="E139" s="22" t="str">
        <f t="shared" si="46"/>
        <v>0</v>
      </c>
      <c r="F139" s="22" t="str">
        <f t="shared" si="46"/>
        <v>0</v>
      </c>
      <c r="G139" s="22" t="str">
        <f t="shared" si="46"/>
        <v>0</v>
      </c>
      <c r="H139" s="22" t="str">
        <f t="shared" si="46"/>
        <v>0</v>
      </c>
      <c r="I139" s="22" t="str">
        <f t="shared" si="46"/>
        <v>0</v>
      </c>
      <c r="J139" s="22" t="str">
        <f t="shared" si="46"/>
        <v>0</v>
      </c>
      <c r="K139" s="22" t="str">
        <f t="shared" si="46"/>
        <v>0</v>
      </c>
      <c r="L139" s="23" t="str">
        <f t="shared" si="46"/>
        <v>0</v>
      </c>
    </row>
    <row r="140">
      <c r="A140" s="6">
        <f>B140</f>
        <v>46105</v>
      </c>
      <c r="B140" s="7">
        <f>B134+1</f>
        <v>46105</v>
      </c>
      <c r="C140" s="8" t="s">
        <v>11</v>
      </c>
      <c r="D140" s="9">
        <f>SUMIFS('渠道充值成功率_底稿'!$C:$C,'渠道充值成功率_底稿'!$A:$A,$A140,'渠道充值成功率_底稿'!$B:$B,D$1)</f>
        <v>0</v>
      </c>
      <c r="E140" s="9">
        <f>SUMIFS('渠道充值成功率_底稿'!$C:$C,'渠道充值成功率_底稿'!$A:$A,$A140,'渠道充值成功率_底稿'!$B:$B,E$1)</f>
        <v>0</v>
      </c>
      <c r="F140" s="9">
        <f>SUMIFS('渠道充值成功率_底稿'!$C:$C,'渠道充值成功率_底稿'!$A:$A,$A140,'渠道充值成功率_底稿'!$B:$B,F$1)</f>
        <v>0</v>
      </c>
      <c r="G140" s="9">
        <f>SUMIFS('渠道充值成功率_底稿'!$C:$C,'渠道充值成功率_底稿'!$A:$A,$A140,'渠道充值成功率_底稿'!$B:$B,G$1)</f>
        <v>0</v>
      </c>
      <c r="H140" s="9">
        <f>SUMIFS('渠道充值成功率_底稿'!$C:$C,'渠道充值成功率_底稿'!$A:$A,$A140,'渠道充值成功率_底稿'!$B:$B,H$1)</f>
        <v>0</v>
      </c>
      <c r="I140" s="9">
        <f>SUMIFS('渠道充值成功率_底稿'!$C:$C,'渠道充值成功率_底稿'!$A:$A,$A140,'渠道充值成功率_底稿'!$B:$B,I$1)</f>
        <v>0</v>
      </c>
      <c r="J140" s="9">
        <f>SUMIFS('渠道充值成功率_底稿'!$C:$C,'渠道充值成功率_底稿'!$A:$A,$A140,'渠道充值成功率_底稿'!$B:$B,J$1)</f>
        <v>0</v>
      </c>
      <c r="K140" s="9">
        <f>SUMIFS('渠道充值成功率_底稿'!$C:$C,'渠道充值成功率_底稿'!$A:$A,$A140,'渠道充值成功率_底稿'!$B:$B,K$1)</f>
        <v>0</v>
      </c>
      <c r="L140" s="10">
        <f>SUMIFS('渠道充值成功率_底稿'!$C:$C,'渠道充值成功率_底稿'!$A:$A,$A140,'渠道充值成功率_底稿'!$B:$B,L$1)</f>
        <v>0</v>
      </c>
    </row>
    <row r="141">
      <c r="A141" s="6">
        <f>B140</f>
        <v>46105</v>
      </c>
      <c r="B141" s="11"/>
      <c r="C141" s="12" t="s">
        <v>12</v>
      </c>
      <c r="D141" s="13">
        <f>SUMIFS('渠道充值成功率_底稿'!$F:$F,'渠道充值成功率_底稿'!$A:$A,$A141,'渠道充值成功率_底稿'!$B:$B,D$1)</f>
        <v>0</v>
      </c>
      <c r="E141" s="13">
        <f>SUMIFS('渠道充值成功率_底稿'!$F:$F,'渠道充值成功率_底稿'!$A:$A,$A141,'渠道充值成功率_底稿'!$B:$B,E$1)</f>
        <v>0</v>
      </c>
      <c r="F141" s="13">
        <f>SUMIFS('渠道充值成功率_底稿'!$F:$F,'渠道充值成功率_底稿'!$A:$A,$A141,'渠道充值成功率_底稿'!$B:$B,F$1)</f>
        <v>0</v>
      </c>
      <c r="G141" s="13">
        <f>SUMIFS('渠道充值成功率_底稿'!$F:$F,'渠道充值成功率_底稿'!$A:$A,$A141,'渠道充值成功率_底稿'!$B:$B,G$1)</f>
        <v>0</v>
      </c>
      <c r="H141" s="13">
        <f>SUMIFS('渠道充值成功率_底稿'!$F:$F,'渠道充值成功率_底稿'!$A:$A,$A141,'渠道充值成功率_底稿'!$B:$B,H$1)</f>
        <v>0</v>
      </c>
      <c r="I141" s="13">
        <f>SUMIFS('渠道充值成功率_底稿'!$F:$F,'渠道充值成功率_底稿'!$A:$A,$A141,'渠道充值成功率_底稿'!$B:$B,I$1)</f>
        <v>0</v>
      </c>
      <c r="J141" s="13">
        <f>SUMIFS('渠道充值成功率_底稿'!$F:$F,'渠道充值成功率_底稿'!$A:$A,$A141,'渠道充值成功率_底稿'!$B:$B,J$1)</f>
        <v>0</v>
      </c>
      <c r="K141" s="13">
        <f>SUMIFS('渠道充值成功率_底稿'!$F:$F,'渠道充值成功率_底稿'!$A:$A,$A141,'渠道充值成功率_底稿'!$B:$B,K$1)</f>
        <v>0</v>
      </c>
      <c r="L141" s="14">
        <f>SUMIFS('渠道充值成功率_底稿'!$F:$F,'渠道充值成功率_底稿'!$A:$A,$A141,'渠道充值成功率_底稿'!$B:$B,L$1)</f>
        <v>0</v>
      </c>
    </row>
    <row r="142">
      <c r="A142" s="6">
        <f>B140</f>
        <v>46105</v>
      </c>
      <c r="B142" s="11"/>
      <c r="C142" s="15" t="s">
        <v>13</v>
      </c>
      <c r="D142" s="16" t="str">
        <f t="shared" ref="D142:L142" si="47">IFERROR(ROUND(D141/D140,6),"0")</f>
        <v>0</v>
      </c>
      <c r="E142" s="16" t="str">
        <f t="shared" si="47"/>
        <v>0</v>
      </c>
      <c r="F142" s="16" t="str">
        <f t="shared" si="47"/>
        <v>0</v>
      </c>
      <c r="G142" s="16" t="str">
        <f t="shared" si="47"/>
        <v>0</v>
      </c>
      <c r="H142" s="16" t="str">
        <f t="shared" si="47"/>
        <v>0</v>
      </c>
      <c r="I142" s="16" t="str">
        <f t="shared" si="47"/>
        <v>0</v>
      </c>
      <c r="J142" s="16" t="str">
        <f t="shared" si="47"/>
        <v>0</v>
      </c>
      <c r="K142" s="16" t="str">
        <f t="shared" si="47"/>
        <v>0</v>
      </c>
      <c r="L142" s="17" t="str">
        <f t="shared" si="47"/>
        <v>0</v>
      </c>
    </row>
    <row r="143">
      <c r="A143" s="6">
        <f>B140</f>
        <v>46105</v>
      </c>
      <c r="B143" s="11"/>
      <c r="C143" s="12" t="s">
        <v>14</v>
      </c>
      <c r="D143" s="18">
        <f>SUMIFS('渠道充值成功率_底稿'!$D:$D,'渠道充值成功率_底稿'!$A:$A,$A144,'渠道充值成功率_底稿'!$B:$B,D$1)</f>
        <v>0</v>
      </c>
      <c r="E143" s="18">
        <f>SUMIFS('渠道充值成功率_底稿'!$D:$D,'渠道充值成功率_底稿'!$A:$A,$A143,'渠道充值成功率_底稿'!$B:$B,E$1)</f>
        <v>0</v>
      </c>
      <c r="F143" s="18">
        <f>SUMIFS('渠道充值成功率_底稿'!$D:$D,'渠道充值成功率_底稿'!$A:$A,$A143,'渠道充值成功率_底稿'!$B:$B,F$1)</f>
        <v>0</v>
      </c>
      <c r="G143" s="18">
        <f>SUMIFS('渠道充值成功率_底稿'!$D:$D,'渠道充值成功率_底稿'!$A:$A,$A143,'渠道充值成功率_底稿'!$B:$B,G$1)</f>
        <v>0</v>
      </c>
      <c r="H143" s="18">
        <f>SUMIFS('渠道充值成功率_底稿'!$D:$D,'渠道充值成功率_底稿'!$A:$A,$A143,'渠道充值成功率_底稿'!$B:$B,H$1)</f>
        <v>0</v>
      </c>
      <c r="I143" s="18">
        <f>SUMIFS('渠道充值成功率_底稿'!$D:$D,'渠道充值成功率_底稿'!$A:$A,$A143,'渠道充值成功率_底稿'!$B:$B,I$1)</f>
        <v>0</v>
      </c>
      <c r="J143" s="18">
        <f>SUMIFS('渠道充值成功率_底稿'!$D:$D,'渠道充值成功率_底稿'!$A:$A,$A143,'渠道充值成功率_底稿'!$B:$B,J$1)</f>
        <v>0</v>
      </c>
      <c r="K143" s="18">
        <f>SUMIFS('渠道充值成功率_底稿'!$D:$D,'渠道充值成功率_底稿'!$A:$A,$A143,'渠道充值成功率_底稿'!$B:$B,K$1)</f>
        <v>0</v>
      </c>
      <c r="L143" s="14">
        <f>SUMIFS('渠道充值成功率_底稿'!$D:$D,'渠道充值成功率_底稿'!$A:$A,$A143,'渠道充值成功率_底稿'!$B:$B,L$1)</f>
        <v>0</v>
      </c>
    </row>
    <row r="144">
      <c r="A144" s="6">
        <f>B140</f>
        <v>46105</v>
      </c>
      <c r="B144" s="11"/>
      <c r="C144" s="19" t="s">
        <v>15</v>
      </c>
      <c r="D144" s="18">
        <f>SUMIFS('渠道充值成功率_底稿'!$G:$G,'渠道充值成功率_底稿'!$A:$A,$A145,'渠道充值成功率_底稿'!$B:$B,D$1)</f>
        <v>0</v>
      </c>
      <c r="E144" s="18">
        <f>SUMIFS('渠道充值成功率_底稿'!$G:$G,'渠道充值成功率_底稿'!$A:$A,$A144,'渠道充值成功率_底稿'!$B:$B,E$1)</f>
        <v>0</v>
      </c>
      <c r="F144" s="18">
        <f>SUMIFS('渠道充值成功率_底稿'!$G:$G,'渠道充值成功率_底稿'!$A:$A,$A144,'渠道充值成功率_底稿'!$B:$B,F$1)</f>
        <v>0</v>
      </c>
      <c r="G144" s="18">
        <f>SUMIFS('渠道充值成功率_底稿'!$G:$G,'渠道充值成功率_底稿'!$A:$A,$A144,'渠道充值成功率_底稿'!$B:$B,G$1)</f>
        <v>0</v>
      </c>
      <c r="H144" s="18">
        <f>SUMIFS('渠道充值成功率_底稿'!$G:$G,'渠道充值成功率_底稿'!$A:$A,$A144,'渠道充值成功率_底稿'!$B:$B,H$1)</f>
        <v>0</v>
      </c>
      <c r="I144" s="18">
        <f>SUMIFS('渠道充值成功率_底稿'!$G:$G,'渠道充值成功率_底稿'!$A:$A,$A144,'渠道充值成功率_底稿'!$B:$B,I$1)</f>
        <v>0</v>
      </c>
      <c r="J144" s="18">
        <f>SUMIFS('渠道充值成功率_底稿'!$G:$G,'渠道充值成功率_底稿'!$A:$A,$A144,'渠道充值成功率_底稿'!$B:$B,J$1)</f>
        <v>0</v>
      </c>
      <c r="K144" s="18">
        <f>SUMIFS('渠道充值成功率_底稿'!$G:$G,'渠道充值成功率_底稿'!$A:$A,$A144,'渠道充值成功率_底稿'!$B:$B,K$1)</f>
        <v>0</v>
      </c>
      <c r="L144" s="14">
        <f>SUMIFS('渠道充值成功率_底稿'!$G:$G,'渠道充值成功率_底稿'!$A:$A,$A144,'渠道充值成功率_底稿'!$B:$B,L$1)</f>
        <v>0</v>
      </c>
    </row>
    <row r="145">
      <c r="A145" s="6">
        <f>B140</f>
        <v>46105</v>
      </c>
      <c r="B145" s="20"/>
      <c r="C145" s="21" t="s">
        <v>16</v>
      </c>
      <c r="D145" s="22" t="str">
        <f t="shared" ref="D145:L145" si="48">IFERROR(ROUND(D144/D143,6),"0")</f>
        <v>0</v>
      </c>
      <c r="E145" s="22" t="str">
        <f t="shared" si="48"/>
        <v>0</v>
      </c>
      <c r="F145" s="22" t="str">
        <f t="shared" si="48"/>
        <v>0</v>
      </c>
      <c r="G145" s="22" t="str">
        <f t="shared" si="48"/>
        <v>0</v>
      </c>
      <c r="H145" s="22" t="str">
        <f t="shared" si="48"/>
        <v>0</v>
      </c>
      <c r="I145" s="22" t="str">
        <f t="shared" si="48"/>
        <v>0</v>
      </c>
      <c r="J145" s="22" t="str">
        <f t="shared" si="48"/>
        <v>0</v>
      </c>
      <c r="K145" s="22" t="str">
        <f t="shared" si="48"/>
        <v>0</v>
      </c>
      <c r="L145" s="23" t="str">
        <f t="shared" si="48"/>
        <v>0</v>
      </c>
    </row>
    <row r="146">
      <c r="A146" s="6">
        <f>B146</f>
        <v>46106</v>
      </c>
      <c r="B146" s="7">
        <f>B140+1</f>
        <v>46106</v>
      </c>
      <c r="C146" s="8" t="s">
        <v>11</v>
      </c>
      <c r="D146" s="9">
        <f>SUMIFS('渠道充值成功率_底稿'!$C:$C,'渠道充值成功率_底稿'!$A:$A,$A146,'渠道充值成功率_底稿'!$B:$B,D$1)</f>
        <v>0</v>
      </c>
      <c r="E146" s="9">
        <f>SUMIFS('渠道充值成功率_底稿'!$C:$C,'渠道充值成功率_底稿'!$A:$A,$A146,'渠道充值成功率_底稿'!$B:$B,E$1)</f>
        <v>0</v>
      </c>
      <c r="F146" s="9">
        <f>SUMIFS('渠道充值成功率_底稿'!$C:$C,'渠道充值成功率_底稿'!$A:$A,$A146,'渠道充值成功率_底稿'!$B:$B,F$1)</f>
        <v>0</v>
      </c>
      <c r="G146" s="9">
        <f>SUMIFS('渠道充值成功率_底稿'!$C:$C,'渠道充值成功率_底稿'!$A:$A,$A146,'渠道充值成功率_底稿'!$B:$B,G$1)</f>
        <v>0</v>
      </c>
      <c r="H146" s="9">
        <f>SUMIFS('渠道充值成功率_底稿'!$C:$C,'渠道充值成功率_底稿'!$A:$A,$A146,'渠道充值成功率_底稿'!$B:$B,H$1)</f>
        <v>0</v>
      </c>
      <c r="I146" s="9">
        <f>SUMIFS('渠道充值成功率_底稿'!$C:$C,'渠道充值成功率_底稿'!$A:$A,$A146,'渠道充值成功率_底稿'!$B:$B,I$1)</f>
        <v>0</v>
      </c>
      <c r="J146" s="9">
        <f>SUMIFS('渠道充值成功率_底稿'!$C:$C,'渠道充值成功率_底稿'!$A:$A,$A146,'渠道充值成功率_底稿'!$B:$B,J$1)</f>
        <v>0</v>
      </c>
      <c r="K146" s="9">
        <f>SUMIFS('渠道充值成功率_底稿'!$C:$C,'渠道充值成功率_底稿'!$A:$A,$A146,'渠道充值成功率_底稿'!$B:$B,K$1)</f>
        <v>0</v>
      </c>
      <c r="L146" s="10">
        <f>SUMIFS('渠道充值成功率_底稿'!$C:$C,'渠道充值成功率_底稿'!$A:$A,$A146,'渠道充值成功率_底稿'!$B:$B,L$1)</f>
        <v>0</v>
      </c>
    </row>
    <row r="147">
      <c r="A147" s="6">
        <f>B146</f>
        <v>46106</v>
      </c>
      <c r="B147" s="11"/>
      <c r="C147" s="12" t="s">
        <v>12</v>
      </c>
      <c r="D147" s="13">
        <f>SUMIFS('渠道充值成功率_底稿'!$F:$F,'渠道充值成功率_底稿'!$A:$A,$A147,'渠道充值成功率_底稿'!$B:$B,D$1)</f>
        <v>0</v>
      </c>
      <c r="E147" s="13">
        <f>SUMIFS('渠道充值成功率_底稿'!$F:$F,'渠道充值成功率_底稿'!$A:$A,$A147,'渠道充值成功率_底稿'!$B:$B,E$1)</f>
        <v>0</v>
      </c>
      <c r="F147" s="13">
        <f>SUMIFS('渠道充值成功率_底稿'!$F:$F,'渠道充值成功率_底稿'!$A:$A,$A147,'渠道充值成功率_底稿'!$B:$B,F$1)</f>
        <v>0</v>
      </c>
      <c r="G147" s="13">
        <f>SUMIFS('渠道充值成功率_底稿'!$F:$F,'渠道充值成功率_底稿'!$A:$A,$A147,'渠道充值成功率_底稿'!$B:$B,G$1)</f>
        <v>0</v>
      </c>
      <c r="H147" s="13">
        <f>SUMIFS('渠道充值成功率_底稿'!$F:$F,'渠道充值成功率_底稿'!$A:$A,$A147,'渠道充值成功率_底稿'!$B:$B,H$1)</f>
        <v>0</v>
      </c>
      <c r="I147" s="13">
        <f>SUMIFS('渠道充值成功率_底稿'!$F:$F,'渠道充值成功率_底稿'!$A:$A,$A147,'渠道充值成功率_底稿'!$B:$B,I$1)</f>
        <v>0</v>
      </c>
      <c r="J147" s="13">
        <f>SUMIFS('渠道充值成功率_底稿'!$F:$F,'渠道充值成功率_底稿'!$A:$A,$A147,'渠道充值成功率_底稿'!$B:$B,J$1)</f>
        <v>0</v>
      </c>
      <c r="K147" s="13">
        <f>SUMIFS('渠道充值成功率_底稿'!$F:$F,'渠道充值成功率_底稿'!$A:$A,$A147,'渠道充值成功率_底稿'!$B:$B,K$1)</f>
        <v>0</v>
      </c>
      <c r="L147" s="14">
        <f>SUMIFS('渠道充值成功率_底稿'!$F:$F,'渠道充值成功率_底稿'!$A:$A,$A147,'渠道充值成功率_底稿'!$B:$B,L$1)</f>
        <v>0</v>
      </c>
    </row>
    <row r="148">
      <c r="A148" s="6">
        <f>B146</f>
        <v>46106</v>
      </c>
      <c r="B148" s="11"/>
      <c r="C148" s="15" t="s">
        <v>13</v>
      </c>
      <c r="D148" s="16" t="str">
        <f t="shared" ref="D148:L148" si="49">IFERROR(ROUND(D147/D146,6),"0")</f>
        <v>0</v>
      </c>
      <c r="E148" s="16" t="str">
        <f t="shared" si="49"/>
        <v>0</v>
      </c>
      <c r="F148" s="16" t="str">
        <f t="shared" si="49"/>
        <v>0</v>
      </c>
      <c r="G148" s="16" t="str">
        <f t="shared" si="49"/>
        <v>0</v>
      </c>
      <c r="H148" s="16" t="str">
        <f t="shared" si="49"/>
        <v>0</v>
      </c>
      <c r="I148" s="16" t="str">
        <f t="shared" si="49"/>
        <v>0</v>
      </c>
      <c r="J148" s="16" t="str">
        <f t="shared" si="49"/>
        <v>0</v>
      </c>
      <c r="K148" s="16" t="str">
        <f t="shared" si="49"/>
        <v>0</v>
      </c>
      <c r="L148" s="17" t="str">
        <f t="shared" si="49"/>
        <v>0</v>
      </c>
    </row>
    <row r="149">
      <c r="A149" s="6">
        <f>B146</f>
        <v>46106</v>
      </c>
      <c r="B149" s="11"/>
      <c r="C149" s="12" t="s">
        <v>14</v>
      </c>
      <c r="D149" s="18">
        <f>SUMIFS('渠道充值成功率_底稿'!$D:$D,'渠道充值成功率_底稿'!$A:$A,$A150,'渠道充值成功率_底稿'!$B:$B,D$1)</f>
        <v>0</v>
      </c>
      <c r="E149" s="18">
        <f>SUMIFS('渠道充值成功率_底稿'!$D:$D,'渠道充值成功率_底稿'!$A:$A,$A149,'渠道充值成功率_底稿'!$B:$B,E$1)</f>
        <v>0</v>
      </c>
      <c r="F149" s="18">
        <f>SUMIFS('渠道充值成功率_底稿'!$D:$D,'渠道充值成功率_底稿'!$A:$A,$A149,'渠道充值成功率_底稿'!$B:$B,F$1)</f>
        <v>0</v>
      </c>
      <c r="G149" s="18">
        <f>SUMIFS('渠道充值成功率_底稿'!$D:$D,'渠道充值成功率_底稿'!$A:$A,$A149,'渠道充值成功率_底稿'!$B:$B,G$1)</f>
        <v>0</v>
      </c>
      <c r="H149" s="18">
        <f>SUMIFS('渠道充值成功率_底稿'!$D:$D,'渠道充值成功率_底稿'!$A:$A,$A149,'渠道充值成功率_底稿'!$B:$B,H$1)</f>
        <v>0</v>
      </c>
      <c r="I149" s="18">
        <f>SUMIFS('渠道充值成功率_底稿'!$D:$D,'渠道充值成功率_底稿'!$A:$A,$A149,'渠道充值成功率_底稿'!$B:$B,I$1)</f>
        <v>0</v>
      </c>
      <c r="J149" s="18">
        <f>SUMIFS('渠道充值成功率_底稿'!$D:$D,'渠道充值成功率_底稿'!$A:$A,$A149,'渠道充值成功率_底稿'!$B:$B,J$1)</f>
        <v>0</v>
      </c>
      <c r="K149" s="18">
        <f>SUMIFS('渠道充值成功率_底稿'!$D:$D,'渠道充值成功率_底稿'!$A:$A,$A149,'渠道充值成功率_底稿'!$B:$B,K$1)</f>
        <v>0</v>
      </c>
      <c r="L149" s="14">
        <f>SUMIFS('渠道充值成功率_底稿'!$D:$D,'渠道充值成功率_底稿'!$A:$A,$A149,'渠道充值成功率_底稿'!$B:$B,L$1)</f>
        <v>0</v>
      </c>
    </row>
    <row r="150">
      <c r="A150" s="6">
        <f>B146</f>
        <v>46106</v>
      </c>
      <c r="B150" s="11"/>
      <c r="C150" s="19" t="s">
        <v>15</v>
      </c>
      <c r="D150" s="18">
        <f>SUMIFS('渠道充值成功率_底稿'!$G:$G,'渠道充值成功率_底稿'!$A:$A,$A151,'渠道充值成功率_底稿'!$B:$B,D$1)</f>
        <v>0</v>
      </c>
      <c r="E150" s="18">
        <f>SUMIFS('渠道充值成功率_底稿'!$G:$G,'渠道充值成功率_底稿'!$A:$A,$A150,'渠道充值成功率_底稿'!$B:$B,E$1)</f>
        <v>0</v>
      </c>
      <c r="F150" s="18">
        <f>SUMIFS('渠道充值成功率_底稿'!$G:$G,'渠道充值成功率_底稿'!$A:$A,$A150,'渠道充值成功率_底稿'!$B:$B,F$1)</f>
        <v>0</v>
      </c>
      <c r="G150" s="18">
        <f>SUMIFS('渠道充值成功率_底稿'!$G:$G,'渠道充值成功率_底稿'!$A:$A,$A150,'渠道充值成功率_底稿'!$B:$B,G$1)</f>
        <v>0</v>
      </c>
      <c r="H150" s="18">
        <f>SUMIFS('渠道充值成功率_底稿'!$G:$G,'渠道充值成功率_底稿'!$A:$A,$A150,'渠道充值成功率_底稿'!$B:$B,H$1)</f>
        <v>0</v>
      </c>
      <c r="I150" s="18">
        <f>SUMIFS('渠道充值成功率_底稿'!$G:$G,'渠道充值成功率_底稿'!$A:$A,$A150,'渠道充值成功率_底稿'!$B:$B,I$1)</f>
        <v>0</v>
      </c>
      <c r="J150" s="18">
        <f>SUMIFS('渠道充值成功率_底稿'!$G:$G,'渠道充值成功率_底稿'!$A:$A,$A150,'渠道充值成功率_底稿'!$B:$B,J$1)</f>
        <v>0</v>
      </c>
      <c r="K150" s="18">
        <f>SUMIFS('渠道充值成功率_底稿'!$G:$G,'渠道充值成功率_底稿'!$A:$A,$A150,'渠道充值成功率_底稿'!$B:$B,K$1)</f>
        <v>0</v>
      </c>
      <c r="L150" s="14">
        <f>SUMIFS('渠道充值成功率_底稿'!$G:$G,'渠道充值成功率_底稿'!$A:$A,$A150,'渠道充值成功率_底稿'!$B:$B,L$1)</f>
        <v>0</v>
      </c>
    </row>
    <row r="151">
      <c r="A151" s="6">
        <f>B146</f>
        <v>46106</v>
      </c>
      <c r="B151" s="20"/>
      <c r="C151" s="21" t="s">
        <v>16</v>
      </c>
      <c r="D151" s="22" t="str">
        <f t="shared" ref="D151:L151" si="50">IFERROR(ROUND(D150/D149,6),"0")</f>
        <v>0</v>
      </c>
      <c r="E151" s="22" t="str">
        <f t="shared" si="50"/>
        <v>0</v>
      </c>
      <c r="F151" s="22" t="str">
        <f t="shared" si="50"/>
        <v>0</v>
      </c>
      <c r="G151" s="22" t="str">
        <f t="shared" si="50"/>
        <v>0</v>
      </c>
      <c r="H151" s="22" t="str">
        <f t="shared" si="50"/>
        <v>0</v>
      </c>
      <c r="I151" s="22" t="str">
        <f t="shared" si="50"/>
        <v>0</v>
      </c>
      <c r="J151" s="22" t="str">
        <f t="shared" si="50"/>
        <v>0</v>
      </c>
      <c r="K151" s="22" t="str">
        <f t="shared" si="50"/>
        <v>0</v>
      </c>
      <c r="L151" s="23" t="str">
        <f t="shared" si="50"/>
        <v>0</v>
      </c>
    </row>
    <row r="152">
      <c r="A152" s="6">
        <f>B152</f>
        <v>46107</v>
      </c>
      <c r="B152" s="7">
        <f>B146+1</f>
        <v>46107</v>
      </c>
      <c r="C152" s="8" t="s">
        <v>11</v>
      </c>
      <c r="D152" s="9">
        <f>SUMIFS('渠道充值成功率_底稿'!$C:$C,'渠道充值成功率_底稿'!$A:$A,$A152,'渠道充值成功率_底稿'!$B:$B,D$1)</f>
        <v>0</v>
      </c>
      <c r="E152" s="9">
        <f>SUMIFS('渠道充值成功率_底稿'!$C:$C,'渠道充值成功率_底稿'!$A:$A,$A152,'渠道充值成功率_底稿'!$B:$B,E$1)</f>
        <v>0</v>
      </c>
      <c r="F152" s="9">
        <f>SUMIFS('渠道充值成功率_底稿'!$C:$C,'渠道充值成功率_底稿'!$A:$A,$A152,'渠道充值成功率_底稿'!$B:$B,F$1)</f>
        <v>0</v>
      </c>
      <c r="G152" s="9">
        <f>SUMIFS('渠道充值成功率_底稿'!$C:$C,'渠道充值成功率_底稿'!$A:$A,$A152,'渠道充值成功率_底稿'!$B:$B,G$1)</f>
        <v>0</v>
      </c>
      <c r="H152" s="9">
        <f>SUMIFS('渠道充值成功率_底稿'!$C:$C,'渠道充值成功率_底稿'!$A:$A,$A152,'渠道充值成功率_底稿'!$B:$B,H$1)</f>
        <v>0</v>
      </c>
      <c r="I152" s="9">
        <f>SUMIFS('渠道充值成功率_底稿'!$C:$C,'渠道充值成功率_底稿'!$A:$A,$A152,'渠道充值成功率_底稿'!$B:$B,I$1)</f>
        <v>0</v>
      </c>
      <c r="J152" s="9">
        <f>SUMIFS('渠道充值成功率_底稿'!$C:$C,'渠道充值成功率_底稿'!$A:$A,$A152,'渠道充值成功率_底稿'!$B:$B,J$1)</f>
        <v>0</v>
      </c>
      <c r="K152" s="9">
        <f>SUMIFS('渠道充值成功率_底稿'!$C:$C,'渠道充值成功率_底稿'!$A:$A,$A152,'渠道充值成功率_底稿'!$B:$B,K$1)</f>
        <v>0</v>
      </c>
      <c r="L152" s="10">
        <f>SUMIFS('渠道充值成功率_底稿'!$C:$C,'渠道充值成功率_底稿'!$A:$A,$A152,'渠道充值成功率_底稿'!$B:$B,L$1)</f>
        <v>0</v>
      </c>
    </row>
    <row r="153">
      <c r="A153" s="6">
        <f>B152</f>
        <v>46107</v>
      </c>
      <c r="B153" s="11"/>
      <c r="C153" s="12" t="s">
        <v>12</v>
      </c>
      <c r="D153" s="13">
        <f>SUMIFS('渠道充值成功率_底稿'!$F:$F,'渠道充值成功率_底稿'!$A:$A,$A153,'渠道充值成功率_底稿'!$B:$B,D$1)</f>
        <v>0</v>
      </c>
      <c r="E153" s="13">
        <f>SUMIFS('渠道充值成功率_底稿'!$F:$F,'渠道充值成功率_底稿'!$A:$A,$A153,'渠道充值成功率_底稿'!$B:$B,E$1)</f>
        <v>0</v>
      </c>
      <c r="F153" s="13">
        <f>SUMIFS('渠道充值成功率_底稿'!$F:$F,'渠道充值成功率_底稿'!$A:$A,$A153,'渠道充值成功率_底稿'!$B:$B,F$1)</f>
        <v>0</v>
      </c>
      <c r="G153" s="13">
        <f>SUMIFS('渠道充值成功率_底稿'!$F:$F,'渠道充值成功率_底稿'!$A:$A,$A153,'渠道充值成功率_底稿'!$B:$B,G$1)</f>
        <v>0</v>
      </c>
      <c r="H153" s="13">
        <f>SUMIFS('渠道充值成功率_底稿'!$F:$F,'渠道充值成功率_底稿'!$A:$A,$A153,'渠道充值成功率_底稿'!$B:$B,H$1)</f>
        <v>0</v>
      </c>
      <c r="I153" s="13">
        <f>SUMIFS('渠道充值成功率_底稿'!$F:$F,'渠道充值成功率_底稿'!$A:$A,$A153,'渠道充值成功率_底稿'!$B:$B,I$1)</f>
        <v>0</v>
      </c>
      <c r="J153" s="13">
        <f>SUMIFS('渠道充值成功率_底稿'!$F:$F,'渠道充值成功率_底稿'!$A:$A,$A153,'渠道充值成功率_底稿'!$B:$B,J$1)</f>
        <v>0</v>
      </c>
      <c r="K153" s="13">
        <f>SUMIFS('渠道充值成功率_底稿'!$F:$F,'渠道充值成功率_底稿'!$A:$A,$A153,'渠道充值成功率_底稿'!$B:$B,K$1)</f>
        <v>0</v>
      </c>
      <c r="L153" s="14">
        <f>SUMIFS('渠道充值成功率_底稿'!$F:$F,'渠道充值成功率_底稿'!$A:$A,$A153,'渠道充值成功率_底稿'!$B:$B,L$1)</f>
        <v>0</v>
      </c>
    </row>
    <row r="154">
      <c r="A154" s="6">
        <f>B152</f>
        <v>46107</v>
      </c>
      <c r="B154" s="11"/>
      <c r="C154" s="15" t="s">
        <v>13</v>
      </c>
      <c r="D154" s="16" t="str">
        <f t="shared" ref="D154:L154" si="51">IFERROR(ROUND(D153/D152,6),"0")</f>
        <v>0</v>
      </c>
      <c r="E154" s="16" t="str">
        <f t="shared" si="51"/>
        <v>0</v>
      </c>
      <c r="F154" s="16" t="str">
        <f t="shared" si="51"/>
        <v>0</v>
      </c>
      <c r="G154" s="16" t="str">
        <f t="shared" si="51"/>
        <v>0</v>
      </c>
      <c r="H154" s="16" t="str">
        <f t="shared" si="51"/>
        <v>0</v>
      </c>
      <c r="I154" s="16" t="str">
        <f t="shared" si="51"/>
        <v>0</v>
      </c>
      <c r="J154" s="16" t="str">
        <f t="shared" si="51"/>
        <v>0</v>
      </c>
      <c r="K154" s="16" t="str">
        <f t="shared" si="51"/>
        <v>0</v>
      </c>
      <c r="L154" s="17" t="str">
        <f t="shared" si="51"/>
        <v>0</v>
      </c>
    </row>
    <row r="155">
      <c r="A155" s="6">
        <f>B152</f>
        <v>46107</v>
      </c>
      <c r="B155" s="11"/>
      <c r="C155" s="12" t="s">
        <v>14</v>
      </c>
      <c r="D155" s="18">
        <f>SUMIFS('渠道充值成功率_底稿'!$D:$D,'渠道充值成功率_底稿'!$A:$A,$A156,'渠道充值成功率_底稿'!$B:$B,D$1)</f>
        <v>0</v>
      </c>
      <c r="E155" s="18">
        <f>SUMIFS('渠道充值成功率_底稿'!$D:$D,'渠道充值成功率_底稿'!$A:$A,$A155,'渠道充值成功率_底稿'!$B:$B,E$1)</f>
        <v>0</v>
      </c>
      <c r="F155" s="18">
        <f>SUMIFS('渠道充值成功率_底稿'!$D:$D,'渠道充值成功率_底稿'!$A:$A,$A155,'渠道充值成功率_底稿'!$B:$B,F$1)</f>
        <v>0</v>
      </c>
      <c r="G155" s="18">
        <f>SUMIFS('渠道充值成功率_底稿'!$D:$D,'渠道充值成功率_底稿'!$A:$A,$A155,'渠道充值成功率_底稿'!$B:$B,G$1)</f>
        <v>0</v>
      </c>
      <c r="H155" s="18">
        <f>SUMIFS('渠道充值成功率_底稿'!$D:$D,'渠道充值成功率_底稿'!$A:$A,$A155,'渠道充值成功率_底稿'!$B:$B,H$1)</f>
        <v>0</v>
      </c>
      <c r="I155" s="18">
        <f>SUMIFS('渠道充值成功率_底稿'!$D:$D,'渠道充值成功率_底稿'!$A:$A,$A155,'渠道充值成功率_底稿'!$B:$B,I$1)</f>
        <v>0</v>
      </c>
      <c r="J155" s="18">
        <f>SUMIFS('渠道充值成功率_底稿'!$D:$D,'渠道充值成功率_底稿'!$A:$A,$A155,'渠道充值成功率_底稿'!$B:$B,J$1)</f>
        <v>0</v>
      </c>
      <c r="K155" s="18">
        <f>SUMIFS('渠道充值成功率_底稿'!$D:$D,'渠道充值成功率_底稿'!$A:$A,$A155,'渠道充值成功率_底稿'!$B:$B,K$1)</f>
        <v>0</v>
      </c>
      <c r="L155" s="14">
        <f>SUMIFS('渠道充值成功率_底稿'!$D:$D,'渠道充值成功率_底稿'!$A:$A,$A155,'渠道充值成功率_底稿'!$B:$B,L$1)</f>
        <v>0</v>
      </c>
    </row>
    <row r="156">
      <c r="A156" s="6">
        <f>B152</f>
        <v>46107</v>
      </c>
      <c r="B156" s="11"/>
      <c r="C156" s="19" t="s">
        <v>15</v>
      </c>
      <c r="D156" s="18">
        <f>SUMIFS('渠道充值成功率_底稿'!$G:$G,'渠道充值成功率_底稿'!$A:$A,$A157,'渠道充值成功率_底稿'!$B:$B,D$1)</f>
        <v>0</v>
      </c>
      <c r="E156" s="18">
        <f>SUMIFS('渠道充值成功率_底稿'!$G:$G,'渠道充值成功率_底稿'!$A:$A,$A156,'渠道充值成功率_底稿'!$B:$B,E$1)</f>
        <v>0</v>
      </c>
      <c r="F156" s="18">
        <f>SUMIFS('渠道充值成功率_底稿'!$G:$G,'渠道充值成功率_底稿'!$A:$A,$A156,'渠道充值成功率_底稿'!$B:$B,F$1)</f>
        <v>0</v>
      </c>
      <c r="G156" s="18">
        <f>SUMIFS('渠道充值成功率_底稿'!$G:$G,'渠道充值成功率_底稿'!$A:$A,$A156,'渠道充值成功率_底稿'!$B:$B,G$1)</f>
        <v>0</v>
      </c>
      <c r="H156" s="18">
        <f>SUMIFS('渠道充值成功率_底稿'!$G:$G,'渠道充值成功率_底稿'!$A:$A,$A156,'渠道充值成功率_底稿'!$B:$B,H$1)</f>
        <v>0</v>
      </c>
      <c r="I156" s="18">
        <f>SUMIFS('渠道充值成功率_底稿'!$G:$G,'渠道充值成功率_底稿'!$A:$A,$A156,'渠道充值成功率_底稿'!$B:$B,I$1)</f>
        <v>0</v>
      </c>
      <c r="J156" s="18">
        <f>SUMIFS('渠道充值成功率_底稿'!$G:$G,'渠道充值成功率_底稿'!$A:$A,$A156,'渠道充值成功率_底稿'!$B:$B,J$1)</f>
        <v>0</v>
      </c>
      <c r="K156" s="18">
        <f>SUMIFS('渠道充值成功率_底稿'!$G:$G,'渠道充值成功率_底稿'!$A:$A,$A156,'渠道充值成功率_底稿'!$B:$B,K$1)</f>
        <v>0</v>
      </c>
      <c r="L156" s="14">
        <f>SUMIFS('渠道充值成功率_底稿'!$G:$G,'渠道充值成功率_底稿'!$A:$A,$A156,'渠道充值成功率_底稿'!$B:$B,L$1)</f>
        <v>0</v>
      </c>
    </row>
    <row r="157">
      <c r="A157" s="6">
        <f>B152</f>
        <v>46107</v>
      </c>
      <c r="B157" s="20"/>
      <c r="C157" s="21" t="s">
        <v>16</v>
      </c>
      <c r="D157" s="22" t="str">
        <f t="shared" ref="D157:L157" si="52">IFERROR(ROUND(D156/D155,6),"0")</f>
        <v>0</v>
      </c>
      <c r="E157" s="22" t="str">
        <f t="shared" si="52"/>
        <v>0</v>
      </c>
      <c r="F157" s="22" t="str">
        <f t="shared" si="52"/>
        <v>0</v>
      </c>
      <c r="G157" s="22" t="str">
        <f t="shared" si="52"/>
        <v>0</v>
      </c>
      <c r="H157" s="22" t="str">
        <f t="shared" si="52"/>
        <v>0</v>
      </c>
      <c r="I157" s="22" t="str">
        <f t="shared" si="52"/>
        <v>0</v>
      </c>
      <c r="J157" s="22" t="str">
        <f t="shared" si="52"/>
        <v>0</v>
      </c>
      <c r="K157" s="22" t="str">
        <f t="shared" si="52"/>
        <v>0</v>
      </c>
      <c r="L157" s="23" t="str">
        <f t="shared" si="52"/>
        <v>0</v>
      </c>
    </row>
    <row r="158">
      <c r="A158" s="6">
        <f>B158</f>
        <v>46108</v>
      </c>
      <c r="B158" s="7">
        <f>B152+1</f>
        <v>46108</v>
      </c>
      <c r="C158" s="8" t="s">
        <v>11</v>
      </c>
      <c r="D158" s="9">
        <f>SUMIFS('渠道充值成功率_底稿'!$C:$C,'渠道充值成功率_底稿'!$A:$A,$A158,'渠道充值成功率_底稿'!$B:$B,D$1)</f>
        <v>0</v>
      </c>
      <c r="E158" s="9">
        <f>SUMIFS('渠道充值成功率_底稿'!$C:$C,'渠道充值成功率_底稿'!$A:$A,$A158,'渠道充值成功率_底稿'!$B:$B,E$1)</f>
        <v>0</v>
      </c>
      <c r="F158" s="9">
        <f>SUMIFS('渠道充值成功率_底稿'!$C:$C,'渠道充值成功率_底稿'!$A:$A,$A158,'渠道充值成功率_底稿'!$B:$B,F$1)</f>
        <v>0</v>
      </c>
      <c r="G158" s="9">
        <f>SUMIFS('渠道充值成功率_底稿'!$C:$C,'渠道充值成功率_底稿'!$A:$A,$A158,'渠道充值成功率_底稿'!$B:$B,G$1)</f>
        <v>0</v>
      </c>
      <c r="H158" s="9">
        <f>SUMIFS('渠道充值成功率_底稿'!$C:$C,'渠道充值成功率_底稿'!$A:$A,$A158,'渠道充值成功率_底稿'!$B:$B,H$1)</f>
        <v>0</v>
      </c>
      <c r="I158" s="9">
        <f>SUMIFS('渠道充值成功率_底稿'!$C:$C,'渠道充值成功率_底稿'!$A:$A,$A158,'渠道充值成功率_底稿'!$B:$B,I$1)</f>
        <v>0</v>
      </c>
      <c r="J158" s="9">
        <f>SUMIFS('渠道充值成功率_底稿'!$C:$C,'渠道充值成功率_底稿'!$A:$A,$A158,'渠道充值成功率_底稿'!$B:$B,J$1)</f>
        <v>0</v>
      </c>
      <c r="K158" s="9">
        <f>SUMIFS('渠道充值成功率_底稿'!$C:$C,'渠道充值成功率_底稿'!$A:$A,$A158,'渠道充值成功率_底稿'!$B:$B,K$1)</f>
        <v>0</v>
      </c>
      <c r="L158" s="10">
        <f>SUMIFS('渠道充值成功率_底稿'!$C:$C,'渠道充值成功率_底稿'!$A:$A,$A158,'渠道充值成功率_底稿'!$B:$B,L$1)</f>
        <v>0</v>
      </c>
    </row>
    <row r="159">
      <c r="A159" s="6">
        <f>B158</f>
        <v>46108</v>
      </c>
      <c r="B159" s="11"/>
      <c r="C159" s="12" t="s">
        <v>12</v>
      </c>
      <c r="D159" s="13">
        <f>SUMIFS('渠道充值成功率_底稿'!$F:$F,'渠道充值成功率_底稿'!$A:$A,$A159,'渠道充值成功率_底稿'!$B:$B,D$1)</f>
        <v>0</v>
      </c>
      <c r="E159" s="13">
        <f>SUMIFS('渠道充值成功率_底稿'!$F:$F,'渠道充值成功率_底稿'!$A:$A,$A159,'渠道充值成功率_底稿'!$B:$B,E$1)</f>
        <v>0</v>
      </c>
      <c r="F159" s="13">
        <f>SUMIFS('渠道充值成功率_底稿'!$F:$F,'渠道充值成功率_底稿'!$A:$A,$A159,'渠道充值成功率_底稿'!$B:$B,F$1)</f>
        <v>0</v>
      </c>
      <c r="G159" s="13">
        <f>SUMIFS('渠道充值成功率_底稿'!$F:$F,'渠道充值成功率_底稿'!$A:$A,$A159,'渠道充值成功率_底稿'!$B:$B,G$1)</f>
        <v>0</v>
      </c>
      <c r="H159" s="13">
        <f>SUMIFS('渠道充值成功率_底稿'!$F:$F,'渠道充值成功率_底稿'!$A:$A,$A159,'渠道充值成功率_底稿'!$B:$B,H$1)</f>
        <v>0</v>
      </c>
      <c r="I159" s="13">
        <f>SUMIFS('渠道充值成功率_底稿'!$F:$F,'渠道充值成功率_底稿'!$A:$A,$A159,'渠道充值成功率_底稿'!$B:$B,I$1)</f>
        <v>0</v>
      </c>
      <c r="J159" s="13">
        <f>SUMIFS('渠道充值成功率_底稿'!$F:$F,'渠道充值成功率_底稿'!$A:$A,$A159,'渠道充值成功率_底稿'!$B:$B,J$1)</f>
        <v>0</v>
      </c>
      <c r="K159" s="13">
        <f>SUMIFS('渠道充值成功率_底稿'!$F:$F,'渠道充值成功率_底稿'!$A:$A,$A159,'渠道充值成功率_底稿'!$B:$B,K$1)</f>
        <v>0</v>
      </c>
      <c r="L159" s="14">
        <f>SUMIFS('渠道充值成功率_底稿'!$F:$F,'渠道充值成功率_底稿'!$A:$A,$A159,'渠道充值成功率_底稿'!$B:$B,L$1)</f>
        <v>0</v>
      </c>
    </row>
    <row r="160">
      <c r="A160" s="6">
        <f>B158</f>
        <v>46108</v>
      </c>
      <c r="B160" s="11"/>
      <c r="C160" s="15" t="s">
        <v>13</v>
      </c>
      <c r="D160" s="16" t="str">
        <f t="shared" ref="D160:L160" si="53">IFERROR(ROUND(D159/D158,6),"0")</f>
        <v>0</v>
      </c>
      <c r="E160" s="16" t="str">
        <f t="shared" si="53"/>
        <v>0</v>
      </c>
      <c r="F160" s="16" t="str">
        <f t="shared" si="53"/>
        <v>0</v>
      </c>
      <c r="G160" s="16" t="str">
        <f t="shared" si="53"/>
        <v>0</v>
      </c>
      <c r="H160" s="16" t="str">
        <f t="shared" si="53"/>
        <v>0</v>
      </c>
      <c r="I160" s="16" t="str">
        <f t="shared" si="53"/>
        <v>0</v>
      </c>
      <c r="J160" s="16" t="str">
        <f t="shared" si="53"/>
        <v>0</v>
      </c>
      <c r="K160" s="16" t="str">
        <f t="shared" si="53"/>
        <v>0</v>
      </c>
      <c r="L160" s="17" t="str">
        <f t="shared" si="53"/>
        <v>0</v>
      </c>
    </row>
    <row r="161">
      <c r="A161" s="6">
        <f>B158</f>
        <v>46108</v>
      </c>
      <c r="B161" s="11"/>
      <c r="C161" s="12" t="s">
        <v>14</v>
      </c>
      <c r="D161" s="18">
        <f>SUMIFS('渠道充值成功率_底稿'!$D:$D,'渠道充值成功率_底稿'!$A:$A,$A162,'渠道充值成功率_底稿'!$B:$B,D$1)</f>
        <v>0</v>
      </c>
      <c r="E161" s="18">
        <f>SUMIFS('渠道充值成功率_底稿'!$D:$D,'渠道充值成功率_底稿'!$A:$A,$A161,'渠道充值成功率_底稿'!$B:$B,E$1)</f>
        <v>0</v>
      </c>
      <c r="F161" s="18">
        <f>SUMIFS('渠道充值成功率_底稿'!$D:$D,'渠道充值成功率_底稿'!$A:$A,$A161,'渠道充值成功率_底稿'!$B:$B,F$1)</f>
        <v>0</v>
      </c>
      <c r="G161" s="18">
        <f>SUMIFS('渠道充值成功率_底稿'!$D:$D,'渠道充值成功率_底稿'!$A:$A,$A161,'渠道充值成功率_底稿'!$B:$B,G$1)</f>
        <v>0</v>
      </c>
      <c r="H161" s="18">
        <f>SUMIFS('渠道充值成功率_底稿'!$D:$D,'渠道充值成功率_底稿'!$A:$A,$A161,'渠道充值成功率_底稿'!$B:$B,H$1)</f>
        <v>0</v>
      </c>
      <c r="I161" s="18">
        <f>SUMIFS('渠道充值成功率_底稿'!$D:$D,'渠道充值成功率_底稿'!$A:$A,$A161,'渠道充值成功率_底稿'!$B:$B,I$1)</f>
        <v>0</v>
      </c>
      <c r="J161" s="18">
        <f>SUMIFS('渠道充值成功率_底稿'!$D:$D,'渠道充值成功率_底稿'!$A:$A,$A161,'渠道充值成功率_底稿'!$B:$B,J$1)</f>
        <v>0</v>
      </c>
      <c r="K161" s="18">
        <f>SUMIFS('渠道充值成功率_底稿'!$D:$D,'渠道充值成功率_底稿'!$A:$A,$A161,'渠道充值成功率_底稿'!$B:$B,K$1)</f>
        <v>0</v>
      </c>
      <c r="L161" s="14">
        <f>SUMIFS('渠道充值成功率_底稿'!$D:$D,'渠道充值成功率_底稿'!$A:$A,$A161,'渠道充值成功率_底稿'!$B:$B,L$1)</f>
        <v>0</v>
      </c>
    </row>
    <row r="162">
      <c r="A162" s="6">
        <f>B158</f>
        <v>46108</v>
      </c>
      <c r="B162" s="11"/>
      <c r="C162" s="19" t="s">
        <v>15</v>
      </c>
      <c r="D162" s="18">
        <f>SUMIFS('渠道充值成功率_底稿'!$G:$G,'渠道充值成功率_底稿'!$A:$A,$A163,'渠道充值成功率_底稿'!$B:$B,D$1)</f>
        <v>0</v>
      </c>
      <c r="E162" s="18">
        <f>SUMIFS('渠道充值成功率_底稿'!$G:$G,'渠道充值成功率_底稿'!$A:$A,$A162,'渠道充值成功率_底稿'!$B:$B,E$1)</f>
        <v>0</v>
      </c>
      <c r="F162" s="18">
        <f>SUMIFS('渠道充值成功率_底稿'!$G:$G,'渠道充值成功率_底稿'!$A:$A,$A162,'渠道充值成功率_底稿'!$B:$B,F$1)</f>
        <v>0</v>
      </c>
      <c r="G162" s="18">
        <f>SUMIFS('渠道充值成功率_底稿'!$G:$G,'渠道充值成功率_底稿'!$A:$A,$A162,'渠道充值成功率_底稿'!$B:$B,G$1)</f>
        <v>0</v>
      </c>
      <c r="H162" s="18">
        <f>SUMIFS('渠道充值成功率_底稿'!$G:$G,'渠道充值成功率_底稿'!$A:$A,$A162,'渠道充值成功率_底稿'!$B:$B,H$1)</f>
        <v>0</v>
      </c>
      <c r="I162" s="18">
        <f>SUMIFS('渠道充值成功率_底稿'!$G:$G,'渠道充值成功率_底稿'!$A:$A,$A162,'渠道充值成功率_底稿'!$B:$B,I$1)</f>
        <v>0</v>
      </c>
      <c r="J162" s="18">
        <f>SUMIFS('渠道充值成功率_底稿'!$G:$G,'渠道充值成功率_底稿'!$A:$A,$A162,'渠道充值成功率_底稿'!$B:$B,J$1)</f>
        <v>0</v>
      </c>
      <c r="K162" s="18">
        <f>SUMIFS('渠道充值成功率_底稿'!$G:$G,'渠道充值成功率_底稿'!$A:$A,$A162,'渠道充值成功率_底稿'!$B:$B,K$1)</f>
        <v>0</v>
      </c>
      <c r="L162" s="14">
        <f>SUMIFS('渠道充值成功率_底稿'!$G:$G,'渠道充值成功率_底稿'!$A:$A,$A162,'渠道充值成功率_底稿'!$B:$B,L$1)</f>
        <v>0</v>
      </c>
    </row>
    <row r="163">
      <c r="A163" s="6">
        <f>B158</f>
        <v>46108</v>
      </c>
      <c r="B163" s="20"/>
      <c r="C163" s="21" t="s">
        <v>16</v>
      </c>
      <c r="D163" s="22" t="str">
        <f t="shared" ref="D163:L163" si="54">IFERROR(ROUND(D162/D161,6),"0")</f>
        <v>0</v>
      </c>
      <c r="E163" s="22" t="str">
        <f t="shared" si="54"/>
        <v>0</v>
      </c>
      <c r="F163" s="22" t="str">
        <f t="shared" si="54"/>
        <v>0</v>
      </c>
      <c r="G163" s="22" t="str">
        <f t="shared" si="54"/>
        <v>0</v>
      </c>
      <c r="H163" s="22" t="str">
        <f t="shared" si="54"/>
        <v>0</v>
      </c>
      <c r="I163" s="22" t="str">
        <f t="shared" si="54"/>
        <v>0</v>
      </c>
      <c r="J163" s="22" t="str">
        <f t="shared" si="54"/>
        <v>0</v>
      </c>
      <c r="K163" s="22" t="str">
        <f t="shared" si="54"/>
        <v>0</v>
      </c>
      <c r="L163" s="23" t="str">
        <f t="shared" si="54"/>
        <v>0</v>
      </c>
    </row>
    <row r="164">
      <c r="A164" s="6">
        <f>B164</f>
        <v>46109</v>
      </c>
      <c r="B164" s="7">
        <f>B158+1</f>
        <v>46109</v>
      </c>
      <c r="C164" s="8" t="s">
        <v>11</v>
      </c>
      <c r="D164" s="9">
        <f>SUMIFS('渠道充值成功率_底稿'!$C:$C,'渠道充值成功率_底稿'!$A:$A,$A164,'渠道充值成功率_底稿'!$B:$B,D$1)</f>
        <v>0</v>
      </c>
      <c r="E164" s="9">
        <f>SUMIFS('渠道充值成功率_底稿'!$C:$C,'渠道充值成功率_底稿'!$A:$A,$A164,'渠道充值成功率_底稿'!$B:$B,E$1)</f>
        <v>0</v>
      </c>
      <c r="F164" s="9">
        <f>SUMIFS('渠道充值成功率_底稿'!$C:$C,'渠道充值成功率_底稿'!$A:$A,$A164,'渠道充值成功率_底稿'!$B:$B,F$1)</f>
        <v>0</v>
      </c>
      <c r="G164" s="9">
        <f>SUMIFS('渠道充值成功率_底稿'!$C:$C,'渠道充值成功率_底稿'!$A:$A,$A164,'渠道充值成功率_底稿'!$B:$B,G$1)</f>
        <v>0</v>
      </c>
      <c r="H164" s="9">
        <f>SUMIFS('渠道充值成功率_底稿'!$C:$C,'渠道充值成功率_底稿'!$A:$A,$A164,'渠道充值成功率_底稿'!$B:$B,H$1)</f>
        <v>0</v>
      </c>
      <c r="I164" s="9">
        <f>SUMIFS('渠道充值成功率_底稿'!$C:$C,'渠道充值成功率_底稿'!$A:$A,$A164,'渠道充值成功率_底稿'!$B:$B,I$1)</f>
        <v>0</v>
      </c>
      <c r="J164" s="9">
        <f>SUMIFS('渠道充值成功率_底稿'!$C:$C,'渠道充值成功率_底稿'!$A:$A,$A164,'渠道充值成功率_底稿'!$B:$B,J$1)</f>
        <v>0</v>
      </c>
      <c r="K164" s="9">
        <f>SUMIFS('渠道充值成功率_底稿'!$C:$C,'渠道充值成功率_底稿'!$A:$A,$A164,'渠道充值成功率_底稿'!$B:$B,K$1)</f>
        <v>0</v>
      </c>
      <c r="L164" s="10">
        <f>SUMIFS('渠道充值成功率_底稿'!$C:$C,'渠道充值成功率_底稿'!$A:$A,$A164,'渠道充值成功率_底稿'!$B:$B,L$1)</f>
        <v>0</v>
      </c>
    </row>
    <row r="165">
      <c r="A165" s="6">
        <f>B164</f>
        <v>46109</v>
      </c>
      <c r="B165" s="11"/>
      <c r="C165" s="12" t="s">
        <v>12</v>
      </c>
      <c r="D165" s="13">
        <f>SUMIFS('渠道充值成功率_底稿'!$F:$F,'渠道充值成功率_底稿'!$A:$A,$A165,'渠道充值成功率_底稿'!$B:$B,D$1)</f>
        <v>0</v>
      </c>
      <c r="E165" s="13">
        <f>SUMIFS('渠道充值成功率_底稿'!$F:$F,'渠道充值成功率_底稿'!$A:$A,$A165,'渠道充值成功率_底稿'!$B:$B,E$1)</f>
        <v>0</v>
      </c>
      <c r="F165" s="13">
        <f>SUMIFS('渠道充值成功率_底稿'!$F:$F,'渠道充值成功率_底稿'!$A:$A,$A165,'渠道充值成功率_底稿'!$B:$B,F$1)</f>
        <v>0</v>
      </c>
      <c r="G165" s="13">
        <f>SUMIFS('渠道充值成功率_底稿'!$F:$F,'渠道充值成功率_底稿'!$A:$A,$A165,'渠道充值成功率_底稿'!$B:$B,G$1)</f>
        <v>0</v>
      </c>
      <c r="H165" s="13">
        <f>SUMIFS('渠道充值成功率_底稿'!$F:$F,'渠道充值成功率_底稿'!$A:$A,$A165,'渠道充值成功率_底稿'!$B:$B,H$1)</f>
        <v>0</v>
      </c>
      <c r="I165" s="13">
        <f>SUMIFS('渠道充值成功率_底稿'!$F:$F,'渠道充值成功率_底稿'!$A:$A,$A165,'渠道充值成功率_底稿'!$B:$B,I$1)</f>
        <v>0</v>
      </c>
      <c r="J165" s="13">
        <f>SUMIFS('渠道充值成功率_底稿'!$F:$F,'渠道充值成功率_底稿'!$A:$A,$A165,'渠道充值成功率_底稿'!$B:$B,J$1)</f>
        <v>0</v>
      </c>
      <c r="K165" s="13">
        <f>SUMIFS('渠道充值成功率_底稿'!$F:$F,'渠道充值成功率_底稿'!$A:$A,$A165,'渠道充值成功率_底稿'!$B:$B,K$1)</f>
        <v>0</v>
      </c>
      <c r="L165" s="14">
        <f>SUMIFS('渠道充值成功率_底稿'!$F:$F,'渠道充值成功率_底稿'!$A:$A,$A165,'渠道充值成功率_底稿'!$B:$B,L$1)</f>
        <v>0</v>
      </c>
    </row>
    <row r="166">
      <c r="A166" s="6">
        <f>B164</f>
        <v>46109</v>
      </c>
      <c r="B166" s="11"/>
      <c r="C166" s="15" t="s">
        <v>13</v>
      </c>
      <c r="D166" s="16" t="str">
        <f t="shared" ref="D166:L166" si="55">IFERROR(ROUND(D165/D164,6),"0")</f>
        <v>0</v>
      </c>
      <c r="E166" s="16" t="str">
        <f t="shared" si="55"/>
        <v>0</v>
      </c>
      <c r="F166" s="16" t="str">
        <f t="shared" si="55"/>
        <v>0</v>
      </c>
      <c r="G166" s="16" t="str">
        <f t="shared" si="55"/>
        <v>0</v>
      </c>
      <c r="H166" s="16" t="str">
        <f t="shared" si="55"/>
        <v>0</v>
      </c>
      <c r="I166" s="16" t="str">
        <f t="shared" si="55"/>
        <v>0</v>
      </c>
      <c r="J166" s="16" t="str">
        <f t="shared" si="55"/>
        <v>0</v>
      </c>
      <c r="K166" s="16" t="str">
        <f t="shared" si="55"/>
        <v>0</v>
      </c>
      <c r="L166" s="17" t="str">
        <f t="shared" si="55"/>
        <v>0</v>
      </c>
    </row>
    <row r="167">
      <c r="A167" s="6">
        <f>B164</f>
        <v>46109</v>
      </c>
      <c r="B167" s="11"/>
      <c r="C167" s="12" t="s">
        <v>14</v>
      </c>
      <c r="D167" s="18">
        <f>SUMIFS('渠道充值成功率_底稿'!$D:$D,'渠道充值成功率_底稿'!$A:$A,$A168,'渠道充值成功率_底稿'!$B:$B,D$1)</f>
        <v>0</v>
      </c>
      <c r="E167" s="18">
        <f>SUMIFS('渠道充值成功率_底稿'!$D:$D,'渠道充值成功率_底稿'!$A:$A,$A167,'渠道充值成功率_底稿'!$B:$B,E$1)</f>
        <v>0</v>
      </c>
      <c r="F167" s="18">
        <f>SUMIFS('渠道充值成功率_底稿'!$D:$D,'渠道充值成功率_底稿'!$A:$A,$A167,'渠道充值成功率_底稿'!$B:$B,F$1)</f>
        <v>0</v>
      </c>
      <c r="G167" s="18">
        <f>SUMIFS('渠道充值成功率_底稿'!$D:$D,'渠道充值成功率_底稿'!$A:$A,$A167,'渠道充值成功率_底稿'!$B:$B,G$1)</f>
        <v>0</v>
      </c>
      <c r="H167" s="18">
        <f>SUMIFS('渠道充值成功率_底稿'!$D:$D,'渠道充值成功率_底稿'!$A:$A,$A167,'渠道充值成功率_底稿'!$B:$B,H$1)</f>
        <v>0</v>
      </c>
      <c r="I167" s="18">
        <f>SUMIFS('渠道充值成功率_底稿'!$D:$D,'渠道充值成功率_底稿'!$A:$A,$A167,'渠道充值成功率_底稿'!$B:$B,I$1)</f>
        <v>0</v>
      </c>
      <c r="J167" s="18">
        <f>SUMIFS('渠道充值成功率_底稿'!$D:$D,'渠道充值成功率_底稿'!$A:$A,$A167,'渠道充值成功率_底稿'!$B:$B,J$1)</f>
        <v>0</v>
      </c>
      <c r="K167" s="18">
        <f>SUMIFS('渠道充值成功率_底稿'!$D:$D,'渠道充值成功率_底稿'!$A:$A,$A167,'渠道充值成功率_底稿'!$B:$B,K$1)</f>
        <v>0</v>
      </c>
      <c r="L167" s="14">
        <f>SUMIFS('渠道充值成功率_底稿'!$D:$D,'渠道充值成功率_底稿'!$A:$A,$A167,'渠道充值成功率_底稿'!$B:$B,L$1)</f>
        <v>0</v>
      </c>
    </row>
    <row r="168">
      <c r="A168" s="6">
        <f>B164</f>
        <v>46109</v>
      </c>
      <c r="B168" s="11"/>
      <c r="C168" s="19" t="s">
        <v>15</v>
      </c>
      <c r="D168" s="18">
        <f>SUMIFS('渠道充值成功率_底稿'!$G:$G,'渠道充值成功率_底稿'!$A:$A,$A169,'渠道充值成功率_底稿'!$B:$B,D$1)</f>
        <v>0</v>
      </c>
      <c r="E168" s="18">
        <f>SUMIFS('渠道充值成功率_底稿'!$G:$G,'渠道充值成功率_底稿'!$A:$A,$A168,'渠道充值成功率_底稿'!$B:$B,E$1)</f>
        <v>0</v>
      </c>
      <c r="F168" s="18">
        <f>SUMIFS('渠道充值成功率_底稿'!$G:$G,'渠道充值成功率_底稿'!$A:$A,$A168,'渠道充值成功率_底稿'!$B:$B,F$1)</f>
        <v>0</v>
      </c>
      <c r="G168" s="18">
        <f>SUMIFS('渠道充值成功率_底稿'!$G:$G,'渠道充值成功率_底稿'!$A:$A,$A168,'渠道充值成功率_底稿'!$B:$B,G$1)</f>
        <v>0</v>
      </c>
      <c r="H168" s="18">
        <f>SUMIFS('渠道充值成功率_底稿'!$G:$G,'渠道充值成功率_底稿'!$A:$A,$A168,'渠道充值成功率_底稿'!$B:$B,H$1)</f>
        <v>0</v>
      </c>
      <c r="I168" s="18">
        <f>SUMIFS('渠道充值成功率_底稿'!$G:$G,'渠道充值成功率_底稿'!$A:$A,$A168,'渠道充值成功率_底稿'!$B:$B,I$1)</f>
        <v>0</v>
      </c>
      <c r="J168" s="18">
        <f>SUMIFS('渠道充值成功率_底稿'!$G:$G,'渠道充值成功率_底稿'!$A:$A,$A168,'渠道充值成功率_底稿'!$B:$B,J$1)</f>
        <v>0</v>
      </c>
      <c r="K168" s="18">
        <f>SUMIFS('渠道充值成功率_底稿'!$G:$G,'渠道充值成功率_底稿'!$A:$A,$A168,'渠道充值成功率_底稿'!$B:$B,K$1)</f>
        <v>0</v>
      </c>
      <c r="L168" s="14">
        <f>SUMIFS('渠道充值成功率_底稿'!$G:$G,'渠道充值成功率_底稿'!$A:$A,$A168,'渠道充值成功率_底稿'!$B:$B,L$1)</f>
        <v>0</v>
      </c>
    </row>
    <row r="169">
      <c r="A169" s="6">
        <f>B164</f>
        <v>46109</v>
      </c>
      <c r="B169" s="20"/>
      <c r="C169" s="21" t="s">
        <v>16</v>
      </c>
      <c r="D169" s="22" t="str">
        <f t="shared" ref="D169:L169" si="56">IFERROR(ROUND(D168/D167,6),"0")</f>
        <v>0</v>
      </c>
      <c r="E169" s="22" t="str">
        <f t="shared" si="56"/>
        <v>0</v>
      </c>
      <c r="F169" s="22" t="str">
        <f t="shared" si="56"/>
        <v>0</v>
      </c>
      <c r="G169" s="22" t="str">
        <f t="shared" si="56"/>
        <v>0</v>
      </c>
      <c r="H169" s="22" t="str">
        <f t="shared" si="56"/>
        <v>0</v>
      </c>
      <c r="I169" s="22" t="str">
        <f t="shared" si="56"/>
        <v>0</v>
      </c>
      <c r="J169" s="22" t="str">
        <f t="shared" si="56"/>
        <v>0</v>
      </c>
      <c r="K169" s="22" t="str">
        <f t="shared" si="56"/>
        <v>0</v>
      </c>
      <c r="L169" s="23" t="str">
        <f t="shared" si="56"/>
        <v>0</v>
      </c>
    </row>
    <row r="170">
      <c r="A170" s="6">
        <f>B170</f>
        <v>46110</v>
      </c>
      <c r="B170" s="7">
        <f>B164+1</f>
        <v>46110</v>
      </c>
      <c r="C170" s="8" t="s">
        <v>11</v>
      </c>
      <c r="D170" s="9">
        <f>SUMIFS('渠道充值成功率_底稿'!$C:$C,'渠道充值成功率_底稿'!$A:$A,$A170,'渠道充值成功率_底稿'!$B:$B,D$1)</f>
        <v>0</v>
      </c>
      <c r="E170" s="9">
        <f>SUMIFS('渠道充值成功率_底稿'!$C:$C,'渠道充值成功率_底稿'!$A:$A,$A170,'渠道充值成功率_底稿'!$B:$B,E$1)</f>
        <v>0</v>
      </c>
      <c r="F170" s="9">
        <f>SUMIFS('渠道充值成功率_底稿'!$C:$C,'渠道充值成功率_底稿'!$A:$A,$A170,'渠道充值成功率_底稿'!$B:$B,F$1)</f>
        <v>0</v>
      </c>
      <c r="G170" s="9">
        <f>SUMIFS('渠道充值成功率_底稿'!$C:$C,'渠道充值成功率_底稿'!$A:$A,$A170,'渠道充值成功率_底稿'!$B:$B,G$1)</f>
        <v>0</v>
      </c>
      <c r="H170" s="9">
        <f>SUMIFS('渠道充值成功率_底稿'!$C:$C,'渠道充值成功率_底稿'!$A:$A,$A170,'渠道充值成功率_底稿'!$B:$B,H$1)</f>
        <v>0</v>
      </c>
      <c r="I170" s="9">
        <f>SUMIFS('渠道充值成功率_底稿'!$C:$C,'渠道充值成功率_底稿'!$A:$A,$A170,'渠道充值成功率_底稿'!$B:$B,I$1)</f>
        <v>0</v>
      </c>
      <c r="J170" s="9">
        <f>SUMIFS('渠道充值成功率_底稿'!$C:$C,'渠道充值成功率_底稿'!$A:$A,$A170,'渠道充值成功率_底稿'!$B:$B,J$1)</f>
        <v>0</v>
      </c>
      <c r="K170" s="9">
        <f>SUMIFS('渠道充值成功率_底稿'!$C:$C,'渠道充值成功率_底稿'!$A:$A,$A170,'渠道充值成功率_底稿'!$B:$B,K$1)</f>
        <v>0</v>
      </c>
      <c r="L170" s="10">
        <f>SUMIFS('渠道充值成功率_底稿'!$C:$C,'渠道充值成功率_底稿'!$A:$A,$A170,'渠道充值成功率_底稿'!$B:$B,L$1)</f>
        <v>0</v>
      </c>
    </row>
    <row r="171">
      <c r="A171" s="6">
        <f>B170</f>
        <v>46110</v>
      </c>
      <c r="B171" s="11"/>
      <c r="C171" s="12" t="s">
        <v>12</v>
      </c>
      <c r="D171" s="13">
        <f>SUMIFS('渠道充值成功率_底稿'!$F:$F,'渠道充值成功率_底稿'!$A:$A,$A171,'渠道充值成功率_底稿'!$B:$B,D$1)</f>
        <v>0</v>
      </c>
      <c r="E171" s="13">
        <f>SUMIFS('渠道充值成功率_底稿'!$F:$F,'渠道充值成功率_底稿'!$A:$A,$A171,'渠道充值成功率_底稿'!$B:$B,E$1)</f>
        <v>0</v>
      </c>
      <c r="F171" s="13">
        <f>SUMIFS('渠道充值成功率_底稿'!$F:$F,'渠道充值成功率_底稿'!$A:$A,$A171,'渠道充值成功率_底稿'!$B:$B,F$1)</f>
        <v>0</v>
      </c>
      <c r="G171" s="13">
        <f>SUMIFS('渠道充值成功率_底稿'!$F:$F,'渠道充值成功率_底稿'!$A:$A,$A171,'渠道充值成功率_底稿'!$B:$B,G$1)</f>
        <v>0</v>
      </c>
      <c r="H171" s="13">
        <f>SUMIFS('渠道充值成功率_底稿'!$F:$F,'渠道充值成功率_底稿'!$A:$A,$A171,'渠道充值成功率_底稿'!$B:$B,H$1)</f>
        <v>0</v>
      </c>
      <c r="I171" s="13">
        <f>SUMIFS('渠道充值成功率_底稿'!$F:$F,'渠道充值成功率_底稿'!$A:$A,$A171,'渠道充值成功率_底稿'!$B:$B,I$1)</f>
        <v>0</v>
      </c>
      <c r="J171" s="13">
        <f>SUMIFS('渠道充值成功率_底稿'!$F:$F,'渠道充值成功率_底稿'!$A:$A,$A171,'渠道充值成功率_底稿'!$B:$B,J$1)</f>
        <v>0</v>
      </c>
      <c r="K171" s="13">
        <f>SUMIFS('渠道充值成功率_底稿'!$F:$F,'渠道充值成功率_底稿'!$A:$A,$A171,'渠道充值成功率_底稿'!$B:$B,K$1)</f>
        <v>0</v>
      </c>
      <c r="L171" s="14">
        <f>SUMIFS('渠道充值成功率_底稿'!$F:$F,'渠道充值成功率_底稿'!$A:$A,$A171,'渠道充值成功率_底稿'!$B:$B,L$1)</f>
        <v>0</v>
      </c>
    </row>
    <row r="172">
      <c r="A172" s="6">
        <f>B170</f>
        <v>46110</v>
      </c>
      <c r="B172" s="11"/>
      <c r="C172" s="15" t="s">
        <v>13</v>
      </c>
      <c r="D172" s="16" t="str">
        <f t="shared" ref="D172:L172" si="57">IFERROR(ROUND(D171/D170,6),"0")</f>
        <v>0</v>
      </c>
      <c r="E172" s="16" t="str">
        <f t="shared" si="57"/>
        <v>0</v>
      </c>
      <c r="F172" s="16" t="str">
        <f t="shared" si="57"/>
        <v>0</v>
      </c>
      <c r="G172" s="16" t="str">
        <f t="shared" si="57"/>
        <v>0</v>
      </c>
      <c r="H172" s="16" t="str">
        <f t="shared" si="57"/>
        <v>0</v>
      </c>
      <c r="I172" s="16" t="str">
        <f t="shared" si="57"/>
        <v>0</v>
      </c>
      <c r="J172" s="16" t="str">
        <f t="shared" si="57"/>
        <v>0</v>
      </c>
      <c r="K172" s="16" t="str">
        <f t="shared" si="57"/>
        <v>0</v>
      </c>
      <c r="L172" s="17" t="str">
        <f t="shared" si="57"/>
        <v>0</v>
      </c>
    </row>
    <row r="173">
      <c r="A173" s="6">
        <f>B170</f>
        <v>46110</v>
      </c>
      <c r="B173" s="11"/>
      <c r="C173" s="12" t="s">
        <v>14</v>
      </c>
      <c r="D173" s="18">
        <f>SUMIFS('渠道充值成功率_底稿'!$D:$D,'渠道充值成功率_底稿'!$A:$A,$A174,'渠道充值成功率_底稿'!$B:$B,D$1)</f>
        <v>0</v>
      </c>
      <c r="E173" s="18">
        <f>SUMIFS('渠道充值成功率_底稿'!$D:$D,'渠道充值成功率_底稿'!$A:$A,$A173,'渠道充值成功率_底稿'!$B:$B,E$1)</f>
        <v>0</v>
      </c>
      <c r="F173" s="18">
        <f>SUMIFS('渠道充值成功率_底稿'!$D:$D,'渠道充值成功率_底稿'!$A:$A,$A173,'渠道充值成功率_底稿'!$B:$B,F$1)</f>
        <v>0</v>
      </c>
      <c r="G173" s="18">
        <f>SUMIFS('渠道充值成功率_底稿'!$D:$D,'渠道充值成功率_底稿'!$A:$A,$A173,'渠道充值成功率_底稿'!$B:$B,G$1)</f>
        <v>0</v>
      </c>
      <c r="H173" s="18">
        <f>SUMIFS('渠道充值成功率_底稿'!$D:$D,'渠道充值成功率_底稿'!$A:$A,$A173,'渠道充值成功率_底稿'!$B:$B,H$1)</f>
        <v>0</v>
      </c>
      <c r="I173" s="18">
        <f>SUMIFS('渠道充值成功率_底稿'!$D:$D,'渠道充值成功率_底稿'!$A:$A,$A173,'渠道充值成功率_底稿'!$B:$B,I$1)</f>
        <v>0</v>
      </c>
      <c r="J173" s="18">
        <f>SUMIFS('渠道充值成功率_底稿'!$D:$D,'渠道充值成功率_底稿'!$A:$A,$A173,'渠道充值成功率_底稿'!$B:$B,J$1)</f>
        <v>0</v>
      </c>
      <c r="K173" s="18">
        <f>SUMIFS('渠道充值成功率_底稿'!$D:$D,'渠道充值成功率_底稿'!$A:$A,$A173,'渠道充值成功率_底稿'!$B:$B,K$1)</f>
        <v>0</v>
      </c>
      <c r="L173" s="14">
        <f>SUMIFS('渠道充值成功率_底稿'!$D:$D,'渠道充值成功率_底稿'!$A:$A,$A173,'渠道充值成功率_底稿'!$B:$B,L$1)</f>
        <v>0</v>
      </c>
    </row>
    <row r="174">
      <c r="A174" s="6">
        <f>B170</f>
        <v>46110</v>
      </c>
      <c r="B174" s="11"/>
      <c r="C174" s="19" t="s">
        <v>15</v>
      </c>
      <c r="D174" s="18">
        <f>SUMIFS('渠道充值成功率_底稿'!$G:$G,'渠道充值成功率_底稿'!$A:$A,$A175,'渠道充值成功率_底稿'!$B:$B,D$1)</f>
        <v>0</v>
      </c>
      <c r="E174" s="18">
        <f>SUMIFS('渠道充值成功率_底稿'!$G:$G,'渠道充值成功率_底稿'!$A:$A,$A174,'渠道充值成功率_底稿'!$B:$B,E$1)</f>
        <v>0</v>
      </c>
      <c r="F174" s="18">
        <f>SUMIFS('渠道充值成功率_底稿'!$G:$G,'渠道充值成功率_底稿'!$A:$A,$A174,'渠道充值成功率_底稿'!$B:$B,F$1)</f>
        <v>0</v>
      </c>
      <c r="G174" s="18">
        <f>SUMIFS('渠道充值成功率_底稿'!$G:$G,'渠道充值成功率_底稿'!$A:$A,$A174,'渠道充值成功率_底稿'!$B:$B,G$1)</f>
        <v>0</v>
      </c>
      <c r="H174" s="18">
        <f>SUMIFS('渠道充值成功率_底稿'!$G:$G,'渠道充值成功率_底稿'!$A:$A,$A174,'渠道充值成功率_底稿'!$B:$B,H$1)</f>
        <v>0</v>
      </c>
      <c r="I174" s="18">
        <f>SUMIFS('渠道充值成功率_底稿'!$G:$G,'渠道充值成功率_底稿'!$A:$A,$A174,'渠道充值成功率_底稿'!$B:$B,I$1)</f>
        <v>0</v>
      </c>
      <c r="J174" s="18">
        <f>SUMIFS('渠道充值成功率_底稿'!$G:$G,'渠道充值成功率_底稿'!$A:$A,$A174,'渠道充值成功率_底稿'!$B:$B,J$1)</f>
        <v>0</v>
      </c>
      <c r="K174" s="18">
        <f>SUMIFS('渠道充值成功率_底稿'!$G:$G,'渠道充值成功率_底稿'!$A:$A,$A174,'渠道充值成功率_底稿'!$B:$B,K$1)</f>
        <v>0</v>
      </c>
      <c r="L174" s="14">
        <f>SUMIFS('渠道充值成功率_底稿'!$G:$G,'渠道充值成功率_底稿'!$A:$A,$A174,'渠道充值成功率_底稿'!$B:$B,L$1)</f>
        <v>0</v>
      </c>
    </row>
    <row r="175">
      <c r="A175" s="6">
        <f>B170</f>
        <v>46110</v>
      </c>
      <c r="B175" s="20"/>
      <c r="C175" s="21" t="s">
        <v>16</v>
      </c>
      <c r="D175" s="22" t="str">
        <f t="shared" ref="D175:L175" si="58">IFERROR(ROUND(D174/D173,6),"0")</f>
        <v>0</v>
      </c>
      <c r="E175" s="22" t="str">
        <f t="shared" si="58"/>
        <v>0</v>
      </c>
      <c r="F175" s="22" t="str">
        <f t="shared" si="58"/>
        <v>0</v>
      </c>
      <c r="G175" s="22" t="str">
        <f t="shared" si="58"/>
        <v>0</v>
      </c>
      <c r="H175" s="22" t="str">
        <f t="shared" si="58"/>
        <v>0</v>
      </c>
      <c r="I175" s="22" t="str">
        <f t="shared" si="58"/>
        <v>0</v>
      </c>
      <c r="J175" s="22" t="str">
        <f t="shared" si="58"/>
        <v>0</v>
      </c>
      <c r="K175" s="22" t="str">
        <f t="shared" si="58"/>
        <v>0</v>
      </c>
      <c r="L175" s="23" t="str">
        <f t="shared" si="58"/>
        <v>0</v>
      </c>
    </row>
    <row r="176">
      <c r="A176" s="6">
        <f>B176</f>
        <v>46111</v>
      </c>
      <c r="B176" s="7">
        <f>B170+1</f>
        <v>46111</v>
      </c>
      <c r="C176" s="8" t="s">
        <v>11</v>
      </c>
      <c r="D176" s="9">
        <f>SUMIFS('渠道充值成功率_底稿'!$C:$C,'渠道充值成功率_底稿'!$A:$A,$A176,'渠道充值成功率_底稿'!$B:$B,D$1)</f>
        <v>0</v>
      </c>
      <c r="E176" s="9">
        <f>SUMIFS('渠道充值成功率_底稿'!$C:$C,'渠道充值成功率_底稿'!$A:$A,$A176,'渠道充值成功率_底稿'!$B:$B,E$1)</f>
        <v>0</v>
      </c>
      <c r="F176" s="9">
        <f>SUMIFS('渠道充值成功率_底稿'!$C:$C,'渠道充值成功率_底稿'!$A:$A,$A176,'渠道充值成功率_底稿'!$B:$B,F$1)</f>
        <v>0</v>
      </c>
      <c r="G176" s="9">
        <f>SUMIFS('渠道充值成功率_底稿'!$C:$C,'渠道充值成功率_底稿'!$A:$A,$A176,'渠道充值成功率_底稿'!$B:$B,G$1)</f>
        <v>0</v>
      </c>
      <c r="H176" s="9">
        <f>SUMIFS('渠道充值成功率_底稿'!$C:$C,'渠道充值成功率_底稿'!$A:$A,$A176,'渠道充值成功率_底稿'!$B:$B,H$1)</f>
        <v>0</v>
      </c>
      <c r="I176" s="9">
        <f>SUMIFS('渠道充值成功率_底稿'!$C:$C,'渠道充值成功率_底稿'!$A:$A,$A176,'渠道充值成功率_底稿'!$B:$B,I$1)</f>
        <v>0</v>
      </c>
      <c r="J176" s="9">
        <f>SUMIFS('渠道充值成功率_底稿'!$C:$C,'渠道充值成功率_底稿'!$A:$A,$A176,'渠道充值成功率_底稿'!$B:$B,J$1)</f>
        <v>0</v>
      </c>
      <c r="K176" s="9">
        <f>SUMIFS('渠道充值成功率_底稿'!$C:$C,'渠道充值成功率_底稿'!$A:$A,$A176,'渠道充值成功率_底稿'!$B:$B,K$1)</f>
        <v>0</v>
      </c>
      <c r="L176" s="10">
        <f>SUMIFS('渠道充值成功率_底稿'!$C:$C,'渠道充值成功率_底稿'!$A:$A,$A176,'渠道充值成功率_底稿'!$B:$B,L$1)</f>
        <v>0</v>
      </c>
    </row>
    <row r="177">
      <c r="A177" s="6">
        <f>B176</f>
        <v>46111</v>
      </c>
      <c r="B177" s="11"/>
      <c r="C177" s="12" t="s">
        <v>12</v>
      </c>
      <c r="D177" s="13">
        <f>SUMIFS('渠道充值成功率_底稿'!$F:$F,'渠道充值成功率_底稿'!$A:$A,$A177,'渠道充值成功率_底稿'!$B:$B,D$1)</f>
        <v>0</v>
      </c>
      <c r="E177" s="13">
        <f>SUMIFS('渠道充值成功率_底稿'!$F:$F,'渠道充值成功率_底稿'!$A:$A,$A177,'渠道充值成功率_底稿'!$B:$B,E$1)</f>
        <v>0</v>
      </c>
      <c r="F177" s="13">
        <f>SUMIFS('渠道充值成功率_底稿'!$F:$F,'渠道充值成功率_底稿'!$A:$A,$A177,'渠道充值成功率_底稿'!$B:$B,F$1)</f>
        <v>0</v>
      </c>
      <c r="G177" s="13">
        <f>SUMIFS('渠道充值成功率_底稿'!$F:$F,'渠道充值成功率_底稿'!$A:$A,$A177,'渠道充值成功率_底稿'!$B:$B,G$1)</f>
        <v>0</v>
      </c>
      <c r="H177" s="13">
        <f>SUMIFS('渠道充值成功率_底稿'!$F:$F,'渠道充值成功率_底稿'!$A:$A,$A177,'渠道充值成功率_底稿'!$B:$B,H$1)</f>
        <v>0</v>
      </c>
      <c r="I177" s="13">
        <f>SUMIFS('渠道充值成功率_底稿'!$F:$F,'渠道充值成功率_底稿'!$A:$A,$A177,'渠道充值成功率_底稿'!$B:$B,I$1)</f>
        <v>0</v>
      </c>
      <c r="J177" s="13">
        <f>SUMIFS('渠道充值成功率_底稿'!$F:$F,'渠道充值成功率_底稿'!$A:$A,$A177,'渠道充值成功率_底稿'!$B:$B,J$1)</f>
        <v>0</v>
      </c>
      <c r="K177" s="13">
        <f>SUMIFS('渠道充值成功率_底稿'!$F:$F,'渠道充值成功率_底稿'!$A:$A,$A177,'渠道充值成功率_底稿'!$B:$B,K$1)</f>
        <v>0</v>
      </c>
      <c r="L177" s="14">
        <f>SUMIFS('渠道充值成功率_底稿'!$F:$F,'渠道充值成功率_底稿'!$A:$A,$A177,'渠道充值成功率_底稿'!$B:$B,L$1)</f>
        <v>0</v>
      </c>
    </row>
    <row r="178">
      <c r="A178" s="6">
        <f>B176</f>
        <v>46111</v>
      </c>
      <c r="B178" s="11"/>
      <c r="C178" s="15" t="s">
        <v>13</v>
      </c>
      <c r="D178" s="16" t="str">
        <f t="shared" ref="D178:L178" si="59">IFERROR(ROUND(D177/D176,6),"0")</f>
        <v>0</v>
      </c>
      <c r="E178" s="16" t="str">
        <f t="shared" si="59"/>
        <v>0</v>
      </c>
      <c r="F178" s="16" t="str">
        <f t="shared" si="59"/>
        <v>0</v>
      </c>
      <c r="G178" s="16" t="str">
        <f t="shared" si="59"/>
        <v>0</v>
      </c>
      <c r="H178" s="16" t="str">
        <f t="shared" si="59"/>
        <v>0</v>
      </c>
      <c r="I178" s="16" t="str">
        <f t="shared" si="59"/>
        <v>0</v>
      </c>
      <c r="J178" s="16" t="str">
        <f t="shared" si="59"/>
        <v>0</v>
      </c>
      <c r="K178" s="16" t="str">
        <f t="shared" si="59"/>
        <v>0</v>
      </c>
      <c r="L178" s="17" t="str">
        <f t="shared" si="59"/>
        <v>0</v>
      </c>
    </row>
    <row r="179">
      <c r="A179" s="6">
        <f>B176</f>
        <v>46111</v>
      </c>
      <c r="B179" s="11"/>
      <c r="C179" s="12" t="s">
        <v>14</v>
      </c>
      <c r="D179" s="18">
        <f>SUMIFS('渠道充值成功率_底稿'!$D:$D,'渠道充值成功率_底稿'!$A:$A,$A180,'渠道充值成功率_底稿'!$B:$B,D$1)</f>
        <v>0</v>
      </c>
      <c r="E179" s="18">
        <f>SUMIFS('渠道充值成功率_底稿'!$D:$D,'渠道充值成功率_底稿'!$A:$A,$A179,'渠道充值成功率_底稿'!$B:$B,E$1)</f>
        <v>0</v>
      </c>
      <c r="F179" s="18">
        <f>SUMIFS('渠道充值成功率_底稿'!$D:$D,'渠道充值成功率_底稿'!$A:$A,$A179,'渠道充值成功率_底稿'!$B:$B,F$1)</f>
        <v>0</v>
      </c>
      <c r="G179" s="18">
        <f>SUMIFS('渠道充值成功率_底稿'!$D:$D,'渠道充值成功率_底稿'!$A:$A,$A179,'渠道充值成功率_底稿'!$B:$B,G$1)</f>
        <v>0</v>
      </c>
      <c r="H179" s="18">
        <f>SUMIFS('渠道充值成功率_底稿'!$D:$D,'渠道充值成功率_底稿'!$A:$A,$A179,'渠道充值成功率_底稿'!$B:$B,H$1)</f>
        <v>0</v>
      </c>
      <c r="I179" s="18">
        <f>SUMIFS('渠道充值成功率_底稿'!$D:$D,'渠道充值成功率_底稿'!$A:$A,$A179,'渠道充值成功率_底稿'!$B:$B,I$1)</f>
        <v>0</v>
      </c>
      <c r="J179" s="18">
        <f>SUMIFS('渠道充值成功率_底稿'!$D:$D,'渠道充值成功率_底稿'!$A:$A,$A179,'渠道充值成功率_底稿'!$B:$B,J$1)</f>
        <v>0</v>
      </c>
      <c r="K179" s="18">
        <f>SUMIFS('渠道充值成功率_底稿'!$D:$D,'渠道充值成功率_底稿'!$A:$A,$A179,'渠道充值成功率_底稿'!$B:$B,K$1)</f>
        <v>0</v>
      </c>
      <c r="L179" s="14">
        <f>SUMIFS('渠道充值成功率_底稿'!$D:$D,'渠道充值成功率_底稿'!$A:$A,$A179,'渠道充值成功率_底稿'!$B:$B,L$1)</f>
        <v>0</v>
      </c>
    </row>
    <row r="180">
      <c r="A180" s="6">
        <f>B176</f>
        <v>46111</v>
      </c>
      <c r="B180" s="11"/>
      <c r="C180" s="19" t="s">
        <v>15</v>
      </c>
      <c r="D180" s="18">
        <f>SUMIFS('渠道充值成功率_底稿'!$G:$G,'渠道充值成功率_底稿'!$A:$A,$A181,'渠道充值成功率_底稿'!$B:$B,D$1)</f>
        <v>0</v>
      </c>
      <c r="E180" s="18">
        <f>SUMIFS('渠道充值成功率_底稿'!$G:$G,'渠道充值成功率_底稿'!$A:$A,$A180,'渠道充值成功率_底稿'!$B:$B,E$1)</f>
        <v>0</v>
      </c>
      <c r="F180" s="18">
        <f>SUMIFS('渠道充值成功率_底稿'!$G:$G,'渠道充值成功率_底稿'!$A:$A,$A180,'渠道充值成功率_底稿'!$B:$B,F$1)</f>
        <v>0</v>
      </c>
      <c r="G180" s="18">
        <f>SUMIFS('渠道充值成功率_底稿'!$G:$G,'渠道充值成功率_底稿'!$A:$A,$A180,'渠道充值成功率_底稿'!$B:$B,G$1)</f>
        <v>0</v>
      </c>
      <c r="H180" s="18">
        <f>SUMIFS('渠道充值成功率_底稿'!$G:$G,'渠道充值成功率_底稿'!$A:$A,$A180,'渠道充值成功率_底稿'!$B:$B,H$1)</f>
        <v>0</v>
      </c>
      <c r="I180" s="18">
        <f>SUMIFS('渠道充值成功率_底稿'!$G:$G,'渠道充值成功率_底稿'!$A:$A,$A180,'渠道充值成功率_底稿'!$B:$B,I$1)</f>
        <v>0</v>
      </c>
      <c r="J180" s="18">
        <f>SUMIFS('渠道充值成功率_底稿'!$G:$G,'渠道充值成功率_底稿'!$A:$A,$A180,'渠道充值成功率_底稿'!$B:$B,J$1)</f>
        <v>0</v>
      </c>
      <c r="K180" s="18">
        <f>SUMIFS('渠道充值成功率_底稿'!$G:$G,'渠道充值成功率_底稿'!$A:$A,$A180,'渠道充值成功率_底稿'!$B:$B,K$1)</f>
        <v>0</v>
      </c>
      <c r="L180" s="14">
        <f>SUMIFS('渠道充值成功率_底稿'!$G:$G,'渠道充值成功率_底稿'!$A:$A,$A180,'渠道充值成功率_底稿'!$B:$B,L$1)</f>
        <v>0</v>
      </c>
    </row>
    <row r="181">
      <c r="A181" s="6">
        <f>B176</f>
        <v>46111</v>
      </c>
      <c r="B181" s="20"/>
      <c r="C181" s="21" t="s">
        <v>16</v>
      </c>
      <c r="D181" s="22" t="str">
        <f t="shared" ref="D181:L181" si="60">IFERROR(ROUND(D180/D179,6),"0")</f>
        <v>0</v>
      </c>
      <c r="E181" s="22" t="str">
        <f t="shared" si="60"/>
        <v>0</v>
      </c>
      <c r="F181" s="22" t="str">
        <f t="shared" si="60"/>
        <v>0</v>
      </c>
      <c r="G181" s="22" t="str">
        <f t="shared" si="60"/>
        <v>0</v>
      </c>
      <c r="H181" s="22" t="str">
        <f t="shared" si="60"/>
        <v>0</v>
      </c>
      <c r="I181" s="22" t="str">
        <f t="shared" si="60"/>
        <v>0</v>
      </c>
      <c r="J181" s="22" t="str">
        <f t="shared" si="60"/>
        <v>0</v>
      </c>
      <c r="K181" s="22" t="str">
        <f t="shared" si="60"/>
        <v>0</v>
      </c>
      <c r="L181" s="23" t="str">
        <f t="shared" si="60"/>
        <v>0</v>
      </c>
    </row>
    <row r="182">
      <c r="A182" s="6">
        <f>B182</f>
        <v>46112</v>
      </c>
      <c r="B182" s="7">
        <f>B176+1</f>
        <v>46112</v>
      </c>
      <c r="C182" s="8" t="s">
        <v>11</v>
      </c>
      <c r="D182" s="9">
        <f>SUMIFS('渠道充值成功率_底稿'!$C:$C,'渠道充值成功率_底稿'!$A:$A,$A182,'渠道充值成功率_底稿'!$B:$B,D$1)</f>
        <v>0</v>
      </c>
      <c r="E182" s="9">
        <f>SUMIFS('渠道充值成功率_底稿'!$C:$C,'渠道充值成功率_底稿'!$A:$A,$A182,'渠道充值成功率_底稿'!$B:$B,E$1)</f>
        <v>0</v>
      </c>
      <c r="F182" s="9">
        <f>SUMIFS('渠道充值成功率_底稿'!$C:$C,'渠道充值成功率_底稿'!$A:$A,$A182,'渠道充值成功率_底稿'!$B:$B,F$1)</f>
        <v>0</v>
      </c>
      <c r="G182" s="9">
        <f>SUMIFS('渠道充值成功率_底稿'!$C:$C,'渠道充值成功率_底稿'!$A:$A,$A182,'渠道充值成功率_底稿'!$B:$B,G$1)</f>
        <v>0</v>
      </c>
      <c r="H182" s="9">
        <f>SUMIFS('渠道充值成功率_底稿'!$C:$C,'渠道充值成功率_底稿'!$A:$A,$A182,'渠道充值成功率_底稿'!$B:$B,H$1)</f>
        <v>0</v>
      </c>
      <c r="I182" s="9">
        <f>SUMIFS('渠道充值成功率_底稿'!$C:$C,'渠道充值成功率_底稿'!$A:$A,$A182,'渠道充值成功率_底稿'!$B:$B,I$1)</f>
        <v>0</v>
      </c>
      <c r="J182" s="9">
        <f>SUMIFS('渠道充值成功率_底稿'!$C:$C,'渠道充值成功率_底稿'!$A:$A,$A182,'渠道充值成功率_底稿'!$B:$B,J$1)</f>
        <v>0</v>
      </c>
      <c r="K182" s="9">
        <f>SUMIFS('渠道充值成功率_底稿'!$C:$C,'渠道充值成功率_底稿'!$A:$A,$A182,'渠道充值成功率_底稿'!$B:$B,K$1)</f>
        <v>0</v>
      </c>
      <c r="L182" s="10">
        <f>SUMIFS('渠道充值成功率_底稿'!$C:$C,'渠道充值成功率_底稿'!$A:$A,$A182,'渠道充值成功率_底稿'!$B:$B,L$1)</f>
        <v>0</v>
      </c>
    </row>
    <row r="183">
      <c r="A183" s="6">
        <f>B182</f>
        <v>46112</v>
      </c>
      <c r="B183" s="11"/>
      <c r="C183" s="12" t="s">
        <v>12</v>
      </c>
      <c r="D183" s="13">
        <f>SUMIFS('渠道充值成功率_底稿'!$F:$F,'渠道充值成功率_底稿'!$A:$A,$A183,'渠道充值成功率_底稿'!$B:$B,D$1)</f>
        <v>0</v>
      </c>
      <c r="E183" s="13">
        <f>SUMIFS('渠道充值成功率_底稿'!$F:$F,'渠道充值成功率_底稿'!$A:$A,$A183,'渠道充值成功率_底稿'!$B:$B,E$1)</f>
        <v>0</v>
      </c>
      <c r="F183" s="13">
        <f>SUMIFS('渠道充值成功率_底稿'!$F:$F,'渠道充值成功率_底稿'!$A:$A,$A183,'渠道充值成功率_底稿'!$B:$B,F$1)</f>
        <v>0</v>
      </c>
      <c r="G183" s="13">
        <f>SUMIFS('渠道充值成功率_底稿'!$F:$F,'渠道充值成功率_底稿'!$A:$A,$A183,'渠道充值成功率_底稿'!$B:$B,G$1)</f>
        <v>0</v>
      </c>
      <c r="H183" s="13">
        <f>SUMIFS('渠道充值成功率_底稿'!$F:$F,'渠道充值成功率_底稿'!$A:$A,$A183,'渠道充值成功率_底稿'!$B:$B,H$1)</f>
        <v>0</v>
      </c>
      <c r="I183" s="13">
        <f>SUMIFS('渠道充值成功率_底稿'!$F:$F,'渠道充值成功率_底稿'!$A:$A,$A183,'渠道充值成功率_底稿'!$B:$B,I$1)</f>
        <v>0</v>
      </c>
      <c r="J183" s="13">
        <f>SUMIFS('渠道充值成功率_底稿'!$F:$F,'渠道充值成功率_底稿'!$A:$A,$A183,'渠道充值成功率_底稿'!$B:$B,J$1)</f>
        <v>0</v>
      </c>
      <c r="K183" s="13">
        <f>SUMIFS('渠道充值成功率_底稿'!$F:$F,'渠道充值成功率_底稿'!$A:$A,$A183,'渠道充值成功率_底稿'!$B:$B,K$1)</f>
        <v>0</v>
      </c>
      <c r="L183" s="14">
        <f>SUMIFS('渠道充值成功率_底稿'!$F:$F,'渠道充值成功率_底稿'!$A:$A,$A183,'渠道充值成功率_底稿'!$B:$B,L$1)</f>
        <v>0</v>
      </c>
    </row>
    <row r="184">
      <c r="A184" s="6">
        <f>B182</f>
        <v>46112</v>
      </c>
      <c r="B184" s="11"/>
      <c r="C184" s="15" t="s">
        <v>13</v>
      </c>
      <c r="D184" s="16" t="str">
        <f t="shared" ref="D184:L184" si="61">IFERROR(ROUND(D183/D182,6),"0")</f>
        <v>0</v>
      </c>
      <c r="E184" s="16" t="str">
        <f t="shared" si="61"/>
        <v>0</v>
      </c>
      <c r="F184" s="16" t="str">
        <f t="shared" si="61"/>
        <v>0</v>
      </c>
      <c r="G184" s="16" t="str">
        <f t="shared" si="61"/>
        <v>0</v>
      </c>
      <c r="H184" s="16" t="str">
        <f t="shared" si="61"/>
        <v>0</v>
      </c>
      <c r="I184" s="16" t="str">
        <f t="shared" si="61"/>
        <v>0</v>
      </c>
      <c r="J184" s="16" t="str">
        <f t="shared" si="61"/>
        <v>0</v>
      </c>
      <c r="K184" s="16" t="str">
        <f t="shared" si="61"/>
        <v>0</v>
      </c>
      <c r="L184" s="17" t="str">
        <f t="shared" si="61"/>
        <v>0</v>
      </c>
    </row>
    <row r="185">
      <c r="A185" s="6">
        <f>B182</f>
        <v>46112</v>
      </c>
      <c r="B185" s="11"/>
      <c r="C185" s="12" t="s">
        <v>14</v>
      </c>
      <c r="D185" s="18">
        <f>SUMIFS('渠道充值成功率_底稿'!$D:$D,'渠道充值成功率_底稿'!$A:$A,$A186,'渠道充值成功率_底稿'!$B:$B,D$1)</f>
        <v>0</v>
      </c>
      <c r="E185" s="18">
        <f>SUMIFS('渠道充值成功率_底稿'!$D:$D,'渠道充值成功率_底稿'!$A:$A,$A185,'渠道充值成功率_底稿'!$B:$B,E$1)</f>
        <v>0</v>
      </c>
      <c r="F185" s="18">
        <f>SUMIFS('渠道充值成功率_底稿'!$D:$D,'渠道充值成功率_底稿'!$A:$A,$A185,'渠道充值成功率_底稿'!$B:$B,F$1)</f>
        <v>0</v>
      </c>
      <c r="G185" s="18">
        <f>SUMIFS('渠道充值成功率_底稿'!$D:$D,'渠道充值成功率_底稿'!$A:$A,$A185,'渠道充值成功率_底稿'!$B:$B,G$1)</f>
        <v>0</v>
      </c>
      <c r="H185" s="18">
        <f>SUMIFS('渠道充值成功率_底稿'!$D:$D,'渠道充值成功率_底稿'!$A:$A,$A185,'渠道充值成功率_底稿'!$B:$B,H$1)</f>
        <v>0</v>
      </c>
      <c r="I185" s="18">
        <f>SUMIFS('渠道充值成功率_底稿'!$D:$D,'渠道充值成功率_底稿'!$A:$A,$A185,'渠道充值成功率_底稿'!$B:$B,I$1)</f>
        <v>0</v>
      </c>
      <c r="J185" s="18">
        <f>SUMIFS('渠道充值成功率_底稿'!$D:$D,'渠道充值成功率_底稿'!$A:$A,$A185,'渠道充值成功率_底稿'!$B:$B,J$1)</f>
        <v>0</v>
      </c>
      <c r="K185" s="18">
        <f>SUMIFS('渠道充值成功率_底稿'!$D:$D,'渠道充值成功率_底稿'!$A:$A,$A185,'渠道充值成功率_底稿'!$B:$B,K$1)</f>
        <v>0</v>
      </c>
      <c r="L185" s="14">
        <f>SUMIFS('渠道充值成功率_底稿'!$D:$D,'渠道充值成功率_底稿'!$A:$A,$A185,'渠道充值成功率_底稿'!$B:$B,L$1)</f>
        <v>0</v>
      </c>
    </row>
    <row r="186">
      <c r="A186" s="6">
        <f>B182</f>
        <v>46112</v>
      </c>
      <c r="B186" s="11"/>
      <c r="C186" s="19" t="s">
        <v>15</v>
      </c>
      <c r="D186" s="18">
        <f>SUMIFS('渠道充值成功率_底稿'!$G:$G,'渠道充值成功率_底稿'!$A:$A,$A187,'渠道充值成功率_底稿'!$B:$B,D$1)</f>
        <v>0</v>
      </c>
      <c r="E186" s="18">
        <f>SUMIFS('渠道充值成功率_底稿'!$G:$G,'渠道充值成功率_底稿'!$A:$A,$A186,'渠道充值成功率_底稿'!$B:$B,E$1)</f>
        <v>0</v>
      </c>
      <c r="F186" s="18">
        <f>SUMIFS('渠道充值成功率_底稿'!$G:$G,'渠道充值成功率_底稿'!$A:$A,$A186,'渠道充值成功率_底稿'!$B:$B,F$1)</f>
        <v>0</v>
      </c>
      <c r="G186" s="18">
        <f>SUMIFS('渠道充值成功率_底稿'!$G:$G,'渠道充值成功率_底稿'!$A:$A,$A186,'渠道充值成功率_底稿'!$B:$B,G$1)</f>
        <v>0</v>
      </c>
      <c r="H186" s="18">
        <f>SUMIFS('渠道充值成功率_底稿'!$G:$G,'渠道充值成功率_底稿'!$A:$A,$A186,'渠道充值成功率_底稿'!$B:$B,H$1)</f>
        <v>0</v>
      </c>
      <c r="I186" s="18">
        <f>SUMIFS('渠道充值成功率_底稿'!$G:$G,'渠道充值成功率_底稿'!$A:$A,$A186,'渠道充值成功率_底稿'!$B:$B,I$1)</f>
        <v>0</v>
      </c>
      <c r="J186" s="18">
        <f>SUMIFS('渠道充值成功率_底稿'!$G:$G,'渠道充值成功率_底稿'!$A:$A,$A186,'渠道充值成功率_底稿'!$B:$B,J$1)</f>
        <v>0</v>
      </c>
      <c r="K186" s="18">
        <f>SUMIFS('渠道充值成功率_底稿'!$G:$G,'渠道充值成功率_底稿'!$A:$A,$A186,'渠道充值成功率_底稿'!$B:$B,K$1)</f>
        <v>0</v>
      </c>
      <c r="L186" s="14">
        <f>SUMIFS('渠道充值成功率_底稿'!$G:$G,'渠道充值成功率_底稿'!$A:$A,$A186,'渠道充值成功率_底稿'!$B:$B,L$1)</f>
        <v>0</v>
      </c>
    </row>
    <row r="187">
      <c r="A187" s="6">
        <f>B182</f>
        <v>46112</v>
      </c>
      <c r="B187" s="20"/>
      <c r="C187" s="21" t="s">
        <v>16</v>
      </c>
      <c r="D187" s="22" t="str">
        <f t="shared" ref="D187:L187" si="62">IFERROR(ROUND(D186/D185,6),"0")</f>
        <v>0</v>
      </c>
      <c r="E187" s="22" t="str">
        <f t="shared" si="62"/>
        <v>0</v>
      </c>
      <c r="F187" s="22" t="str">
        <f t="shared" si="62"/>
        <v>0</v>
      </c>
      <c r="G187" s="22" t="str">
        <f t="shared" si="62"/>
        <v>0</v>
      </c>
      <c r="H187" s="22" t="str">
        <f t="shared" si="62"/>
        <v>0</v>
      </c>
      <c r="I187" s="22" t="str">
        <f t="shared" si="62"/>
        <v>0</v>
      </c>
      <c r="J187" s="22" t="str">
        <f t="shared" si="62"/>
        <v>0</v>
      </c>
      <c r="K187" s="22" t="str">
        <f t="shared" si="62"/>
        <v>0</v>
      </c>
      <c r="L187" s="23" t="str">
        <f t="shared" si="62"/>
        <v>0</v>
      </c>
    </row>
  </sheetData>
  <mergeCells count="31">
    <mergeCell ref="B2:B7"/>
    <mergeCell ref="B8:B13"/>
    <mergeCell ref="B14:B19"/>
    <mergeCell ref="B20:B25"/>
    <mergeCell ref="B26:B31"/>
    <mergeCell ref="B32:B37"/>
    <mergeCell ref="B38:B43"/>
    <mergeCell ref="B44:B49"/>
    <mergeCell ref="B50:B55"/>
    <mergeCell ref="B56:B61"/>
    <mergeCell ref="B62:B67"/>
    <mergeCell ref="B68:B73"/>
    <mergeCell ref="B74:B79"/>
    <mergeCell ref="B80:B85"/>
    <mergeCell ref="B86:B91"/>
    <mergeCell ref="B92:B97"/>
    <mergeCell ref="B98:B103"/>
    <mergeCell ref="B104:B109"/>
    <mergeCell ref="B110:B115"/>
    <mergeCell ref="B116:B121"/>
    <mergeCell ref="B122:B127"/>
    <mergeCell ref="B170:B175"/>
    <mergeCell ref="B176:B181"/>
    <mergeCell ref="B182:B187"/>
    <mergeCell ref="B128:B133"/>
    <mergeCell ref="B134:B139"/>
    <mergeCell ref="B140:B145"/>
    <mergeCell ref="B146:B151"/>
    <mergeCell ref="B152:B157"/>
    <mergeCell ref="B158:B163"/>
    <mergeCell ref="B164:B16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88"/>
  </cols>
  <sheetData>
    <row r="1">
      <c r="A1" s="24"/>
      <c r="B1" s="24" t="s">
        <v>1</v>
      </c>
    </row>
    <row r="2">
      <c r="A2" s="25" t="s">
        <v>17</v>
      </c>
      <c r="B2" s="25" t="s">
        <v>18</v>
      </c>
      <c r="C2" s="25" t="s">
        <v>11</v>
      </c>
      <c r="D2" s="25" t="s">
        <v>14</v>
      </c>
      <c r="E2" s="25" t="s">
        <v>19</v>
      </c>
      <c r="F2" s="25" t="s">
        <v>12</v>
      </c>
      <c r="G2" s="25" t="s">
        <v>15</v>
      </c>
      <c r="H2" s="25" t="s">
        <v>20</v>
      </c>
      <c r="I2" s="25" t="s">
        <v>21</v>
      </c>
      <c r="J2" s="25" t="s">
        <v>22</v>
      </c>
      <c r="K2" s="25" t="s">
        <v>23</v>
      </c>
      <c r="L2" s="25" t="s">
        <v>24</v>
      </c>
      <c r="M2" s="25" t="s">
        <v>25</v>
      </c>
    </row>
    <row r="3">
      <c r="A3" s="26">
        <v>46082.0</v>
      </c>
      <c r="B3" s="27" t="s">
        <v>9</v>
      </c>
      <c r="C3" s="28">
        <v>6.0</v>
      </c>
      <c r="D3" s="29">
        <v>900.0</v>
      </c>
      <c r="E3" s="28">
        <v>5.0</v>
      </c>
      <c r="F3" s="28">
        <v>4.0</v>
      </c>
      <c r="G3" s="29">
        <v>700.0</v>
      </c>
      <c r="H3" s="28">
        <v>4.0</v>
      </c>
      <c r="I3" s="28">
        <v>3.0</v>
      </c>
      <c r="J3" s="29">
        <v>500.0</v>
      </c>
      <c r="K3" s="28" t="s">
        <v>26</v>
      </c>
      <c r="L3" s="28" t="s">
        <v>27</v>
      </c>
      <c r="M3" s="30">
        <v>0.004606481481481481</v>
      </c>
    </row>
    <row r="4">
      <c r="A4" s="26">
        <v>46082.0</v>
      </c>
      <c r="B4" s="31" t="s">
        <v>3</v>
      </c>
      <c r="C4" s="32">
        <v>32.0</v>
      </c>
      <c r="D4" s="33">
        <v>5860.0</v>
      </c>
      <c r="E4" s="32">
        <v>19.0</v>
      </c>
      <c r="F4" s="32">
        <v>24.0</v>
      </c>
      <c r="G4" s="33">
        <v>4610.0</v>
      </c>
      <c r="H4" s="32">
        <v>17.0</v>
      </c>
      <c r="I4" s="32">
        <v>11.0</v>
      </c>
      <c r="J4" s="33">
        <v>2050.0</v>
      </c>
      <c r="K4" s="32" t="s">
        <v>28</v>
      </c>
      <c r="L4" s="32" t="s">
        <v>29</v>
      </c>
      <c r="M4" s="34">
        <v>8.101851851851852E-4</v>
      </c>
    </row>
    <row r="5">
      <c r="A5" s="26">
        <v>46082.0</v>
      </c>
      <c r="B5" s="27" t="s">
        <v>2</v>
      </c>
      <c r="C5" s="35">
        <v>1458.0</v>
      </c>
      <c r="D5" s="29">
        <v>201674.0</v>
      </c>
      <c r="E5" s="35">
        <v>854.0</v>
      </c>
      <c r="F5" s="35">
        <v>1065.0</v>
      </c>
      <c r="G5" s="29">
        <v>162179.0</v>
      </c>
      <c r="H5" s="35">
        <v>786.0</v>
      </c>
      <c r="I5" s="35">
        <v>530.0</v>
      </c>
      <c r="J5" s="29">
        <v>75007.0</v>
      </c>
      <c r="K5" s="28" t="s">
        <v>30</v>
      </c>
      <c r="L5" s="28" t="s">
        <v>31</v>
      </c>
      <c r="M5" s="30">
        <v>7.175925925925926E-4</v>
      </c>
    </row>
    <row r="6">
      <c r="A6" s="26">
        <v>46082.0</v>
      </c>
      <c r="B6" s="31" t="s">
        <v>4</v>
      </c>
      <c r="C6" s="36">
        <v>61.0</v>
      </c>
      <c r="D6" s="33">
        <v>8630.0</v>
      </c>
      <c r="E6" s="32">
        <v>46.0</v>
      </c>
      <c r="F6" s="32">
        <v>41.0</v>
      </c>
      <c r="G6" s="33">
        <v>5980.0</v>
      </c>
      <c r="H6" s="32">
        <v>32.0</v>
      </c>
      <c r="I6" s="32">
        <v>21.0</v>
      </c>
      <c r="J6" s="33">
        <v>3000.0</v>
      </c>
      <c r="K6" s="32" t="s">
        <v>32</v>
      </c>
      <c r="L6" s="32" t="s">
        <v>33</v>
      </c>
      <c r="M6" s="34">
        <v>7.523148148148148E-4</v>
      </c>
    </row>
    <row r="7">
      <c r="A7" s="26">
        <v>46082.0</v>
      </c>
      <c r="B7" s="27" t="s">
        <v>5</v>
      </c>
      <c r="C7" s="35">
        <v>146.0</v>
      </c>
      <c r="D7" s="29">
        <v>18592.0</v>
      </c>
      <c r="E7" s="35">
        <v>120.0</v>
      </c>
      <c r="F7" s="35">
        <v>117.0</v>
      </c>
      <c r="G7" s="29">
        <v>13472.0</v>
      </c>
      <c r="H7" s="35">
        <v>104.0</v>
      </c>
      <c r="I7" s="35">
        <v>60.0</v>
      </c>
      <c r="J7" s="29">
        <v>6970.0</v>
      </c>
      <c r="K7" s="28" t="s">
        <v>34</v>
      </c>
      <c r="L7" s="28" t="s">
        <v>35</v>
      </c>
      <c r="M7" s="30">
        <v>6.25E-4</v>
      </c>
    </row>
    <row r="8">
      <c r="A8" s="37"/>
      <c r="B8" s="38"/>
      <c r="C8" s="39"/>
      <c r="D8" s="39"/>
      <c r="E8" s="39"/>
      <c r="F8" s="39"/>
      <c r="G8" s="39"/>
      <c r="H8" s="39"/>
      <c r="I8" s="39"/>
      <c r="J8" s="39"/>
      <c r="K8" s="39"/>
      <c r="L8" s="39"/>
      <c r="M8" s="40"/>
    </row>
    <row r="9">
      <c r="A9" s="26">
        <v>46083.0</v>
      </c>
      <c r="B9" s="27" t="s">
        <v>9</v>
      </c>
      <c r="C9" s="28">
        <v>14.0</v>
      </c>
      <c r="D9" s="29">
        <v>3110.0</v>
      </c>
      <c r="E9" s="28">
        <v>4.0</v>
      </c>
      <c r="F9" s="28">
        <v>13.0</v>
      </c>
      <c r="G9" s="29">
        <v>2910.0</v>
      </c>
      <c r="H9" s="28">
        <v>3.0</v>
      </c>
      <c r="I9" s="28">
        <v>1.0</v>
      </c>
      <c r="J9" s="29">
        <v>200.0</v>
      </c>
      <c r="K9" s="28" t="s">
        <v>36</v>
      </c>
      <c r="L9" s="28" t="s">
        <v>37</v>
      </c>
      <c r="M9" s="30">
        <v>6.25E-4</v>
      </c>
    </row>
    <row r="10">
      <c r="A10" s="26">
        <v>46083.0</v>
      </c>
      <c r="B10" s="31" t="s">
        <v>3</v>
      </c>
      <c r="C10" s="32">
        <v>14.0</v>
      </c>
      <c r="D10" s="33">
        <v>2325.0</v>
      </c>
      <c r="E10" s="32">
        <v>6.0</v>
      </c>
      <c r="F10" s="32">
        <v>13.0</v>
      </c>
      <c r="G10" s="33">
        <v>2225.0</v>
      </c>
      <c r="H10" s="32">
        <v>5.0</v>
      </c>
      <c r="I10" s="32">
        <v>0.0</v>
      </c>
      <c r="J10" s="33">
        <v>0.0</v>
      </c>
      <c r="K10" s="32" t="s">
        <v>36</v>
      </c>
      <c r="L10" s="32" t="s">
        <v>38</v>
      </c>
      <c r="M10" s="34">
        <v>4.5138888888888887E-4</v>
      </c>
    </row>
    <row r="11">
      <c r="A11" s="26">
        <v>46083.0</v>
      </c>
      <c r="B11" s="27" t="s">
        <v>2</v>
      </c>
      <c r="C11" s="35">
        <v>611.0</v>
      </c>
      <c r="D11" s="29">
        <v>97556.0</v>
      </c>
      <c r="E11" s="35">
        <v>382.0</v>
      </c>
      <c r="F11" s="35">
        <v>492.0</v>
      </c>
      <c r="G11" s="29">
        <v>76391.0</v>
      </c>
      <c r="H11" s="35">
        <v>359.0</v>
      </c>
      <c r="I11" s="35">
        <v>119.0</v>
      </c>
      <c r="J11" s="29">
        <v>17236.0</v>
      </c>
      <c r="K11" s="28" t="s">
        <v>39</v>
      </c>
      <c r="L11" s="28" t="s">
        <v>40</v>
      </c>
      <c r="M11" s="30">
        <v>7.407407407407407E-4</v>
      </c>
    </row>
    <row r="12">
      <c r="A12" s="26">
        <v>46083.0</v>
      </c>
      <c r="B12" s="31" t="s">
        <v>4</v>
      </c>
      <c r="C12" s="32">
        <v>30.0</v>
      </c>
      <c r="D12" s="33">
        <v>4167.0</v>
      </c>
      <c r="E12" s="32">
        <v>24.0</v>
      </c>
      <c r="F12" s="32">
        <v>24.0</v>
      </c>
      <c r="G12" s="33">
        <v>3467.0</v>
      </c>
      <c r="H12" s="32">
        <v>19.0</v>
      </c>
      <c r="I12" s="32">
        <v>8.0</v>
      </c>
      <c r="J12" s="33">
        <v>1235.0</v>
      </c>
      <c r="K12" s="32" t="s">
        <v>41</v>
      </c>
      <c r="L12" s="32" t="s">
        <v>42</v>
      </c>
      <c r="M12" s="34">
        <v>5.671296296296297E-4</v>
      </c>
    </row>
    <row r="13" ht="20.25" customHeight="1">
      <c r="A13" s="26">
        <v>46083.0</v>
      </c>
      <c r="B13" s="27" t="s">
        <v>5</v>
      </c>
      <c r="C13" s="28">
        <v>81.0</v>
      </c>
      <c r="D13" s="29">
        <v>9777.0</v>
      </c>
      <c r="E13" s="28">
        <v>54.0</v>
      </c>
      <c r="F13" s="28">
        <v>57.0</v>
      </c>
      <c r="G13" s="29">
        <v>5458.0</v>
      </c>
      <c r="H13" s="28">
        <v>46.0</v>
      </c>
      <c r="I13" s="28">
        <v>12.0</v>
      </c>
      <c r="J13" s="29">
        <v>1024.0</v>
      </c>
      <c r="K13" s="28" t="s">
        <v>43</v>
      </c>
      <c r="L13" s="28" t="s">
        <v>44</v>
      </c>
      <c r="M13" s="30">
        <v>6.25E-4</v>
      </c>
    </row>
    <row r="14">
      <c r="A14" s="37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40"/>
    </row>
    <row r="15">
      <c r="A15" s="26">
        <v>46084.0</v>
      </c>
      <c r="B15" s="27" t="s">
        <v>9</v>
      </c>
      <c r="C15" s="28">
        <v>11.0</v>
      </c>
      <c r="D15" s="29">
        <v>2100.0</v>
      </c>
      <c r="E15" s="28">
        <v>4.0</v>
      </c>
      <c r="F15" s="28">
        <v>6.0</v>
      </c>
      <c r="G15" s="29">
        <v>1200.0</v>
      </c>
      <c r="H15" s="28">
        <v>2.0</v>
      </c>
      <c r="I15" s="28">
        <v>0.0</v>
      </c>
      <c r="J15" s="28">
        <v>0.0</v>
      </c>
      <c r="K15" s="28" t="s">
        <v>45</v>
      </c>
      <c r="L15" s="28" t="s">
        <v>46</v>
      </c>
      <c r="M15" s="30">
        <v>6.018518518518519E-4</v>
      </c>
    </row>
    <row r="16">
      <c r="A16" s="26">
        <v>46084.0</v>
      </c>
      <c r="B16" s="31" t="s">
        <v>3</v>
      </c>
      <c r="C16" s="32">
        <v>22.0</v>
      </c>
      <c r="D16" s="33">
        <v>3250.0</v>
      </c>
      <c r="E16" s="32">
        <v>5.0</v>
      </c>
      <c r="F16" s="32">
        <v>21.0</v>
      </c>
      <c r="G16" s="33">
        <v>3050.0</v>
      </c>
      <c r="H16" s="32">
        <v>4.0</v>
      </c>
      <c r="I16" s="32">
        <v>0.0</v>
      </c>
      <c r="J16" s="32">
        <v>0.0</v>
      </c>
      <c r="K16" s="32" t="s">
        <v>47</v>
      </c>
      <c r="L16" s="32" t="s">
        <v>48</v>
      </c>
      <c r="M16" s="34">
        <v>5.439814814814814E-4</v>
      </c>
    </row>
    <row r="17">
      <c r="A17" s="26">
        <v>46084.0</v>
      </c>
      <c r="B17" s="27" t="s">
        <v>2</v>
      </c>
      <c r="C17" s="28">
        <v>563.0</v>
      </c>
      <c r="D17" s="29">
        <v>89488.0</v>
      </c>
      <c r="E17" s="28">
        <v>326.0</v>
      </c>
      <c r="F17" s="28">
        <v>435.0</v>
      </c>
      <c r="G17" s="29">
        <v>71452.0</v>
      </c>
      <c r="H17" s="28">
        <v>307.0</v>
      </c>
      <c r="I17" s="28">
        <v>94.0</v>
      </c>
      <c r="J17" s="29">
        <v>13556.0</v>
      </c>
      <c r="K17" s="28" t="s">
        <v>49</v>
      </c>
      <c r="L17" s="28" t="s">
        <v>50</v>
      </c>
      <c r="M17" s="30">
        <v>7.523148148148148E-4</v>
      </c>
    </row>
    <row r="18">
      <c r="A18" s="26">
        <v>46084.0</v>
      </c>
      <c r="B18" s="31" t="s">
        <v>4</v>
      </c>
      <c r="C18" s="32">
        <v>26.0</v>
      </c>
      <c r="D18" s="33">
        <v>3975.0</v>
      </c>
      <c r="E18" s="32">
        <v>21.0</v>
      </c>
      <c r="F18" s="32">
        <v>18.0</v>
      </c>
      <c r="G18" s="33">
        <v>2925.0</v>
      </c>
      <c r="H18" s="32">
        <v>15.0</v>
      </c>
      <c r="I18" s="32">
        <v>2.0</v>
      </c>
      <c r="J18" s="32">
        <v>200.0</v>
      </c>
      <c r="K18" s="32" t="s">
        <v>51</v>
      </c>
      <c r="L18" s="32" t="s">
        <v>52</v>
      </c>
      <c r="M18" s="34">
        <v>7.291666666666667E-4</v>
      </c>
    </row>
    <row r="19">
      <c r="A19" s="26">
        <v>46084.0</v>
      </c>
      <c r="B19" s="27" t="s">
        <v>5</v>
      </c>
      <c r="C19" s="28">
        <v>59.0</v>
      </c>
      <c r="D19" s="29">
        <v>10480.0</v>
      </c>
      <c r="E19" s="28">
        <v>45.0</v>
      </c>
      <c r="F19" s="28">
        <v>48.0</v>
      </c>
      <c r="G19" s="29">
        <v>8681.0</v>
      </c>
      <c r="H19" s="28">
        <v>40.0</v>
      </c>
      <c r="I19" s="28">
        <v>10.0</v>
      </c>
      <c r="J19" s="29">
        <v>1929.0</v>
      </c>
      <c r="K19" s="28" t="s">
        <v>53</v>
      </c>
      <c r="L19" s="28" t="s">
        <v>54</v>
      </c>
      <c r="M19" s="30">
        <v>6.597222222222222E-4</v>
      </c>
    </row>
    <row r="20">
      <c r="A20" s="37"/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40"/>
    </row>
    <row r="21">
      <c r="A21" s="26">
        <v>46085.0</v>
      </c>
      <c r="B21" s="27" t="s">
        <v>2</v>
      </c>
      <c r="C21" s="35">
        <v>495.0</v>
      </c>
      <c r="D21" s="29">
        <v>75867.0</v>
      </c>
      <c r="E21" s="35">
        <v>310.0</v>
      </c>
      <c r="F21" s="35">
        <v>427.0</v>
      </c>
      <c r="G21" s="29">
        <v>68188.0</v>
      </c>
      <c r="H21" s="35">
        <v>299.0</v>
      </c>
      <c r="I21" s="28">
        <v>85.0</v>
      </c>
      <c r="J21" s="29">
        <v>12324.0</v>
      </c>
      <c r="K21" s="28" t="s">
        <v>55</v>
      </c>
      <c r="L21" s="28" t="s">
        <v>56</v>
      </c>
      <c r="M21" s="30">
        <v>9.143518518518518E-4</v>
      </c>
    </row>
    <row r="22">
      <c r="A22" s="26">
        <v>46085.0</v>
      </c>
      <c r="B22" s="31" t="s">
        <v>3</v>
      </c>
      <c r="C22" s="32">
        <v>15.0</v>
      </c>
      <c r="D22" s="33">
        <v>3270.0</v>
      </c>
      <c r="E22" s="32">
        <v>6.0</v>
      </c>
      <c r="F22" s="32">
        <v>7.0</v>
      </c>
      <c r="G22" s="33">
        <v>1570.0</v>
      </c>
      <c r="H22" s="32">
        <v>4.0</v>
      </c>
      <c r="I22" s="32">
        <v>2.0</v>
      </c>
      <c r="J22" s="33">
        <v>720.0</v>
      </c>
      <c r="K22" s="32" t="s">
        <v>57</v>
      </c>
      <c r="L22" s="32" t="s">
        <v>58</v>
      </c>
      <c r="M22" s="34">
        <v>5.324074074074074E-4</v>
      </c>
    </row>
    <row r="23">
      <c r="A23" s="26">
        <v>46085.0</v>
      </c>
      <c r="B23" s="27" t="s">
        <v>4</v>
      </c>
      <c r="C23" s="28">
        <v>28.0</v>
      </c>
      <c r="D23" s="29">
        <v>4140.0</v>
      </c>
      <c r="E23" s="28">
        <v>15.0</v>
      </c>
      <c r="F23" s="28">
        <v>19.0</v>
      </c>
      <c r="G23" s="29">
        <v>2440.0</v>
      </c>
      <c r="H23" s="28">
        <v>13.0</v>
      </c>
      <c r="I23" s="28">
        <v>3.0</v>
      </c>
      <c r="J23" s="29">
        <v>400.0</v>
      </c>
      <c r="K23" s="28" t="s">
        <v>59</v>
      </c>
      <c r="L23" s="28" t="s">
        <v>60</v>
      </c>
      <c r="M23" s="30">
        <v>8.680555555555555E-4</v>
      </c>
    </row>
    <row r="24">
      <c r="A24" s="26">
        <v>46085.0</v>
      </c>
      <c r="B24" s="31" t="s">
        <v>5</v>
      </c>
      <c r="C24" s="32">
        <v>54.0</v>
      </c>
      <c r="D24" s="33">
        <v>12150.0</v>
      </c>
      <c r="E24" s="32">
        <v>40.0</v>
      </c>
      <c r="F24" s="32">
        <v>49.0</v>
      </c>
      <c r="G24" s="33">
        <v>10700.0</v>
      </c>
      <c r="H24" s="32">
        <v>39.0</v>
      </c>
      <c r="I24" s="32">
        <v>12.0</v>
      </c>
      <c r="J24" s="33">
        <v>2750.0</v>
      </c>
      <c r="K24" s="32" t="s">
        <v>61</v>
      </c>
      <c r="L24" s="32" t="s">
        <v>62</v>
      </c>
      <c r="M24" s="34">
        <v>5.439814814814814E-4</v>
      </c>
    </row>
    <row r="25">
      <c r="A25" s="26">
        <v>46085.0</v>
      </c>
      <c r="B25" s="27" t="s">
        <v>9</v>
      </c>
      <c r="C25" s="28">
        <v>2.0</v>
      </c>
      <c r="D25" s="29">
        <v>330.0</v>
      </c>
      <c r="E25" s="28">
        <v>1.0</v>
      </c>
      <c r="F25" s="28">
        <v>2.0</v>
      </c>
      <c r="G25" s="29">
        <v>330.0</v>
      </c>
      <c r="H25" s="28">
        <v>1.0</v>
      </c>
      <c r="I25" s="28">
        <v>0.0</v>
      </c>
      <c r="J25" s="29">
        <v>0.0</v>
      </c>
      <c r="K25" s="28" t="s">
        <v>63</v>
      </c>
      <c r="L25" s="28" t="s">
        <v>64</v>
      </c>
      <c r="M25" s="30">
        <v>5.902777777777778E-4</v>
      </c>
    </row>
    <row r="26">
      <c r="A26" s="37"/>
      <c r="B26" s="38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40"/>
    </row>
    <row r="27">
      <c r="A27" s="26">
        <v>46086.0</v>
      </c>
      <c r="B27" s="27" t="s">
        <v>9</v>
      </c>
      <c r="C27" s="35">
        <v>21.0</v>
      </c>
      <c r="D27" s="29">
        <v>4550.0</v>
      </c>
      <c r="E27" s="28">
        <v>4.0</v>
      </c>
      <c r="F27" s="35">
        <v>15.0</v>
      </c>
      <c r="G27" s="29">
        <v>2250.0</v>
      </c>
      <c r="H27" s="28">
        <v>2.0</v>
      </c>
      <c r="I27" s="28">
        <v>0.0</v>
      </c>
      <c r="J27" s="29">
        <v>0.0</v>
      </c>
      <c r="K27" s="28" t="s">
        <v>65</v>
      </c>
      <c r="L27" s="28" t="s">
        <v>66</v>
      </c>
      <c r="M27" s="30">
        <v>6.25E-4</v>
      </c>
    </row>
    <row r="28">
      <c r="A28" s="26">
        <v>46086.0</v>
      </c>
      <c r="B28" s="31" t="s">
        <v>3</v>
      </c>
      <c r="C28" s="32">
        <v>25.0</v>
      </c>
      <c r="D28" s="33">
        <v>4680.0</v>
      </c>
      <c r="E28" s="32">
        <v>10.0</v>
      </c>
      <c r="F28" s="32">
        <v>24.0</v>
      </c>
      <c r="G28" s="33">
        <v>4480.0</v>
      </c>
      <c r="H28" s="32">
        <v>10.0</v>
      </c>
      <c r="I28" s="32">
        <v>4.0</v>
      </c>
      <c r="J28" s="33">
        <v>400.0</v>
      </c>
      <c r="K28" s="32" t="s">
        <v>67</v>
      </c>
      <c r="L28" s="32" t="s">
        <v>68</v>
      </c>
      <c r="M28" s="34">
        <v>6.365740740740741E-4</v>
      </c>
    </row>
    <row r="29">
      <c r="A29" s="26">
        <v>46086.0</v>
      </c>
      <c r="B29" s="27" t="s">
        <v>2</v>
      </c>
      <c r="C29" s="28">
        <v>746.0</v>
      </c>
      <c r="D29" s="29">
        <v>129434.0</v>
      </c>
      <c r="E29" s="28">
        <v>432.0</v>
      </c>
      <c r="F29" s="28">
        <v>494.0</v>
      </c>
      <c r="G29" s="29">
        <v>89429.0</v>
      </c>
      <c r="H29" s="28">
        <v>371.0</v>
      </c>
      <c r="I29" s="28">
        <v>132.0</v>
      </c>
      <c r="J29" s="29">
        <v>17385.0</v>
      </c>
      <c r="K29" s="28" t="s">
        <v>69</v>
      </c>
      <c r="L29" s="28" t="s">
        <v>70</v>
      </c>
      <c r="M29" s="30">
        <v>8.217592592592593E-4</v>
      </c>
    </row>
    <row r="30">
      <c r="A30" s="26">
        <v>46086.0</v>
      </c>
      <c r="B30" s="31" t="s">
        <v>4</v>
      </c>
      <c r="C30" s="32">
        <v>66.0</v>
      </c>
      <c r="D30" s="33">
        <v>10670.0</v>
      </c>
      <c r="E30" s="32">
        <v>40.0</v>
      </c>
      <c r="F30" s="32">
        <v>30.0</v>
      </c>
      <c r="G30" s="33">
        <v>4183.0</v>
      </c>
      <c r="H30" s="32">
        <v>25.0</v>
      </c>
      <c r="I30" s="32">
        <v>6.0</v>
      </c>
      <c r="J30" s="33">
        <v>610.0</v>
      </c>
      <c r="K30" s="32" t="s">
        <v>71</v>
      </c>
      <c r="L30" s="32" t="s">
        <v>72</v>
      </c>
      <c r="M30" s="34">
        <v>6.134259259259259E-4</v>
      </c>
    </row>
    <row r="31">
      <c r="A31" s="26">
        <v>46086.0</v>
      </c>
      <c r="B31" s="27" t="s">
        <v>5</v>
      </c>
      <c r="C31" s="28">
        <v>80.0</v>
      </c>
      <c r="D31" s="29">
        <v>28649.0</v>
      </c>
      <c r="E31" s="28">
        <v>60.0</v>
      </c>
      <c r="F31" s="28">
        <v>66.0</v>
      </c>
      <c r="G31" s="29">
        <v>22356.0</v>
      </c>
      <c r="H31" s="28">
        <v>55.0</v>
      </c>
      <c r="I31" s="28">
        <v>29.0</v>
      </c>
      <c r="J31" s="29">
        <v>8510.0</v>
      </c>
      <c r="K31" s="28" t="s">
        <v>73</v>
      </c>
      <c r="L31" s="28" t="s">
        <v>74</v>
      </c>
      <c r="M31" s="30">
        <v>5.902777777777778E-4</v>
      </c>
    </row>
    <row r="32">
      <c r="A32" s="37"/>
      <c r="B32" s="38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40"/>
    </row>
    <row r="33">
      <c r="A33" s="41">
        <v>46087.0</v>
      </c>
      <c r="B33" s="27" t="s">
        <v>9</v>
      </c>
      <c r="C33" s="35">
        <v>8.0</v>
      </c>
      <c r="D33" s="29">
        <v>2020.0</v>
      </c>
      <c r="E33" s="28">
        <v>4.0</v>
      </c>
      <c r="F33" s="28">
        <v>7.0</v>
      </c>
      <c r="G33" s="29">
        <v>1520.0</v>
      </c>
      <c r="H33" s="28">
        <v>4.0</v>
      </c>
      <c r="I33" s="28">
        <v>0.0</v>
      </c>
      <c r="J33" s="29">
        <v>0.0</v>
      </c>
      <c r="K33" s="28" t="s">
        <v>75</v>
      </c>
      <c r="L33" s="28" t="s">
        <v>76</v>
      </c>
      <c r="M33" s="30">
        <v>6.597222222222222E-4</v>
      </c>
    </row>
    <row r="34">
      <c r="A34" s="41">
        <v>46087.0</v>
      </c>
      <c r="B34" s="31" t="s">
        <v>3</v>
      </c>
      <c r="C34" s="32">
        <v>36.0</v>
      </c>
      <c r="D34" s="33">
        <v>9587.0</v>
      </c>
      <c r="E34" s="32">
        <v>21.0</v>
      </c>
      <c r="F34" s="32">
        <v>29.0</v>
      </c>
      <c r="G34" s="33">
        <v>6087.0</v>
      </c>
      <c r="H34" s="32">
        <v>18.0</v>
      </c>
      <c r="I34" s="32">
        <v>5.0</v>
      </c>
      <c r="J34" s="33">
        <v>1451.0</v>
      </c>
      <c r="K34" s="32" t="s">
        <v>77</v>
      </c>
      <c r="L34" s="32" t="s">
        <v>78</v>
      </c>
      <c r="M34" s="34">
        <v>5.092592592592592E-4</v>
      </c>
    </row>
    <row r="35">
      <c r="A35" s="41">
        <v>46087.0</v>
      </c>
      <c r="B35" s="27" t="s">
        <v>2</v>
      </c>
      <c r="C35" s="28">
        <v>731.0</v>
      </c>
      <c r="D35" s="29">
        <v>123829.0</v>
      </c>
      <c r="E35" s="28">
        <v>359.0</v>
      </c>
      <c r="F35" s="28">
        <v>400.0</v>
      </c>
      <c r="G35" s="29">
        <v>62040.0</v>
      </c>
      <c r="H35" s="28">
        <v>308.0</v>
      </c>
      <c r="I35" s="28">
        <v>103.0</v>
      </c>
      <c r="J35" s="29">
        <v>16658.0</v>
      </c>
      <c r="K35" s="28" t="s">
        <v>79</v>
      </c>
      <c r="L35" s="28" t="s">
        <v>80</v>
      </c>
      <c r="M35" s="30">
        <v>0.0011805555555555556</v>
      </c>
    </row>
    <row r="36">
      <c r="A36" s="41">
        <v>46087.0</v>
      </c>
      <c r="B36" s="31" t="s">
        <v>4</v>
      </c>
      <c r="C36" s="32">
        <v>60.0</v>
      </c>
      <c r="D36" s="33">
        <v>13060.0</v>
      </c>
      <c r="E36" s="32">
        <v>46.0</v>
      </c>
      <c r="F36" s="32">
        <v>26.0</v>
      </c>
      <c r="G36" s="33">
        <v>5460.0</v>
      </c>
      <c r="H36" s="32">
        <v>22.0</v>
      </c>
      <c r="I36" s="32">
        <v>6.0</v>
      </c>
      <c r="J36" s="33">
        <v>1110.0</v>
      </c>
      <c r="K36" s="32" t="s">
        <v>81</v>
      </c>
      <c r="L36" s="32" t="s">
        <v>82</v>
      </c>
      <c r="M36" s="34">
        <v>5.787037037037037E-4</v>
      </c>
    </row>
    <row r="37">
      <c r="A37" s="41">
        <v>46087.0</v>
      </c>
      <c r="B37" s="27" t="s">
        <v>5</v>
      </c>
      <c r="C37" s="28">
        <v>90.0</v>
      </c>
      <c r="D37" s="29">
        <v>9860.0</v>
      </c>
      <c r="E37" s="28">
        <v>64.0</v>
      </c>
      <c r="F37" s="28">
        <v>69.0</v>
      </c>
      <c r="G37" s="29">
        <v>7338.0</v>
      </c>
      <c r="H37" s="28">
        <v>58.0</v>
      </c>
      <c r="I37" s="28">
        <v>19.0</v>
      </c>
      <c r="J37" s="29">
        <v>1957.0</v>
      </c>
      <c r="K37" s="28" t="s">
        <v>83</v>
      </c>
      <c r="L37" s="28" t="s">
        <v>84</v>
      </c>
      <c r="M37" s="30">
        <v>7.060185185185185E-4</v>
      </c>
    </row>
    <row r="38">
      <c r="A38" s="37"/>
      <c r="B38" s="38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40"/>
    </row>
    <row r="39">
      <c r="A39" s="41">
        <v>46088.0</v>
      </c>
      <c r="B39" s="27" t="s">
        <v>2</v>
      </c>
      <c r="C39" s="28">
        <v>465.0</v>
      </c>
      <c r="D39" s="29">
        <v>80552.0</v>
      </c>
      <c r="E39" s="28">
        <v>277.0</v>
      </c>
      <c r="F39" s="28">
        <v>388.0</v>
      </c>
      <c r="G39" s="29">
        <v>68301.0</v>
      </c>
      <c r="H39" s="28">
        <v>258.0</v>
      </c>
      <c r="I39" s="28">
        <v>64.0</v>
      </c>
      <c r="J39" s="29">
        <v>7710.0</v>
      </c>
      <c r="K39" s="28" t="s">
        <v>85</v>
      </c>
      <c r="L39" s="28" t="s">
        <v>86</v>
      </c>
      <c r="M39" s="30">
        <v>8.680555555555555E-4</v>
      </c>
    </row>
    <row r="40">
      <c r="A40" s="41">
        <v>46088.0</v>
      </c>
      <c r="B40" s="31" t="s">
        <v>5</v>
      </c>
      <c r="C40" s="32">
        <v>43.0</v>
      </c>
      <c r="D40" s="33">
        <v>4750.0</v>
      </c>
      <c r="E40" s="32">
        <v>34.0</v>
      </c>
      <c r="F40" s="32">
        <v>38.0</v>
      </c>
      <c r="G40" s="33">
        <v>3829.0</v>
      </c>
      <c r="H40" s="32">
        <v>32.0</v>
      </c>
      <c r="I40" s="32">
        <v>8.0</v>
      </c>
      <c r="J40" s="32">
        <v>978.0</v>
      </c>
      <c r="K40" s="32" t="s">
        <v>87</v>
      </c>
      <c r="L40" s="32" t="s">
        <v>88</v>
      </c>
      <c r="M40" s="34">
        <v>5.092592592592592E-4</v>
      </c>
    </row>
    <row r="41">
      <c r="A41" s="41">
        <v>46088.0</v>
      </c>
      <c r="B41" s="27" t="s">
        <v>4</v>
      </c>
      <c r="C41" s="28">
        <v>34.0</v>
      </c>
      <c r="D41" s="29">
        <v>5543.0</v>
      </c>
      <c r="E41" s="28">
        <v>20.0</v>
      </c>
      <c r="F41" s="28">
        <v>21.0</v>
      </c>
      <c r="G41" s="29">
        <v>3623.0</v>
      </c>
      <c r="H41" s="28">
        <v>16.0</v>
      </c>
      <c r="I41" s="28">
        <v>3.0</v>
      </c>
      <c r="J41" s="28">
        <v>908.0</v>
      </c>
      <c r="K41" s="28" t="s">
        <v>89</v>
      </c>
      <c r="L41" s="28" t="s">
        <v>90</v>
      </c>
      <c r="M41" s="30">
        <v>8.333333333333334E-4</v>
      </c>
    </row>
    <row r="42">
      <c r="A42" s="41">
        <v>46088.0</v>
      </c>
      <c r="B42" s="31" t="s">
        <v>9</v>
      </c>
      <c r="C42" s="32">
        <v>5.0</v>
      </c>
      <c r="D42" s="32">
        <v>921.0</v>
      </c>
      <c r="E42" s="32">
        <v>4.0</v>
      </c>
      <c r="F42" s="32">
        <v>3.0</v>
      </c>
      <c r="G42" s="32">
        <v>500.0</v>
      </c>
      <c r="H42" s="32">
        <v>3.0</v>
      </c>
      <c r="I42" s="32">
        <v>0.0</v>
      </c>
      <c r="J42" s="32">
        <v>0.0</v>
      </c>
      <c r="K42" s="32" t="s">
        <v>91</v>
      </c>
      <c r="L42" s="32" t="s">
        <v>92</v>
      </c>
      <c r="M42" s="34">
        <v>6.134259259259259E-4</v>
      </c>
    </row>
    <row r="43">
      <c r="A43" s="41">
        <v>46088.0</v>
      </c>
      <c r="B43" s="27" t="s">
        <v>3</v>
      </c>
      <c r="C43" s="28">
        <v>11.0</v>
      </c>
      <c r="D43" s="29">
        <v>2150.0</v>
      </c>
      <c r="E43" s="28">
        <v>8.0</v>
      </c>
      <c r="F43" s="28">
        <v>10.0</v>
      </c>
      <c r="G43" s="29">
        <v>2000.0</v>
      </c>
      <c r="H43" s="28">
        <v>7.0</v>
      </c>
      <c r="I43" s="28">
        <v>0.0</v>
      </c>
      <c r="J43" s="28">
        <v>0.0</v>
      </c>
      <c r="K43" s="28" t="s">
        <v>93</v>
      </c>
      <c r="L43" s="28" t="s">
        <v>94</v>
      </c>
      <c r="M43" s="30">
        <v>6.018518518518519E-4</v>
      </c>
    </row>
    <row r="44">
      <c r="A44" s="37"/>
      <c r="B44" s="38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40"/>
    </row>
    <row r="45">
      <c r="A45" s="41">
        <v>46089.0</v>
      </c>
      <c r="B45" s="27" t="s">
        <v>2</v>
      </c>
      <c r="C45" s="28">
        <v>477.0</v>
      </c>
      <c r="D45" s="29">
        <v>76396.0</v>
      </c>
      <c r="E45" s="28">
        <v>272.0</v>
      </c>
      <c r="F45" s="28">
        <v>370.0</v>
      </c>
      <c r="G45" s="29">
        <v>62867.0</v>
      </c>
      <c r="H45" s="28">
        <v>242.0</v>
      </c>
      <c r="I45" s="28">
        <v>55.0</v>
      </c>
      <c r="J45" s="29">
        <v>6407.0</v>
      </c>
      <c r="K45" s="28" t="s">
        <v>95</v>
      </c>
      <c r="L45" s="28" t="s">
        <v>96</v>
      </c>
      <c r="M45" s="30">
        <v>8.101851851851852E-4</v>
      </c>
    </row>
    <row r="46">
      <c r="A46" s="41">
        <v>46089.0</v>
      </c>
      <c r="B46" s="31" t="s">
        <v>3</v>
      </c>
      <c r="C46" s="32">
        <v>16.0</v>
      </c>
      <c r="D46" s="33">
        <v>3452.0</v>
      </c>
      <c r="E46" s="32">
        <v>10.0</v>
      </c>
      <c r="F46" s="32">
        <v>13.0</v>
      </c>
      <c r="G46" s="33">
        <v>2752.0</v>
      </c>
      <c r="H46" s="32">
        <v>10.0</v>
      </c>
      <c r="I46" s="32">
        <v>1.0</v>
      </c>
      <c r="J46" s="33">
        <v>100.0</v>
      </c>
      <c r="K46" s="32" t="s">
        <v>97</v>
      </c>
      <c r="L46" s="32" t="s">
        <v>98</v>
      </c>
      <c r="M46" s="34">
        <v>4.7453703703703704E-4</v>
      </c>
    </row>
    <row r="47">
      <c r="A47" s="41">
        <v>46089.0</v>
      </c>
      <c r="B47" s="27" t="s">
        <v>5</v>
      </c>
      <c r="C47" s="28">
        <v>57.0</v>
      </c>
      <c r="D47" s="29">
        <v>6354.0</v>
      </c>
      <c r="E47" s="28">
        <v>42.0</v>
      </c>
      <c r="F47" s="28">
        <v>45.0</v>
      </c>
      <c r="G47" s="29">
        <v>4554.0</v>
      </c>
      <c r="H47" s="28">
        <v>37.0</v>
      </c>
      <c r="I47" s="28">
        <v>12.0</v>
      </c>
      <c r="J47" s="29">
        <v>1011.0</v>
      </c>
      <c r="K47" s="28" t="s">
        <v>99</v>
      </c>
      <c r="L47" s="28" t="s">
        <v>100</v>
      </c>
      <c r="M47" s="30">
        <v>6.828703703703704E-4</v>
      </c>
    </row>
    <row r="48">
      <c r="A48" s="41">
        <v>46089.0</v>
      </c>
      <c r="B48" s="31" t="s">
        <v>4</v>
      </c>
      <c r="C48" s="32">
        <v>39.0</v>
      </c>
      <c r="D48" s="33">
        <v>6753.0</v>
      </c>
      <c r="E48" s="32">
        <v>24.0</v>
      </c>
      <c r="F48" s="32">
        <v>24.0</v>
      </c>
      <c r="G48" s="33">
        <v>4021.0</v>
      </c>
      <c r="H48" s="32">
        <v>17.0</v>
      </c>
      <c r="I48" s="32">
        <v>2.0</v>
      </c>
      <c r="J48" s="33">
        <v>200.0</v>
      </c>
      <c r="K48" s="32" t="s">
        <v>101</v>
      </c>
      <c r="L48" s="32" t="s">
        <v>102</v>
      </c>
      <c r="M48" s="34">
        <v>6.944444444444445E-4</v>
      </c>
    </row>
    <row r="49">
      <c r="A49" s="37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40"/>
    </row>
    <row r="50">
      <c r="A50" s="26">
        <v>46090.0</v>
      </c>
      <c r="B50" s="27" t="s">
        <v>9</v>
      </c>
      <c r="C50" s="28">
        <v>4.0</v>
      </c>
      <c r="D50" s="28">
        <v>920.0</v>
      </c>
      <c r="E50" s="28">
        <v>1.0</v>
      </c>
      <c r="F50" s="28">
        <v>4.0</v>
      </c>
      <c r="G50" s="28">
        <v>920.0</v>
      </c>
      <c r="H50" s="28">
        <v>1.0</v>
      </c>
      <c r="I50" s="28">
        <v>0.0</v>
      </c>
      <c r="J50" s="28">
        <v>0.0</v>
      </c>
      <c r="K50" s="28" t="s">
        <v>63</v>
      </c>
      <c r="L50" s="28" t="s">
        <v>103</v>
      </c>
      <c r="M50" s="30">
        <v>5.787037037037037E-4</v>
      </c>
    </row>
    <row r="51">
      <c r="A51" s="26">
        <v>46090.0</v>
      </c>
      <c r="B51" s="31" t="s">
        <v>3</v>
      </c>
      <c r="C51" s="32">
        <v>4.0</v>
      </c>
      <c r="D51" s="33">
        <v>600.0</v>
      </c>
      <c r="E51" s="32">
        <v>3.0</v>
      </c>
      <c r="F51" s="32">
        <v>4.0</v>
      </c>
      <c r="G51" s="33">
        <v>600.0</v>
      </c>
      <c r="H51" s="32">
        <v>3.0</v>
      </c>
      <c r="I51" s="32">
        <v>0.0</v>
      </c>
      <c r="J51" s="33">
        <v>0.0</v>
      </c>
      <c r="K51" s="32" t="s">
        <v>63</v>
      </c>
      <c r="L51" s="32" t="s">
        <v>46</v>
      </c>
      <c r="M51" s="34">
        <v>9.25925925925926E-4</v>
      </c>
    </row>
    <row r="52">
      <c r="A52" s="26">
        <v>46090.0</v>
      </c>
      <c r="B52" s="27" t="s">
        <v>2</v>
      </c>
      <c r="C52" s="28">
        <v>293.0</v>
      </c>
      <c r="D52" s="29">
        <v>43671.0</v>
      </c>
      <c r="E52" s="28">
        <v>173.0</v>
      </c>
      <c r="F52" s="28">
        <v>235.0</v>
      </c>
      <c r="G52" s="29">
        <v>32246.0</v>
      </c>
      <c r="H52" s="28">
        <v>161.0</v>
      </c>
      <c r="I52" s="28">
        <v>40.0</v>
      </c>
      <c r="J52" s="29">
        <v>5470.0</v>
      </c>
      <c r="K52" s="28" t="s">
        <v>104</v>
      </c>
      <c r="L52" s="28" t="s">
        <v>105</v>
      </c>
      <c r="M52" s="30">
        <v>9.143518518518518E-4</v>
      </c>
    </row>
    <row r="53">
      <c r="A53" s="26">
        <v>46090.0</v>
      </c>
      <c r="B53" s="31" t="s">
        <v>4</v>
      </c>
      <c r="C53" s="36">
        <v>16.0</v>
      </c>
      <c r="D53" s="33">
        <v>1833.0</v>
      </c>
      <c r="E53" s="32">
        <v>12.0</v>
      </c>
      <c r="F53" s="32">
        <v>10.0</v>
      </c>
      <c r="G53" s="33">
        <v>1224.0</v>
      </c>
      <c r="H53" s="32">
        <v>8.0</v>
      </c>
      <c r="I53" s="32">
        <v>2.0</v>
      </c>
      <c r="J53" s="33">
        <v>300.0</v>
      </c>
      <c r="K53" s="32" t="s">
        <v>106</v>
      </c>
      <c r="L53" s="32" t="s">
        <v>107</v>
      </c>
      <c r="M53" s="34">
        <v>7.407407407407407E-4</v>
      </c>
    </row>
    <row r="54">
      <c r="A54" s="26">
        <v>46090.0</v>
      </c>
      <c r="B54" s="27" t="s">
        <v>5</v>
      </c>
      <c r="C54" s="28">
        <v>53.0</v>
      </c>
      <c r="D54" s="29">
        <v>9036.0</v>
      </c>
      <c r="E54" s="28">
        <v>36.0</v>
      </c>
      <c r="F54" s="28">
        <v>48.0</v>
      </c>
      <c r="G54" s="29">
        <v>8535.0</v>
      </c>
      <c r="H54" s="28">
        <v>33.0</v>
      </c>
      <c r="I54" s="28">
        <v>11.0</v>
      </c>
      <c r="J54" s="29">
        <v>1075.0</v>
      </c>
      <c r="K54" s="28" t="s">
        <v>108</v>
      </c>
      <c r="L54" s="28" t="s">
        <v>109</v>
      </c>
      <c r="M54" s="30">
        <v>6.597222222222222E-4</v>
      </c>
    </row>
    <row r="55">
      <c r="A55" s="37"/>
      <c r="B55" s="38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40"/>
    </row>
    <row r="56">
      <c r="A56" s="26">
        <v>46091.0</v>
      </c>
      <c r="B56" s="27" t="s">
        <v>3</v>
      </c>
      <c r="C56" s="28">
        <v>12.0</v>
      </c>
      <c r="D56" s="29">
        <v>4106.0</v>
      </c>
      <c r="E56" s="28">
        <v>6.0</v>
      </c>
      <c r="F56" s="28">
        <v>11.0</v>
      </c>
      <c r="G56" s="29">
        <v>4003.0</v>
      </c>
      <c r="H56" s="28">
        <v>6.0</v>
      </c>
      <c r="I56" s="28">
        <v>1.0</v>
      </c>
      <c r="J56" s="28">
        <v>100.0</v>
      </c>
      <c r="K56" s="28" t="s">
        <v>110</v>
      </c>
      <c r="L56" s="28" t="s">
        <v>111</v>
      </c>
      <c r="M56" s="30">
        <v>0.0011574074074074073</v>
      </c>
    </row>
    <row r="57">
      <c r="A57" s="26">
        <v>46091.0</v>
      </c>
      <c r="B57" s="31" t="s">
        <v>2</v>
      </c>
      <c r="C57" s="32">
        <v>357.0</v>
      </c>
      <c r="D57" s="33">
        <v>59453.0</v>
      </c>
      <c r="E57" s="32">
        <v>213.0</v>
      </c>
      <c r="F57" s="32">
        <v>278.0</v>
      </c>
      <c r="G57" s="33">
        <v>43783.0</v>
      </c>
      <c r="H57" s="32">
        <v>194.0</v>
      </c>
      <c r="I57" s="32">
        <v>56.0</v>
      </c>
      <c r="J57" s="33">
        <v>6838.0</v>
      </c>
      <c r="K57" s="32" t="s">
        <v>112</v>
      </c>
      <c r="L57" s="32" t="s">
        <v>113</v>
      </c>
      <c r="M57" s="34">
        <v>0.004120370370370371</v>
      </c>
    </row>
    <row r="58">
      <c r="A58" s="26">
        <v>46091.0</v>
      </c>
      <c r="B58" s="27" t="s">
        <v>4</v>
      </c>
      <c r="C58" s="28">
        <v>19.0</v>
      </c>
      <c r="D58" s="29">
        <v>2150.0</v>
      </c>
      <c r="E58" s="28">
        <v>14.0</v>
      </c>
      <c r="F58" s="28">
        <v>11.0</v>
      </c>
      <c r="G58" s="29">
        <v>1250.0</v>
      </c>
      <c r="H58" s="28">
        <v>8.0</v>
      </c>
      <c r="I58" s="28">
        <v>2.0</v>
      </c>
      <c r="J58" s="29">
        <v>250.0</v>
      </c>
      <c r="K58" s="28" t="s">
        <v>114</v>
      </c>
      <c r="L58" s="28" t="s">
        <v>115</v>
      </c>
      <c r="M58" s="30">
        <v>4.861111111111111E-4</v>
      </c>
    </row>
    <row r="59">
      <c r="A59" s="26">
        <v>46091.0</v>
      </c>
      <c r="B59" s="31" t="s">
        <v>5</v>
      </c>
      <c r="C59" s="32">
        <v>58.0</v>
      </c>
      <c r="D59" s="33">
        <v>6569.0</v>
      </c>
      <c r="E59" s="32">
        <v>35.0</v>
      </c>
      <c r="F59" s="32">
        <v>42.0</v>
      </c>
      <c r="G59" s="33">
        <v>4709.0</v>
      </c>
      <c r="H59" s="32">
        <v>31.0</v>
      </c>
      <c r="I59" s="32">
        <v>7.0</v>
      </c>
      <c r="J59" s="33">
        <v>550.0</v>
      </c>
      <c r="K59" s="32" t="s">
        <v>116</v>
      </c>
      <c r="L59" s="32" t="s">
        <v>117</v>
      </c>
      <c r="M59" s="34">
        <v>6.944444444444445E-4</v>
      </c>
    </row>
    <row r="60">
      <c r="A60" s="42"/>
      <c r="B60" s="43"/>
      <c r="C60" s="44"/>
      <c r="D60" s="45"/>
      <c r="E60" s="44"/>
      <c r="F60" s="44"/>
      <c r="G60" s="45"/>
      <c r="H60" s="44"/>
      <c r="I60" s="44"/>
      <c r="J60" s="45"/>
      <c r="K60" s="44"/>
      <c r="L60" s="44"/>
      <c r="M60" s="46"/>
    </row>
    <row r="61">
      <c r="A61" s="41">
        <v>46092.0</v>
      </c>
      <c r="B61" s="47" t="s">
        <v>9</v>
      </c>
      <c r="C61" s="48">
        <v>5.0</v>
      </c>
      <c r="D61" s="49">
        <v>600.0</v>
      </c>
      <c r="E61" s="48">
        <v>2.0</v>
      </c>
      <c r="F61" s="48">
        <v>5.0</v>
      </c>
      <c r="G61" s="49">
        <v>600.0</v>
      </c>
      <c r="H61" s="48">
        <v>2.0</v>
      </c>
      <c r="I61" s="48">
        <v>1.0</v>
      </c>
      <c r="J61" s="49">
        <v>100.0</v>
      </c>
      <c r="K61" s="48">
        <v>100.0</v>
      </c>
      <c r="L61" s="48">
        <v>1.12</v>
      </c>
      <c r="M61" s="50">
        <v>0.0017939814814814815</v>
      </c>
    </row>
    <row r="62">
      <c r="A62" s="41">
        <v>46092.0</v>
      </c>
      <c r="B62" s="51" t="s">
        <v>3</v>
      </c>
      <c r="C62" s="52">
        <v>18.0</v>
      </c>
      <c r="D62" s="52">
        <v>4270.0</v>
      </c>
      <c r="E62" s="52">
        <v>8.0</v>
      </c>
      <c r="F62" s="52">
        <v>12.0</v>
      </c>
      <c r="G62" s="52">
        <v>2770.0</v>
      </c>
      <c r="H62" s="52">
        <v>7.0</v>
      </c>
      <c r="I62" s="52">
        <v>3.0</v>
      </c>
      <c r="J62" s="52">
        <v>300.0</v>
      </c>
      <c r="K62" s="52">
        <v>66.66</v>
      </c>
      <c r="L62" s="52">
        <v>5.2</v>
      </c>
      <c r="M62" s="53">
        <v>5.671296296296297E-4</v>
      </c>
    </row>
    <row r="63">
      <c r="A63" s="41">
        <v>46092.0</v>
      </c>
      <c r="B63" s="47" t="s">
        <v>2</v>
      </c>
      <c r="C63" s="48">
        <v>479.0</v>
      </c>
      <c r="D63" s="49">
        <v>63978.0</v>
      </c>
      <c r="E63" s="48">
        <v>301.0</v>
      </c>
      <c r="F63" s="48">
        <v>331.0</v>
      </c>
      <c r="G63" s="49">
        <v>43743.0</v>
      </c>
      <c r="H63" s="48">
        <v>268.0</v>
      </c>
      <c r="I63" s="48">
        <v>93.0</v>
      </c>
      <c r="J63" s="48">
        <v>11375.0</v>
      </c>
      <c r="K63" s="48">
        <v>69.1</v>
      </c>
      <c r="L63" s="48">
        <v>82.11</v>
      </c>
      <c r="M63" s="50">
        <v>8.796296296296296E-4</v>
      </c>
    </row>
    <row r="64">
      <c r="A64" s="41">
        <v>46092.0</v>
      </c>
      <c r="B64" s="47" t="s">
        <v>4</v>
      </c>
      <c r="C64" s="48">
        <v>26.0</v>
      </c>
      <c r="D64" s="49">
        <v>3306.0</v>
      </c>
      <c r="E64" s="48">
        <v>20.0</v>
      </c>
      <c r="F64" s="48">
        <v>11.0</v>
      </c>
      <c r="G64" s="49">
        <v>1151.0</v>
      </c>
      <c r="H64" s="48">
        <v>11.0</v>
      </c>
      <c r="I64" s="48">
        <v>3.0</v>
      </c>
      <c r="J64" s="48">
        <v>300.0</v>
      </c>
      <c r="K64" s="48">
        <v>42.3</v>
      </c>
      <c r="L64" s="48">
        <v>2.16</v>
      </c>
      <c r="M64" s="50">
        <v>0.0014351851851851852</v>
      </c>
    </row>
    <row r="65">
      <c r="A65" s="41">
        <v>46092.0</v>
      </c>
      <c r="B65" s="47" t="s">
        <v>5</v>
      </c>
      <c r="C65" s="48">
        <v>70.0</v>
      </c>
      <c r="D65" s="49">
        <v>10363.0</v>
      </c>
      <c r="E65" s="48">
        <v>51.0</v>
      </c>
      <c r="F65" s="48">
        <v>49.0</v>
      </c>
      <c r="G65" s="49">
        <v>5004.0</v>
      </c>
      <c r="H65" s="48">
        <v>43.0</v>
      </c>
      <c r="I65" s="48">
        <v>19.0</v>
      </c>
      <c r="J65" s="49">
        <v>2035.0</v>
      </c>
      <c r="K65" s="48">
        <v>70.0</v>
      </c>
      <c r="L65" s="48">
        <v>9.39</v>
      </c>
      <c r="M65" s="50">
        <v>6.597222222222222E-4</v>
      </c>
    </row>
    <row r="66">
      <c r="A66" s="42"/>
      <c r="B66" s="43"/>
      <c r="C66" s="44"/>
      <c r="D66" s="45"/>
      <c r="E66" s="44"/>
      <c r="F66" s="44"/>
      <c r="G66" s="45"/>
      <c r="H66" s="44"/>
      <c r="I66" s="44"/>
      <c r="J66" s="45"/>
      <c r="K66" s="44"/>
      <c r="L66" s="44"/>
      <c r="M66" s="46"/>
    </row>
    <row r="67">
      <c r="A67" s="41"/>
      <c r="B67" s="47"/>
      <c r="C67" s="48"/>
      <c r="D67" s="49"/>
      <c r="E67" s="48"/>
      <c r="F67" s="48"/>
      <c r="G67" s="49"/>
      <c r="H67" s="48"/>
      <c r="I67" s="48"/>
      <c r="J67" s="49"/>
      <c r="K67" s="48"/>
      <c r="L67" s="48"/>
      <c r="M67" s="50"/>
    </row>
    <row r="68">
      <c r="A68" s="54"/>
      <c r="B68" s="55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7"/>
    </row>
    <row r="69">
      <c r="A69" s="41"/>
      <c r="B69" s="47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50"/>
    </row>
    <row r="70">
      <c r="A70" s="41"/>
      <c r="B70" s="47"/>
      <c r="C70" s="48"/>
      <c r="D70" s="49"/>
      <c r="E70" s="48"/>
      <c r="F70" s="48"/>
      <c r="G70" s="49"/>
      <c r="H70" s="48"/>
      <c r="I70" s="48"/>
      <c r="J70" s="48"/>
      <c r="K70" s="48"/>
      <c r="L70" s="48"/>
      <c r="M70" s="50"/>
    </row>
    <row r="71">
      <c r="A71" s="41"/>
      <c r="B71" s="47"/>
      <c r="C71" s="48"/>
      <c r="D71" s="49"/>
      <c r="E71" s="48"/>
      <c r="F71" s="48"/>
      <c r="G71" s="49"/>
      <c r="H71" s="48"/>
      <c r="I71" s="48"/>
      <c r="J71" s="49"/>
      <c r="K71" s="48"/>
      <c r="L71" s="48"/>
      <c r="M71" s="50"/>
    </row>
    <row r="72">
      <c r="A72" s="41"/>
      <c r="B72" s="47"/>
      <c r="C72" s="48"/>
      <c r="D72" s="49"/>
      <c r="E72" s="48"/>
      <c r="F72" s="48"/>
      <c r="G72" s="49"/>
      <c r="H72" s="48"/>
      <c r="I72" s="48"/>
      <c r="J72" s="49"/>
      <c r="K72" s="48"/>
      <c r="L72" s="48"/>
      <c r="M72" s="50"/>
    </row>
    <row r="73">
      <c r="A73" s="41"/>
      <c r="B73" s="47"/>
      <c r="C73" s="48"/>
      <c r="D73" s="49"/>
      <c r="E73" s="48"/>
      <c r="F73" s="48"/>
      <c r="G73" s="49"/>
      <c r="H73" s="48"/>
      <c r="I73" s="48"/>
      <c r="J73" s="49"/>
      <c r="K73" s="48"/>
      <c r="L73" s="48"/>
      <c r="M73" s="50"/>
    </row>
    <row r="74">
      <c r="A74" s="54"/>
      <c r="B74" s="55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7"/>
    </row>
    <row r="75">
      <c r="A75" s="41"/>
      <c r="B75" s="47"/>
      <c r="C75" s="48"/>
      <c r="D75" s="49"/>
      <c r="E75" s="48"/>
      <c r="F75" s="48"/>
      <c r="G75" s="49"/>
      <c r="H75" s="48"/>
      <c r="I75" s="48"/>
      <c r="J75" s="48"/>
      <c r="K75" s="48"/>
      <c r="L75" s="48"/>
      <c r="M75" s="50"/>
    </row>
    <row r="76">
      <c r="A76" s="41"/>
      <c r="B76" s="47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50"/>
    </row>
    <row r="77">
      <c r="A77" s="41"/>
      <c r="B77" s="47"/>
      <c r="C77" s="48"/>
      <c r="D77" s="49"/>
      <c r="E77" s="48"/>
      <c r="F77" s="48"/>
      <c r="G77" s="49"/>
      <c r="H77" s="48"/>
      <c r="I77" s="48"/>
      <c r="J77" s="49"/>
      <c r="K77" s="48"/>
      <c r="L77" s="48"/>
      <c r="M77" s="50"/>
    </row>
    <row r="78">
      <c r="A78" s="41"/>
      <c r="B78" s="47"/>
      <c r="C78" s="48"/>
      <c r="D78" s="49"/>
      <c r="E78" s="48"/>
      <c r="F78" s="48"/>
      <c r="G78" s="49"/>
      <c r="H78" s="48"/>
      <c r="I78" s="48"/>
      <c r="J78" s="49"/>
      <c r="K78" s="48"/>
      <c r="L78" s="48"/>
      <c r="M78" s="50"/>
    </row>
    <row r="79">
      <c r="A79" s="41"/>
      <c r="B79" s="47"/>
      <c r="C79" s="48"/>
      <c r="D79" s="49"/>
      <c r="E79" s="48"/>
      <c r="F79" s="48"/>
      <c r="G79" s="49"/>
      <c r="H79" s="48"/>
      <c r="I79" s="48"/>
      <c r="J79" s="49"/>
      <c r="K79" s="48"/>
      <c r="L79" s="48"/>
      <c r="M79" s="50"/>
    </row>
    <row r="80">
      <c r="A80" s="54"/>
      <c r="B80" s="55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7"/>
    </row>
    <row r="81">
      <c r="A81" s="41"/>
      <c r="B81" s="47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50"/>
    </row>
    <row r="82">
      <c r="A82" s="41"/>
      <c r="B82" s="47"/>
      <c r="C82" s="48"/>
      <c r="D82" s="49"/>
      <c r="E82" s="48"/>
      <c r="F82" s="48"/>
      <c r="G82" s="49"/>
      <c r="H82" s="48"/>
      <c r="I82" s="48"/>
      <c r="J82" s="48"/>
      <c r="K82" s="48"/>
      <c r="L82" s="48"/>
      <c r="M82" s="50"/>
    </row>
    <row r="83">
      <c r="A83" s="41"/>
      <c r="B83" s="47"/>
      <c r="C83" s="48"/>
      <c r="D83" s="49"/>
      <c r="E83" s="48"/>
      <c r="F83" s="48"/>
      <c r="G83" s="49"/>
      <c r="H83" s="48"/>
      <c r="I83" s="48"/>
      <c r="J83" s="49"/>
      <c r="K83" s="48"/>
      <c r="L83" s="48"/>
      <c r="M83" s="50"/>
    </row>
    <row r="84">
      <c r="A84" s="41"/>
      <c r="B84" s="47"/>
      <c r="C84" s="48"/>
      <c r="D84" s="49"/>
      <c r="E84" s="48"/>
      <c r="F84" s="48"/>
      <c r="G84" s="49"/>
      <c r="H84" s="48"/>
      <c r="I84" s="48"/>
      <c r="J84" s="48"/>
      <c r="K84" s="48"/>
      <c r="L84" s="48"/>
      <c r="M84" s="50"/>
    </row>
    <row r="85">
      <c r="A85" s="41"/>
      <c r="B85" s="47"/>
      <c r="C85" s="48"/>
      <c r="D85" s="49"/>
      <c r="E85" s="48"/>
      <c r="F85" s="48"/>
      <c r="G85" s="49"/>
      <c r="H85" s="48"/>
      <c r="I85" s="48"/>
      <c r="J85" s="49"/>
      <c r="K85" s="48"/>
      <c r="L85" s="48"/>
      <c r="M85" s="50"/>
    </row>
    <row r="86">
      <c r="A86" s="54"/>
      <c r="B86" s="55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7"/>
    </row>
    <row r="87">
      <c r="A87" s="41"/>
      <c r="B87" s="47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50"/>
    </row>
    <row r="88">
      <c r="A88" s="41"/>
      <c r="B88" s="47"/>
      <c r="C88" s="48"/>
      <c r="D88" s="49"/>
      <c r="E88" s="48"/>
      <c r="F88" s="48"/>
      <c r="G88" s="49"/>
      <c r="H88" s="48"/>
      <c r="I88" s="48"/>
      <c r="J88" s="48"/>
      <c r="K88" s="48"/>
      <c r="L88" s="48"/>
      <c r="M88" s="50"/>
    </row>
    <row r="89">
      <c r="A89" s="41"/>
      <c r="B89" s="47"/>
      <c r="C89" s="48"/>
      <c r="D89" s="49"/>
      <c r="E89" s="48"/>
      <c r="F89" s="48"/>
      <c r="G89" s="49"/>
      <c r="H89" s="48"/>
      <c r="I89" s="48"/>
      <c r="J89" s="49"/>
      <c r="K89" s="48"/>
      <c r="L89" s="48"/>
      <c r="M89" s="50"/>
    </row>
    <row r="90">
      <c r="A90" s="41"/>
      <c r="B90" s="47"/>
      <c r="C90" s="48"/>
      <c r="D90" s="49"/>
      <c r="E90" s="48"/>
      <c r="F90" s="48"/>
      <c r="G90" s="49"/>
      <c r="H90" s="48"/>
      <c r="I90" s="48"/>
      <c r="J90" s="48"/>
      <c r="K90" s="48"/>
      <c r="L90" s="48"/>
      <c r="M90" s="50"/>
    </row>
    <row r="91">
      <c r="A91" s="41"/>
      <c r="B91" s="47"/>
      <c r="C91" s="48"/>
      <c r="D91" s="49"/>
      <c r="E91" s="48"/>
      <c r="F91" s="48"/>
      <c r="G91" s="49"/>
      <c r="H91" s="48"/>
      <c r="I91" s="48"/>
      <c r="J91" s="49"/>
      <c r="K91" s="48"/>
      <c r="L91" s="48"/>
      <c r="M91" s="50"/>
    </row>
    <row r="92">
      <c r="A92" s="54"/>
      <c r="B92" s="55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7"/>
    </row>
    <row r="93">
      <c r="A93" s="41"/>
      <c r="B93" s="47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50"/>
    </row>
    <row r="94">
      <c r="A94" s="41"/>
      <c r="B94" s="47"/>
      <c r="C94" s="48"/>
      <c r="D94" s="49"/>
      <c r="E94" s="48"/>
      <c r="F94" s="48"/>
      <c r="G94" s="49"/>
      <c r="H94" s="48"/>
      <c r="I94" s="48"/>
      <c r="J94" s="49"/>
      <c r="K94" s="48"/>
      <c r="L94" s="48"/>
      <c r="M94" s="50"/>
    </row>
    <row r="95">
      <c r="A95" s="41"/>
      <c r="B95" s="47"/>
      <c r="C95" s="48"/>
      <c r="D95" s="49"/>
      <c r="E95" s="48"/>
      <c r="F95" s="48"/>
      <c r="G95" s="49"/>
      <c r="H95" s="48"/>
      <c r="I95" s="48"/>
      <c r="J95" s="49"/>
      <c r="K95" s="48"/>
      <c r="L95" s="48"/>
      <c r="M95" s="50"/>
    </row>
    <row r="96">
      <c r="A96" s="41"/>
      <c r="B96" s="47"/>
      <c r="C96" s="48"/>
      <c r="D96" s="49"/>
      <c r="E96" s="48"/>
      <c r="F96" s="48"/>
      <c r="G96" s="49"/>
      <c r="H96" s="48"/>
      <c r="I96" s="48"/>
      <c r="J96" s="49"/>
      <c r="K96" s="48"/>
      <c r="L96" s="48"/>
      <c r="M96" s="50"/>
    </row>
    <row r="97">
      <c r="A97" s="41"/>
      <c r="B97" s="47"/>
      <c r="C97" s="48"/>
      <c r="D97" s="49"/>
      <c r="E97" s="48"/>
      <c r="F97" s="48"/>
      <c r="G97" s="49"/>
      <c r="H97" s="48"/>
      <c r="I97" s="48"/>
      <c r="J97" s="49"/>
      <c r="K97" s="48"/>
      <c r="L97" s="48"/>
      <c r="M97" s="50"/>
    </row>
    <row r="98">
      <c r="A98" s="54"/>
      <c r="B98" s="55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7"/>
    </row>
    <row r="99">
      <c r="A99" s="41"/>
      <c r="B99" s="47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50"/>
    </row>
    <row r="100">
      <c r="A100" s="41"/>
      <c r="B100" s="47"/>
      <c r="C100" s="48"/>
      <c r="D100" s="49"/>
      <c r="E100" s="48"/>
      <c r="F100" s="48"/>
      <c r="G100" s="49"/>
      <c r="H100" s="48"/>
      <c r="I100" s="48"/>
      <c r="J100" s="48"/>
      <c r="K100" s="48"/>
      <c r="L100" s="48"/>
      <c r="M100" s="50"/>
    </row>
    <row r="101">
      <c r="A101" s="41"/>
      <c r="B101" s="47"/>
      <c r="C101" s="48"/>
      <c r="D101" s="49"/>
      <c r="E101" s="48"/>
      <c r="F101" s="48"/>
      <c r="G101" s="49"/>
      <c r="H101" s="48"/>
      <c r="I101" s="48"/>
      <c r="J101" s="49"/>
      <c r="K101" s="48"/>
      <c r="L101" s="48"/>
      <c r="M101" s="50"/>
    </row>
    <row r="102">
      <c r="A102" s="41"/>
      <c r="B102" s="47"/>
      <c r="C102" s="48"/>
      <c r="D102" s="49"/>
      <c r="E102" s="48"/>
      <c r="F102" s="48"/>
      <c r="G102" s="49"/>
      <c r="H102" s="48"/>
      <c r="I102" s="48"/>
      <c r="J102" s="48"/>
      <c r="K102" s="48"/>
      <c r="L102" s="48"/>
      <c r="M102" s="50"/>
    </row>
    <row r="103">
      <c r="A103" s="41"/>
      <c r="B103" s="47"/>
      <c r="C103" s="48"/>
      <c r="D103" s="49"/>
      <c r="E103" s="48"/>
      <c r="F103" s="48"/>
      <c r="G103" s="49"/>
      <c r="H103" s="48"/>
      <c r="I103" s="48"/>
      <c r="J103" s="49"/>
      <c r="K103" s="48"/>
      <c r="L103" s="48"/>
      <c r="M103" s="50"/>
    </row>
    <row r="104">
      <c r="A104" s="54"/>
      <c r="B104" s="55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7"/>
    </row>
    <row r="105">
      <c r="A105" s="41"/>
      <c r="B105" s="47"/>
      <c r="C105" s="48"/>
      <c r="D105" s="49"/>
      <c r="E105" s="48"/>
      <c r="F105" s="48"/>
      <c r="G105" s="49"/>
      <c r="H105" s="48"/>
      <c r="I105" s="48"/>
      <c r="J105" s="49"/>
      <c r="K105" s="48"/>
      <c r="L105" s="48"/>
      <c r="M105" s="50"/>
    </row>
    <row r="106">
      <c r="A106" s="41"/>
      <c r="B106" s="47"/>
      <c r="C106" s="58"/>
      <c r="D106" s="49"/>
      <c r="E106" s="48"/>
      <c r="F106" s="48"/>
      <c r="G106" s="49"/>
      <c r="H106" s="48"/>
      <c r="I106" s="48"/>
      <c r="J106" s="49"/>
      <c r="K106" s="48"/>
      <c r="L106" s="48"/>
      <c r="M106" s="50"/>
    </row>
    <row r="107">
      <c r="A107" s="41"/>
      <c r="B107" s="47"/>
      <c r="C107" s="48"/>
      <c r="D107" s="49"/>
      <c r="E107" s="48"/>
      <c r="F107" s="48"/>
      <c r="G107" s="49"/>
      <c r="H107" s="48"/>
      <c r="I107" s="48"/>
      <c r="J107" s="49"/>
      <c r="K107" s="48"/>
      <c r="L107" s="48"/>
      <c r="M107" s="50"/>
    </row>
    <row r="108">
      <c r="A108" s="41"/>
      <c r="B108" s="47"/>
      <c r="C108" s="48"/>
      <c r="D108" s="49"/>
      <c r="E108" s="48"/>
      <c r="F108" s="48"/>
      <c r="G108" s="49"/>
      <c r="H108" s="48"/>
      <c r="I108" s="48"/>
      <c r="J108" s="49"/>
      <c r="K108" s="48"/>
      <c r="L108" s="48"/>
      <c r="M108" s="50"/>
    </row>
    <row r="109">
      <c r="A109" s="54"/>
      <c r="B109" s="55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77FF"/>
    <outlinePr summaryBelow="0" summaryRight="0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2" max="2" width="14.25"/>
    <col customWidth="1" min="3" max="4" width="12.63"/>
    <col customWidth="1" min="12" max="12" width="15.5"/>
    <col customWidth="1" min="13" max="13" width="18.0"/>
    <col customWidth="1" min="16" max="16" width="15.5"/>
    <col customWidth="1" min="74" max="74" width="13.0"/>
  </cols>
  <sheetData>
    <row r="1">
      <c r="A1" s="59" t="s">
        <v>1</v>
      </c>
      <c r="B1" s="60"/>
      <c r="C1" s="60"/>
      <c r="D1" s="60"/>
      <c r="E1" s="61"/>
      <c r="F1" s="60"/>
      <c r="G1" s="60"/>
      <c r="H1" s="60"/>
      <c r="I1" s="60"/>
      <c r="J1" s="60"/>
      <c r="K1" s="62"/>
      <c r="L1" s="60"/>
      <c r="M1" s="60"/>
      <c r="N1" s="60"/>
      <c r="O1" s="60"/>
      <c r="P1" s="60"/>
      <c r="Q1" s="60"/>
      <c r="R1" s="60"/>
      <c r="S1" s="60"/>
      <c r="T1" s="60"/>
      <c r="U1" s="60"/>
      <c r="V1" s="63"/>
      <c r="W1" s="64" t="s">
        <v>118</v>
      </c>
      <c r="X1" s="60"/>
      <c r="Y1" s="65"/>
      <c r="Z1" s="64" t="s">
        <v>119</v>
      </c>
      <c r="AA1" s="66"/>
      <c r="AB1" s="60"/>
      <c r="AC1" s="60"/>
      <c r="AD1" s="66"/>
      <c r="AE1" s="60"/>
      <c r="AF1" s="60"/>
      <c r="AG1" s="66"/>
      <c r="AH1" s="60"/>
      <c r="AI1" s="60"/>
      <c r="AJ1" s="66"/>
      <c r="AK1" s="60"/>
      <c r="AL1" s="60"/>
      <c r="AM1" s="66"/>
      <c r="AN1" s="60"/>
      <c r="AO1" s="60"/>
      <c r="AP1" s="66"/>
      <c r="AQ1" s="60"/>
      <c r="AR1" s="60"/>
      <c r="AS1" s="66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0"/>
      <c r="BR1" s="61"/>
      <c r="BS1" s="61"/>
      <c r="BT1" s="60"/>
      <c r="BU1" s="60"/>
      <c r="BV1" s="60"/>
      <c r="BW1" s="68" t="s">
        <v>120</v>
      </c>
      <c r="BX1" s="69" t="s">
        <v>121</v>
      </c>
      <c r="BY1" s="70">
        <v>0.0241</v>
      </c>
      <c r="BZ1" s="70">
        <v>0.002</v>
      </c>
      <c r="CA1" s="60"/>
      <c r="CB1" s="60"/>
      <c r="CC1" s="61"/>
      <c r="CD1" s="63"/>
      <c r="CE1" s="60"/>
      <c r="CF1" s="61"/>
      <c r="CG1" s="61"/>
      <c r="CH1" s="61"/>
      <c r="CI1" s="61"/>
      <c r="CJ1" s="61"/>
      <c r="CK1" s="61"/>
    </row>
    <row r="2" hidden="1">
      <c r="A2" s="71"/>
      <c r="B2" s="72" t="s">
        <v>122</v>
      </c>
      <c r="C2" s="72" t="s">
        <v>122</v>
      </c>
      <c r="D2" s="72" t="s">
        <v>122</v>
      </c>
      <c r="E2" s="73" t="s">
        <v>123</v>
      </c>
      <c r="F2" s="72" t="s">
        <v>122</v>
      </c>
      <c r="G2" s="74" t="s">
        <v>124</v>
      </c>
      <c r="H2" s="72" t="s">
        <v>122</v>
      </c>
      <c r="I2" s="75"/>
      <c r="J2" s="72" t="s">
        <v>122</v>
      </c>
      <c r="K2" s="76"/>
      <c r="L2" s="72" t="s">
        <v>122</v>
      </c>
      <c r="M2" s="72" t="s">
        <v>122</v>
      </c>
      <c r="N2" s="75"/>
      <c r="O2" s="75"/>
      <c r="P2" s="75"/>
      <c r="Q2" s="75"/>
      <c r="R2" s="75"/>
      <c r="S2" s="75"/>
      <c r="T2" s="75"/>
      <c r="U2" s="75"/>
      <c r="V2" s="77"/>
      <c r="W2" s="78" t="s">
        <v>125</v>
      </c>
      <c r="X2" s="78" t="s">
        <v>125</v>
      </c>
      <c r="Y2" s="78" t="s">
        <v>125</v>
      </c>
      <c r="Z2" s="78" t="s">
        <v>125</v>
      </c>
      <c r="AA2" s="79"/>
      <c r="AB2" s="80"/>
      <c r="AC2" s="80"/>
      <c r="AD2" s="79"/>
      <c r="AE2" s="80"/>
      <c r="AF2" s="80"/>
      <c r="AG2" s="79"/>
      <c r="AH2" s="80"/>
      <c r="AI2" s="80"/>
      <c r="AJ2" s="79"/>
      <c r="AK2" s="80"/>
      <c r="AL2" s="80"/>
      <c r="AM2" s="79"/>
      <c r="AN2" s="80"/>
      <c r="AO2" s="80"/>
      <c r="AP2" s="79"/>
      <c r="AQ2" s="80"/>
      <c r="AR2" s="80"/>
      <c r="AS2" s="79"/>
      <c r="AT2" s="81" t="s">
        <v>126</v>
      </c>
      <c r="AU2" s="81" t="s">
        <v>127</v>
      </c>
      <c r="AV2" s="81" t="s">
        <v>128</v>
      </c>
      <c r="AW2" s="81" t="s">
        <v>129</v>
      </c>
      <c r="AX2" s="81" t="s">
        <v>130</v>
      </c>
      <c r="AY2" s="81" t="s">
        <v>131</v>
      </c>
      <c r="AZ2" s="81"/>
      <c r="BA2" s="81" t="s">
        <v>132</v>
      </c>
      <c r="BB2" s="81" t="s">
        <v>133</v>
      </c>
      <c r="BC2" s="81" t="s">
        <v>134</v>
      </c>
      <c r="BD2" s="81" t="s">
        <v>135</v>
      </c>
      <c r="BE2" s="81" t="s">
        <v>136</v>
      </c>
      <c r="BF2" s="82" t="s">
        <v>137</v>
      </c>
      <c r="BG2" s="81" t="s">
        <v>138</v>
      </c>
      <c r="BH2" s="81" t="s">
        <v>139</v>
      </c>
      <c r="BI2" s="81" t="s">
        <v>140</v>
      </c>
      <c r="BJ2" s="81" t="s">
        <v>141</v>
      </c>
      <c r="BK2" s="81"/>
      <c r="BL2" s="81"/>
      <c r="BM2" s="81"/>
      <c r="BN2" s="81"/>
      <c r="BO2" s="81"/>
      <c r="BP2" s="81"/>
      <c r="BQ2" s="80"/>
      <c r="BR2" s="83"/>
      <c r="BS2" s="78"/>
      <c r="BT2" s="80"/>
      <c r="BU2" s="80"/>
      <c r="BV2" s="80"/>
      <c r="BW2" s="80"/>
      <c r="BX2" s="83"/>
      <c r="BY2" s="78" t="s">
        <v>142</v>
      </c>
      <c r="BZ2" s="78" t="s">
        <v>142</v>
      </c>
      <c r="CA2" s="80"/>
      <c r="CB2" s="80"/>
      <c r="CC2" s="83"/>
      <c r="CD2" s="84"/>
      <c r="CE2" s="80"/>
      <c r="CF2" s="72" t="s">
        <v>143</v>
      </c>
      <c r="CG2" s="72" t="s">
        <v>143</v>
      </c>
      <c r="CH2" s="72" t="s">
        <v>143</v>
      </c>
      <c r="CI2" s="83"/>
      <c r="CJ2" s="83"/>
      <c r="CK2" s="83"/>
    </row>
    <row r="3" hidden="1">
      <c r="A3" s="85"/>
      <c r="B3" s="86" t="s">
        <v>144</v>
      </c>
      <c r="C3" s="86" t="s">
        <v>145</v>
      </c>
      <c r="D3" s="86" t="s">
        <v>146</v>
      </c>
      <c r="E3" s="86" t="s">
        <v>123</v>
      </c>
      <c r="F3" s="87" t="s">
        <v>147</v>
      </c>
      <c r="G3" s="87" t="s">
        <v>148</v>
      </c>
      <c r="H3" s="65" t="s">
        <v>149</v>
      </c>
      <c r="I3" s="65" t="s">
        <v>150</v>
      </c>
      <c r="J3" s="65" t="s">
        <v>151</v>
      </c>
      <c r="K3" s="88" t="s">
        <v>152</v>
      </c>
      <c r="L3" s="60" t="s">
        <v>153</v>
      </c>
      <c r="M3" s="65" t="s">
        <v>154</v>
      </c>
      <c r="N3" s="65" t="s">
        <v>155</v>
      </c>
      <c r="O3" s="65" t="s">
        <v>155</v>
      </c>
      <c r="P3" s="65" t="s">
        <v>155</v>
      </c>
      <c r="Q3" s="65" t="s">
        <v>155</v>
      </c>
      <c r="R3" s="65" t="s">
        <v>155</v>
      </c>
      <c r="S3" s="65" t="s">
        <v>155</v>
      </c>
      <c r="T3" s="65" t="s">
        <v>155</v>
      </c>
      <c r="U3" s="65" t="s">
        <v>155</v>
      </c>
      <c r="V3" s="89" t="s">
        <v>155</v>
      </c>
      <c r="W3" s="64" t="s">
        <v>156</v>
      </c>
      <c r="X3" s="65" t="s">
        <v>157</v>
      </c>
      <c r="Y3" s="65" t="s">
        <v>158</v>
      </c>
      <c r="Z3" s="64" t="s">
        <v>159</v>
      </c>
      <c r="AA3" s="90" t="s">
        <v>155</v>
      </c>
      <c r="AB3" s="65" t="s">
        <v>160</v>
      </c>
      <c r="AC3" s="65" t="s">
        <v>161</v>
      </c>
      <c r="AD3" s="90" t="s">
        <v>155</v>
      </c>
      <c r="AE3" s="65" t="s">
        <v>162</v>
      </c>
      <c r="AF3" s="65" t="s">
        <v>163</v>
      </c>
      <c r="AG3" s="90" t="s">
        <v>155</v>
      </c>
      <c r="AH3" s="65" t="s">
        <v>164</v>
      </c>
      <c r="AI3" s="65" t="s">
        <v>165</v>
      </c>
      <c r="AJ3" s="91" t="s">
        <v>155</v>
      </c>
      <c r="AK3" s="65" t="s">
        <v>166</v>
      </c>
      <c r="AL3" s="65" t="s">
        <v>167</v>
      </c>
      <c r="AM3" s="90" t="s">
        <v>155</v>
      </c>
      <c r="AN3" s="65" t="s">
        <v>168</v>
      </c>
      <c r="AO3" s="65" t="s">
        <v>169</v>
      </c>
      <c r="AP3" s="90" t="s">
        <v>155</v>
      </c>
      <c r="AQ3" s="65" t="s">
        <v>170</v>
      </c>
      <c r="AR3" s="65" t="s">
        <v>171</v>
      </c>
      <c r="AS3" s="90" t="s">
        <v>155</v>
      </c>
      <c r="AT3" s="92" t="s">
        <v>172</v>
      </c>
      <c r="AU3" s="92" t="s">
        <v>173</v>
      </c>
      <c r="AV3" s="92" t="s">
        <v>174</v>
      </c>
      <c r="AW3" s="92" t="s">
        <v>175</v>
      </c>
      <c r="AX3" s="92" t="s">
        <v>176</v>
      </c>
      <c r="AY3" s="92" t="s">
        <v>177</v>
      </c>
      <c r="AZ3" s="92" t="s">
        <v>178</v>
      </c>
      <c r="BA3" s="92" t="s">
        <v>179</v>
      </c>
      <c r="BB3" s="92" t="s">
        <v>133</v>
      </c>
      <c r="BC3" s="92" t="s">
        <v>180</v>
      </c>
      <c r="BD3" s="92" t="s">
        <v>181</v>
      </c>
      <c r="BE3" s="92" t="s">
        <v>182</v>
      </c>
      <c r="BF3" s="92" t="s">
        <v>183</v>
      </c>
      <c r="BG3" s="92" t="s">
        <v>184</v>
      </c>
      <c r="BH3" s="92" t="s">
        <v>185</v>
      </c>
      <c r="BI3" s="92" t="s">
        <v>186</v>
      </c>
      <c r="BJ3" s="92" t="s">
        <v>187</v>
      </c>
      <c r="BK3" s="92" t="s">
        <v>188</v>
      </c>
      <c r="BL3" s="92" t="s">
        <v>189</v>
      </c>
      <c r="BM3" s="92" t="s">
        <v>190</v>
      </c>
      <c r="BN3" s="92" t="s">
        <v>191</v>
      </c>
      <c r="BO3" s="93"/>
      <c r="BP3" s="92"/>
      <c r="BQ3" s="92" t="s">
        <v>192</v>
      </c>
      <c r="BR3" s="92" t="s">
        <v>193</v>
      </c>
      <c r="BS3" s="64" t="s">
        <v>194</v>
      </c>
      <c r="BT3" s="92" t="s">
        <v>155</v>
      </c>
      <c r="BU3" s="92"/>
      <c r="BV3" s="92"/>
      <c r="BW3" s="92" t="s">
        <v>155</v>
      </c>
      <c r="BX3" s="61"/>
      <c r="BY3" s="64" t="s">
        <v>195</v>
      </c>
      <c r="BZ3" s="64" t="s">
        <v>196</v>
      </c>
      <c r="CA3" s="92" t="s">
        <v>155</v>
      </c>
      <c r="CB3" s="92" t="s">
        <v>155</v>
      </c>
      <c r="CC3" s="61"/>
      <c r="CD3" s="89" t="s">
        <v>197</v>
      </c>
      <c r="CE3" s="65" t="s">
        <v>198</v>
      </c>
      <c r="CF3" s="64" t="s">
        <v>199</v>
      </c>
      <c r="CG3" s="64" t="s">
        <v>200</v>
      </c>
      <c r="CH3" s="64" t="s">
        <v>201</v>
      </c>
      <c r="CI3" s="61"/>
      <c r="CJ3" s="61"/>
      <c r="CK3" s="61"/>
    </row>
    <row r="4">
      <c r="A4" s="94" t="s">
        <v>202</v>
      </c>
      <c r="B4" s="95" t="s">
        <v>203</v>
      </c>
      <c r="C4" s="95" t="s">
        <v>204</v>
      </c>
      <c r="D4" s="95" t="s">
        <v>205</v>
      </c>
      <c r="E4" s="95" t="s">
        <v>206</v>
      </c>
      <c r="F4" s="95" t="s">
        <v>207</v>
      </c>
      <c r="G4" s="95" t="s">
        <v>208</v>
      </c>
      <c r="H4" s="95" t="s">
        <v>209</v>
      </c>
      <c r="I4" s="95" t="s">
        <v>210</v>
      </c>
      <c r="J4" s="95" t="s">
        <v>211</v>
      </c>
      <c r="K4" s="96" t="s">
        <v>212</v>
      </c>
      <c r="L4" s="95" t="s">
        <v>213</v>
      </c>
      <c r="M4" s="95" t="s">
        <v>214</v>
      </c>
      <c r="N4" s="97" t="s">
        <v>215</v>
      </c>
      <c r="O4" s="98" t="s">
        <v>216</v>
      </c>
      <c r="P4" s="98" t="s">
        <v>217</v>
      </c>
      <c r="Q4" s="98" t="s">
        <v>218</v>
      </c>
      <c r="R4" s="98" t="s">
        <v>219</v>
      </c>
      <c r="S4" s="98" t="s">
        <v>220</v>
      </c>
      <c r="T4" s="98" t="s">
        <v>221</v>
      </c>
      <c r="U4" s="98" t="s">
        <v>222</v>
      </c>
      <c r="V4" s="99" t="s">
        <v>223</v>
      </c>
      <c r="W4" s="95" t="s">
        <v>224</v>
      </c>
      <c r="X4" s="95" t="s">
        <v>225</v>
      </c>
      <c r="Y4" s="95" t="s">
        <v>226</v>
      </c>
      <c r="Z4" s="100" t="s">
        <v>227</v>
      </c>
      <c r="AA4" s="101" t="s">
        <v>228</v>
      </c>
      <c r="AB4" s="102" t="s">
        <v>229</v>
      </c>
      <c r="AC4" s="102" t="s">
        <v>230</v>
      </c>
      <c r="AD4" s="101" t="s">
        <v>231</v>
      </c>
      <c r="AE4" s="102" t="s">
        <v>232</v>
      </c>
      <c r="AF4" s="102" t="s">
        <v>233</v>
      </c>
      <c r="AG4" s="101" t="s">
        <v>234</v>
      </c>
      <c r="AH4" s="102" t="s">
        <v>235</v>
      </c>
      <c r="AI4" s="102" t="s">
        <v>236</v>
      </c>
      <c r="AJ4" s="101" t="s">
        <v>237</v>
      </c>
      <c r="AK4" s="102" t="s">
        <v>238</v>
      </c>
      <c r="AL4" s="102" t="s">
        <v>239</v>
      </c>
      <c r="AM4" s="101" t="s">
        <v>240</v>
      </c>
      <c r="AN4" s="102" t="s">
        <v>241</v>
      </c>
      <c r="AO4" s="102" t="s">
        <v>242</v>
      </c>
      <c r="AP4" s="101" t="s">
        <v>243</v>
      </c>
      <c r="AQ4" s="102" t="s">
        <v>244</v>
      </c>
      <c r="AR4" s="102" t="s">
        <v>245</v>
      </c>
      <c r="AS4" s="101" t="s">
        <v>246</v>
      </c>
      <c r="AT4" s="103" t="s">
        <v>172</v>
      </c>
      <c r="AU4" s="103" t="s">
        <v>173</v>
      </c>
      <c r="AV4" s="103" t="s">
        <v>174</v>
      </c>
      <c r="AW4" s="103" t="s">
        <v>175</v>
      </c>
      <c r="AX4" s="103" t="s">
        <v>176</v>
      </c>
      <c r="AY4" s="103" t="s">
        <v>177</v>
      </c>
      <c r="AZ4" s="103" t="s">
        <v>178</v>
      </c>
      <c r="BA4" s="103" t="s">
        <v>179</v>
      </c>
      <c r="BB4" s="103" t="s">
        <v>133</v>
      </c>
      <c r="BC4" s="103" t="s">
        <v>180</v>
      </c>
      <c r="BD4" s="103" t="s">
        <v>181</v>
      </c>
      <c r="BE4" s="103" t="s">
        <v>182</v>
      </c>
      <c r="BF4" s="103" t="s">
        <v>183</v>
      </c>
      <c r="BG4" s="103" t="s">
        <v>184</v>
      </c>
      <c r="BH4" s="103" t="s">
        <v>185</v>
      </c>
      <c r="BI4" s="103" t="s">
        <v>186</v>
      </c>
      <c r="BJ4" s="103" t="s">
        <v>187</v>
      </c>
      <c r="BK4" s="103" t="s">
        <v>188</v>
      </c>
      <c r="BL4" s="103" t="s">
        <v>189</v>
      </c>
      <c r="BM4" s="103" t="s">
        <v>190</v>
      </c>
      <c r="BN4" s="103" t="s">
        <v>191</v>
      </c>
      <c r="BO4" s="103"/>
      <c r="BP4" s="103" t="s">
        <v>247</v>
      </c>
      <c r="BQ4" s="104" t="s">
        <v>248</v>
      </c>
      <c r="BR4" s="104" t="s">
        <v>249</v>
      </c>
      <c r="BS4" s="104" t="s">
        <v>250</v>
      </c>
      <c r="BT4" s="105" t="s">
        <v>251</v>
      </c>
      <c r="BU4" s="105" t="s">
        <v>252</v>
      </c>
      <c r="BV4" s="105" t="s">
        <v>253</v>
      </c>
      <c r="BW4" s="106" t="s">
        <v>254</v>
      </c>
      <c r="BX4" s="106" t="s">
        <v>255</v>
      </c>
      <c r="BY4" s="95" t="s">
        <v>256</v>
      </c>
      <c r="BZ4" s="95" t="s">
        <v>257</v>
      </c>
      <c r="CA4" s="106" t="s">
        <v>258</v>
      </c>
      <c r="CB4" s="106" t="s">
        <v>259</v>
      </c>
      <c r="CC4" s="107" t="s">
        <v>260</v>
      </c>
      <c r="CD4" s="108" t="s">
        <v>261</v>
      </c>
      <c r="CE4" s="104" t="s">
        <v>262</v>
      </c>
      <c r="CF4" s="104" t="s">
        <v>263</v>
      </c>
      <c r="CG4" s="104" t="s">
        <v>264</v>
      </c>
      <c r="CH4" s="104" t="s">
        <v>265</v>
      </c>
      <c r="CI4" s="106" t="s">
        <v>266</v>
      </c>
      <c r="CJ4" s="92" t="s">
        <v>267</v>
      </c>
      <c r="CK4" s="92" t="s">
        <v>268</v>
      </c>
    </row>
    <row r="5">
      <c r="A5" s="109">
        <v>46076.0</v>
      </c>
      <c r="B5" s="110">
        <v>623.0</v>
      </c>
      <c r="C5" s="110">
        <v>161.0</v>
      </c>
      <c r="D5" s="110">
        <v>3493.0</v>
      </c>
      <c r="E5" s="110">
        <v>33.0</v>
      </c>
      <c r="F5" s="110">
        <v>419.0</v>
      </c>
      <c r="G5" s="110">
        <v>578.0</v>
      </c>
      <c r="H5" s="110">
        <v>94.0</v>
      </c>
      <c r="I5" s="110">
        <v>132.0</v>
      </c>
      <c r="J5" s="110">
        <v>2358.0</v>
      </c>
      <c r="K5" s="111">
        <v>21559.0</v>
      </c>
      <c r="L5" s="111">
        <v>75103.0</v>
      </c>
      <c r="M5" s="111">
        <v>67348.0</v>
      </c>
      <c r="N5" s="112">
        <v>0.2584</v>
      </c>
      <c r="O5" s="113">
        <v>134.0</v>
      </c>
      <c r="P5" s="112">
        <v>0.2871</v>
      </c>
      <c r="Q5" s="113">
        <v>1.4</v>
      </c>
      <c r="R5" s="114">
        <v>179.0</v>
      </c>
      <c r="S5" s="113">
        <v>130.0</v>
      </c>
      <c r="T5" s="113">
        <v>1.0</v>
      </c>
      <c r="U5" s="114">
        <v>716.0</v>
      </c>
      <c r="V5" s="115">
        <v>7755.0</v>
      </c>
      <c r="W5" s="116">
        <v>799540.59</v>
      </c>
      <c r="X5" s="116">
        <v>751956.38</v>
      </c>
      <c r="Y5" s="117">
        <v>23986.09</v>
      </c>
      <c r="Z5" s="116">
        <v>775554.5</v>
      </c>
      <c r="AA5" s="112">
        <v>0.03</v>
      </c>
      <c r="AB5" s="118">
        <v>0.0</v>
      </c>
      <c r="AC5" s="118">
        <v>0.0</v>
      </c>
      <c r="AD5" s="113" t="e">
        <v>#DIV/0!</v>
      </c>
      <c r="AE5" s="118">
        <v>767010.59</v>
      </c>
      <c r="AF5" s="118">
        <v>740575.58</v>
      </c>
      <c r="AG5" s="112">
        <v>0.0345</v>
      </c>
      <c r="AH5" s="118">
        <v>3935.0</v>
      </c>
      <c r="AI5" s="118">
        <v>4190.0</v>
      </c>
      <c r="AJ5" s="112">
        <v>-0.0648</v>
      </c>
      <c r="AK5" s="118">
        <v>27093.9</v>
      </c>
      <c r="AL5" s="118">
        <v>28727.6</v>
      </c>
      <c r="AM5" s="119">
        <v>-0.0603</v>
      </c>
      <c r="AN5" s="118">
        <v>1495.1</v>
      </c>
      <c r="AO5" s="118">
        <v>981.32</v>
      </c>
      <c r="AP5" s="112">
        <v>0.3436</v>
      </c>
      <c r="AQ5" s="118">
        <v>6.0</v>
      </c>
      <c r="AR5" s="118">
        <v>1080.0</v>
      </c>
      <c r="AS5" s="119">
        <v>-179.0</v>
      </c>
      <c r="AT5" s="120">
        <v>5406.93</v>
      </c>
      <c r="AU5" s="120">
        <v>0.0</v>
      </c>
      <c r="AV5" s="120">
        <v>3121.1</v>
      </c>
      <c r="AW5" s="120">
        <v>4366.0</v>
      </c>
      <c r="AX5" s="120">
        <v>427.0</v>
      </c>
      <c r="AY5" s="120">
        <v>0.0</v>
      </c>
      <c r="AZ5" s="120">
        <v>0.0</v>
      </c>
      <c r="BA5" s="120">
        <v>0.0</v>
      </c>
      <c r="BB5" s="120">
        <v>457.68</v>
      </c>
      <c r="BC5" s="120">
        <v>246.0</v>
      </c>
      <c r="BD5" s="120">
        <v>0.0</v>
      </c>
      <c r="BE5" s="120">
        <v>0.0</v>
      </c>
      <c r="BF5" s="120">
        <v>405.0</v>
      </c>
      <c r="BG5" s="120">
        <v>0.0</v>
      </c>
      <c r="BH5" s="120">
        <v>0.0</v>
      </c>
      <c r="BI5" s="120">
        <v>0.0</v>
      </c>
      <c r="BJ5" s="120">
        <v>3777.0</v>
      </c>
      <c r="BK5" s="120">
        <v>0.0</v>
      </c>
      <c r="BL5" s="120">
        <v>0.0</v>
      </c>
      <c r="BM5" s="120">
        <v>0.0</v>
      </c>
      <c r="BN5" s="120">
        <v>0.0</v>
      </c>
      <c r="BO5" s="120">
        <v>0.0</v>
      </c>
      <c r="BP5" s="120">
        <v>0.0</v>
      </c>
      <c r="BQ5" s="116">
        <v>18206.71</v>
      </c>
      <c r="BR5" s="116">
        <v>5406.93</v>
      </c>
      <c r="BS5" s="116">
        <v>457.68</v>
      </c>
      <c r="BT5" s="112">
        <v>0.0242</v>
      </c>
      <c r="BU5" s="112">
        <v>0.2424</v>
      </c>
      <c r="BV5" s="112">
        <v>0.7591</v>
      </c>
      <c r="BW5" s="121">
        <v>5779.0</v>
      </c>
      <c r="BX5" s="122">
        <v>3.1503</v>
      </c>
      <c r="BY5" s="123">
        <v>1810.0</v>
      </c>
      <c r="BZ5" s="124">
        <v>135.0</v>
      </c>
      <c r="CA5" s="125">
        <v>1945.0</v>
      </c>
      <c r="CB5" s="126">
        <v>2159.0</v>
      </c>
      <c r="CC5" s="122">
        <v>0.3365</v>
      </c>
      <c r="CD5" s="116">
        <v>0.0</v>
      </c>
      <c r="CE5" s="127"/>
      <c r="CF5" s="116">
        <v>0.0</v>
      </c>
      <c r="CG5" s="116">
        <v>0.0</v>
      </c>
      <c r="CH5" s="116">
        <v>88711.73</v>
      </c>
      <c r="CI5" s="121">
        <v>1676.0</v>
      </c>
      <c r="CJ5" s="128">
        <v>2.0</v>
      </c>
      <c r="CK5" s="128">
        <v>23.0</v>
      </c>
    </row>
    <row r="6">
      <c r="A6" s="109">
        <v>46077.0</v>
      </c>
      <c r="B6" s="110">
        <v>707.0</v>
      </c>
      <c r="C6" s="110">
        <v>199.0</v>
      </c>
      <c r="D6" s="110">
        <v>3785.0</v>
      </c>
      <c r="E6" s="110">
        <v>39.0</v>
      </c>
      <c r="F6" s="110">
        <v>498.0</v>
      </c>
      <c r="G6" s="110">
        <v>699.0</v>
      </c>
      <c r="H6" s="110">
        <v>95.0</v>
      </c>
      <c r="I6" s="110">
        <v>125.0</v>
      </c>
      <c r="J6" s="110">
        <v>2686.0</v>
      </c>
      <c r="K6" s="111">
        <v>29064.0</v>
      </c>
      <c r="L6" s="111">
        <v>120843.0</v>
      </c>
      <c r="M6" s="111">
        <v>59351.0</v>
      </c>
      <c r="N6" s="112">
        <v>0.2815</v>
      </c>
      <c r="O6" s="113">
        <v>146.0</v>
      </c>
      <c r="P6" s="112">
        <v>0.2405</v>
      </c>
      <c r="Q6" s="113">
        <v>1.4</v>
      </c>
      <c r="R6" s="114">
        <v>243.0</v>
      </c>
      <c r="S6" s="113">
        <v>173.0</v>
      </c>
      <c r="T6" s="113">
        <v>1.2</v>
      </c>
      <c r="U6" s="114">
        <v>625.0</v>
      </c>
      <c r="V6" s="115">
        <v>61492.0</v>
      </c>
      <c r="W6" s="116">
        <v>1175025.67</v>
      </c>
      <c r="X6" s="116">
        <v>1108281.94</v>
      </c>
      <c r="Y6" s="117">
        <v>63427.47</v>
      </c>
      <c r="Z6" s="116">
        <v>1111598.2</v>
      </c>
      <c r="AA6" s="112">
        <v>0.054</v>
      </c>
      <c r="AB6" s="118">
        <v>1.0</v>
      </c>
      <c r="AC6" s="118">
        <v>0.0</v>
      </c>
      <c r="AD6" s="112">
        <v>1.0</v>
      </c>
      <c r="AE6" s="118">
        <v>1086922.29</v>
      </c>
      <c r="AF6" s="118">
        <v>1029615.41</v>
      </c>
      <c r="AG6" s="112">
        <v>0.0527</v>
      </c>
      <c r="AH6" s="118">
        <v>14221.23</v>
      </c>
      <c r="AI6" s="118">
        <v>10874.82</v>
      </c>
      <c r="AJ6" s="112">
        <v>0.2353</v>
      </c>
      <c r="AK6" s="118">
        <v>71861.15</v>
      </c>
      <c r="AL6" s="118">
        <v>69691.8</v>
      </c>
      <c r="AM6" s="112">
        <v>0.0302</v>
      </c>
      <c r="AN6" s="118">
        <v>2018.0</v>
      </c>
      <c r="AO6" s="118">
        <v>1416.17</v>
      </c>
      <c r="AP6" s="112">
        <v>0.2982</v>
      </c>
      <c r="AQ6" s="118">
        <v>2.0</v>
      </c>
      <c r="AR6" s="118">
        <v>0.0</v>
      </c>
      <c r="AS6" s="112">
        <v>1.0</v>
      </c>
      <c r="AT6" s="120">
        <v>2417.95</v>
      </c>
      <c r="AU6" s="120">
        <v>0.0</v>
      </c>
      <c r="AV6" s="120">
        <v>3828.77</v>
      </c>
      <c r="AW6" s="120">
        <v>4504.0</v>
      </c>
      <c r="AX6" s="120">
        <v>457.0</v>
      </c>
      <c r="AY6" s="120">
        <v>0.0</v>
      </c>
      <c r="AZ6" s="120">
        <v>0.0</v>
      </c>
      <c r="BA6" s="120">
        <v>0.0</v>
      </c>
      <c r="BB6" s="120">
        <v>471.85</v>
      </c>
      <c r="BC6" s="120">
        <v>348.0</v>
      </c>
      <c r="BD6" s="120">
        <v>0.0</v>
      </c>
      <c r="BE6" s="120">
        <v>0.0</v>
      </c>
      <c r="BF6" s="120">
        <v>497.0</v>
      </c>
      <c r="BG6" s="120">
        <v>0.0</v>
      </c>
      <c r="BH6" s="120">
        <v>0.0</v>
      </c>
      <c r="BI6" s="120">
        <v>0.0</v>
      </c>
      <c r="BJ6" s="120">
        <v>3603.0</v>
      </c>
      <c r="BK6" s="120">
        <v>0.0</v>
      </c>
      <c r="BL6" s="120">
        <v>0.0</v>
      </c>
      <c r="BM6" s="120">
        <v>0.0</v>
      </c>
      <c r="BN6" s="120">
        <v>0.0</v>
      </c>
      <c r="BO6" s="120">
        <v>0.0</v>
      </c>
      <c r="BP6" s="120">
        <v>0.0</v>
      </c>
      <c r="BQ6" s="116">
        <v>16127.57</v>
      </c>
      <c r="BR6" s="116">
        <v>2417.95</v>
      </c>
      <c r="BS6" s="116">
        <v>471.85</v>
      </c>
      <c r="BT6" s="112">
        <v>0.0146</v>
      </c>
      <c r="BU6" s="112">
        <v>0.1335</v>
      </c>
      <c r="BV6" s="112">
        <v>0.2543</v>
      </c>
      <c r="BW6" s="121">
        <v>47300.0</v>
      </c>
      <c r="BX6" s="122">
        <v>0.341</v>
      </c>
      <c r="BY6" s="123">
        <v>2912.0</v>
      </c>
      <c r="BZ6" s="124">
        <v>119.0</v>
      </c>
      <c r="CA6" s="125">
        <v>3031.0</v>
      </c>
      <c r="CB6" s="126">
        <v>5708.0</v>
      </c>
      <c r="CC6" s="122">
        <v>0.0641</v>
      </c>
      <c r="CD6" s="116">
        <v>0.0</v>
      </c>
      <c r="CE6" s="127"/>
      <c r="CF6" s="116">
        <v>0.0</v>
      </c>
      <c r="CG6" s="116">
        <v>0.0</v>
      </c>
      <c r="CH6" s="116">
        <v>93016.97</v>
      </c>
      <c r="CI6" s="121">
        <v>38561.0</v>
      </c>
      <c r="CJ6" s="128">
        <v>2.0</v>
      </c>
      <c r="CK6" s="128">
        <v>24.0</v>
      </c>
    </row>
    <row r="7">
      <c r="A7" s="109">
        <v>46078.0</v>
      </c>
      <c r="B7" s="110">
        <v>826.0</v>
      </c>
      <c r="C7" s="110">
        <v>213.0</v>
      </c>
      <c r="D7" s="110">
        <v>3611.0</v>
      </c>
      <c r="E7" s="110">
        <v>36.0</v>
      </c>
      <c r="F7" s="110">
        <v>481.0</v>
      </c>
      <c r="G7" s="110">
        <v>657.0</v>
      </c>
      <c r="H7" s="110">
        <v>97.0</v>
      </c>
      <c r="I7" s="110">
        <v>121.0</v>
      </c>
      <c r="J7" s="110">
        <v>2548.0</v>
      </c>
      <c r="K7" s="111">
        <v>27687.0</v>
      </c>
      <c r="L7" s="111">
        <v>92719.0</v>
      </c>
      <c r="M7" s="111">
        <v>75437.0</v>
      </c>
      <c r="N7" s="112">
        <v>0.2579</v>
      </c>
      <c r="O7" s="113">
        <v>130.0</v>
      </c>
      <c r="P7" s="112">
        <v>0.2986</v>
      </c>
      <c r="Q7" s="113">
        <v>1.4</v>
      </c>
      <c r="R7" s="114">
        <v>193.0</v>
      </c>
      <c r="S7" s="113">
        <v>141.0</v>
      </c>
      <c r="T7" s="113">
        <v>1.1</v>
      </c>
      <c r="U7" s="114">
        <v>778.0</v>
      </c>
      <c r="V7" s="115">
        <v>17282.0</v>
      </c>
      <c r="W7" s="116">
        <v>873983.42</v>
      </c>
      <c r="X7" s="116">
        <v>822652.93</v>
      </c>
      <c r="Y7" s="117">
        <v>17252.13</v>
      </c>
      <c r="Z7" s="116">
        <v>856731.3</v>
      </c>
      <c r="AA7" s="112">
        <v>0.0197</v>
      </c>
      <c r="AB7" s="118">
        <v>0.0</v>
      </c>
      <c r="AC7" s="118">
        <v>0.0</v>
      </c>
      <c r="AD7" s="113" t="e">
        <v>#DIV/0!</v>
      </c>
      <c r="AE7" s="118">
        <v>840574.91</v>
      </c>
      <c r="AF7" s="118">
        <v>823468.46</v>
      </c>
      <c r="AG7" s="112">
        <v>0.0204</v>
      </c>
      <c r="AH7" s="118">
        <v>15722.08</v>
      </c>
      <c r="AI7" s="118">
        <v>15147.22</v>
      </c>
      <c r="AJ7" s="112">
        <v>0.0366</v>
      </c>
      <c r="AK7" s="118">
        <v>17582.43</v>
      </c>
      <c r="AL7" s="118">
        <v>18115.62</v>
      </c>
      <c r="AM7" s="119">
        <v>-0.0303</v>
      </c>
      <c r="AN7" s="118">
        <v>100.0</v>
      </c>
      <c r="AO7" s="118">
        <v>0.0</v>
      </c>
      <c r="AP7" s="112">
        <v>1.0</v>
      </c>
      <c r="AQ7" s="118">
        <v>4.0</v>
      </c>
      <c r="AR7" s="118">
        <v>0.0</v>
      </c>
      <c r="AS7" s="112">
        <v>1.0</v>
      </c>
      <c r="AT7" s="120">
        <v>3906.86</v>
      </c>
      <c r="AU7" s="120">
        <v>0.0</v>
      </c>
      <c r="AV7" s="120">
        <v>2830.51</v>
      </c>
      <c r="AW7" s="120">
        <v>4518.0</v>
      </c>
      <c r="AX7" s="120">
        <v>580.0</v>
      </c>
      <c r="AY7" s="120">
        <v>0.0</v>
      </c>
      <c r="AZ7" s="120">
        <v>0.0</v>
      </c>
      <c r="BA7" s="120">
        <v>0.0</v>
      </c>
      <c r="BB7" s="120">
        <v>271.96</v>
      </c>
      <c r="BC7" s="120">
        <v>318.0</v>
      </c>
      <c r="BD7" s="120">
        <v>0.0</v>
      </c>
      <c r="BE7" s="120">
        <v>0.0</v>
      </c>
      <c r="BF7" s="120">
        <v>291.0</v>
      </c>
      <c r="BG7" s="120">
        <v>0.0</v>
      </c>
      <c r="BH7" s="120">
        <v>0.0</v>
      </c>
      <c r="BI7" s="120">
        <v>0.0</v>
      </c>
      <c r="BJ7" s="120">
        <v>4701.0</v>
      </c>
      <c r="BK7" s="120">
        <v>0.0</v>
      </c>
      <c r="BL7" s="120">
        <v>0.0</v>
      </c>
      <c r="BM7" s="120">
        <v>0.0</v>
      </c>
      <c r="BN7" s="120">
        <v>0.0</v>
      </c>
      <c r="BO7" s="120">
        <v>0.0</v>
      </c>
      <c r="BP7" s="120">
        <v>0.0</v>
      </c>
      <c r="BQ7" s="116">
        <v>17417.33</v>
      </c>
      <c r="BR7" s="116">
        <v>3906.86</v>
      </c>
      <c r="BS7" s="116">
        <v>271.96</v>
      </c>
      <c r="BT7" s="112">
        <v>0.0212</v>
      </c>
      <c r="BU7" s="112">
        <v>0.1879</v>
      </c>
      <c r="BV7" s="112">
        <v>1.0096</v>
      </c>
      <c r="BW7" s="121">
        <v>-165.0</v>
      </c>
      <c r="BX7" s="122">
        <v>-105.4286</v>
      </c>
      <c r="BY7" s="123">
        <v>2235.0</v>
      </c>
      <c r="BZ7" s="124">
        <v>151.0</v>
      </c>
      <c r="CA7" s="125">
        <v>2385.0</v>
      </c>
      <c r="CB7" s="126">
        <v>1553.0</v>
      </c>
      <c r="CC7" s="122">
        <v>-14.439</v>
      </c>
      <c r="CD7" s="116">
        <v>0.0</v>
      </c>
      <c r="CE7" s="127"/>
      <c r="CF7" s="116">
        <v>0.0</v>
      </c>
      <c r="CG7" s="116">
        <v>0.0</v>
      </c>
      <c r="CH7" s="116">
        <v>96459.38</v>
      </c>
      <c r="CI7" s="121">
        <v>-4104.0</v>
      </c>
      <c r="CJ7" s="128">
        <v>2.0</v>
      </c>
      <c r="CK7" s="128">
        <v>25.0</v>
      </c>
    </row>
    <row r="8">
      <c r="A8" s="109">
        <v>46079.0</v>
      </c>
      <c r="B8" s="110">
        <v>594.0</v>
      </c>
      <c r="C8" s="110">
        <v>172.0</v>
      </c>
      <c r="D8" s="110">
        <v>3223.0</v>
      </c>
      <c r="E8" s="110">
        <v>52.0</v>
      </c>
      <c r="F8" s="110">
        <v>437.0</v>
      </c>
      <c r="G8" s="110">
        <v>634.0</v>
      </c>
      <c r="H8" s="110">
        <v>108.0</v>
      </c>
      <c r="I8" s="110">
        <v>146.0</v>
      </c>
      <c r="J8" s="110">
        <v>2304.0</v>
      </c>
      <c r="K8" s="111">
        <v>23238.0</v>
      </c>
      <c r="L8" s="111">
        <v>96473.0</v>
      </c>
      <c r="M8" s="111">
        <v>89750.0</v>
      </c>
      <c r="N8" s="112">
        <v>0.2896</v>
      </c>
      <c r="O8" s="113">
        <v>135.0</v>
      </c>
      <c r="P8" s="112">
        <v>0.2409</v>
      </c>
      <c r="Q8" s="113">
        <v>1.5</v>
      </c>
      <c r="R8" s="114">
        <v>221.0</v>
      </c>
      <c r="S8" s="113">
        <v>152.0</v>
      </c>
      <c r="T8" s="113">
        <v>1.1</v>
      </c>
      <c r="U8" s="114">
        <v>831.0</v>
      </c>
      <c r="V8" s="115">
        <v>6723.0</v>
      </c>
      <c r="W8" s="116">
        <v>853298.63</v>
      </c>
      <c r="X8" s="116">
        <v>804306.43</v>
      </c>
      <c r="Y8" s="117">
        <v>13146.22</v>
      </c>
      <c r="Z8" s="116">
        <v>840152.41</v>
      </c>
      <c r="AA8" s="112">
        <v>0.0154</v>
      </c>
      <c r="AB8" s="118">
        <v>60.0</v>
      </c>
      <c r="AC8" s="118">
        <v>0.0</v>
      </c>
      <c r="AD8" s="112">
        <v>1.0</v>
      </c>
      <c r="AE8" s="118">
        <v>821477.24</v>
      </c>
      <c r="AF8" s="118">
        <v>808905.75</v>
      </c>
      <c r="AG8" s="112">
        <v>0.0153</v>
      </c>
      <c r="AH8" s="118">
        <v>18235.59</v>
      </c>
      <c r="AI8" s="118">
        <v>19190.0</v>
      </c>
      <c r="AJ8" s="112">
        <v>-0.0523</v>
      </c>
      <c r="AK8" s="118">
        <v>13524.8</v>
      </c>
      <c r="AL8" s="118">
        <v>12056.66</v>
      </c>
      <c r="AM8" s="112">
        <v>0.1086</v>
      </c>
      <c r="AN8" s="118">
        <v>0.0</v>
      </c>
      <c r="AO8" s="118">
        <v>0.0</v>
      </c>
      <c r="AP8" s="113" t="e">
        <v>#DIV/0!</v>
      </c>
      <c r="AQ8" s="118">
        <v>1.0</v>
      </c>
      <c r="AR8" s="118">
        <v>0.0</v>
      </c>
      <c r="AS8" s="112">
        <v>1.0</v>
      </c>
      <c r="AT8" s="120">
        <v>3076.5</v>
      </c>
      <c r="AU8" s="120">
        <v>0.0</v>
      </c>
      <c r="AV8" s="120">
        <v>3710.2</v>
      </c>
      <c r="AW8" s="120">
        <v>3784.0</v>
      </c>
      <c r="AX8" s="120">
        <v>528.0</v>
      </c>
      <c r="AY8" s="120">
        <v>0.0</v>
      </c>
      <c r="AZ8" s="120">
        <v>0.0</v>
      </c>
      <c r="BA8" s="120">
        <v>0.0</v>
      </c>
      <c r="BB8" s="120">
        <v>104.46</v>
      </c>
      <c r="BC8" s="120">
        <v>346.0</v>
      </c>
      <c r="BD8" s="120">
        <v>0.0</v>
      </c>
      <c r="BE8" s="120">
        <v>0.0</v>
      </c>
      <c r="BF8" s="120">
        <v>424.0</v>
      </c>
      <c r="BG8" s="120">
        <v>0.0</v>
      </c>
      <c r="BH8" s="120">
        <v>0.0</v>
      </c>
      <c r="BI8" s="120">
        <v>0.0</v>
      </c>
      <c r="BJ8" s="120">
        <v>4112.5</v>
      </c>
      <c r="BK8" s="120">
        <v>0.0</v>
      </c>
      <c r="BL8" s="120">
        <v>0.0</v>
      </c>
      <c r="BM8" s="120">
        <v>0.0</v>
      </c>
      <c r="BN8" s="120">
        <v>0.0</v>
      </c>
      <c r="BO8" s="120">
        <v>0.0</v>
      </c>
      <c r="BP8" s="120">
        <v>0.0</v>
      </c>
      <c r="BQ8" s="116">
        <v>16085.66</v>
      </c>
      <c r="BR8" s="116">
        <v>3076.5</v>
      </c>
      <c r="BS8" s="116">
        <v>104.46</v>
      </c>
      <c r="BT8" s="112">
        <v>0.02</v>
      </c>
      <c r="BU8" s="112">
        <v>0.1667</v>
      </c>
      <c r="BV8" s="112">
        <v>1.2236</v>
      </c>
      <c r="BW8" s="121">
        <v>-2939.0</v>
      </c>
      <c r="BX8" s="122">
        <v>-5.4724</v>
      </c>
      <c r="BY8" s="123">
        <v>2325.0</v>
      </c>
      <c r="BZ8" s="124">
        <v>180.0</v>
      </c>
      <c r="CA8" s="125">
        <v>2504.0</v>
      </c>
      <c r="CB8" s="126">
        <v>1183.0</v>
      </c>
      <c r="CC8" s="122">
        <v>-0.852</v>
      </c>
      <c r="CD8" s="116">
        <v>0.0</v>
      </c>
      <c r="CE8" s="127"/>
      <c r="CF8" s="116">
        <v>0.0</v>
      </c>
      <c r="CG8" s="116">
        <v>0.0</v>
      </c>
      <c r="CH8" s="116">
        <v>94316.75</v>
      </c>
      <c r="CI8" s="121">
        <v>-6627.0</v>
      </c>
      <c r="CJ8" s="128">
        <v>2.0</v>
      </c>
      <c r="CK8" s="128">
        <v>26.0</v>
      </c>
    </row>
    <row r="9">
      <c r="A9" s="109">
        <v>46080.0</v>
      </c>
      <c r="B9" s="110">
        <v>268.0</v>
      </c>
      <c r="C9" s="110">
        <v>89.0</v>
      </c>
      <c r="D9" s="110">
        <v>2890.0</v>
      </c>
      <c r="E9" s="110">
        <v>16.0</v>
      </c>
      <c r="F9" s="110">
        <v>352.0</v>
      </c>
      <c r="G9" s="110">
        <v>519.0</v>
      </c>
      <c r="H9" s="110">
        <v>92.0</v>
      </c>
      <c r="I9" s="110">
        <v>519.0</v>
      </c>
      <c r="J9" s="110">
        <v>2122.0</v>
      </c>
      <c r="K9" s="111">
        <v>12300.0</v>
      </c>
      <c r="L9" s="111">
        <v>94962.0</v>
      </c>
      <c r="M9" s="111">
        <v>93643.0</v>
      </c>
      <c r="N9" s="112">
        <v>0.3321</v>
      </c>
      <c r="O9" s="113">
        <v>138.0</v>
      </c>
      <c r="P9" s="112">
        <v>0.1295</v>
      </c>
      <c r="Q9" s="113">
        <v>1.5</v>
      </c>
      <c r="R9" s="114">
        <v>270.0</v>
      </c>
      <c r="S9" s="113">
        <v>183.0</v>
      </c>
      <c r="T9" s="113">
        <v>1.3</v>
      </c>
      <c r="U9" s="114">
        <v>1018.0</v>
      </c>
      <c r="V9" s="115">
        <v>1319.0</v>
      </c>
      <c r="W9" s="116">
        <v>742129.38</v>
      </c>
      <c r="X9" s="116">
        <v>692850.77</v>
      </c>
      <c r="Y9" s="117">
        <v>11032.04</v>
      </c>
      <c r="Z9" s="116">
        <v>731097.35</v>
      </c>
      <c r="AA9" s="112">
        <v>0.0149</v>
      </c>
      <c r="AB9" s="118">
        <v>0.0</v>
      </c>
      <c r="AC9" s="118">
        <v>0.0</v>
      </c>
      <c r="AD9" s="113" t="e">
        <v>#DIV/0!</v>
      </c>
      <c r="AE9" s="118">
        <v>734752.98</v>
      </c>
      <c r="AF9" s="118">
        <v>724516.45</v>
      </c>
      <c r="AG9" s="112">
        <v>0.0139</v>
      </c>
      <c r="AH9" s="118">
        <v>2734.5</v>
      </c>
      <c r="AI9" s="118">
        <v>1846.5</v>
      </c>
      <c r="AJ9" s="112">
        <v>0.3247</v>
      </c>
      <c r="AK9" s="118">
        <v>4639.9</v>
      </c>
      <c r="AL9" s="118">
        <v>4734.4</v>
      </c>
      <c r="AM9" s="119">
        <v>-0.0204</v>
      </c>
      <c r="AN9" s="118">
        <v>0.0</v>
      </c>
      <c r="AO9" s="118">
        <v>0.0</v>
      </c>
      <c r="AP9" s="113" t="e">
        <v>#DIV/0!</v>
      </c>
      <c r="AQ9" s="118">
        <v>2.0</v>
      </c>
      <c r="AR9" s="118">
        <v>0.0</v>
      </c>
      <c r="AS9" s="112">
        <v>1.0</v>
      </c>
      <c r="AT9" s="120">
        <v>2605.21</v>
      </c>
      <c r="AU9" s="120">
        <v>0.0</v>
      </c>
      <c r="AV9" s="120">
        <v>2664.5</v>
      </c>
      <c r="AW9" s="120">
        <v>3699.0</v>
      </c>
      <c r="AX9" s="120">
        <v>340.0</v>
      </c>
      <c r="AY9" s="120">
        <v>0.0</v>
      </c>
      <c r="AZ9" s="120">
        <v>0.0</v>
      </c>
      <c r="BA9" s="120">
        <v>0.0</v>
      </c>
      <c r="BB9" s="120">
        <v>208.11</v>
      </c>
      <c r="BC9" s="120">
        <v>249.0</v>
      </c>
      <c r="BD9" s="120">
        <v>0.0</v>
      </c>
      <c r="BE9" s="120">
        <v>0.0</v>
      </c>
      <c r="BF9" s="120">
        <v>6.0</v>
      </c>
      <c r="BG9" s="120">
        <v>0.0</v>
      </c>
      <c r="BH9" s="120">
        <v>0.0</v>
      </c>
      <c r="BI9" s="120">
        <v>0.0</v>
      </c>
      <c r="BJ9" s="120">
        <v>2075.0</v>
      </c>
      <c r="BK9" s="120">
        <v>0.0</v>
      </c>
      <c r="BL9" s="120">
        <v>0.0</v>
      </c>
      <c r="BM9" s="120">
        <v>0.0</v>
      </c>
      <c r="BN9" s="120">
        <v>0.0</v>
      </c>
      <c r="BO9" s="120">
        <v>0.0</v>
      </c>
      <c r="BP9" s="120">
        <v>0.0</v>
      </c>
      <c r="BQ9" s="116">
        <v>11846.82</v>
      </c>
      <c r="BR9" s="116">
        <v>2605.21</v>
      </c>
      <c r="BS9" s="116">
        <v>208.11</v>
      </c>
      <c r="BT9" s="112">
        <v>0.0171</v>
      </c>
      <c r="BU9" s="112">
        <v>0.1248</v>
      </c>
      <c r="BV9" s="112">
        <v>1.0739</v>
      </c>
      <c r="BW9" s="121">
        <v>-815.0</v>
      </c>
      <c r="BX9" s="122">
        <v>-14.5398</v>
      </c>
      <c r="BY9" s="123">
        <v>2289.0</v>
      </c>
      <c r="BZ9" s="124">
        <v>187.0</v>
      </c>
      <c r="CA9" s="125">
        <v>2476.0</v>
      </c>
      <c r="CB9" s="126">
        <v>993.0</v>
      </c>
      <c r="CC9" s="122">
        <v>-3.0387</v>
      </c>
      <c r="CD9" s="116">
        <v>0.0</v>
      </c>
      <c r="CE9" s="127"/>
      <c r="CF9" s="116">
        <v>0.0</v>
      </c>
      <c r="CG9" s="116">
        <v>0.0</v>
      </c>
      <c r="CH9" s="116">
        <v>96202.4</v>
      </c>
      <c r="CI9" s="121">
        <v>-4284.0</v>
      </c>
      <c r="CJ9" s="128">
        <v>2.0</v>
      </c>
      <c r="CK9" s="128">
        <v>27.0</v>
      </c>
    </row>
    <row r="10">
      <c r="A10" s="109">
        <v>46081.0</v>
      </c>
      <c r="B10" s="110">
        <v>717.0</v>
      </c>
      <c r="C10" s="110">
        <v>231.0</v>
      </c>
      <c r="D10" s="110">
        <v>3515.0</v>
      </c>
      <c r="E10" s="110">
        <v>91.0</v>
      </c>
      <c r="F10" s="110">
        <v>515.0</v>
      </c>
      <c r="G10" s="110">
        <v>679.0</v>
      </c>
      <c r="H10" s="110">
        <v>98.0</v>
      </c>
      <c r="I10" s="110">
        <v>120.0</v>
      </c>
      <c r="J10" s="110">
        <v>2404.0</v>
      </c>
      <c r="K10" s="111">
        <v>30310.0</v>
      </c>
      <c r="L10" s="111">
        <v>103745.0</v>
      </c>
      <c r="M10" s="111">
        <v>68336.0</v>
      </c>
      <c r="N10" s="112">
        <v>0.3222</v>
      </c>
      <c r="O10" s="113">
        <v>131.0</v>
      </c>
      <c r="P10" s="112">
        <v>0.2922</v>
      </c>
      <c r="Q10" s="113">
        <v>1.3</v>
      </c>
      <c r="R10" s="114">
        <v>201.0</v>
      </c>
      <c r="S10" s="113">
        <v>153.0</v>
      </c>
      <c r="T10" s="113">
        <v>1.2</v>
      </c>
      <c r="U10" s="114">
        <v>697.0</v>
      </c>
      <c r="V10" s="115">
        <v>35409.0</v>
      </c>
      <c r="W10" s="116">
        <v>913539.63</v>
      </c>
      <c r="X10" s="116">
        <v>851449.64</v>
      </c>
      <c r="Y10" s="117">
        <v>27029.51</v>
      </c>
      <c r="Z10" s="116">
        <v>886510.11</v>
      </c>
      <c r="AA10" s="112">
        <v>0.0296</v>
      </c>
      <c r="AB10" s="118">
        <v>1.0</v>
      </c>
      <c r="AC10" s="118">
        <v>0.0</v>
      </c>
      <c r="AD10" s="112">
        <v>1.0</v>
      </c>
      <c r="AE10" s="118">
        <v>893340.12</v>
      </c>
      <c r="AF10" s="118">
        <v>864325.06</v>
      </c>
      <c r="AG10" s="112">
        <v>0.0325</v>
      </c>
      <c r="AH10" s="118">
        <v>7245.31</v>
      </c>
      <c r="AI10" s="118">
        <v>8340.0</v>
      </c>
      <c r="AJ10" s="112">
        <v>-0.1511</v>
      </c>
      <c r="AK10" s="118">
        <v>12950.2</v>
      </c>
      <c r="AL10" s="118">
        <v>13845.05</v>
      </c>
      <c r="AM10" s="119">
        <v>-0.0691</v>
      </c>
      <c r="AN10" s="118">
        <v>0.0</v>
      </c>
      <c r="AO10" s="118">
        <v>0.0</v>
      </c>
      <c r="AP10" s="113" t="e">
        <v>#DIV/0!</v>
      </c>
      <c r="AQ10" s="118">
        <v>3.0</v>
      </c>
      <c r="AR10" s="118">
        <v>0.0</v>
      </c>
      <c r="AS10" s="112">
        <v>1.0</v>
      </c>
      <c r="AT10" s="120">
        <v>2251.1</v>
      </c>
      <c r="AU10" s="120">
        <v>0.0</v>
      </c>
      <c r="AV10" s="120">
        <v>2762.09</v>
      </c>
      <c r="AW10" s="120">
        <v>4033.0</v>
      </c>
      <c r="AX10" s="120">
        <v>395.0</v>
      </c>
      <c r="AY10" s="120">
        <v>0.0</v>
      </c>
      <c r="AZ10" s="120">
        <v>0.0</v>
      </c>
      <c r="BA10" s="120">
        <v>0.0</v>
      </c>
      <c r="BB10" s="120">
        <v>61.05</v>
      </c>
      <c r="BC10" s="120">
        <v>299.0</v>
      </c>
      <c r="BD10" s="120">
        <v>0.0</v>
      </c>
      <c r="BE10" s="120">
        <v>0.0</v>
      </c>
      <c r="BF10" s="120">
        <v>0.0</v>
      </c>
      <c r="BG10" s="120">
        <v>0.0</v>
      </c>
      <c r="BH10" s="120">
        <v>0.0</v>
      </c>
      <c r="BI10" s="120">
        <v>0.0</v>
      </c>
      <c r="BJ10" s="120">
        <v>5353.5</v>
      </c>
      <c r="BK10" s="120">
        <v>0.0</v>
      </c>
      <c r="BL10" s="120">
        <v>0.0</v>
      </c>
      <c r="BM10" s="120">
        <v>0.0</v>
      </c>
      <c r="BN10" s="120">
        <v>0.0</v>
      </c>
      <c r="BO10" s="120">
        <v>0.0</v>
      </c>
      <c r="BP10" s="120">
        <v>0.0</v>
      </c>
      <c r="BQ10" s="116">
        <v>15154.74</v>
      </c>
      <c r="BR10" s="116">
        <v>2251.1</v>
      </c>
      <c r="BS10" s="116">
        <v>61.05</v>
      </c>
      <c r="BT10" s="112">
        <v>0.0178</v>
      </c>
      <c r="BU10" s="112">
        <v>0.1461</v>
      </c>
      <c r="BV10" s="112">
        <v>0.5607</v>
      </c>
      <c r="BW10" s="121">
        <v>11875.0</v>
      </c>
      <c r="BX10" s="122">
        <v>1.2762</v>
      </c>
      <c r="BY10" s="123">
        <v>2500.0</v>
      </c>
      <c r="BZ10" s="124">
        <v>137.0</v>
      </c>
      <c r="CA10" s="125">
        <v>2637.0</v>
      </c>
      <c r="CB10" s="126">
        <v>2433.0</v>
      </c>
      <c r="CC10" s="122">
        <v>0.2221</v>
      </c>
      <c r="CD10" s="116">
        <v>0.0</v>
      </c>
      <c r="CE10" s="127"/>
      <c r="CF10" s="116">
        <v>0.0</v>
      </c>
      <c r="CG10" s="116">
        <v>0.0</v>
      </c>
      <c r="CH10" s="116">
        <v>113632.87</v>
      </c>
      <c r="CI10" s="121">
        <v>6805.0</v>
      </c>
      <c r="CJ10" s="128">
        <v>2.0</v>
      </c>
      <c r="CK10" s="128">
        <v>28.0</v>
      </c>
    </row>
    <row r="11">
      <c r="A11" s="129">
        <v>46082.0</v>
      </c>
      <c r="B11" s="130">
        <f t="array" ref="B11">INDEX('jiliarena_日报_底稿'!$A$3:$N$34,MATCH($A11,'jiliarena_日报_底稿'!$A$3:$A$34,0),MATCH(B$3,'jiliarena_日报_底稿'!$A$3:$N$3,0))</f>
        <v>1098</v>
      </c>
      <c r="C11" s="130">
        <f t="array" ref="C11">INDEX('jiliarena_日报_底稿'!$A$3:$N$34,MATCH($A11,'jiliarena_日报_底稿'!$A$3:$A$34,0),MATCH(C$3,'jiliarena_日报_底稿'!$A$3:$N$3,0))</f>
        <v>625</v>
      </c>
      <c r="D11" s="130">
        <f t="array" ref="D11">INDEX('jiliarena_日报_底稿'!$A$3:$N$34,MATCH($A11,'jiliarena_日报_底稿'!$A$3:$A$34,0),MATCH(D$3,'jiliarena_日报_底稿'!$A$3:$N$3,0))</f>
        <v>4268</v>
      </c>
      <c r="E11" s="131">
        <v>178.0</v>
      </c>
      <c r="F11" s="130">
        <f t="array" ref="F11">INDEX('jiliarena_日报_底稿'!$A$3:$N$34,MATCH($A11,'jiliarena_日报_底稿'!$A$3:$A$34,0),MATCH(F$3,'jiliarena_日报_底稿'!$A$3:$N$3,0))</f>
        <v>928</v>
      </c>
      <c r="G11" s="130">
        <f>SUMIFS('渠道充值成功率_底稿'!$F:$F,'渠道充值成功率_底稿'!$A:$A,A11)</f>
        <v>1251</v>
      </c>
      <c r="H11" s="130">
        <f t="array" ref="H11">INDEX('jiliarena_日报_底稿'!$A$3:$N$34,MATCH($A11,'jiliarena_日报_底稿'!$A$3:$A$34,0),MATCH(H$3,'jiliarena_日报_底稿'!$A$3:$N$3,0))</f>
        <v>189</v>
      </c>
      <c r="I11" s="131">
        <v>247.0</v>
      </c>
      <c r="J11" s="130">
        <f t="array" ref="J11">INDEX('jiliarena_日报_底稿'!$A$3:$N$34,MATCH($A11,'jiliarena_日报_底稿'!$A$3:$A$34,0),MATCH(J$3,'jiliarena_日报_底稿'!$A$3:$N$3,0))</f>
        <v>3186</v>
      </c>
      <c r="K11" s="132">
        <f>SUMIFS('渠道充值成功率_底稿'!$J:$J,'渠道充值成功率_底稿'!$A:$A,$A11)</f>
        <v>87527</v>
      </c>
      <c r="L11" s="132">
        <f t="array" ref="L11">INDEX('jiliarena_日报_底稿'!$A$3:$N$34,MATCH($A11,'jiliarena_日报_底稿'!$A$3:$A$34,0),MATCH(L$3,'jiliarena_日报_底稿'!$A$3:$N$3,0))</f>
        <v>186941</v>
      </c>
      <c r="M11" s="132">
        <f t="array" ref="M11">INDEX('jiliarena_日报_底稿'!$P$2:$DS$34,MATCH($A11,'jiliarena_日报_底稿'!$P$2:$P$34,0),MATCH($M$3,'jiliarena_日报_底稿'!$P$3:$DS$3,0))</f>
        <v>131003</v>
      </c>
      <c r="N11" s="133">
        <f t="shared" ref="N11:N49" si="2">IF(C11="","",ROUND(C11/B11,4))</f>
        <v>0.5692</v>
      </c>
      <c r="O11" s="134">
        <f t="shared" ref="O11:O49" si="3">IF(K11="","",ROUND(K11/C11,0))</f>
        <v>140</v>
      </c>
      <c r="P11" s="133">
        <f t="shared" ref="P11:P49" si="4">IF(L11="","",ROUND(K11/L11,6))</f>
        <v>0.468207</v>
      </c>
      <c r="Q11" s="134">
        <f t="shared" ref="Q11:Q49" si="5">IF(G11="","",ROUND(G11/F11,1))</f>
        <v>1.3</v>
      </c>
      <c r="R11" s="135">
        <f t="shared" ref="R11:R49" si="6">IF(L11="","",ROUND(L11/F11,0))</f>
        <v>201</v>
      </c>
      <c r="S11" s="134">
        <f t="shared" ref="S11:S49" si="7">IF(L11="","",ROUND(L11/G11,0))</f>
        <v>149</v>
      </c>
      <c r="T11" s="134">
        <f t="shared" ref="T11:T49" si="8">IF(S11="","",ROUND(S11/O11,1))</f>
        <v>1.1</v>
      </c>
      <c r="U11" s="135">
        <f t="shared" ref="U11:U49" si="9">IF(M11="","",ROUND(M11/H11,0))</f>
        <v>693</v>
      </c>
      <c r="V11" s="136">
        <f t="shared" ref="V11:V49" si="10">IF(M11="","",L11-M11)</f>
        <v>55938</v>
      </c>
      <c r="W11" s="137">
        <f>AB11+AE11+AH11+AK11+AN11+AQ11</f>
        <v>1794608.74</v>
      </c>
      <c r="X11" s="137">
        <f t="array" ref="X11">index('jiliarena_日报_底稿'!$P$2:$DS$34,match($A11,'jiliarena_日报_底稿'!$P$2:$P$34,0),match("电子有效投注",'jiliarena_日报_底稿'!$P$3:$DS$3,0))+index('jiliarena_日报_底稿'!$P$2:$DS$34,match($A11,'jiliarena_日报_底稿'!$P$2:$P$34,0),match("真人有效投注",'jiliarena_日报_底稿'!$P$3:$DS$3,0))+index('jiliarena_日报_底稿'!$P$2:$DS$34,match($A11,'jiliarena_日报_底稿'!$P$2:$P$34,0),match("彩票有效投注",'jiliarena_日报_底稿'!$P$3:$DS$3,0))+index('jiliarena_日报_底稿'!$P$2:$DS$34,match($A11,'jiliarena_日报_底稿'!$P$2:$P$34,0),match("棋牌有效投注",'jiliarena_日报_底稿'!$P$3:$DS$3,0))+index('jiliarena_日报_底稿'!$P$2:$DS$34,match($A11,'jiliarena_日报_底稿'!$P$2:$P$34,0),match("捕鱼有效投注",'jiliarena_日报_底稿'!$P$3:$DS$3,0))+index('jiliarena_日报_底稿'!$P$2:$DS$34,match($A11,'jiliarena_日报_底稿'!$P$2:$P$34,0),match("体育有效投注",'jiliarena_日报_底稿'!$P$3:$DS$3,0))+index('jiliarena_日报_底稿'!$P$2:$DS$34,match($A11,'jiliarena_日报_底稿'!$P$2:$P$34,0),match("盘口彩票有效投注",'jiliarena_日报_底稿'!$P$3:$DS$3,0))</f>
        <v>1674018.185</v>
      </c>
      <c r="Y11" s="138">
        <f>AB11+AE11+AH11+AK11+AN11+AQ11-AR11-AO11-AL11-AI11-AF11-AC11</f>
        <v>81864.325</v>
      </c>
      <c r="Z11" s="137">
        <f>AC11+AF11+AI11+AL11+AO11+AR11</f>
        <v>1712744.415</v>
      </c>
      <c r="AA11" s="133">
        <f t="shared" ref="AA11:AA49" si="12">IFERROR(ROUND(1-(Z11/W11),6),"")</f>
        <v>0.045617</v>
      </c>
      <c r="AB11" s="139">
        <f t="array" ref="AB11">INDEX('jiliarena_日报_底稿'!$P$2:$DS$34,MATCH($A11,'jiliarena_日报_底稿'!$P$2:$P$34,0),MATCH(AB$3,'jiliarena_日报_底稿'!$P$3:$DS$3,0))</f>
        <v>450</v>
      </c>
      <c r="AC11" s="139">
        <f t="array" ref="AC11">INDEX('jiliarena_日报_底稿'!$P$2:$DS$34,MATCH($A11,'jiliarena_日报_底稿'!$P$2:$P$34,0),MATCH(AC$3,'jiliarena_日报_底稿'!$P$3:$DS$3,0))</f>
        <v>386.15</v>
      </c>
      <c r="AD11" s="133">
        <f t="shared" ref="AD11:AD49" si="14">IF(AC11="","",ROUND((1-(AC11/AB11)),6))</f>
        <v>0.141889</v>
      </c>
      <c r="AE11" s="139">
        <f t="array" ref="AE11">INDEX('jiliarena_日报_底稿'!$P$2:$DS$34,MATCH($A11,'jiliarena_日报_底稿'!$P$2:$P$34,0),MATCH(AE$3,'jiliarena_日报_底稿'!$P$3:$DS$3,0))</f>
        <v>1772693.04</v>
      </c>
      <c r="AF11" s="139">
        <f t="array" ref="AF11">INDEX('jiliarena_日报_底稿'!$P$2:$DS$34,MATCH($A11,'jiliarena_日报_底稿'!$P$2:$P$34,0),MATCH(AF$3,'jiliarena_日报_底稿'!$P$3:$DS$3,0))</f>
        <v>1694500.565</v>
      </c>
      <c r="AG11" s="133">
        <f t="shared" ref="AG11:AG49" si="16">IF(AF11="","",ROUND((1-(AF11/AE11)),6))</f>
        <v>0.044109</v>
      </c>
      <c r="AH11" s="139">
        <f t="array" ref="AH11">INDEX('jiliarena_日报_底稿'!$P$2:$DS$34,MATCH($A11,'jiliarena_日报_底稿'!$P$2:$P$34,0),MATCH(AH$3,'jiliarena_日报_底稿'!$P$3:$DS$3,0))</f>
        <v>8456.8</v>
      </c>
      <c r="AI11" s="139">
        <f t="array" ref="AI11">INDEX('jiliarena_日报_底稿'!$P$2:$DS$34,MATCH($A11,'jiliarena_日报_底稿'!$P$2:$P$34,0),MATCH(AI$3,'jiliarena_日报_底稿'!$P$3:$DS$3,0))</f>
        <v>5555</v>
      </c>
      <c r="AJ11" s="133">
        <f t="shared" ref="AJ11:AJ49" si="18">IF(AI11="","",ROUND((1-(AI11/AH11)),6))</f>
        <v>0.343132</v>
      </c>
      <c r="AK11" s="139">
        <f t="array" ref="AK11">INDEX('jiliarena_日报_底稿'!$P$2:$DS$34,MATCH($A11,'jiliarena_日报_底稿'!$P$2:$P$34,0),MATCH(AK$3,'jiliarena_日报_底稿'!$P$3:$DS$3,0))</f>
        <v>13004.9</v>
      </c>
      <c r="AL11" s="139">
        <f t="array" ref="AL11">INDEX('jiliarena_日报_底稿'!$P$2:$DS$34,MATCH($A11,'jiliarena_日报_底稿'!$P$2:$P$34,0),MATCH(AL$3,'jiliarena_日报_底稿'!$P$3:$DS$3,0))</f>
        <v>12302.7</v>
      </c>
      <c r="AM11" s="133">
        <f t="shared" ref="AM11:AM49" si="20">IF(AL11="","",ROUND((1-(AL11/AK11)),6))</f>
        <v>0.053995</v>
      </c>
      <c r="AN11" s="139">
        <f t="array" ref="AN11">INDEX('jiliarena_日报_底稿'!$P$2:$DS$34,MATCH($A11,'jiliarena_日报_底稿'!$P$2:$P$34,0),MATCH(AN$3,'jiliarena_日报_底稿'!$P$3:$DS$3,0))</f>
        <v>0</v>
      </c>
      <c r="AO11" s="139">
        <f t="array" ref="AO11">INDEX('jiliarena_日报_底稿'!$P$2:$DS$34,MATCH($A11,'jiliarena_日报_底稿'!$P$2:$P$34,0),MATCH(AO$3,'jiliarena_日报_底稿'!$P$3:$DS$3,0))</f>
        <v>0</v>
      </c>
      <c r="AP11" s="133" t="str">
        <f t="shared" ref="AP11:AP49" si="22">IF(AO11="","",ROUND((1-(AO11/AN11)),6))</f>
        <v>#DIV/0!</v>
      </c>
      <c r="AQ11" s="139">
        <f t="array" ref="AQ11">INDEX('jiliarena_日报_底稿'!$P$2:$DS$34,MATCH($A11,'jiliarena_日报_底稿'!$P$2:$P$34,0),MATCH(AQ$3,'jiliarena_日报_底稿'!$P$3:$DS$3,0))</f>
        <v>4</v>
      </c>
      <c r="AR11" s="139">
        <f t="array" ref="AR11">INDEX('jiliarena_日报_底稿'!$P$2:$DS$34,MATCH($A11,'jiliarena_日报_底稿'!$P$2:$P$34,0),MATCH(AR$3,'jiliarena_日报_底稿'!$P$3:$DS$3,0))</f>
        <v>0</v>
      </c>
      <c r="AS11" s="133">
        <f t="shared" ref="AS11:AS49" si="24">IF(AR11="","",ROUND((1-(AR11/AQ11)),6))</f>
        <v>1</v>
      </c>
      <c r="AT11" s="140">
        <f>SUMIFS('jiliarena_活动分析数据_底稿'!$K:$K,'jiliarena_活动分析数据_底稿'!$B:$B,$A11,'jiliarena_活动分析数据_底稿'!$L:$L,AT$3)</f>
        <v>2895.46</v>
      </c>
      <c r="AU11" s="140">
        <f>SUMIFS('jiliarena_活动分析数据_底稿'!$K:$K,'jiliarena_活动分析数据_底稿'!$B:$B,$A11,'jiliarena_活动分析数据_底稿'!$L:$L,AU$3)</f>
        <v>0</v>
      </c>
      <c r="AV11" s="140">
        <f>SUMIFS('jiliarena_活动分析数据_底稿'!$K:$K,'jiliarena_活动分析数据_底稿'!$B:$B,$A11,'jiliarena_活动分析数据_底稿'!$L:$L,AV$3)</f>
        <v>734.22</v>
      </c>
      <c r="AW11" s="140">
        <f>SUMIFS('jiliarena_活动分析数据_底稿'!$K:$K,'jiliarena_活动分析数据_底稿'!$B:$B,$A11,'jiliarena_活动分析数据_底稿'!$L:$L,AW$3)</f>
        <v>4988</v>
      </c>
      <c r="AX11" s="140">
        <f>SUMIFS('jiliarena_活动分析数据_底稿'!$K:$K,'jiliarena_活动分析数据_底稿'!$B:$B,$A11,'jiliarena_活动分析数据_底稿'!$L:$L,AX$3)</f>
        <v>572</v>
      </c>
      <c r="AY11" s="140">
        <f>SUMIFS('jiliarena_活动分析数据_底稿'!$K:$K,'jiliarena_活动分析数据_底稿'!$B:$B,$A11,'jiliarena_活动分析数据_底稿'!$L:$L,AY$3)</f>
        <v>0</v>
      </c>
      <c r="AZ11" s="140">
        <f>SUMIFS('jiliarena_活动分析数据_底稿'!$K:$K,'jiliarena_活动分析数据_底稿'!$B:$B,$A11,'jiliarena_活动分析数据_底稿'!$L:$L,AZ$3)</f>
        <v>0</v>
      </c>
      <c r="BA11" s="140">
        <f>SUMIFS('jiliarena_活动分析数据_底稿'!$K:$K,'jiliarena_活动分析数据_底稿'!$B:$B,$A11,'jiliarena_活动分析数据_底稿'!$L:$L,BA$3)</f>
        <v>0</v>
      </c>
      <c r="BB11" s="140">
        <f>SUMIFS('jiliarena_活动分析数据_底稿'!$K:$K,'jiliarena_活动分析数据_底稿'!$B:$B,$A11,'jiliarena_活动分析数据_底稿'!$L:$L,BB$3)</f>
        <v>381.75</v>
      </c>
      <c r="BC11" s="140">
        <f>SUMIFS('jiliarena_活动分析数据_底稿'!$K:$K,'jiliarena_活动分析数据_底稿'!$B:$B,$A11,'jiliarena_活动分析数据_底稿'!$L:$L,BC$3)</f>
        <v>765</v>
      </c>
      <c r="BD11" s="140">
        <f>SUMIFS('jiliarena_活动分析数据_底稿'!$K:$K,'jiliarena_活动分析数据_底稿'!$B:$B,$A11,'jiliarena_活动分析数据_底稿'!$L:$L,BD$3)</f>
        <v>0</v>
      </c>
      <c r="BE11" s="140">
        <f>SUMIFS('jiliarena_活动分析数据_底稿'!$K:$K,'jiliarena_活动分析数据_底稿'!$B:$B,$A11,'jiliarena_活动分析数据_底稿'!$L:$L,BE$3)</f>
        <v>0</v>
      </c>
      <c r="BF11" s="140">
        <f>SUMIFS('jiliarena_活动分析数据_底稿'!$K:$K,'jiliarena_活动分析数据_底稿'!$B:$B,$A11,'jiliarena_活动分析数据_底稿'!$L:$L,BF$3)</f>
        <v>0</v>
      </c>
      <c r="BG11" s="140">
        <f>SUMIFS('jiliarena_活动分析数据_底稿'!$K:$K,'jiliarena_活动分析数据_底稿'!$B:$B,$A11,'jiliarena_活动分析数据_底稿'!$L:$L,BG$3)</f>
        <v>0</v>
      </c>
      <c r="BH11" s="140">
        <f>SUMIFS('jiliarena_活动分析数据_底稿'!$K:$K,'jiliarena_活动分析数据_底稿'!$B:$B,$A11,'jiliarena_活动分析数据_底稿'!$L:$L,BH$3)</f>
        <v>0</v>
      </c>
      <c r="BI11" s="140">
        <f>SUMIFS('jiliarena_活动分析数据_底稿'!$K:$K,'jiliarena_活动分析数据_底稿'!$B:$B,$A11,'jiliarena_活动分析数据_底稿'!$L:$L,BI$3)</f>
        <v>0</v>
      </c>
      <c r="BJ11" s="140">
        <f>SUMIFS('jiliarena_活动分析数据_底稿'!$K:$K,'jiliarena_活动分析数据_底稿'!$B:$B,$A11,'jiliarena_活动分析数据_底稿'!$L:$L,BJ$3)</f>
        <v>21696</v>
      </c>
      <c r="BK11" s="140">
        <f>SUMIFS('jiliarena_活动分析数据_底稿'!$K:$K,'jiliarena_活动分析数据_底稿'!$B:$B,$A11,'jiliarena_活动分析数据_底稿'!$L:$L,BK$3)</f>
        <v>0</v>
      </c>
      <c r="BL11" s="140">
        <f>SUMIFS('jiliarena_活动分析数据_底稿'!$K:$K,'jiliarena_活动分析数据_底稿'!$B:$B,$A11,'jiliarena_活动分析数据_底稿'!$L:$L,BL$3)</f>
        <v>0</v>
      </c>
      <c r="BM11" s="140">
        <f>SUMIFS('jiliarena_活动分析数据_底稿'!$K:$K,'jiliarena_活动分析数据_底稿'!$B:$B,$A11,'jiliarena_活动分析数据_底稿'!$L:$L,BM$3)</f>
        <v>0</v>
      </c>
      <c r="BN11" s="140">
        <f>SUMIFS('jiliarena_活动分析数据_底稿'!$K:$K,'jiliarena_活动分析数据_底稿'!$B:$B,$A11,'jiliarena_活动分析数据_底稿'!$L:$L,BN$3)</f>
        <v>0</v>
      </c>
      <c r="BO11" s="140">
        <f>SUMIFS('jiliarena_活动分析数据_底稿'!$K:$K,'jiliarena_活动分析数据_底稿'!$B:$B,$A11,'jiliarena_活动分析数据_底稿'!$L:$L,BO$3)</f>
        <v>0</v>
      </c>
      <c r="BP11" s="140">
        <f>SUMIFS('jiliarena_活动分析数据_底稿'!$K:$K,'jiliarena_活动分析数据_底稿'!$B:$B,$A11,'jiliarena_活动分析数据_底稿'!$L:$L,BP$3)</f>
        <v>0</v>
      </c>
      <c r="BQ11" s="137">
        <f>SUM(AT11:BP11)</f>
        <v>32032.43</v>
      </c>
      <c r="BR11" s="137">
        <f>AT11</f>
        <v>2895.46</v>
      </c>
      <c r="BS11" s="137">
        <f>BB11</f>
        <v>381.75</v>
      </c>
      <c r="BT11" s="133">
        <f t="shared" ref="BT11:BT49" si="26">iferror(IF(BQ11="","",ROUND(BQ11/X11,6)),"")</f>
        <v>0.019135</v>
      </c>
      <c r="BU11" s="133">
        <f t="shared" ref="BU11:BU49" si="27">iferror(BQ11/L11,"")</f>
        <v>0.1713504796</v>
      </c>
      <c r="BV11" s="133">
        <f t="shared" ref="BV11:BV49" si="28">iferror(BQ11/Y11,"")</f>
        <v>0.3912868029</v>
      </c>
      <c r="BW11" s="141">
        <f t="shared" ref="BW11:BW49" si="29">IF(BQ11="","",Y11-BQ11)</f>
        <v>49831.895</v>
      </c>
      <c r="BX11" s="142">
        <f t="shared" ref="BX11:BX49" si="30">iferror(BQ11/BW11,"")</f>
        <v>0.6428097908</v>
      </c>
      <c r="BY11" s="143">
        <f t="shared" ref="BY11:BY49" si="31">L11*$BY$1</f>
        <v>4505.2781</v>
      </c>
      <c r="BZ11" s="144">
        <f t="shared" ref="BZ11:BZ49" si="32">M11*$BZ$1</f>
        <v>262.006</v>
      </c>
      <c r="CA11" s="145">
        <f t="shared" ref="CA11:CA47" si="33">BY11+BZ11</f>
        <v>4767.2841</v>
      </c>
      <c r="CB11" s="146">
        <f t="shared" ref="CB11:CB47" si="34">IF(Y11="","",ROUND(Y11*9%,0))</f>
        <v>7368</v>
      </c>
      <c r="CC11" s="142">
        <f t="shared" ref="CC11:CC49" si="35">iferror(CA11/BW11,"")</f>
        <v>0.09566732511</v>
      </c>
      <c r="CD11" s="137">
        <f t="array" ref="CD11">index('jiliarena_日报_底稿'!$P$3:$DS$34,match(A11,'jiliarena_日报_底稿'!$P$3:$P$34,0),match("综合性分红",'jiliarena_日报_底稿'!$P$3:$DS$3,0))</f>
        <v>0</v>
      </c>
      <c r="CE11" s="147"/>
      <c r="CF11" s="137">
        <f t="array" ref="CF11">INDEX('jiliarena_日报_底稿'!$P$2:$DS$34,MATCH($A11,'jiliarena_日报_底稿'!$P$2:$P$34,0),MATCH(CF$3,'jiliarena_日报_底稿'!$P$3:$DS$3,0))</f>
        <v>0</v>
      </c>
      <c r="CG11" s="137">
        <f t="array" ref="CG11">-INDEX('jiliarena_日报_底稿'!$P$2:$DS$34,MATCH($A11,'jiliarena_日报_底稿'!$P$2:$P$34,0),MATCH(CG$3,'jiliarena_日报_底稿'!$P$3:$DS$3,0))</f>
        <v>0</v>
      </c>
      <c r="CH11" s="137">
        <f t="array" ref="CH11">INDEX('jiliarena_日报_底稿'!$P$2:$DS$34,MATCH($A11,'jiliarena_日报_底稿'!$P$2:$P$34,0),MATCH(CH$3,'jiliarena_日报_底稿'!$P$3:$DS$3,0))</f>
        <v>119399.7993</v>
      </c>
      <c r="CI11" s="141">
        <f t="shared" ref="CI11:CI49" si="37">IF(CA11="","",BW11-CA11-CD11-CB11)</f>
        <v>37696.6109</v>
      </c>
      <c r="CJ11" s="148">
        <f t="shared" ref="CJ11:CJ49" si="38">IFERROR(month(A11),"")</f>
        <v>3</v>
      </c>
      <c r="CK11" s="148">
        <f t="shared" ref="CK11:CK49" si="39">IFERROR(DAY(A11),"")</f>
        <v>1</v>
      </c>
    </row>
    <row r="12">
      <c r="A12" s="149" t="s">
        <v>269</v>
      </c>
      <c r="B12" s="150">
        <f t="shared" ref="B12:M12" si="1">SUM(B5:B11)</f>
        <v>4833</v>
      </c>
      <c r="C12" s="150">
        <f t="shared" si="1"/>
        <v>1690</v>
      </c>
      <c r="D12" s="150">
        <f t="shared" si="1"/>
        <v>24785</v>
      </c>
      <c r="E12" s="150">
        <f t="shared" si="1"/>
        <v>445</v>
      </c>
      <c r="F12" s="150">
        <f t="shared" si="1"/>
        <v>3630</v>
      </c>
      <c r="G12" s="150">
        <f t="shared" si="1"/>
        <v>5017</v>
      </c>
      <c r="H12" s="150">
        <f t="shared" si="1"/>
        <v>773</v>
      </c>
      <c r="I12" s="150">
        <f t="shared" si="1"/>
        <v>1410</v>
      </c>
      <c r="J12" s="150">
        <f t="shared" si="1"/>
        <v>17608</v>
      </c>
      <c r="K12" s="151">
        <f t="shared" si="1"/>
        <v>231685</v>
      </c>
      <c r="L12" s="151">
        <f t="shared" si="1"/>
        <v>770786</v>
      </c>
      <c r="M12" s="151">
        <f t="shared" si="1"/>
        <v>584868</v>
      </c>
      <c r="N12" s="152">
        <f t="shared" si="2"/>
        <v>0.3497</v>
      </c>
      <c r="O12" s="153">
        <f t="shared" si="3"/>
        <v>137</v>
      </c>
      <c r="P12" s="152">
        <f t="shared" si="4"/>
        <v>0.300583</v>
      </c>
      <c r="Q12" s="153">
        <f t="shared" si="5"/>
        <v>1.4</v>
      </c>
      <c r="R12" s="153">
        <f t="shared" si="6"/>
        <v>212</v>
      </c>
      <c r="S12" s="153">
        <f t="shared" si="7"/>
        <v>154</v>
      </c>
      <c r="T12" s="153">
        <f t="shared" si="8"/>
        <v>1.1</v>
      </c>
      <c r="U12" s="154">
        <f t="shared" si="9"/>
        <v>757</v>
      </c>
      <c r="V12" s="155">
        <f t="shared" si="10"/>
        <v>185918</v>
      </c>
      <c r="W12" s="156">
        <f t="shared" ref="W12:Z12" si="11">SUM(W5:W11)</f>
        <v>7152126.06</v>
      </c>
      <c r="X12" s="156">
        <f t="shared" si="11"/>
        <v>6705516.275</v>
      </c>
      <c r="Y12" s="156">
        <f t="shared" si="11"/>
        <v>237737.785</v>
      </c>
      <c r="Z12" s="156">
        <f t="shared" si="11"/>
        <v>6914388.285</v>
      </c>
      <c r="AA12" s="157">
        <f t="shared" si="12"/>
        <v>0.03324</v>
      </c>
      <c r="AB12" s="156">
        <f t="shared" ref="AB12:AC12" si="13">SUM(AB5:AB11)</f>
        <v>512</v>
      </c>
      <c r="AC12" s="156">
        <f t="shared" si="13"/>
        <v>386.15</v>
      </c>
      <c r="AD12" s="157">
        <f t="shared" si="14"/>
        <v>0.245801</v>
      </c>
      <c r="AE12" s="156">
        <f t="shared" ref="AE12:AF12" si="15">SUM(AE5:AE11)</f>
        <v>6916771.17</v>
      </c>
      <c r="AF12" s="156">
        <f t="shared" si="15"/>
        <v>6685907.275</v>
      </c>
      <c r="AG12" s="157">
        <f t="shared" si="16"/>
        <v>0.033377</v>
      </c>
      <c r="AH12" s="156">
        <f t="shared" ref="AH12:AI12" si="17">SUM(AH5:AH11)</f>
        <v>70550.51</v>
      </c>
      <c r="AI12" s="156">
        <f t="shared" si="17"/>
        <v>65143.54</v>
      </c>
      <c r="AJ12" s="158">
        <f t="shared" si="18"/>
        <v>0.07664</v>
      </c>
      <c r="AK12" s="156">
        <f t="shared" ref="AK12:AL12" si="19">SUM(AK5:AK11)</f>
        <v>160657.28</v>
      </c>
      <c r="AL12" s="156">
        <f t="shared" si="19"/>
        <v>159473.83</v>
      </c>
      <c r="AM12" s="157">
        <f t="shared" si="20"/>
        <v>0.007366</v>
      </c>
      <c r="AN12" s="156">
        <f t="shared" ref="AN12:AO12" si="21">SUM(AN5:AN11)</f>
        <v>3613.1</v>
      </c>
      <c r="AO12" s="156">
        <f t="shared" si="21"/>
        <v>2397.49</v>
      </c>
      <c r="AP12" s="157">
        <f t="shared" si="22"/>
        <v>0.336445</v>
      </c>
      <c r="AQ12" s="156">
        <f t="shared" ref="AQ12:AR12" si="23">SUM(AQ5:AQ11)</f>
        <v>22</v>
      </c>
      <c r="AR12" s="156">
        <f t="shared" si="23"/>
        <v>1080</v>
      </c>
      <c r="AS12" s="157">
        <f t="shared" si="24"/>
        <v>-48.090909</v>
      </c>
      <c r="AT12" s="159">
        <f t="shared" ref="AT12:BS12" si="25">SUM(AT5:AT11)</f>
        <v>22560.01</v>
      </c>
      <c r="AU12" s="159">
        <f t="shared" si="25"/>
        <v>0</v>
      </c>
      <c r="AV12" s="159">
        <f t="shared" si="25"/>
        <v>19651.39</v>
      </c>
      <c r="AW12" s="159">
        <f t="shared" si="25"/>
        <v>29892</v>
      </c>
      <c r="AX12" s="159">
        <f t="shared" si="25"/>
        <v>3299</v>
      </c>
      <c r="AY12" s="159">
        <f t="shared" si="25"/>
        <v>0</v>
      </c>
      <c r="AZ12" s="159">
        <f t="shared" si="25"/>
        <v>0</v>
      </c>
      <c r="BA12" s="159">
        <f t="shared" si="25"/>
        <v>0</v>
      </c>
      <c r="BB12" s="159">
        <f t="shared" si="25"/>
        <v>1956.86</v>
      </c>
      <c r="BC12" s="159">
        <f t="shared" si="25"/>
        <v>2571</v>
      </c>
      <c r="BD12" s="159">
        <f t="shared" si="25"/>
        <v>0</v>
      </c>
      <c r="BE12" s="159">
        <f t="shared" si="25"/>
        <v>0</v>
      </c>
      <c r="BF12" s="159">
        <f t="shared" si="25"/>
        <v>1623</v>
      </c>
      <c r="BG12" s="159">
        <f t="shared" si="25"/>
        <v>0</v>
      </c>
      <c r="BH12" s="159">
        <f t="shared" si="25"/>
        <v>0</v>
      </c>
      <c r="BI12" s="159">
        <f t="shared" si="25"/>
        <v>0</v>
      </c>
      <c r="BJ12" s="159">
        <f t="shared" si="25"/>
        <v>45318</v>
      </c>
      <c r="BK12" s="159">
        <f t="shared" si="25"/>
        <v>0</v>
      </c>
      <c r="BL12" s="159">
        <f t="shared" si="25"/>
        <v>0</v>
      </c>
      <c r="BM12" s="159">
        <f t="shared" si="25"/>
        <v>0</v>
      </c>
      <c r="BN12" s="159">
        <f t="shared" si="25"/>
        <v>0</v>
      </c>
      <c r="BO12" s="159">
        <f t="shared" si="25"/>
        <v>0</v>
      </c>
      <c r="BP12" s="159">
        <f t="shared" si="25"/>
        <v>0</v>
      </c>
      <c r="BQ12" s="159">
        <f t="shared" si="25"/>
        <v>126871.26</v>
      </c>
      <c r="BR12" s="159">
        <f t="shared" si="25"/>
        <v>22560.01</v>
      </c>
      <c r="BS12" s="159">
        <f t="shared" si="25"/>
        <v>1956.86</v>
      </c>
      <c r="BT12" s="152">
        <f t="shared" si="26"/>
        <v>0.01892</v>
      </c>
      <c r="BU12" s="152">
        <f t="shared" si="27"/>
        <v>0.16459985</v>
      </c>
      <c r="BV12" s="152">
        <f t="shared" si="28"/>
        <v>0.5336604781</v>
      </c>
      <c r="BW12" s="154">
        <f t="shared" si="29"/>
        <v>110866.525</v>
      </c>
      <c r="BX12" s="152">
        <f t="shared" si="30"/>
        <v>1.144360392</v>
      </c>
      <c r="BY12" s="154">
        <f t="shared" si="31"/>
        <v>18575.9426</v>
      </c>
      <c r="BZ12" s="154">
        <f t="shared" si="32"/>
        <v>1169.736</v>
      </c>
      <c r="CA12" s="154">
        <f t="shared" si="33"/>
        <v>19745.6786</v>
      </c>
      <c r="CB12" s="154">
        <f t="shared" si="34"/>
        <v>21396</v>
      </c>
      <c r="CC12" s="160">
        <f t="shared" si="35"/>
        <v>0.1781031614</v>
      </c>
      <c r="CD12" s="159">
        <f t="shared" ref="CD12:CH12" si="36">SUM(CD5:CD11)</f>
        <v>0</v>
      </c>
      <c r="CE12" s="159">
        <f t="shared" si="36"/>
        <v>0</v>
      </c>
      <c r="CF12" s="159">
        <f t="shared" si="36"/>
        <v>0</v>
      </c>
      <c r="CG12" s="159">
        <f t="shared" si="36"/>
        <v>0</v>
      </c>
      <c r="CH12" s="159">
        <f t="shared" si="36"/>
        <v>701739.8993</v>
      </c>
      <c r="CI12" s="154">
        <f t="shared" si="37"/>
        <v>69724.8464</v>
      </c>
      <c r="CJ12" s="65" t="str">
        <f t="shared" si="38"/>
        <v/>
      </c>
      <c r="CK12" s="65" t="str">
        <f t="shared" si="39"/>
        <v/>
      </c>
    </row>
    <row r="13">
      <c r="A13" s="129">
        <f>A11+1</f>
        <v>46083</v>
      </c>
      <c r="B13" s="130">
        <f t="array" ref="B13">INDEX('jiliarena_日报_底稿'!$A$3:$N$34,MATCH($A13,'jiliarena_日报_底稿'!$A$3:$A$34,0),MATCH(B$3,'jiliarena_日报_底稿'!$A$3:$N$3,0))</f>
        <v>197</v>
      </c>
      <c r="C13" s="130">
        <f t="array" ref="C13">INDEX('jiliarena_日报_底稿'!$A$3:$N$34,MATCH($A13,'jiliarena_日报_底稿'!$A$3:$A$34,0),MATCH(C$3,'jiliarena_日报_底稿'!$A$3:$N$3,0))</f>
        <v>140</v>
      </c>
      <c r="D13" s="130">
        <f t="array" ref="D13">INDEX('jiliarena_日报_底稿'!$A$3:$N$34,MATCH($A13,'jiliarena_日报_底稿'!$A$3:$A$34,0),MATCH(D$3,'jiliarena_日报_底稿'!$A$3:$N$3,0))</f>
        <v>3109</v>
      </c>
      <c r="E13" s="131">
        <v>23.0</v>
      </c>
      <c r="F13" s="130">
        <f t="array" ref="F13">INDEX('jiliarena_日报_底稿'!$A$3:$N$34,MATCH($A13,'jiliarena_日报_底稿'!$A$3:$A$34,0),MATCH(F$3,'jiliarena_日报_底稿'!$A$3:$N$3,0))</f>
        <v>423</v>
      </c>
      <c r="G13" s="130">
        <f>SUMIFS('渠道充值成功率_底稿'!$F:$F,'渠道充值成功率_底稿'!$A:$A,A13)</f>
        <v>599</v>
      </c>
      <c r="H13" s="130">
        <f t="array" ref="H13">INDEX('jiliarena_日报_底稿'!$A$3:$N$34,MATCH($A13,'jiliarena_日报_底稿'!$A$3:$A$34,0),MATCH(H$3,'jiliarena_日报_底稿'!$A$3:$N$3,0))</f>
        <v>96</v>
      </c>
      <c r="I13" s="131">
        <v>121.0</v>
      </c>
      <c r="J13" s="130">
        <f t="array" ref="J13">INDEX('jiliarena_日报_底稿'!$A$3:$N$34,MATCH($A13,'jiliarena_日报_底稿'!$A$3:$A$34,0),MATCH(J$3,'jiliarena_日报_底稿'!$A$3:$N$3,0))</f>
        <v>2227</v>
      </c>
      <c r="K13" s="132">
        <f>SUMIFS('渠道充值成功率_底稿'!$J:$J,'渠道充值成功率_底稿'!$A:$A,$A13)</f>
        <v>19695</v>
      </c>
      <c r="L13" s="132">
        <f t="array" ref="L13">INDEX('jiliarena_日报_底稿'!$A$3:$N$34,MATCH($A13,'jiliarena_日报_底稿'!$A$3:$A$34,0),MATCH(L$3,'jiliarena_日报_底稿'!$A$3:$N$3,0))</f>
        <v>90451</v>
      </c>
      <c r="M13" s="132">
        <f t="array" ref="M13">INDEX('jiliarena_日报_底稿'!$P$2:$DS$34,MATCH($A13,'jiliarena_日报_底稿'!$P$2:$P$34,0),MATCH($M$3,'jiliarena_日报_底稿'!$P$3:$DS$3,0))</f>
        <v>66903</v>
      </c>
      <c r="N13" s="133">
        <f t="shared" si="2"/>
        <v>0.7107</v>
      </c>
      <c r="O13" s="134">
        <f t="shared" si="3"/>
        <v>141</v>
      </c>
      <c r="P13" s="133">
        <f t="shared" si="4"/>
        <v>0.217742</v>
      </c>
      <c r="Q13" s="134">
        <f t="shared" si="5"/>
        <v>1.4</v>
      </c>
      <c r="R13" s="135">
        <f t="shared" si="6"/>
        <v>214</v>
      </c>
      <c r="S13" s="134">
        <f t="shared" si="7"/>
        <v>151</v>
      </c>
      <c r="T13" s="134">
        <f t="shared" si="8"/>
        <v>1.1</v>
      </c>
      <c r="U13" s="135">
        <f t="shared" si="9"/>
        <v>697</v>
      </c>
      <c r="V13" s="136">
        <f t="shared" si="10"/>
        <v>23548</v>
      </c>
      <c r="W13" s="137">
        <f t="shared" ref="W13:W19" si="40">AB13+AE13+AH13+AK13+AN13+AQ13</f>
        <v>889864.08</v>
      </c>
      <c r="X13" s="137">
        <f t="array" ref="X13">index('jiliarena_日报_底稿'!$P$2:$DS$34,match($A13,'jiliarena_日报_底稿'!$P$2:$P$34,0),match("电子有效投注",'jiliarena_日报_底稿'!$P$3:$DS$3,0))+index('jiliarena_日报_底稿'!$P$2:$DS$34,match($A13,'jiliarena_日报_底稿'!$P$2:$P$34,0),match("真人有效投注",'jiliarena_日报_底稿'!$P$3:$DS$3,0))+index('jiliarena_日报_底稿'!$P$2:$DS$34,match($A13,'jiliarena_日报_底稿'!$P$2:$P$34,0),match("彩票有效投注",'jiliarena_日报_底稿'!$P$3:$DS$3,0))+index('jiliarena_日报_底稿'!$P$2:$DS$34,match($A13,'jiliarena_日报_底稿'!$P$2:$P$34,0),match("棋牌有效投注",'jiliarena_日报_底稿'!$P$3:$DS$3,0))+index('jiliarena_日报_底稿'!$P$2:$DS$34,match($A13,'jiliarena_日报_底稿'!$P$2:$P$34,0),match("捕鱼有效投注",'jiliarena_日报_底稿'!$P$3:$DS$3,0))+index('jiliarena_日报_底稿'!$P$2:$DS$34,match($A13,'jiliarena_日报_底稿'!$P$2:$P$34,0),match("体育有效投注",'jiliarena_日报_底稿'!$P$3:$DS$3,0))+index('jiliarena_日报_底稿'!$P$2:$DS$34,match($A13,'jiliarena_日报_底稿'!$P$2:$P$34,0),match("盘口彩票有效投注",'jiliarena_日报_底稿'!$P$3:$DS$3,0))</f>
        <v>830058.915</v>
      </c>
      <c r="Y13" s="138">
        <f t="shared" ref="Y13:Y19" si="41">AB13+AE13+AH13+AK13+AN13+AQ13-AR13-AO13-AL13-AI13-AF13-AC13</f>
        <v>26535.125</v>
      </c>
      <c r="Z13" s="137">
        <f t="shared" ref="Z13:Z19" si="42">AC13+AF13+AI13+AL13+AO13+AR13</f>
        <v>863328.955</v>
      </c>
      <c r="AA13" s="133">
        <f t="shared" si="12"/>
        <v>0.029819</v>
      </c>
      <c r="AB13" s="139">
        <f t="array" ref="AB13">INDEX('jiliarena_日报_底稿'!$P$2:$DS$34,MATCH($A13,'jiliarena_日报_底稿'!$P$2:$P$34,0),MATCH(AB$3,'jiliarena_日报_底稿'!$P$3:$DS$3,0))</f>
        <v>0</v>
      </c>
      <c r="AC13" s="139">
        <f t="array" ref="AC13">INDEX('jiliarena_日报_底稿'!$P$2:$DS$34,MATCH($A13,'jiliarena_日报_底稿'!$P$2:$P$34,0),MATCH(AC$3,'jiliarena_日报_底稿'!$P$3:$DS$3,0))</f>
        <v>0</v>
      </c>
      <c r="AD13" s="133" t="str">
        <f t="shared" si="14"/>
        <v>#DIV/0!</v>
      </c>
      <c r="AE13" s="139">
        <f t="array" ref="AE13">INDEX('jiliarena_日报_底稿'!$P$2:$DS$34,MATCH($A13,'jiliarena_日报_底稿'!$P$2:$P$34,0),MATCH(AE$3,'jiliarena_日报_底稿'!$P$3:$DS$3,0))</f>
        <v>853219.28</v>
      </c>
      <c r="AF13" s="139">
        <f t="array" ref="AF13">INDEX('jiliarena_日报_底稿'!$P$2:$DS$34,MATCH($A13,'jiliarena_日报_底稿'!$P$2:$P$34,0),MATCH(AF$3,'jiliarena_日报_底稿'!$P$3:$DS$3,0))</f>
        <v>821850.075</v>
      </c>
      <c r="AG13" s="133">
        <f t="shared" si="16"/>
        <v>0.036766</v>
      </c>
      <c r="AH13" s="139">
        <f t="array" ref="AH13">INDEX('jiliarena_日报_底稿'!$P$2:$DS$34,MATCH($A13,'jiliarena_日报_底稿'!$P$2:$P$34,0),MATCH(AH$3,'jiliarena_日报_底稿'!$P$3:$DS$3,0))</f>
        <v>931.05</v>
      </c>
      <c r="AI13" s="139">
        <f t="array" ref="AI13">INDEX('jiliarena_日报_底稿'!$P$2:$DS$34,MATCH($A13,'jiliarena_日报_底稿'!$P$2:$P$34,0),MATCH(AI$3,'jiliarena_日报_底稿'!$P$3:$DS$3,0))</f>
        <v>717.6</v>
      </c>
      <c r="AJ13" s="133">
        <f t="shared" si="18"/>
        <v>0.229257</v>
      </c>
      <c r="AK13" s="139">
        <f t="array" ref="AK13">INDEX('jiliarena_日报_底稿'!$P$2:$DS$34,MATCH($A13,'jiliarena_日报_底稿'!$P$2:$P$34,0),MATCH(AK$3,'jiliarena_日报_底稿'!$P$3:$DS$3,0))</f>
        <v>35624.75</v>
      </c>
      <c r="AL13" s="139">
        <f t="array" ref="AL13">INDEX('jiliarena_日报_底稿'!$P$2:$DS$34,MATCH($A13,'jiliarena_日报_底稿'!$P$2:$P$34,0),MATCH(AL$3,'jiliarena_日报_底稿'!$P$3:$DS$3,0))</f>
        <v>40761.28</v>
      </c>
      <c r="AM13" s="133">
        <f t="shared" si="20"/>
        <v>-0.144184</v>
      </c>
      <c r="AN13" s="139">
        <f t="array" ref="AN13">INDEX('jiliarena_日报_底稿'!$P$2:$DS$34,MATCH($A13,'jiliarena_日报_底稿'!$P$2:$P$34,0),MATCH(AN$3,'jiliarena_日报_底稿'!$P$3:$DS$3,0))</f>
        <v>85</v>
      </c>
      <c r="AO13" s="139">
        <f t="array" ref="AO13">INDEX('jiliarena_日报_底稿'!$P$2:$DS$34,MATCH($A13,'jiliarena_日报_底稿'!$P$2:$P$34,0),MATCH(AO$3,'jiliarena_日报_底稿'!$P$3:$DS$3,0))</f>
        <v>0</v>
      </c>
      <c r="AP13" s="133">
        <f t="shared" si="22"/>
        <v>1</v>
      </c>
      <c r="AQ13" s="139">
        <f t="array" ref="AQ13">INDEX('jiliarena_日报_底稿'!$P$2:$DS$34,MATCH($A13,'jiliarena_日报_底稿'!$P$2:$P$34,0),MATCH(AQ$3,'jiliarena_日报_底稿'!$P$3:$DS$3,0))</f>
        <v>4</v>
      </c>
      <c r="AR13" s="139">
        <f t="array" ref="AR13">INDEX('jiliarena_日报_底稿'!$P$2:$DS$34,MATCH($A13,'jiliarena_日报_底稿'!$P$2:$P$34,0),MATCH(AR$3,'jiliarena_日报_底稿'!$P$3:$DS$3,0))</f>
        <v>0</v>
      </c>
      <c r="AS13" s="133">
        <f t="shared" si="24"/>
        <v>1</v>
      </c>
      <c r="AT13" s="140">
        <f>SUMIFS('jiliarena_活动分析数据_底稿'!$K:$K,'jiliarena_活动分析数据_底稿'!$B:$B,$A13,'jiliarena_活动分析数据_底稿'!$L:$L,AT$3)</f>
        <v>4082.18</v>
      </c>
      <c r="AU13" s="140">
        <f>SUMIFS('jiliarena_活动分析数据_底稿'!$K:$K,'jiliarena_活动分析数据_底稿'!$B:$B,$A13,'jiliarena_活动分析数据_底稿'!$L:$L,AU$3)</f>
        <v>0</v>
      </c>
      <c r="AV13" s="140">
        <f>SUMIFS('jiliarena_活动分析数据_底稿'!$K:$K,'jiliarena_活动分析数据_底稿'!$B:$B,$A13,'jiliarena_活动分析数据_底稿'!$L:$L,AV$3)</f>
        <v>523.26</v>
      </c>
      <c r="AW13" s="140">
        <f>SUMIFS('jiliarena_活动分析数据_底稿'!$K:$K,'jiliarena_活动分析数据_底稿'!$B:$B,$A13,'jiliarena_活动分析数据_底稿'!$L:$L,AW$3)</f>
        <v>4192</v>
      </c>
      <c r="AX13" s="140">
        <f>SUMIFS('jiliarena_活动分析数据_底稿'!$K:$K,'jiliarena_活动分析数据_底稿'!$B:$B,$A13,'jiliarena_活动分析数据_底稿'!$L:$L,AX$3)</f>
        <v>276</v>
      </c>
      <c r="AY13" s="140">
        <f>SUMIFS('jiliarena_活动分析数据_底稿'!$K:$K,'jiliarena_活动分析数据_底稿'!$B:$B,$A13,'jiliarena_活动分析数据_底稿'!$L:$L,AY$3)</f>
        <v>0</v>
      </c>
      <c r="AZ13" s="140">
        <f>SUMIFS('jiliarena_活动分析数据_底稿'!$K:$K,'jiliarena_活动分析数据_底稿'!$B:$B,$A13,'jiliarena_活动分析数据_底稿'!$L:$L,AZ$3)</f>
        <v>0</v>
      </c>
      <c r="BA13" s="140">
        <f>SUMIFS('jiliarena_活动分析数据_底稿'!$K:$K,'jiliarena_活动分析数据_底稿'!$B:$B,$A13,'jiliarena_活动分析数据_底稿'!$L:$L,BA$3)</f>
        <v>0</v>
      </c>
      <c r="BB13" s="140">
        <f>SUMIFS('jiliarena_活动分析数据_底稿'!$K:$K,'jiliarena_活动分析数据_底稿'!$B:$B,$A13,'jiliarena_活动分析数据_底稿'!$L:$L,BB$3)</f>
        <v>178.84</v>
      </c>
      <c r="BC13" s="140">
        <f>SUMIFS('jiliarena_活动分析数据_底稿'!$K:$K,'jiliarena_活动分析数据_底稿'!$B:$B,$A13,'jiliarena_活动分析数据_底稿'!$L:$L,BC$3)</f>
        <v>329</v>
      </c>
      <c r="BD13" s="140">
        <f>SUMIFS('jiliarena_活动分析数据_底稿'!$K:$K,'jiliarena_活动分析数据_底稿'!$B:$B,$A13,'jiliarena_活动分析数据_底稿'!$L:$L,BD$3)</f>
        <v>0</v>
      </c>
      <c r="BE13" s="140">
        <f>SUMIFS('jiliarena_活动分析数据_底稿'!$K:$K,'jiliarena_活动分析数据_底稿'!$B:$B,$A13,'jiliarena_活动分析数据_底稿'!$L:$L,BE$3)</f>
        <v>0</v>
      </c>
      <c r="BF13" s="140">
        <f>SUMIFS('jiliarena_活动分析数据_底稿'!$K:$K,'jiliarena_活动分析数据_底稿'!$B:$B,$A13,'jiliarena_活动分析数据_底稿'!$L:$L,BF$3)</f>
        <v>0</v>
      </c>
      <c r="BG13" s="140">
        <f>SUMIFS('jiliarena_活动分析数据_底稿'!$K:$K,'jiliarena_活动分析数据_底稿'!$B:$B,$A13,'jiliarena_活动分析数据_底稿'!$L:$L,BG$3)</f>
        <v>0</v>
      </c>
      <c r="BH13" s="140">
        <f>SUMIFS('jiliarena_活动分析数据_底稿'!$K:$K,'jiliarena_活动分析数据_底稿'!$B:$B,$A13,'jiliarena_活动分析数据_底稿'!$L:$L,BH$3)</f>
        <v>0</v>
      </c>
      <c r="BI13" s="140">
        <f>SUMIFS('jiliarena_活动分析数据_底稿'!$K:$K,'jiliarena_活动分析数据_底稿'!$B:$B,$A13,'jiliarena_活动分析数据_底稿'!$L:$L,BI$3)</f>
        <v>0</v>
      </c>
      <c r="BJ13" s="140">
        <f>SUMIFS('jiliarena_活动分析数据_底稿'!$K:$K,'jiliarena_活动分析数据_底稿'!$B:$B,$A13,'jiliarena_活动分析数据_底稿'!$L:$L,BJ$3)</f>
        <v>4305</v>
      </c>
      <c r="BK13" s="140">
        <f>SUMIFS('jiliarena_活动分析数据_底稿'!$K:$K,'jiliarena_活动分析数据_底稿'!$B:$B,$A13,'jiliarena_活动分析数据_底稿'!$L:$L,BK$3)</f>
        <v>0</v>
      </c>
      <c r="BL13" s="140">
        <f>SUMIFS('jiliarena_活动分析数据_底稿'!$K:$K,'jiliarena_活动分析数据_底稿'!$B:$B,$A13,'jiliarena_活动分析数据_底稿'!$L:$L,BL$3)</f>
        <v>0</v>
      </c>
      <c r="BM13" s="140">
        <f>SUMIFS('jiliarena_活动分析数据_底稿'!$K:$K,'jiliarena_活动分析数据_底稿'!$B:$B,$A13,'jiliarena_活动分析数据_底稿'!$L:$L,BM$3)</f>
        <v>0</v>
      </c>
      <c r="BN13" s="140">
        <f>SUMIFS('jiliarena_活动分析数据_底稿'!$K:$K,'jiliarena_活动分析数据_底稿'!$B:$B,$A13,'jiliarena_活动分析数据_底稿'!$L:$L,BN$3)</f>
        <v>0</v>
      </c>
      <c r="BO13" s="140">
        <f>SUMIFS('jiliarena_活动分析数据_底稿'!$K:$K,'jiliarena_活动分析数据_底稿'!$B:$B,$A13,'jiliarena_活动分析数据_底稿'!$L:$L,BO$3)</f>
        <v>0</v>
      </c>
      <c r="BP13" s="140">
        <f>SUMIFS('jiliarena_活动分析数据_底稿'!$K:$K,'jiliarena_活动分析数据_底稿'!$B:$B,$A13,'jiliarena_活动分析数据_底稿'!$L:$L,BP$3)</f>
        <v>0</v>
      </c>
      <c r="BQ13" s="137">
        <f t="shared" ref="BQ13:BQ19" si="43">SUM(AT13:BP13)</f>
        <v>13886.28</v>
      </c>
      <c r="BR13" s="137">
        <f t="shared" ref="BR13:BR19" si="44">AT13</f>
        <v>4082.18</v>
      </c>
      <c r="BS13" s="137">
        <f t="shared" ref="BS13:BS19" si="45">BB13</f>
        <v>178.84</v>
      </c>
      <c r="BT13" s="133">
        <f t="shared" si="26"/>
        <v>0.016729</v>
      </c>
      <c r="BU13" s="133">
        <f t="shared" si="27"/>
        <v>0.1535226808</v>
      </c>
      <c r="BV13" s="133">
        <f t="shared" si="28"/>
        <v>0.5233169243</v>
      </c>
      <c r="BW13" s="141">
        <f t="shared" si="29"/>
        <v>12648.845</v>
      </c>
      <c r="BX13" s="142">
        <f t="shared" si="30"/>
        <v>1.097829881</v>
      </c>
      <c r="BY13" s="143">
        <f t="shared" si="31"/>
        <v>2179.8691</v>
      </c>
      <c r="BZ13" s="144">
        <f t="shared" si="32"/>
        <v>133.806</v>
      </c>
      <c r="CA13" s="145">
        <f t="shared" si="33"/>
        <v>2313.6751</v>
      </c>
      <c r="CB13" s="146">
        <f t="shared" si="34"/>
        <v>2388</v>
      </c>
      <c r="CC13" s="142">
        <f t="shared" si="35"/>
        <v>0.1829159184</v>
      </c>
      <c r="CD13" s="137">
        <f t="array" ref="CD13">index('jiliarena_日报_底稿'!$P$3:$DS$34,match(A13,'jiliarena_日报_底稿'!$P$3:$P$34,0),match("综合性分红",'jiliarena_日报_底稿'!$P$3:$DS$3,0))</f>
        <v>0</v>
      </c>
      <c r="CE13" s="147"/>
      <c r="CF13" s="137">
        <f t="array" ref="CF13">INDEX('jiliarena_日报_底稿'!$P$2:$DS$34,MATCH($A13,'jiliarena_日报_底稿'!$P$2:$P$34,0),MATCH(CF$3,'jiliarena_日报_底稿'!$P$3:$DS$3,0))</f>
        <v>0</v>
      </c>
      <c r="CG13" s="137">
        <f t="array" ref="CG13">-INDEX('jiliarena_日报_底稿'!$P$2:$DS$34,MATCH($A13,'jiliarena_日报_底稿'!$P$2:$P$34,0),MATCH(CG$3,'jiliarena_日报_底稿'!$P$3:$DS$3,0))</f>
        <v>0</v>
      </c>
      <c r="CH13" s="137">
        <f t="array" ref="CH13">INDEX('jiliarena_日报_底稿'!$P$2:$DS$34,MATCH($A13,'jiliarena_日报_底稿'!$P$2:$P$34,0),MATCH(CH$3,'jiliarena_日报_底稿'!$P$3:$DS$3,0))</f>
        <v>120153.8428</v>
      </c>
      <c r="CI13" s="141">
        <f t="shared" si="37"/>
        <v>7947.1699</v>
      </c>
      <c r="CJ13" s="148">
        <f t="shared" si="38"/>
        <v>3</v>
      </c>
      <c r="CK13" s="148">
        <f t="shared" si="39"/>
        <v>2</v>
      </c>
    </row>
    <row r="14">
      <c r="A14" s="161">
        <f t="shared" ref="A14:A19" si="46">A13+1</f>
        <v>46084</v>
      </c>
      <c r="B14" s="130">
        <f t="array" ref="B14">INDEX('jiliarena_日报_底稿'!$A$3:$N$34,MATCH($A14,'jiliarena_日报_底稿'!$A$3:$A$34,0),MATCH(B$3,'jiliarena_日报_底稿'!$A$3:$N$3,0))</f>
        <v>164</v>
      </c>
      <c r="C14" s="130">
        <f t="array" ref="C14">INDEX('jiliarena_日报_底稿'!$A$3:$N$34,MATCH($A14,'jiliarena_日报_底稿'!$A$3:$A$34,0),MATCH(C$3,'jiliarena_日报_底稿'!$A$3:$N$3,0))</f>
        <v>106</v>
      </c>
      <c r="D14" s="130">
        <f t="array" ref="D14">INDEX('jiliarena_日报_底稿'!$A$3:$N$34,MATCH($A14,'jiliarena_日报_底稿'!$A$3:$A$34,0),MATCH(D$3,'jiliarena_日报_底稿'!$A$3:$N$3,0))</f>
        <v>3134</v>
      </c>
      <c r="E14" s="131">
        <v>15.0</v>
      </c>
      <c r="F14" s="130">
        <f t="array" ref="F14">INDEX('jiliarena_日报_底稿'!$A$3:$N$34,MATCH($A14,'jiliarena_日报_底稿'!$A$3:$A$34,0),MATCH(F$3,'jiliarena_日报_底稿'!$A$3:$N$3,0))</f>
        <v>363</v>
      </c>
      <c r="G14" s="130">
        <f>SUMIFS('渠道充值成功率_底稿'!$F:$F,'渠道充值成功率_底稿'!$A:$A,A14)</f>
        <v>528</v>
      </c>
      <c r="H14" s="130">
        <f t="array" ref="H14">INDEX('jiliarena_日报_底稿'!$A$3:$N$34,MATCH($A14,'jiliarena_日报_底稿'!$A$3:$A$34,0),MATCH(H$3,'jiliarena_日报_底稿'!$A$3:$N$3,0))</f>
        <v>69</v>
      </c>
      <c r="I14" s="131">
        <v>87.0</v>
      </c>
      <c r="J14" s="130">
        <f t="array" ref="J14">INDEX('jiliarena_日报_底稿'!$A$3:$N$34,MATCH($A14,'jiliarena_日报_底稿'!$A$3:$A$34,0),MATCH(J$3,'jiliarena_日报_底稿'!$A$3:$N$3,0))</f>
        <v>2295</v>
      </c>
      <c r="K14" s="132">
        <f>SUMIFS('渠道充值成功率_底稿'!$J:$J,'渠道充值成功率_底稿'!$A:$A,$A14)</f>
        <v>15685</v>
      </c>
      <c r="L14" s="132">
        <f t="array" ref="L14">INDEX('jiliarena_日报_底稿'!$A$3:$N$34,MATCH($A14,'jiliarena_日报_底稿'!$A$3:$A$34,0),MATCH(L$3,'jiliarena_日报_底稿'!$A$3:$N$3,0))</f>
        <v>87308</v>
      </c>
      <c r="M14" s="132">
        <f t="array" ref="M14">INDEX('jiliarena_日报_底稿'!$P$2:$DS$34,MATCH($A14,'jiliarena_日报_底稿'!$P$2:$P$34,0),MATCH($M$3,'jiliarena_日报_底稿'!$P$3:$DS$3,0))</f>
        <v>50169</v>
      </c>
      <c r="N14" s="133">
        <f t="shared" si="2"/>
        <v>0.6463</v>
      </c>
      <c r="O14" s="134">
        <f t="shared" si="3"/>
        <v>148</v>
      </c>
      <c r="P14" s="133">
        <f t="shared" si="4"/>
        <v>0.179651</v>
      </c>
      <c r="Q14" s="134">
        <f t="shared" si="5"/>
        <v>1.5</v>
      </c>
      <c r="R14" s="135">
        <f t="shared" si="6"/>
        <v>241</v>
      </c>
      <c r="S14" s="134">
        <f t="shared" si="7"/>
        <v>165</v>
      </c>
      <c r="T14" s="134">
        <f t="shared" si="8"/>
        <v>1.1</v>
      </c>
      <c r="U14" s="135">
        <f t="shared" si="9"/>
        <v>727</v>
      </c>
      <c r="V14" s="136">
        <f t="shared" si="10"/>
        <v>37139</v>
      </c>
      <c r="W14" s="137">
        <f t="shared" si="40"/>
        <v>676425.27</v>
      </c>
      <c r="X14" s="137">
        <f t="array" ref="X14">index('jiliarena_日报_底稿'!$P$2:$DS$34,match($A14,'jiliarena_日报_底稿'!$P$2:$P$34,0),match("电子有效投注",'jiliarena_日报_底稿'!$P$3:$DS$3,0))+index('jiliarena_日报_底稿'!$P$2:$DS$34,match($A14,'jiliarena_日报_底稿'!$P$2:$P$34,0),match("真人有效投注",'jiliarena_日报_底稿'!$P$3:$DS$3,0))+index('jiliarena_日报_底稿'!$P$2:$DS$34,match($A14,'jiliarena_日报_底稿'!$P$2:$P$34,0),match("彩票有效投注",'jiliarena_日报_底稿'!$P$3:$DS$3,0))+index('jiliarena_日报_底稿'!$P$2:$DS$34,match($A14,'jiliarena_日报_底稿'!$P$2:$P$34,0),match("棋牌有效投注",'jiliarena_日报_底稿'!$P$3:$DS$3,0))+index('jiliarena_日报_底稿'!$P$2:$DS$34,match($A14,'jiliarena_日报_底稿'!$P$2:$P$34,0),match("捕鱼有效投注",'jiliarena_日报_底稿'!$P$3:$DS$3,0))+index('jiliarena_日报_底稿'!$P$2:$DS$34,match($A14,'jiliarena_日报_底稿'!$P$2:$P$34,0),match("体育有效投注",'jiliarena_日报_底稿'!$P$3:$DS$3,0))+index('jiliarena_日报_底稿'!$P$2:$DS$34,match($A14,'jiliarena_日报_底稿'!$P$2:$P$34,0),match("盘口彩票有效投注",'jiliarena_日报_底稿'!$P$3:$DS$3,0))</f>
        <v>634117.71</v>
      </c>
      <c r="Y14" s="138">
        <f t="shared" si="41"/>
        <v>47971.765</v>
      </c>
      <c r="Z14" s="137">
        <f t="shared" si="42"/>
        <v>628453.505</v>
      </c>
      <c r="AA14" s="133">
        <f t="shared" si="12"/>
        <v>0.07092</v>
      </c>
      <c r="AB14" s="139">
        <f t="array" ref="AB14">INDEX('jiliarena_日报_底稿'!$P$2:$DS$34,MATCH($A14,'jiliarena_日报_底稿'!$P$2:$P$34,0),MATCH(AB$3,'jiliarena_日报_底稿'!$P$3:$DS$3,0))</f>
        <v>24</v>
      </c>
      <c r="AC14" s="139">
        <f t="array" ref="AC14">INDEX('jiliarena_日报_底稿'!$P$2:$DS$34,MATCH($A14,'jiliarena_日报_底稿'!$P$2:$P$34,0),MATCH(AC$3,'jiliarena_日报_底稿'!$P$3:$DS$3,0))</f>
        <v>4</v>
      </c>
      <c r="AD14" s="133">
        <f t="shared" si="14"/>
        <v>0.833333</v>
      </c>
      <c r="AE14" s="139">
        <f t="array" ref="AE14">INDEX('jiliarena_日报_底稿'!$P$2:$DS$34,MATCH($A14,'jiliarena_日报_底稿'!$P$2:$P$34,0),MATCH(AE$3,'jiliarena_日报_底稿'!$P$3:$DS$3,0))</f>
        <v>669470.47</v>
      </c>
      <c r="AF14" s="139">
        <f t="array" ref="AF14">INDEX('jiliarena_日报_底稿'!$P$2:$DS$34,MATCH($A14,'jiliarena_日报_底稿'!$P$2:$P$34,0),MATCH(AF$3,'jiliarena_日报_底稿'!$P$3:$DS$3,0))</f>
        <v>622926.205</v>
      </c>
      <c r="AG14" s="133">
        <f t="shared" si="16"/>
        <v>0.069524</v>
      </c>
      <c r="AH14" s="139">
        <f t="array" ref="AH14">INDEX('jiliarena_日报_底稿'!$P$2:$DS$34,MATCH($A14,'jiliarena_日报_底稿'!$P$2:$P$34,0),MATCH(AH$3,'jiliarena_日报_底稿'!$P$3:$DS$3,0))</f>
        <v>2632.5</v>
      </c>
      <c r="AI14" s="139">
        <f t="array" ref="AI14">INDEX('jiliarena_日报_底稿'!$P$2:$DS$34,MATCH($A14,'jiliarena_日报_底稿'!$P$2:$P$34,0),MATCH(AI$3,'jiliarena_日报_底稿'!$P$3:$DS$3,0))</f>
        <v>1491.5</v>
      </c>
      <c r="AJ14" s="133">
        <f t="shared" si="18"/>
        <v>0.433428</v>
      </c>
      <c r="AK14" s="139">
        <f t="array" ref="AK14">INDEX('jiliarena_日报_底稿'!$P$2:$DS$34,MATCH($A14,'jiliarena_日报_底稿'!$P$2:$P$34,0),MATCH(AK$3,'jiliarena_日报_底稿'!$P$3:$DS$3,0))</f>
        <v>4092.3</v>
      </c>
      <c r="AL14" s="139">
        <f t="array" ref="AL14">INDEX('jiliarena_日报_底稿'!$P$2:$DS$34,MATCH($A14,'jiliarena_日报_底稿'!$P$2:$P$34,0),MATCH(AL$3,'jiliarena_日报_底稿'!$P$3:$DS$3,0))</f>
        <v>4003.8</v>
      </c>
      <c r="AM14" s="133">
        <f t="shared" si="20"/>
        <v>0.021626</v>
      </c>
      <c r="AN14" s="139">
        <f t="array" ref="AN14">INDEX('jiliarena_日报_底稿'!$P$2:$DS$34,MATCH($A14,'jiliarena_日报_底稿'!$P$2:$P$34,0),MATCH(AN$3,'jiliarena_日报_底稿'!$P$3:$DS$3,0))</f>
        <v>203</v>
      </c>
      <c r="AO14" s="139">
        <f t="array" ref="AO14">INDEX('jiliarena_日报_底稿'!$P$2:$DS$34,MATCH($A14,'jiliarena_日报_底稿'!$P$2:$P$34,0),MATCH(AO$3,'jiliarena_日报_底稿'!$P$3:$DS$3,0))</f>
        <v>28</v>
      </c>
      <c r="AP14" s="133">
        <f t="shared" si="22"/>
        <v>0.862069</v>
      </c>
      <c r="AQ14" s="139">
        <f t="array" ref="AQ14">INDEX('jiliarena_日报_底稿'!$P$2:$DS$34,MATCH($A14,'jiliarena_日报_底稿'!$P$2:$P$34,0),MATCH(AQ$3,'jiliarena_日报_底稿'!$P$3:$DS$3,0))</f>
        <v>3</v>
      </c>
      <c r="AR14" s="139">
        <f t="array" ref="AR14">INDEX('jiliarena_日报_底稿'!$P$2:$DS$34,MATCH($A14,'jiliarena_日报_底稿'!$P$2:$P$34,0),MATCH(AR$3,'jiliarena_日报_底稿'!$P$3:$DS$3,0))</f>
        <v>0</v>
      </c>
      <c r="AS14" s="133">
        <f t="shared" si="24"/>
        <v>1</v>
      </c>
      <c r="AT14" s="140">
        <f>SUMIFS('jiliarena_活动分析数据_底稿'!$K:$K,'jiliarena_活动分析数据_底稿'!$B:$B,$A14,'jiliarena_活动分析数据_底稿'!$L:$L,AT$3)</f>
        <v>2947.54</v>
      </c>
      <c r="AU14" s="140">
        <f>SUMIFS('jiliarena_活动分析数据_底稿'!$K:$K,'jiliarena_活动分析数据_底稿'!$B:$B,$A14,'jiliarena_活动分析数据_底稿'!$L:$L,AU$3)</f>
        <v>0</v>
      </c>
      <c r="AV14" s="140">
        <f>SUMIFS('jiliarena_活动分析数据_底稿'!$K:$K,'jiliarena_活动分析数据_底稿'!$B:$B,$A14,'jiliarena_活动分析数据_底稿'!$L:$L,AV$3)</f>
        <v>499.89</v>
      </c>
      <c r="AW14" s="140">
        <f>SUMIFS('jiliarena_活动分析数据_底稿'!$K:$K,'jiliarena_活动分析数据_底稿'!$B:$B,$A14,'jiliarena_活动分析数据_底稿'!$L:$L,AW$3)</f>
        <v>4078</v>
      </c>
      <c r="AX14" s="140">
        <f>SUMIFS('jiliarena_活动分析数据_底稿'!$K:$K,'jiliarena_活动分析数据_底稿'!$B:$B,$A14,'jiliarena_活动分析数据_底稿'!$L:$L,AX$3)</f>
        <v>426</v>
      </c>
      <c r="AY14" s="140">
        <f>SUMIFS('jiliarena_活动分析数据_底稿'!$K:$K,'jiliarena_活动分析数据_底稿'!$B:$B,$A14,'jiliarena_活动分析数据_底稿'!$L:$L,AY$3)</f>
        <v>0</v>
      </c>
      <c r="AZ14" s="140">
        <f>SUMIFS('jiliarena_活动分析数据_底稿'!$K:$K,'jiliarena_活动分析数据_底稿'!$B:$B,$A14,'jiliarena_活动分析数据_底稿'!$L:$L,AZ$3)</f>
        <v>0</v>
      </c>
      <c r="BA14" s="140">
        <f>SUMIFS('jiliarena_活动分析数据_底稿'!$K:$K,'jiliarena_活动分析数据_底稿'!$B:$B,$A14,'jiliarena_活动分析数据_底稿'!$L:$L,BA$3)</f>
        <v>0</v>
      </c>
      <c r="BB14" s="140">
        <f>SUMIFS('jiliarena_活动分析数据_底稿'!$K:$K,'jiliarena_活动分析数据_底稿'!$B:$B,$A14,'jiliarena_活动分析数据_底稿'!$L:$L,BB$3)</f>
        <v>251.89</v>
      </c>
      <c r="BC14" s="140">
        <f>SUMIFS('jiliarena_活动分析数据_底稿'!$K:$K,'jiliarena_活动分析数据_底稿'!$B:$B,$A14,'jiliarena_活动分析数据_底稿'!$L:$L,BC$3)</f>
        <v>263</v>
      </c>
      <c r="BD14" s="140">
        <f>SUMIFS('jiliarena_活动分析数据_底稿'!$K:$K,'jiliarena_活动分析数据_底稿'!$B:$B,$A14,'jiliarena_活动分析数据_底稿'!$L:$L,BD$3)</f>
        <v>0</v>
      </c>
      <c r="BE14" s="140">
        <f>SUMIFS('jiliarena_活动分析数据_底稿'!$K:$K,'jiliarena_活动分析数据_底稿'!$B:$B,$A14,'jiliarena_活动分析数据_底稿'!$L:$L,BE$3)</f>
        <v>0</v>
      </c>
      <c r="BF14" s="140">
        <f>SUMIFS('jiliarena_活动分析数据_底稿'!$K:$K,'jiliarena_活动分析数据_底稿'!$B:$B,$A14,'jiliarena_活动分析数据_底稿'!$L:$L,BF$3)</f>
        <v>0</v>
      </c>
      <c r="BG14" s="140">
        <f>SUMIFS('jiliarena_活动分析数据_底稿'!$K:$K,'jiliarena_活动分析数据_底稿'!$B:$B,$A14,'jiliarena_活动分析数据_底稿'!$L:$L,BG$3)</f>
        <v>0</v>
      </c>
      <c r="BH14" s="140">
        <f>SUMIFS('jiliarena_活动分析数据_底稿'!$K:$K,'jiliarena_活动分析数据_底稿'!$B:$B,$A14,'jiliarena_活动分析数据_底稿'!$L:$L,BH$3)</f>
        <v>0</v>
      </c>
      <c r="BI14" s="140">
        <f>SUMIFS('jiliarena_活动分析数据_底稿'!$K:$K,'jiliarena_活动分析数据_底稿'!$B:$B,$A14,'jiliarena_活动分析数据_底稿'!$L:$L,BI$3)</f>
        <v>0</v>
      </c>
      <c r="BJ14" s="140">
        <f>SUMIFS('jiliarena_活动分析数据_底稿'!$K:$K,'jiliarena_活动分析数据_底稿'!$B:$B,$A14,'jiliarena_活动分析数据_底稿'!$L:$L,BJ$3)</f>
        <v>3010</v>
      </c>
      <c r="BK14" s="140">
        <f>SUMIFS('jiliarena_活动分析数据_底稿'!$K:$K,'jiliarena_活动分析数据_底稿'!$B:$B,$A14,'jiliarena_活动分析数据_底稿'!$L:$L,BK$3)</f>
        <v>0</v>
      </c>
      <c r="BL14" s="140">
        <f>SUMIFS('jiliarena_活动分析数据_底稿'!$K:$K,'jiliarena_活动分析数据_底稿'!$B:$B,$A14,'jiliarena_活动分析数据_底稿'!$L:$L,BL$3)</f>
        <v>0</v>
      </c>
      <c r="BM14" s="140">
        <f>SUMIFS('jiliarena_活动分析数据_底稿'!$K:$K,'jiliarena_活动分析数据_底稿'!$B:$B,$A14,'jiliarena_活动分析数据_底稿'!$L:$L,BM$3)</f>
        <v>0</v>
      </c>
      <c r="BN14" s="140">
        <f>SUMIFS('jiliarena_活动分析数据_底稿'!$K:$K,'jiliarena_活动分析数据_底稿'!$B:$B,$A14,'jiliarena_活动分析数据_底稿'!$L:$L,BN$3)</f>
        <v>0</v>
      </c>
      <c r="BO14" s="140">
        <f>SUMIFS('jiliarena_活动分析数据_底稿'!$K:$K,'jiliarena_活动分析数据_底稿'!$B:$B,$A14,'jiliarena_活动分析数据_底稿'!$L:$L,BO$3)</f>
        <v>0</v>
      </c>
      <c r="BP14" s="140">
        <f>SUMIFS('jiliarena_活动分析数据_底稿'!$K:$K,'jiliarena_活动分析数据_底稿'!$B:$B,$A14,'jiliarena_活动分析数据_底稿'!$L:$L,BP$3)</f>
        <v>0</v>
      </c>
      <c r="BQ14" s="137">
        <f t="shared" si="43"/>
        <v>11476.32</v>
      </c>
      <c r="BR14" s="137">
        <f t="shared" si="44"/>
        <v>2947.54</v>
      </c>
      <c r="BS14" s="137">
        <f t="shared" si="45"/>
        <v>251.89</v>
      </c>
      <c r="BT14" s="133">
        <f t="shared" si="26"/>
        <v>0.018098</v>
      </c>
      <c r="BU14" s="133">
        <f t="shared" si="27"/>
        <v>0.1314463738</v>
      </c>
      <c r="BV14" s="133">
        <f t="shared" si="28"/>
        <v>0.2392307225</v>
      </c>
      <c r="BW14" s="141">
        <f t="shared" si="29"/>
        <v>36495.445</v>
      </c>
      <c r="BX14" s="142">
        <f t="shared" si="30"/>
        <v>0.3144589688</v>
      </c>
      <c r="BY14" s="143">
        <f t="shared" si="31"/>
        <v>2104.1228</v>
      </c>
      <c r="BZ14" s="144">
        <f t="shared" si="32"/>
        <v>100.338</v>
      </c>
      <c r="CA14" s="145">
        <f t="shared" si="33"/>
        <v>2204.4608</v>
      </c>
      <c r="CB14" s="146">
        <f t="shared" si="34"/>
        <v>4317</v>
      </c>
      <c r="CC14" s="142">
        <f t="shared" si="35"/>
        <v>0.06040372436</v>
      </c>
      <c r="CD14" s="137">
        <f t="array" ref="CD14">index('jiliarena_日报_底稿'!$P$3:$DS$34,match(A14,'jiliarena_日报_底稿'!$P$3:$P$34,0),match("综合性分红",'jiliarena_日报_底稿'!$P$3:$DS$3,0))</f>
        <v>0</v>
      </c>
      <c r="CE14" s="147"/>
      <c r="CF14" s="137">
        <f t="array" ref="CF14">INDEX('jiliarena_日报_底稿'!$P$2:$DS$34,MATCH($A14,'jiliarena_日报_底稿'!$P$2:$P$34,0),MATCH(CF$3,'jiliarena_日报_底稿'!$P$3:$DS$3,0))</f>
        <v>0</v>
      </c>
      <c r="CG14" s="137">
        <f t="array" ref="CG14">-INDEX('jiliarena_日报_底稿'!$P$2:$DS$34,MATCH($A14,'jiliarena_日报_底稿'!$P$2:$P$34,0),MATCH(CG$3,'jiliarena_日报_底稿'!$P$3:$DS$3,0))</f>
        <v>0</v>
      </c>
      <c r="CH14" s="137">
        <f t="array" ref="CH14">INDEX('jiliarena_日报_底稿'!$P$2:$DS$34,MATCH($A14,'jiliarena_日报_底稿'!$P$2:$P$34,0),MATCH(CH$3,'jiliarena_日报_底稿'!$P$3:$DS$3,0))</f>
        <v>120268.592</v>
      </c>
      <c r="CI14" s="141">
        <f t="shared" si="37"/>
        <v>29973.9842</v>
      </c>
      <c r="CJ14" s="148">
        <f t="shared" si="38"/>
        <v>3</v>
      </c>
      <c r="CK14" s="148">
        <f t="shared" si="39"/>
        <v>3</v>
      </c>
    </row>
    <row r="15">
      <c r="A15" s="161">
        <f t="shared" si="46"/>
        <v>46085</v>
      </c>
      <c r="B15" s="130">
        <f t="array" ref="B15">INDEX('jiliarena_日报_底稿'!$A$3:$N$34,MATCH($A15,'jiliarena_日报_底稿'!$A$3:$A$34,0),MATCH(B$3,'jiliarena_日报_底稿'!$A$3:$N$3,0))</f>
        <v>147</v>
      </c>
      <c r="C15" s="130">
        <f t="array" ref="C15">INDEX('jiliarena_日报_底稿'!$A$3:$N$34,MATCH($A15,'jiliarena_日报_底稿'!$A$3:$A$34,0),MATCH(C$3,'jiliarena_日报_底稿'!$A$3:$N$3,0))</f>
        <v>102</v>
      </c>
      <c r="D15" s="130">
        <f t="array" ref="D15">INDEX('jiliarena_日报_底稿'!$A$3:$N$34,MATCH($A15,'jiliarena_日报_底稿'!$A$3:$A$34,0),MATCH(D$3,'jiliarena_日报_底稿'!$A$3:$N$3,0))</f>
        <v>2976</v>
      </c>
      <c r="E15" s="131">
        <v>20.0</v>
      </c>
      <c r="F15" s="130">
        <f t="array" ref="F15">INDEX('jiliarena_日报_底稿'!$A$3:$N$34,MATCH($A15,'jiliarena_日报_底稿'!$A$3:$A$34,0),MATCH(F$3,'jiliarena_日报_底稿'!$A$3:$N$3,0))</f>
        <v>349</v>
      </c>
      <c r="G15" s="130">
        <f>SUMIFS('渠道充值成功率_底稿'!$F:$F,'渠道充值成功率_底稿'!$A:$A,A15)</f>
        <v>504</v>
      </c>
      <c r="H15" s="130">
        <f t="array" ref="H15">INDEX('jiliarena_日报_底稿'!$A$3:$N$34,MATCH($A15,'jiliarena_日报_底稿'!$A$3:$A$34,0),MATCH(H$3,'jiliarena_日报_底稿'!$A$3:$N$3,0))</f>
        <v>99</v>
      </c>
      <c r="I15" s="131">
        <v>130.0</v>
      </c>
      <c r="J15" s="130">
        <f t="array" ref="J15">INDEX('jiliarena_日报_底稿'!$A$3:$N$34,MATCH($A15,'jiliarena_日报_底稿'!$A$3:$A$34,0),MATCH(J$3,'jiliarena_日报_底稿'!$A$3:$N$3,0))</f>
        <v>2117</v>
      </c>
      <c r="K15" s="132">
        <f>SUMIFS('渠道充值成功率_底稿'!$J:$J,'渠道充值成功率_底稿'!$A:$A,$A15)</f>
        <v>16194</v>
      </c>
      <c r="L15" s="132">
        <f t="array" ref="L15">INDEX('jiliarena_日报_底稿'!$A$3:$N$34,MATCH($A15,'jiliarena_日报_底稿'!$A$3:$A$34,0),MATCH(L$3,'jiliarena_日报_底稿'!$A$3:$N$3,0))</f>
        <v>83228</v>
      </c>
      <c r="M15" s="132">
        <f t="array" ref="M15">INDEX('jiliarena_日报_底稿'!$P$2:$DS$34,MATCH($A15,'jiliarena_日报_底稿'!$P$2:$P$34,0),MATCH($M$3,'jiliarena_日报_底稿'!$P$3:$DS$3,0))</f>
        <v>70478</v>
      </c>
      <c r="N15" s="133">
        <f t="shared" si="2"/>
        <v>0.6939</v>
      </c>
      <c r="O15" s="134">
        <f t="shared" si="3"/>
        <v>159</v>
      </c>
      <c r="P15" s="133">
        <f t="shared" si="4"/>
        <v>0.194574</v>
      </c>
      <c r="Q15" s="134">
        <f t="shared" si="5"/>
        <v>1.4</v>
      </c>
      <c r="R15" s="135">
        <f t="shared" si="6"/>
        <v>238</v>
      </c>
      <c r="S15" s="134">
        <f t="shared" si="7"/>
        <v>165</v>
      </c>
      <c r="T15" s="134">
        <f t="shared" si="8"/>
        <v>1</v>
      </c>
      <c r="U15" s="135">
        <f t="shared" si="9"/>
        <v>712</v>
      </c>
      <c r="V15" s="136">
        <f t="shared" si="10"/>
        <v>12750</v>
      </c>
      <c r="W15" s="137">
        <f t="shared" si="40"/>
        <v>795270.57</v>
      </c>
      <c r="X15" s="137">
        <f t="array" ref="X15">index('jiliarena_日报_底稿'!$P$2:$DS$34,match($A15,'jiliarena_日报_底稿'!$P$2:$P$34,0),match("电子有效投注",'jiliarena_日报_底稿'!$P$3:$DS$3,0))+index('jiliarena_日报_底稿'!$P$2:$DS$34,match($A15,'jiliarena_日报_底稿'!$P$2:$P$34,0),match("真人有效投注",'jiliarena_日报_底稿'!$P$3:$DS$3,0))+index('jiliarena_日报_底稿'!$P$2:$DS$34,match($A15,'jiliarena_日报_底稿'!$P$2:$P$34,0),match("彩票有效投注",'jiliarena_日报_底稿'!$P$3:$DS$3,0))+index('jiliarena_日报_底稿'!$P$2:$DS$34,match($A15,'jiliarena_日报_底稿'!$P$2:$P$34,0),match("棋牌有效投注",'jiliarena_日报_底稿'!$P$3:$DS$3,0))+index('jiliarena_日报_底稿'!$P$2:$DS$34,match($A15,'jiliarena_日报_底稿'!$P$2:$P$34,0),match("捕鱼有效投注",'jiliarena_日报_底稿'!$P$3:$DS$3,0))+index('jiliarena_日报_底稿'!$P$2:$DS$34,match($A15,'jiliarena_日报_底稿'!$P$2:$P$34,0),match("体育有效投注",'jiliarena_日报_底稿'!$P$3:$DS$3,0))+index('jiliarena_日报_底稿'!$P$2:$DS$34,match($A15,'jiliarena_日报_底稿'!$P$2:$P$34,0),match("盘口彩票有效投注",'jiliarena_日报_底稿'!$P$3:$DS$3,0))</f>
        <v>738708.535</v>
      </c>
      <c r="Y15" s="138">
        <f t="shared" si="41"/>
        <v>-5634.265</v>
      </c>
      <c r="Z15" s="137">
        <f t="shared" si="42"/>
        <v>800904.835</v>
      </c>
      <c r="AA15" s="133">
        <f t="shared" si="12"/>
        <v>-0.007085</v>
      </c>
      <c r="AB15" s="139">
        <f t="array" ref="AB15">INDEX('jiliarena_日报_底稿'!$P$2:$DS$34,MATCH($A15,'jiliarena_日报_底稿'!$P$2:$P$34,0),MATCH(AB$3,'jiliarena_日报_底稿'!$P$3:$DS$3,0))</f>
        <v>0</v>
      </c>
      <c r="AC15" s="139">
        <f t="array" ref="AC15">INDEX('jiliarena_日报_底稿'!$P$2:$DS$34,MATCH($A15,'jiliarena_日报_底稿'!$P$2:$P$34,0),MATCH(AC$3,'jiliarena_日报_底稿'!$P$3:$DS$3,0))</f>
        <v>0</v>
      </c>
      <c r="AD15" s="133" t="str">
        <f t="shared" si="14"/>
        <v>#DIV/0!</v>
      </c>
      <c r="AE15" s="139">
        <f t="array" ref="AE15">INDEX('jiliarena_日报_底稿'!$P$2:$DS$34,MATCH($A15,'jiliarena_日报_底稿'!$P$2:$P$34,0),MATCH(AE$3,'jiliarena_日报_底稿'!$P$3:$DS$3,0))</f>
        <v>754228.52</v>
      </c>
      <c r="AF15" s="139">
        <f t="array" ref="AF15">INDEX('jiliarena_日报_底稿'!$P$2:$DS$34,MATCH($A15,'jiliarena_日报_底稿'!$P$2:$P$34,0),MATCH(AF$3,'jiliarena_日报_底稿'!$P$3:$DS$3,0))</f>
        <v>755109.365</v>
      </c>
      <c r="AG15" s="133">
        <f t="shared" si="16"/>
        <v>-0.001168</v>
      </c>
      <c r="AH15" s="139">
        <f t="array" ref="AH15">INDEX('jiliarena_日报_底稿'!$P$2:$DS$34,MATCH($A15,'jiliarena_日报_底稿'!$P$2:$P$34,0),MATCH(AH$3,'jiliarena_日报_底稿'!$P$3:$DS$3,0))</f>
        <v>8291</v>
      </c>
      <c r="AI15" s="139">
        <f t="array" ref="AI15">INDEX('jiliarena_日报_底稿'!$P$2:$DS$34,MATCH($A15,'jiliarena_日报_底稿'!$P$2:$P$34,0),MATCH(AI$3,'jiliarena_日报_底稿'!$P$3:$DS$3,0))</f>
        <v>11903.3</v>
      </c>
      <c r="AJ15" s="133">
        <f t="shared" si="18"/>
        <v>-0.435689</v>
      </c>
      <c r="AK15" s="139">
        <f t="array" ref="AK15">INDEX('jiliarena_日报_底稿'!$P$2:$DS$34,MATCH($A15,'jiliarena_日报_底稿'!$P$2:$P$34,0),MATCH(AK$3,'jiliarena_日报_底稿'!$P$3:$DS$3,0))</f>
        <v>32039.05</v>
      </c>
      <c r="AL15" s="139">
        <f t="array" ref="AL15">INDEX('jiliarena_日报_底稿'!$P$2:$DS$34,MATCH($A15,'jiliarena_日报_底稿'!$P$2:$P$34,0),MATCH(AL$3,'jiliarena_日报_底稿'!$P$3:$DS$3,0))</f>
        <v>33323.62</v>
      </c>
      <c r="AM15" s="133">
        <f t="shared" si="20"/>
        <v>-0.040094</v>
      </c>
      <c r="AN15" s="139">
        <f t="array" ref="AN15">INDEX('jiliarena_日报_底稿'!$P$2:$DS$34,MATCH($A15,'jiliarena_日报_底稿'!$P$2:$P$34,0),MATCH(AN$3,'jiliarena_日报_底稿'!$P$3:$DS$3,0))</f>
        <v>707</v>
      </c>
      <c r="AO15" s="139">
        <f t="array" ref="AO15">INDEX('jiliarena_日报_底稿'!$P$2:$DS$34,MATCH($A15,'jiliarena_日报_底稿'!$P$2:$P$34,0),MATCH(AO$3,'jiliarena_日报_底稿'!$P$3:$DS$3,0))</f>
        <v>568.55</v>
      </c>
      <c r="AP15" s="133">
        <f t="shared" si="22"/>
        <v>0.195827</v>
      </c>
      <c r="AQ15" s="139">
        <f t="array" ref="AQ15">INDEX('jiliarena_日报_底稿'!$P$2:$DS$34,MATCH($A15,'jiliarena_日报_底稿'!$P$2:$P$34,0),MATCH(AQ$3,'jiliarena_日报_底稿'!$P$3:$DS$3,0))</f>
        <v>5</v>
      </c>
      <c r="AR15" s="139">
        <f t="array" ref="AR15">INDEX('jiliarena_日报_底稿'!$P$2:$DS$34,MATCH($A15,'jiliarena_日报_底稿'!$P$2:$P$34,0),MATCH(AR$3,'jiliarena_日报_底稿'!$P$3:$DS$3,0))</f>
        <v>0</v>
      </c>
      <c r="AS15" s="133">
        <f t="shared" si="24"/>
        <v>1</v>
      </c>
      <c r="AT15" s="140">
        <f>SUMIFS('jiliarena_活动分析数据_底稿'!$K:$K,'jiliarena_活动分析数据_底稿'!$B:$B,$A15,'jiliarena_活动分析数据_底稿'!$L:$L,AT$3)</f>
        <v>1945.7</v>
      </c>
      <c r="AU15" s="140">
        <f>SUMIFS('jiliarena_活动分析数据_底稿'!$K:$K,'jiliarena_活动分析数据_底稿'!$B:$B,$A15,'jiliarena_活动分析数据_底稿'!$L:$L,AU$3)</f>
        <v>0</v>
      </c>
      <c r="AV15" s="140">
        <f>SUMIFS('jiliarena_活动分析数据_底稿'!$K:$K,'jiliarena_活动分析数据_底稿'!$B:$B,$A15,'jiliarena_活动分析数据_底稿'!$L:$L,AV$3)</f>
        <v>636.6</v>
      </c>
      <c r="AW15" s="140">
        <f>SUMIFS('jiliarena_活动分析数据_底稿'!$K:$K,'jiliarena_活动分析数据_底稿'!$B:$B,$A15,'jiliarena_活动分析数据_底稿'!$L:$L,AW$3)</f>
        <v>4123</v>
      </c>
      <c r="AX15" s="140">
        <f>SUMIFS('jiliarena_活动分析数据_底稿'!$K:$K,'jiliarena_活动分析数据_底稿'!$B:$B,$A15,'jiliarena_活动分析数据_底稿'!$L:$L,AX$3)</f>
        <v>312</v>
      </c>
      <c r="AY15" s="140">
        <f>SUMIFS('jiliarena_活动分析数据_底稿'!$K:$K,'jiliarena_活动分析数据_底稿'!$B:$B,$A15,'jiliarena_活动分析数据_底稿'!$L:$L,AY$3)</f>
        <v>0</v>
      </c>
      <c r="AZ15" s="140">
        <f>SUMIFS('jiliarena_活动分析数据_底稿'!$K:$K,'jiliarena_活动分析数据_底稿'!$B:$B,$A15,'jiliarena_活动分析数据_底稿'!$L:$L,AZ$3)</f>
        <v>0</v>
      </c>
      <c r="BA15" s="140">
        <f>SUMIFS('jiliarena_活动分析数据_底稿'!$K:$K,'jiliarena_活动分析数据_底稿'!$B:$B,$A15,'jiliarena_活动分析数据_底稿'!$L:$L,BA$3)</f>
        <v>0</v>
      </c>
      <c r="BB15" s="140">
        <f>SUMIFS('jiliarena_活动分析数据_底稿'!$K:$K,'jiliarena_活动分析数据_底稿'!$B:$B,$A15,'jiliarena_活动分析数据_底稿'!$L:$L,BB$3)</f>
        <v>431.34</v>
      </c>
      <c r="BC15" s="140">
        <f>SUMIFS('jiliarena_活动分析数据_底稿'!$K:$K,'jiliarena_活动分析数据_底稿'!$B:$B,$A15,'jiliarena_活动分析数据_底稿'!$L:$L,BC$3)</f>
        <v>263</v>
      </c>
      <c r="BD15" s="140">
        <f>SUMIFS('jiliarena_活动分析数据_底稿'!$K:$K,'jiliarena_活动分析数据_底稿'!$B:$B,$A15,'jiliarena_活动分析数据_底稿'!$L:$L,BD$3)</f>
        <v>0</v>
      </c>
      <c r="BE15" s="140">
        <f>SUMIFS('jiliarena_活动分析数据_底稿'!$K:$K,'jiliarena_活动分析数据_底稿'!$B:$B,$A15,'jiliarena_活动分析数据_底稿'!$L:$L,BE$3)</f>
        <v>0</v>
      </c>
      <c r="BF15" s="140">
        <f>SUMIFS('jiliarena_活动分析数据_底稿'!$K:$K,'jiliarena_活动分析数据_底稿'!$B:$B,$A15,'jiliarena_活动分析数据_底稿'!$L:$L,BF$3)</f>
        <v>0</v>
      </c>
      <c r="BG15" s="140">
        <f>SUMIFS('jiliarena_活动分析数据_底稿'!$K:$K,'jiliarena_活动分析数据_底稿'!$B:$B,$A15,'jiliarena_活动分析数据_底稿'!$L:$L,BG$3)</f>
        <v>0</v>
      </c>
      <c r="BH15" s="140">
        <f>SUMIFS('jiliarena_活动分析数据_底稿'!$K:$K,'jiliarena_活动分析数据_底稿'!$B:$B,$A15,'jiliarena_活动分析数据_底稿'!$L:$L,BH$3)</f>
        <v>0</v>
      </c>
      <c r="BI15" s="140">
        <f>SUMIFS('jiliarena_活动分析数据_底稿'!$K:$K,'jiliarena_活动分析数据_底稿'!$B:$B,$A15,'jiliarena_活动分析数据_底稿'!$L:$L,BI$3)</f>
        <v>0</v>
      </c>
      <c r="BJ15" s="140">
        <f>SUMIFS('jiliarena_活动分析数据_底稿'!$K:$K,'jiliarena_活动分析数据_底稿'!$B:$B,$A15,'jiliarena_活动分析数据_底稿'!$L:$L,BJ$3)</f>
        <v>3877</v>
      </c>
      <c r="BK15" s="140">
        <f>SUMIFS('jiliarena_活动分析数据_底稿'!$K:$K,'jiliarena_活动分析数据_底稿'!$B:$B,$A15,'jiliarena_活动分析数据_底稿'!$L:$L,BK$3)</f>
        <v>0</v>
      </c>
      <c r="BL15" s="140">
        <f>SUMIFS('jiliarena_活动分析数据_底稿'!$K:$K,'jiliarena_活动分析数据_底稿'!$B:$B,$A15,'jiliarena_活动分析数据_底稿'!$L:$L,BL$3)</f>
        <v>0</v>
      </c>
      <c r="BM15" s="140">
        <f>SUMIFS('jiliarena_活动分析数据_底稿'!$K:$K,'jiliarena_活动分析数据_底稿'!$B:$B,$A15,'jiliarena_活动分析数据_底稿'!$L:$L,BM$3)</f>
        <v>0</v>
      </c>
      <c r="BN15" s="140">
        <f>SUMIFS('jiliarena_活动分析数据_底稿'!$K:$K,'jiliarena_活动分析数据_底稿'!$B:$B,$A15,'jiliarena_活动分析数据_底稿'!$L:$L,BN$3)</f>
        <v>0</v>
      </c>
      <c r="BO15" s="140">
        <f>SUMIFS('jiliarena_活动分析数据_底稿'!$K:$K,'jiliarena_活动分析数据_底稿'!$B:$B,$A15,'jiliarena_活动分析数据_底稿'!$L:$L,BO$3)</f>
        <v>0</v>
      </c>
      <c r="BP15" s="140">
        <f>SUMIFS('jiliarena_活动分析数据_底稿'!$K:$K,'jiliarena_活动分析数据_底稿'!$B:$B,$A15,'jiliarena_活动分析数据_底稿'!$L:$L,BP$3)</f>
        <v>0</v>
      </c>
      <c r="BQ15" s="137">
        <f t="shared" si="43"/>
        <v>11588.64</v>
      </c>
      <c r="BR15" s="137">
        <f t="shared" si="44"/>
        <v>1945.7</v>
      </c>
      <c r="BS15" s="137">
        <f t="shared" si="45"/>
        <v>431.34</v>
      </c>
      <c r="BT15" s="133">
        <f t="shared" si="26"/>
        <v>0.015688</v>
      </c>
      <c r="BU15" s="133">
        <f t="shared" si="27"/>
        <v>0.139239679</v>
      </c>
      <c r="BV15" s="133">
        <f t="shared" si="28"/>
        <v>-2.056814864</v>
      </c>
      <c r="BW15" s="141">
        <f t="shared" si="29"/>
        <v>-17222.905</v>
      </c>
      <c r="BX15" s="142">
        <f t="shared" si="30"/>
        <v>-0.6728620985</v>
      </c>
      <c r="BY15" s="143">
        <f t="shared" si="31"/>
        <v>2005.7948</v>
      </c>
      <c r="BZ15" s="144">
        <f t="shared" si="32"/>
        <v>140.956</v>
      </c>
      <c r="CA15" s="145">
        <f t="shared" si="33"/>
        <v>2146.7508</v>
      </c>
      <c r="CB15" s="146">
        <f t="shared" si="34"/>
        <v>-507</v>
      </c>
      <c r="CC15" s="142">
        <f t="shared" si="35"/>
        <v>-0.1246451049</v>
      </c>
      <c r="CD15" s="137">
        <f t="array" ref="CD15">index('jiliarena_日报_底稿'!$P$3:$DS$34,match(A15,'jiliarena_日报_底稿'!$P$3:$P$34,0),match("综合性分红",'jiliarena_日报_底稿'!$P$3:$DS$3,0))</f>
        <v>0</v>
      </c>
      <c r="CE15" s="147"/>
      <c r="CF15" s="137">
        <f t="array" ref="CF15">INDEX('jiliarena_日报_底稿'!$P$2:$DS$34,MATCH($A15,'jiliarena_日报_底稿'!$P$2:$P$34,0),MATCH(CF$3,'jiliarena_日报_底稿'!$P$3:$DS$3,0))</f>
        <v>0</v>
      </c>
      <c r="CG15" s="137">
        <f t="array" ref="CG15">-INDEX('jiliarena_日报_底稿'!$P$2:$DS$34,MATCH($A15,'jiliarena_日报_底稿'!$P$2:$P$34,0),MATCH(CG$3,'jiliarena_日报_底稿'!$P$3:$DS$3,0))</f>
        <v>0</v>
      </c>
      <c r="CH15" s="137">
        <f t="array" ref="CH15">INDEX('jiliarena_日报_底稿'!$P$2:$DS$34,MATCH($A15,'jiliarena_日报_底稿'!$P$2:$P$34,0),MATCH(CH$3,'jiliarena_日报_底稿'!$P$3:$DS$3,0))</f>
        <v>125526.7385</v>
      </c>
      <c r="CI15" s="141">
        <f t="shared" si="37"/>
        <v>-18862.6558</v>
      </c>
      <c r="CJ15" s="148">
        <f t="shared" si="38"/>
        <v>3</v>
      </c>
      <c r="CK15" s="148">
        <f t="shared" si="39"/>
        <v>4</v>
      </c>
    </row>
    <row r="16">
      <c r="A16" s="161">
        <f t="shared" si="46"/>
        <v>46086</v>
      </c>
      <c r="B16" s="130">
        <f t="array" ref="B16">INDEX('jiliarena_日报_底稿'!$A$3:$N$34,MATCH($A16,'jiliarena_日报_底稿'!$A$3:$A$34,0),MATCH(B$3,'jiliarena_日报_底稿'!$A$3:$N$3,0))</f>
        <v>330</v>
      </c>
      <c r="C16" s="130">
        <f t="array" ref="C16">INDEX('jiliarena_日报_底稿'!$A$3:$N$34,MATCH($A16,'jiliarena_日报_底稿'!$A$3:$A$34,0),MATCH(C$3,'jiliarena_日报_底稿'!$A$3:$N$3,0))</f>
        <v>171</v>
      </c>
      <c r="D16" s="130">
        <f t="array" ref="D16">INDEX('jiliarena_日报_底稿'!$A$3:$N$34,MATCH($A16,'jiliarena_日报_底稿'!$A$3:$A$34,0),MATCH(D$3,'jiliarena_日报_底稿'!$A$3:$N$3,0))</f>
        <v>3996</v>
      </c>
      <c r="E16" s="131">
        <v>24.0</v>
      </c>
      <c r="F16" s="130">
        <f t="array" ref="F16">INDEX('jiliarena_日报_底稿'!$A$3:$N$34,MATCH($A16,'jiliarena_日报_底稿'!$A$3:$A$34,0),MATCH(F$3,'jiliarena_日报_底稿'!$A$3:$N$3,0))</f>
        <v>453</v>
      </c>
      <c r="G16" s="130">
        <f>SUMIFS('渠道充值成功率_底稿'!$F:$F,'渠道充值成功率_底稿'!$A:$A,A16)</f>
        <v>629</v>
      </c>
      <c r="H16" s="130">
        <f t="array" ref="H16">INDEX('jiliarena_日报_底稿'!$A$3:$N$34,MATCH($A16,'jiliarena_日报_底稿'!$A$3:$A$34,0),MATCH(H$3,'jiliarena_日报_底稿'!$A$3:$N$3,0))</f>
        <v>103</v>
      </c>
      <c r="I16" s="131">
        <v>130.0</v>
      </c>
      <c r="J16" s="130">
        <f t="array" ref="J16">INDEX('jiliarena_日报_底稿'!$A$3:$N$34,MATCH($A16,'jiliarena_日报_底稿'!$A$3:$A$34,0),MATCH(J$3,'jiliarena_日报_底稿'!$A$3:$N$3,0))</f>
        <v>2755</v>
      </c>
      <c r="K16" s="132">
        <f>SUMIFS('渠道充值成功率_底稿'!$J:$J,'渠道充值成功率_底稿'!$A:$A,$A16)</f>
        <v>26905</v>
      </c>
      <c r="L16" s="132">
        <f t="array" ref="L16">INDEX('jiliarena_日报_底稿'!$A$3:$N$34,MATCH($A16,'jiliarena_日报_底稿'!$A$3:$A$34,0),MATCH(L$3,'jiliarena_日报_底稿'!$A$3:$N$3,0))</f>
        <v>122698</v>
      </c>
      <c r="M16" s="132">
        <f t="array" ref="M16">INDEX('jiliarena_日报_底稿'!$P$2:$DS$34,MATCH($A16,'jiliarena_日报_底稿'!$P$2:$P$34,0),MATCH($M$3,'jiliarena_日报_底稿'!$P$3:$DS$3,0))</f>
        <v>91721</v>
      </c>
      <c r="N16" s="133">
        <f t="shared" si="2"/>
        <v>0.5182</v>
      </c>
      <c r="O16" s="134">
        <f t="shared" si="3"/>
        <v>157</v>
      </c>
      <c r="P16" s="133">
        <f t="shared" si="4"/>
        <v>0.219278</v>
      </c>
      <c r="Q16" s="134">
        <f t="shared" si="5"/>
        <v>1.4</v>
      </c>
      <c r="R16" s="135">
        <f t="shared" si="6"/>
        <v>271</v>
      </c>
      <c r="S16" s="134">
        <f t="shared" si="7"/>
        <v>195</v>
      </c>
      <c r="T16" s="134">
        <f t="shared" si="8"/>
        <v>1.2</v>
      </c>
      <c r="U16" s="135">
        <f t="shared" si="9"/>
        <v>890</v>
      </c>
      <c r="V16" s="136">
        <f t="shared" si="10"/>
        <v>30977</v>
      </c>
      <c r="W16" s="137">
        <f t="shared" si="40"/>
        <v>1053886.01</v>
      </c>
      <c r="X16" s="137">
        <f t="array" ref="X16">index('jiliarena_日报_底稿'!$P$2:$DS$34,match($A16,'jiliarena_日报_底稿'!$P$2:$P$34,0),match("电子有效投注",'jiliarena_日报_底稿'!$P$3:$DS$3,0))+index('jiliarena_日报_底稿'!$P$2:$DS$34,match($A16,'jiliarena_日报_底稿'!$P$2:$P$34,0),match("真人有效投注",'jiliarena_日报_底稿'!$P$3:$DS$3,0))+index('jiliarena_日报_底稿'!$P$2:$DS$34,match($A16,'jiliarena_日报_底稿'!$P$2:$P$34,0),match("彩票有效投注",'jiliarena_日报_底稿'!$P$3:$DS$3,0))+index('jiliarena_日报_底稿'!$P$2:$DS$34,match($A16,'jiliarena_日报_底稿'!$P$2:$P$34,0),match("棋牌有效投注",'jiliarena_日报_底稿'!$P$3:$DS$3,0))+index('jiliarena_日报_底稿'!$P$2:$DS$34,match($A16,'jiliarena_日报_底稿'!$P$2:$P$34,0),match("捕鱼有效投注",'jiliarena_日报_底稿'!$P$3:$DS$3,0))+index('jiliarena_日报_底稿'!$P$2:$DS$34,match($A16,'jiliarena_日报_底稿'!$P$2:$P$34,0),match("体育有效投注",'jiliarena_日报_底稿'!$P$3:$DS$3,0))+index('jiliarena_日报_底稿'!$P$2:$DS$34,match($A16,'jiliarena_日报_底稿'!$P$2:$P$34,0),match("盘口彩票有效投注",'jiliarena_日报_底稿'!$P$3:$DS$3,0))</f>
        <v>985532.395</v>
      </c>
      <c r="Y16" s="138">
        <f t="shared" si="41"/>
        <v>37589.305</v>
      </c>
      <c r="Z16" s="137">
        <f t="shared" si="42"/>
        <v>1016296.705</v>
      </c>
      <c r="AA16" s="133">
        <f t="shared" si="12"/>
        <v>0.035667</v>
      </c>
      <c r="AB16" s="139">
        <f t="array" ref="AB16">INDEX('jiliarena_日报_底稿'!$P$2:$DS$34,MATCH($A16,'jiliarena_日报_底稿'!$P$2:$P$34,0),MATCH(AB$3,'jiliarena_日报_底稿'!$P$3:$DS$3,0))</f>
        <v>1</v>
      </c>
      <c r="AC16" s="139">
        <f t="array" ref="AC16">INDEX('jiliarena_日报_底稿'!$P$2:$DS$34,MATCH($A16,'jiliarena_日报_底稿'!$P$2:$P$34,0),MATCH(AC$3,'jiliarena_日报_底稿'!$P$3:$DS$3,0))</f>
        <v>0</v>
      </c>
      <c r="AD16" s="133">
        <f t="shared" si="14"/>
        <v>1</v>
      </c>
      <c r="AE16" s="139">
        <f t="array" ref="AE16">INDEX('jiliarena_日报_底稿'!$P$2:$DS$34,MATCH($A16,'jiliarena_日报_底稿'!$P$2:$P$34,0),MATCH(AE$3,'jiliarena_日报_底稿'!$P$3:$DS$3,0))</f>
        <v>1043759.11</v>
      </c>
      <c r="AF16" s="139">
        <f t="array" ref="AF16">INDEX('jiliarena_日报_底稿'!$P$2:$DS$34,MATCH($A16,'jiliarena_日报_底稿'!$P$2:$P$34,0),MATCH(AF$3,'jiliarena_日报_底稿'!$P$3:$DS$3,0))</f>
        <v>1007563.495</v>
      </c>
      <c r="AG16" s="133">
        <f t="shared" si="16"/>
        <v>0.034678</v>
      </c>
      <c r="AH16" s="139">
        <f t="array" ref="AH16">INDEX('jiliarena_日报_底稿'!$P$2:$DS$34,MATCH($A16,'jiliarena_日报_底稿'!$P$2:$P$34,0),MATCH(AH$3,'jiliarena_日报_底稿'!$P$3:$DS$3,0))</f>
        <v>1378</v>
      </c>
      <c r="AI16" s="139">
        <f t="array" ref="AI16">INDEX('jiliarena_日报_底稿'!$P$2:$DS$34,MATCH($A16,'jiliarena_日报_底稿'!$P$2:$P$34,0),MATCH(AI$3,'jiliarena_日报_底稿'!$P$3:$DS$3,0))</f>
        <v>847.05</v>
      </c>
      <c r="AJ16" s="133">
        <f t="shared" si="18"/>
        <v>0.385305</v>
      </c>
      <c r="AK16" s="139">
        <f t="array" ref="AK16">INDEX('jiliarena_日报_底稿'!$P$2:$DS$34,MATCH($A16,'jiliarena_日报_底稿'!$P$2:$P$34,0),MATCH(AK$3,'jiliarena_日报_底稿'!$P$3:$DS$3,0))</f>
        <v>8110.9</v>
      </c>
      <c r="AL16" s="139">
        <f t="array" ref="AL16">INDEX('jiliarena_日报_底稿'!$P$2:$DS$34,MATCH($A16,'jiliarena_日报_底稿'!$P$2:$P$34,0),MATCH(AL$3,'jiliarena_日报_底稿'!$P$3:$DS$3,0))</f>
        <v>7307.44</v>
      </c>
      <c r="AM16" s="133">
        <f t="shared" si="20"/>
        <v>0.099059</v>
      </c>
      <c r="AN16" s="139">
        <f t="array" ref="AN16">INDEX('jiliarena_日报_底稿'!$P$2:$DS$34,MATCH($A16,'jiliarena_日报_底稿'!$P$2:$P$34,0),MATCH(AN$3,'jiliarena_日报_底稿'!$P$3:$DS$3,0))</f>
        <v>633</v>
      </c>
      <c r="AO16" s="139">
        <f t="array" ref="AO16">INDEX('jiliarena_日报_底稿'!$P$2:$DS$34,MATCH($A16,'jiliarena_日报_底稿'!$P$2:$P$34,0),MATCH(AO$3,'jiliarena_日报_底稿'!$P$3:$DS$3,0))</f>
        <v>578.72</v>
      </c>
      <c r="AP16" s="133">
        <f t="shared" si="22"/>
        <v>0.08575</v>
      </c>
      <c r="AQ16" s="139">
        <f t="array" ref="AQ16">INDEX('jiliarena_日报_底稿'!$P$2:$DS$34,MATCH($A16,'jiliarena_日报_底稿'!$P$2:$P$34,0),MATCH(AQ$3,'jiliarena_日报_底稿'!$P$3:$DS$3,0))</f>
        <v>4</v>
      </c>
      <c r="AR16" s="139">
        <f t="array" ref="AR16">INDEX('jiliarena_日报_底稿'!$P$2:$DS$34,MATCH($A16,'jiliarena_日报_底稿'!$P$2:$P$34,0),MATCH(AR$3,'jiliarena_日报_底稿'!$P$3:$DS$3,0))</f>
        <v>0</v>
      </c>
      <c r="AS16" s="133">
        <f t="shared" si="24"/>
        <v>1</v>
      </c>
      <c r="AT16" s="140">
        <f>SUMIFS('jiliarena_活动分析数据_底稿'!$K:$K,'jiliarena_活动分析数据_底稿'!$B:$B,$A16,'jiliarena_活动分析数据_底稿'!$L:$L,AT$3)</f>
        <v>1722.23</v>
      </c>
      <c r="AU16" s="140">
        <f>SUMIFS('jiliarena_活动分析数据_底稿'!$K:$K,'jiliarena_活动分析数据_底稿'!$B:$B,$A16,'jiliarena_活动分析数据_底稿'!$L:$L,AU$3)</f>
        <v>0</v>
      </c>
      <c r="AV16" s="140">
        <f>SUMIFS('jiliarena_活动分析数据_底稿'!$K:$K,'jiliarena_活动分析数据_底稿'!$B:$B,$A16,'jiliarena_活动分析数据_底稿'!$L:$L,AV$3)</f>
        <v>732.41</v>
      </c>
      <c r="AW16" s="140">
        <f>SUMIFS('jiliarena_活动分析数据_底稿'!$K:$K,'jiliarena_活动分析数据_底稿'!$B:$B,$A16,'jiliarena_活动分析数据_底稿'!$L:$L,AW$3)</f>
        <v>4733</v>
      </c>
      <c r="AX16" s="140">
        <f>SUMIFS('jiliarena_活动分析数据_底稿'!$K:$K,'jiliarena_活动分析数据_底稿'!$B:$B,$A16,'jiliarena_活动分析数据_底稿'!$L:$L,AX$3)</f>
        <v>305</v>
      </c>
      <c r="AY16" s="140">
        <f>SUMIFS('jiliarena_活动分析数据_底稿'!$K:$K,'jiliarena_活动分析数据_底稿'!$B:$B,$A16,'jiliarena_活动分析数据_底稿'!$L:$L,AY$3)</f>
        <v>0</v>
      </c>
      <c r="AZ16" s="140">
        <f>SUMIFS('jiliarena_活动分析数据_底稿'!$K:$K,'jiliarena_活动分析数据_底稿'!$B:$B,$A16,'jiliarena_活动分析数据_底稿'!$L:$L,AZ$3)</f>
        <v>0</v>
      </c>
      <c r="BA16" s="140">
        <f>SUMIFS('jiliarena_活动分析数据_底稿'!$K:$K,'jiliarena_活动分析数据_底稿'!$B:$B,$A16,'jiliarena_活动分析数据_底稿'!$L:$L,BA$3)</f>
        <v>0</v>
      </c>
      <c r="BB16" s="140">
        <f>SUMIFS('jiliarena_活动分析数据_底稿'!$K:$K,'jiliarena_活动分析数据_底稿'!$B:$B,$A16,'jiliarena_活动分析数据_底稿'!$L:$L,BB$3)</f>
        <v>317.77</v>
      </c>
      <c r="BC16" s="140">
        <f>SUMIFS('jiliarena_活动分析数据_底稿'!$K:$K,'jiliarena_活动分析数据_底稿'!$B:$B,$A16,'jiliarena_活动分析数据_底稿'!$L:$L,BC$3)</f>
        <v>308</v>
      </c>
      <c r="BD16" s="140">
        <f>SUMIFS('jiliarena_活动分析数据_底稿'!$K:$K,'jiliarena_活动分析数据_底稿'!$B:$B,$A16,'jiliarena_活动分析数据_底稿'!$L:$L,BD$3)</f>
        <v>0</v>
      </c>
      <c r="BE16" s="140">
        <f>SUMIFS('jiliarena_活动分析数据_底稿'!$K:$K,'jiliarena_活动分析数据_底稿'!$B:$B,$A16,'jiliarena_活动分析数据_底稿'!$L:$L,BE$3)</f>
        <v>0</v>
      </c>
      <c r="BF16" s="140">
        <f>SUMIFS('jiliarena_活动分析数据_底稿'!$K:$K,'jiliarena_活动分析数据_底稿'!$B:$B,$A16,'jiliarena_活动分析数据_底稿'!$L:$L,BF$3)</f>
        <v>149</v>
      </c>
      <c r="BG16" s="140">
        <f>SUMIFS('jiliarena_活动分析数据_底稿'!$K:$K,'jiliarena_活动分析数据_底稿'!$B:$B,$A16,'jiliarena_活动分析数据_底稿'!$L:$L,BG$3)</f>
        <v>0</v>
      </c>
      <c r="BH16" s="140">
        <f>SUMIFS('jiliarena_活动分析数据_底稿'!$K:$K,'jiliarena_活动分析数据_底稿'!$B:$B,$A16,'jiliarena_活动分析数据_底稿'!$L:$L,BH$3)</f>
        <v>0</v>
      </c>
      <c r="BI16" s="140">
        <f>SUMIFS('jiliarena_活动分析数据_底稿'!$K:$K,'jiliarena_活动分析数据_底稿'!$B:$B,$A16,'jiliarena_活动分析数据_底稿'!$L:$L,BI$3)</f>
        <v>0</v>
      </c>
      <c r="BJ16" s="140">
        <f>SUMIFS('jiliarena_活动分析数据_底稿'!$K:$K,'jiliarena_活动分析数据_底稿'!$B:$B,$A16,'jiliarena_活动分析数据_底稿'!$L:$L,BJ$3)</f>
        <v>4918.5</v>
      </c>
      <c r="BK16" s="140">
        <f>SUMIFS('jiliarena_活动分析数据_底稿'!$K:$K,'jiliarena_活动分析数据_底稿'!$B:$B,$A16,'jiliarena_活动分析数据_底稿'!$L:$L,BK$3)</f>
        <v>0</v>
      </c>
      <c r="BL16" s="140">
        <f>SUMIFS('jiliarena_活动分析数据_底稿'!$K:$K,'jiliarena_活动分析数据_底稿'!$B:$B,$A16,'jiliarena_活动分析数据_底稿'!$L:$L,BL$3)</f>
        <v>0</v>
      </c>
      <c r="BM16" s="140">
        <f>SUMIFS('jiliarena_活动分析数据_底稿'!$K:$K,'jiliarena_活动分析数据_底稿'!$B:$B,$A16,'jiliarena_活动分析数据_底稿'!$L:$L,BM$3)</f>
        <v>0</v>
      </c>
      <c r="BN16" s="140">
        <f>SUMIFS('jiliarena_活动分析数据_底稿'!$K:$K,'jiliarena_活动分析数据_底稿'!$B:$B,$A16,'jiliarena_活动分析数据_底稿'!$L:$L,BN$3)</f>
        <v>0</v>
      </c>
      <c r="BO16" s="140">
        <f>SUMIFS('jiliarena_活动分析数据_底稿'!$K:$K,'jiliarena_活动分析数据_底稿'!$B:$B,$A16,'jiliarena_活动分析数据_底稿'!$L:$L,BO$3)</f>
        <v>0</v>
      </c>
      <c r="BP16" s="140">
        <f>SUMIFS('jiliarena_活动分析数据_底稿'!$K:$K,'jiliarena_活动分析数据_底稿'!$B:$B,$A16,'jiliarena_活动分析数据_底稿'!$L:$L,BP$3)</f>
        <v>0</v>
      </c>
      <c r="BQ16" s="137">
        <f t="shared" si="43"/>
        <v>13185.91</v>
      </c>
      <c r="BR16" s="137">
        <f t="shared" si="44"/>
        <v>1722.23</v>
      </c>
      <c r="BS16" s="137">
        <f t="shared" si="45"/>
        <v>317.77</v>
      </c>
      <c r="BT16" s="133">
        <f t="shared" si="26"/>
        <v>0.013379</v>
      </c>
      <c r="BU16" s="133">
        <f t="shared" si="27"/>
        <v>0.1074663809</v>
      </c>
      <c r="BV16" s="133">
        <f t="shared" si="28"/>
        <v>0.3507888747</v>
      </c>
      <c r="BW16" s="141">
        <f t="shared" si="29"/>
        <v>24403.395</v>
      </c>
      <c r="BX16" s="142">
        <f t="shared" si="30"/>
        <v>0.5403309662</v>
      </c>
      <c r="BY16" s="143">
        <f t="shared" si="31"/>
        <v>2957.0218</v>
      </c>
      <c r="BZ16" s="144">
        <f t="shared" si="32"/>
        <v>183.442</v>
      </c>
      <c r="CA16" s="145">
        <f t="shared" si="33"/>
        <v>3140.4638</v>
      </c>
      <c r="CB16" s="146">
        <f t="shared" si="34"/>
        <v>3383</v>
      </c>
      <c r="CC16" s="142">
        <f t="shared" si="35"/>
        <v>0.128689627</v>
      </c>
      <c r="CD16" s="137">
        <f t="array" ref="CD16">index('jiliarena_日报_底稿'!$P$3:$DS$34,match(A16,'jiliarena_日报_底稿'!$P$3:$P$34,0),match("综合性分红",'jiliarena_日报_底稿'!$P$3:$DS$3,0))</f>
        <v>0</v>
      </c>
      <c r="CE16" s="147"/>
      <c r="CF16" s="137">
        <f t="array" ref="CF16">INDEX('jiliarena_日报_底稿'!$P$2:$DS$34,MATCH($A16,'jiliarena_日报_底稿'!$P$2:$P$34,0),MATCH(CF$3,'jiliarena_日报_底稿'!$P$3:$DS$3,0))</f>
        <v>0</v>
      </c>
      <c r="CG16" s="137">
        <f t="array" ref="CG16">-INDEX('jiliarena_日报_底稿'!$P$2:$DS$34,MATCH($A16,'jiliarena_日报_底稿'!$P$2:$P$34,0),MATCH(CG$3,'jiliarena_日报_底稿'!$P$3:$DS$3,0))</f>
        <v>0</v>
      </c>
      <c r="CH16" s="137">
        <f t="array" ref="CH16">INDEX('jiliarena_日报_底稿'!$P$2:$DS$34,MATCH($A16,'jiliarena_日报_底稿'!$P$2:$P$34,0),MATCH(CH$3,'jiliarena_日报_底稿'!$P$3:$DS$3,0))</f>
        <v>141233.3223</v>
      </c>
      <c r="CI16" s="141">
        <f t="shared" si="37"/>
        <v>17879.9312</v>
      </c>
      <c r="CJ16" s="148">
        <f t="shared" si="38"/>
        <v>3</v>
      </c>
      <c r="CK16" s="148">
        <f t="shared" si="39"/>
        <v>5</v>
      </c>
    </row>
    <row r="17">
      <c r="A17" s="161">
        <f t="shared" si="46"/>
        <v>46087</v>
      </c>
      <c r="B17" s="130">
        <f t="array" ref="B17">INDEX('jiliarena_日报_底稿'!$A$3:$N$34,MATCH($A17,'jiliarena_日报_底稿'!$A$3:$A$34,0),MATCH(B$3,'jiliarena_日报_底稿'!$A$3:$N$3,0))</f>
        <v>231</v>
      </c>
      <c r="C17" s="130">
        <f t="array" ref="C17">INDEX('jiliarena_日报_底稿'!$A$3:$N$34,MATCH($A17,'jiliarena_日报_底稿'!$A$3:$A$34,0),MATCH(C$3,'jiliarena_日报_底稿'!$A$3:$N$3,0))</f>
        <v>133</v>
      </c>
      <c r="D17" s="130">
        <f t="array" ref="D17">INDEX('jiliarena_日报_底稿'!$A$3:$N$34,MATCH($A17,'jiliarena_日报_底稿'!$A$3:$A$34,0),MATCH(D$3,'jiliarena_日报_底稿'!$A$3:$N$3,0))</f>
        <v>3924</v>
      </c>
      <c r="E17" s="131">
        <v>17.0</v>
      </c>
      <c r="F17" s="130">
        <f t="array" ref="F17">INDEX('jiliarena_日报_底稿'!$A$3:$N$34,MATCH($A17,'jiliarena_日报_底稿'!$A$3:$A$34,0),MATCH(F$3,'jiliarena_日报_底稿'!$A$3:$N$3,0))</f>
        <v>399</v>
      </c>
      <c r="G17" s="130">
        <f>SUMIFS('渠道充值成功率_底稿'!$F:$F,'渠道充值成功率_底稿'!$A:$A,A17)</f>
        <v>531</v>
      </c>
      <c r="H17" s="130">
        <f t="array" ref="H17">INDEX('jiliarena_日报_底稿'!$A$3:$N$34,MATCH($A17,'jiliarena_日报_底稿'!$A$3:$A$34,0),MATCH(H$3,'jiliarena_日报_底稿'!$A$3:$N$3,0))</f>
        <v>89</v>
      </c>
      <c r="I17" s="131">
        <v>106.0</v>
      </c>
      <c r="J17" s="130">
        <f t="array" ref="J17">INDEX('jiliarena_日报_底稿'!$A$3:$N$34,MATCH($A17,'jiliarena_日报_底稿'!$A$3:$A$34,0),MATCH(J$3,'jiliarena_日报_底稿'!$A$3:$N$3,0))</f>
        <v>2777</v>
      </c>
      <c r="K17" s="132">
        <f>SUMIFS('渠道充值成功率_底稿'!$J:$J,'渠道充值成功率_底稿'!$A:$A,$A17)</f>
        <v>21176</v>
      </c>
      <c r="L17" s="132">
        <f t="array" ref="L17">INDEX('jiliarena_日报_底稿'!$A$3:$N$34,MATCH($A17,'jiliarena_日报_底稿'!$A$3:$A$34,0),MATCH(L$3,'jiliarena_日报_底稿'!$A$3:$N$3,0))</f>
        <v>82445</v>
      </c>
      <c r="M17" s="132">
        <f t="array" ref="M17">INDEX('jiliarena_日报_底稿'!$P$2:$DS$34,MATCH($A17,'jiliarena_日报_底稿'!$P$2:$P$34,0),MATCH($M$3,'jiliarena_日报_底稿'!$P$3:$DS$3,0))</f>
        <v>76326</v>
      </c>
      <c r="N17" s="133">
        <f t="shared" si="2"/>
        <v>0.5758</v>
      </c>
      <c r="O17" s="134">
        <f t="shared" si="3"/>
        <v>159</v>
      </c>
      <c r="P17" s="133">
        <f t="shared" si="4"/>
        <v>0.25685</v>
      </c>
      <c r="Q17" s="134">
        <f t="shared" si="5"/>
        <v>1.3</v>
      </c>
      <c r="R17" s="135">
        <f t="shared" si="6"/>
        <v>207</v>
      </c>
      <c r="S17" s="134">
        <f t="shared" si="7"/>
        <v>155</v>
      </c>
      <c r="T17" s="134">
        <f t="shared" si="8"/>
        <v>1</v>
      </c>
      <c r="U17" s="135">
        <f t="shared" si="9"/>
        <v>858</v>
      </c>
      <c r="V17" s="136">
        <f t="shared" si="10"/>
        <v>6119</v>
      </c>
      <c r="W17" s="137">
        <f t="shared" si="40"/>
        <v>714338.85</v>
      </c>
      <c r="X17" s="137">
        <f t="array" ref="X17">index('jiliarena_日报_底稿'!$P$2:$DS$34,match($A17,'jiliarena_日报_底稿'!$P$2:$P$34,0),match("电子有效投注",'jiliarena_日报_底稿'!$P$3:$DS$3,0))+index('jiliarena_日报_底稿'!$P$2:$DS$34,match($A17,'jiliarena_日报_底稿'!$P$2:$P$34,0),match("真人有效投注",'jiliarena_日报_底稿'!$P$3:$DS$3,0))+index('jiliarena_日报_底稿'!$P$2:$DS$34,match($A17,'jiliarena_日报_底稿'!$P$2:$P$34,0),match("彩票有效投注",'jiliarena_日报_底稿'!$P$3:$DS$3,0))+index('jiliarena_日报_底稿'!$P$2:$DS$34,match($A17,'jiliarena_日报_底稿'!$P$2:$P$34,0),match("棋牌有效投注",'jiliarena_日报_底稿'!$P$3:$DS$3,0))+index('jiliarena_日报_底稿'!$P$2:$DS$34,match($A17,'jiliarena_日报_底稿'!$P$2:$P$34,0),match("捕鱼有效投注",'jiliarena_日报_底稿'!$P$3:$DS$3,0))+index('jiliarena_日报_底稿'!$P$2:$DS$34,match($A17,'jiliarena_日报_底稿'!$P$2:$P$34,0),match("体育有效投注",'jiliarena_日报_底稿'!$P$3:$DS$3,0))+index('jiliarena_日报_底稿'!$P$2:$DS$34,match($A17,'jiliarena_日报_底稿'!$P$2:$P$34,0),match("盘口彩票有效投注",'jiliarena_日报_底稿'!$P$3:$DS$3,0))</f>
        <v>677047.53</v>
      </c>
      <c r="Y17" s="138">
        <f t="shared" si="41"/>
        <v>47690.245</v>
      </c>
      <c r="Z17" s="137">
        <f t="shared" si="42"/>
        <v>666648.605</v>
      </c>
      <c r="AA17" s="133">
        <f t="shared" si="12"/>
        <v>0.066761</v>
      </c>
      <c r="AB17" s="139">
        <f t="array" ref="AB17">INDEX('jiliarena_日报_底稿'!$P$2:$DS$34,MATCH($A17,'jiliarena_日报_底稿'!$P$2:$P$34,0),MATCH(AB$3,'jiliarena_日报_底稿'!$P$3:$DS$3,0))</f>
        <v>0</v>
      </c>
      <c r="AC17" s="139">
        <f t="array" ref="AC17">INDEX('jiliarena_日报_底稿'!$P$2:$DS$34,MATCH($A17,'jiliarena_日报_底稿'!$P$2:$P$34,0),MATCH(AC$3,'jiliarena_日报_底稿'!$P$3:$DS$3,0))</f>
        <v>0</v>
      </c>
      <c r="AD17" s="133" t="str">
        <f t="shared" si="14"/>
        <v>#DIV/0!</v>
      </c>
      <c r="AE17" s="139">
        <f t="array" ref="AE17">INDEX('jiliarena_日报_底稿'!$P$2:$DS$34,MATCH($A17,'jiliarena_日报_底稿'!$P$2:$P$34,0),MATCH(AE$3,'jiliarena_日报_底稿'!$P$3:$DS$3,0))</f>
        <v>698787.03</v>
      </c>
      <c r="AF17" s="139">
        <f t="array" ref="AF17">INDEX('jiliarena_日报_底稿'!$P$2:$DS$34,MATCH($A17,'jiliarena_日报_底稿'!$P$2:$P$34,0),MATCH(AF$3,'jiliarena_日报_底稿'!$P$3:$DS$3,0))</f>
        <v>654158.465</v>
      </c>
      <c r="AG17" s="133">
        <f t="shared" si="16"/>
        <v>0.063866</v>
      </c>
      <c r="AH17" s="139">
        <f t="array" ref="AH17">INDEX('jiliarena_日报_底稿'!$P$2:$DS$34,MATCH($A17,'jiliarena_日报_底稿'!$P$2:$P$34,0),MATCH(AH$3,'jiliarena_日报_底稿'!$P$3:$DS$3,0))</f>
        <v>4507.42</v>
      </c>
      <c r="AI17" s="139">
        <f t="array" ref="AI17">INDEX('jiliarena_日报_底稿'!$P$2:$DS$34,MATCH($A17,'jiliarena_日报_底稿'!$P$2:$P$34,0),MATCH(AI$3,'jiliarena_日报_底稿'!$P$3:$DS$3,0))</f>
        <v>3196.82</v>
      </c>
      <c r="AJ17" s="133">
        <f t="shared" si="18"/>
        <v>0.290765</v>
      </c>
      <c r="AK17" s="139">
        <f t="array" ref="AK17">INDEX('jiliarena_日报_底稿'!$P$2:$DS$34,MATCH($A17,'jiliarena_日报_底稿'!$P$2:$P$34,0),MATCH(AK$3,'jiliarena_日报_底稿'!$P$3:$DS$3,0))</f>
        <v>10892.4</v>
      </c>
      <c r="AL17" s="139">
        <f t="array" ref="AL17">INDEX('jiliarena_日报_底稿'!$P$2:$DS$34,MATCH($A17,'jiliarena_日报_底稿'!$P$2:$P$34,0),MATCH(AL$3,'jiliarena_日报_底稿'!$P$3:$DS$3,0))</f>
        <v>9241.32</v>
      </c>
      <c r="AM17" s="133">
        <f t="shared" si="20"/>
        <v>0.151581</v>
      </c>
      <c r="AN17" s="139">
        <f t="array" ref="AN17">INDEX('jiliarena_日报_底稿'!$P$2:$DS$34,MATCH($A17,'jiliarena_日报_底稿'!$P$2:$P$34,0),MATCH(AN$3,'jiliarena_日报_底稿'!$P$3:$DS$3,0))</f>
        <v>150</v>
      </c>
      <c r="AO17" s="139">
        <f t="array" ref="AO17">INDEX('jiliarena_日报_底稿'!$P$2:$DS$34,MATCH($A17,'jiliarena_日报_底稿'!$P$2:$P$34,0),MATCH(AO$3,'jiliarena_日报_底稿'!$P$3:$DS$3,0))</f>
        <v>52</v>
      </c>
      <c r="AP17" s="133">
        <f t="shared" si="22"/>
        <v>0.653333</v>
      </c>
      <c r="AQ17" s="139">
        <f t="array" ref="AQ17">INDEX('jiliarena_日报_底稿'!$P$2:$DS$34,MATCH($A17,'jiliarena_日报_底稿'!$P$2:$P$34,0),MATCH(AQ$3,'jiliarena_日报_底稿'!$P$3:$DS$3,0))</f>
        <v>2</v>
      </c>
      <c r="AR17" s="139">
        <f t="array" ref="AR17">INDEX('jiliarena_日报_底稿'!$P$2:$DS$34,MATCH($A17,'jiliarena_日报_底稿'!$P$2:$P$34,0),MATCH(AR$3,'jiliarena_日报_底稿'!$P$3:$DS$3,0))</f>
        <v>0</v>
      </c>
      <c r="AS17" s="133">
        <f t="shared" si="24"/>
        <v>1</v>
      </c>
      <c r="AT17" s="140">
        <f>SUMIFS('jiliarena_活动分析数据_底稿'!$K:$K,'jiliarena_活动分析数据_底稿'!$B:$B,$A17,'jiliarena_活动分析数据_底稿'!$L:$L,AT$3)</f>
        <v>3686.1</v>
      </c>
      <c r="AU17" s="140">
        <f>SUMIFS('jiliarena_活动分析数据_底稿'!$K:$K,'jiliarena_活动分析数据_底稿'!$B:$B,$A17,'jiliarena_活动分析数据_底稿'!$L:$L,AU$3)</f>
        <v>0</v>
      </c>
      <c r="AV17" s="140">
        <f>SUMIFS('jiliarena_活动分析数据_底稿'!$K:$K,'jiliarena_活动分析数据_底稿'!$B:$B,$A17,'jiliarena_活动分析数据_底稿'!$L:$L,AV$3)</f>
        <v>767.05</v>
      </c>
      <c r="AW17" s="140">
        <f>SUMIFS('jiliarena_活动分析数据_底稿'!$K:$K,'jiliarena_活动分析数据_底稿'!$B:$B,$A17,'jiliarena_活动分析数据_底稿'!$L:$L,AW$3)</f>
        <v>4946</v>
      </c>
      <c r="AX17" s="140">
        <f>SUMIFS('jiliarena_活动分析数据_底稿'!$K:$K,'jiliarena_活动分析数据_底稿'!$B:$B,$A17,'jiliarena_活动分析数据_底稿'!$L:$L,AX$3)</f>
        <v>439</v>
      </c>
      <c r="AY17" s="140">
        <f>SUMIFS('jiliarena_活动分析数据_底稿'!$K:$K,'jiliarena_活动分析数据_底稿'!$B:$B,$A17,'jiliarena_活动分析数据_底稿'!$L:$L,AY$3)</f>
        <v>0</v>
      </c>
      <c r="AZ17" s="140">
        <f>SUMIFS('jiliarena_活动分析数据_底稿'!$K:$K,'jiliarena_活动分析数据_底稿'!$B:$B,$A17,'jiliarena_活动分析数据_底稿'!$L:$L,AZ$3)</f>
        <v>0</v>
      </c>
      <c r="BA17" s="140">
        <f>SUMIFS('jiliarena_活动分析数据_底稿'!$K:$K,'jiliarena_活动分析数据_底稿'!$B:$B,$A17,'jiliarena_活动分析数据_底稿'!$L:$L,BA$3)</f>
        <v>0</v>
      </c>
      <c r="BB17" s="140">
        <f>SUMIFS('jiliarena_活动分析数据_底稿'!$K:$K,'jiliarena_活动分析数据_底稿'!$B:$B,$A17,'jiliarena_活动分析数据_底稿'!$L:$L,BB$3)</f>
        <v>402.89</v>
      </c>
      <c r="BC17" s="140">
        <f>SUMIFS('jiliarena_活动分析数据_底稿'!$K:$K,'jiliarena_活动分析数据_底稿'!$B:$B,$A17,'jiliarena_活动分析数据_底稿'!$L:$L,BC$3)</f>
        <v>268</v>
      </c>
      <c r="BD17" s="140">
        <f>SUMIFS('jiliarena_活动分析数据_底稿'!$K:$K,'jiliarena_活动分析数据_底稿'!$B:$B,$A17,'jiliarena_活动分析数据_底稿'!$L:$L,BD$3)</f>
        <v>0</v>
      </c>
      <c r="BE17" s="140">
        <f>SUMIFS('jiliarena_活动分析数据_底稿'!$K:$K,'jiliarena_活动分析数据_底稿'!$B:$B,$A17,'jiliarena_活动分析数据_底稿'!$L:$L,BE$3)</f>
        <v>0</v>
      </c>
      <c r="BF17" s="140">
        <f>SUMIFS('jiliarena_活动分析数据_底稿'!$K:$K,'jiliarena_活动分析数据_底稿'!$B:$B,$A17,'jiliarena_活动分析数据_底稿'!$L:$L,BF$3)</f>
        <v>206</v>
      </c>
      <c r="BG17" s="140">
        <f>SUMIFS('jiliarena_活动分析数据_底稿'!$K:$K,'jiliarena_活动分析数据_底稿'!$B:$B,$A17,'jiliarena_活动分析数据_底稿'!$L:$L,BG$3)</f>
        <v>0</v>
      </c>
      <c r="BH17" s="140">
        <f>SUMIFS('jiliarena_活动分析数据_底稿'!$K:$K,'jiliarena_活动分析数据_底稿'!$B:$B,$A17,'jiliarena_活动分析数据_底稿'!$L:$L,BH$3)</f>
        <v>0</v>
      </c>
      <c r="BI17" s="140">
        <f>SUMIFS('jiliarena_活动分析数据_底稿'!$K:$K,'jiliarena_活动分析数据_底稿'!$B:$B,$A17,'jiliarena_活动分析数据_底稿'!$L:$L,BI$3)</f>
        <v>0</v>
      </c>
      <c r="BJ17" s="140">
        <f>SUMIFS('jiliarena_活动分析数据_底稿'!$K:$K,'jiliarena_活动分析数据_底稿'!$B:$B,$A17,'jiliarena_活动分析数据_底稿'!$L:$L,BJ$3)</f>
        <v>4864.5</v>
      </c>
      <c r="BK17" s="140">
        <f>SUMIFS('jiliarena_活动分析数据_底稿'!$K:$K,'jiliarena_活动分析数据_底稿'!$B:$B,$A17,'jiliarena_活动分析数据_底稿'!$L:$L,BK$3)</f>
        <v>0</v>
      </c>
      <c r="BL17" s="140">
        <f>SUMIFS('jiliarena_活动分析数据_底稿'!$K:$K,'jiliarena_活动分析数据_底稿'!$B:$B,$A17,'jiliarena_活动分析数据_底稿'!$L:$L,BL$3)</f>
        <v>0</v>
      </c>
      <c r="BM17" s="140">
        <f>SUMIFS('jiliarena_活动分析数据_底稿'!$K:$K,'jiliarena_活动分析数据_底稿'!$B:$B,$A17,'jiliarena_活动分析数据_底稿'!$L:$L,BM$3)</f>
        <v>0</v>
      </c>
      <c r="BN17" s="140">
        <f>SUMIFS('jiliarena_活动分析数据_底稿'!$K:$K,'jiliarena_活动分析数据_底稿'!$B:$B,$A17,'jiliarena_活动分析数据_底稿'!$L:$L,BN$3)</f>
        <v>0</v>
      </c>
      <c r="BO17" s="140">
        <f>SUMIFS('jiliarena_活动分析数据_底稿'!$K:$K,'jiliarena_活动分析数据_底稿'!$B:$B,$A17,'jiliarena_活动分析数据_底稿'!$L:$L,BO$3)</f>
        <v>0</v>
      </c>
      <c r="BP17" s="140">
        <f>SUMIFS('jiliarena_活动分析数据_底稿'!$K:$K,'jiliarena_活动分析数据_底稿'!$B:$B,$A17,'jiliarena_活动分析数据_底稿'!$L:$L,BP$3)</f>
        <v>0</v>
      </c>
      <c r="BQ17" s="137">
        <f t="shared" si="43"/>
        <v>15579.54</v>
      </c>
      <c r="BR17" s="137">
        <f t="shared" si="44"/>
        <v>3686.1</v>
      </c>
      <c r="BS17" s="137">
        <f t="shared" si="45"/>
        <v>402.89</v>
      </c>
      <c r="BT17" s="133">
        <f t="shared" si="26"/>
        <v>0.023011</v>
      </c>
      <c r="BU17" s="133">
        <f t="shared" si="27"/>
        <v>0.1889688883</v>
      </c>
      <c r="BV17" s="133">
        <f t="shared" si="28"/>
        <v>0.3266819032</v>
      </c>
      <c r="BW17" s="141">
        <f t="shared" si="29"/>
        <v>32110.705</v>
      </c>
      <c r="BX17" s="142">
        <f t="shared" si="30"/>
        <v>0.4851821223</v>
      </c>
      <c r="BY17" s="143">
        <f t="shared" si="31"/>
        <v>1986.9245</v>
      </c>
      <c r="BZ17" s="144">
        <f t="shared" si="32"/>
        <v>152.652</v>
      </c>
      <c r="CA17" s="145">
        <f t="shared" si="33"/>
        <v>2139.5765</v>
      </c>
      <c r="CB17" s="146">
        <f t="shared" si="34"/>
        <v>4292</v>
      </c>
      <c r="CC17" s="142">
        <f t="shared" si="35"/>
        <v>0.06663125272</v>
      </c>
      <c r="CD17" s="137">
        <f t="array" ref="CD17">index('jiliarena_日报_底稿'!$P$3:$DS$34,match(A17,'jiliarena_日报_底稿'!$P$3:$P$34,0),match("综合性分红",'jiliarena_日报_底稿'!$P$3:$DS$3,0))</f>
        <v>0</v>
      </c>
      <c r="CE17" s="147"/>
      <c r="CF17" s="137">
        <f t="array" ref="CF17">INDEX('jiliarena_日报_底稿'!$P$2:$DS$34,MATCH($A17,'jiliarena_日报_底稿'!$P$2:$P$34,0),MATCH(CF$3,'jiliarena_日报_底稿'!$P$3:$DS$3,0))</f>
        <v>0</v>
      </c>
      <c r="CG17" s="137">
        <f t="array" ref="CG17">-INDEX('jiliarena_日报_底稿'!$P$2:$DS$34,MATCH($A17,'jiliarena_日报_底稿'!$P$2:$P$34,0),MATCH(CG$3,'jiliarena_日报_底稿'!$P$3:$DS$3,0))</f>
        <v>0</v>
      </c>
      <c r="CH17" s="137">
        <f t="array" ref="CH17">INDEX('jiliarena_日报_底稿'!$P$2:$DS$34,MATCH($A17,'jiliarena_日报_底稿'!$P$2:$P$34,0),MATCH(CH$3,'jiliarena_日报_底稿'!$P$3:$DS$3,0))</f>
        <v>136799.2424</v>
      </c>
      <c r="CI17" s="141">
        <f t="shared" si="37"/>
        <v>25679.1285</v>
      </c>
      <c r="CJ17" s="148">
        <f t="shared" si="38"/>
        <v>3</v>
      </c>
      <c r="CK17" s="148">
        <f t="shared" si="39"/>
        <v>6</v>
      </c>
    </row>
    <row r="18">
      <c r="A18" s="161">
        <f t="shared" si="46"/>
        <v>46088</v>
      </c>
      <c r="B18" s="130">
        <f t="array" ref="B18">INDEX('jiliarena_日报_底稿'!$A$3:$N$34,MATCH($A18,'jiliarena_日报_底稿'!$A$3:$A$34,0),MATCH(B$3,'jiliarena_日报_底稿'!$A$3:$N$3,0))</f>
        <v>104</v>
      </c>
      <c r="C18" s="130">
        <f t="array" ref="C18">INDEX('jiliarena_日报_底稿'!$A$3:$N$34,MATCH($A18,'jiliarena_日报_底稿'!$A$3:$A$34,0),MATCH(C$3,'jiliarena_日报_底稿'!$A$3:$N$3,0))</f>
        <v>75</v>
      </c>
      <c r="D18" s="130">
        <f t="array" ref="D18">INDEX('jiliarena_日报_底稿'!$A$3:$N$34,MATCH($A18,'jiliarena_日报_底稿'!$A$3:$A$34,0),MATCH(D$3,'jiliarena_日报_底稿'!$A$3:$N$3,0))</f>
        <v>2978</v>
      </c>
      <c r="E18" s="131">
        <v>11.0</v>
      </c>
      <c r="F18" s="130">
        <f t="array" ref="F18">INDEX('jiliarena_日报_底稿'!$A$3:$N$34,MATCH($A18,'jiliarena_日报_底稿'!$A$3:$A$34,0),MATCH(F$3,'jiliarena_日报_底稿'!$A$3:$N$3,0))</f>
        <v>311</v>
      </c>
      <c r="G18" s="130">
        <f>SUMIFS('渠道充值成功率_底稿'!$F:$F,'渠道充值成功率_底稿'!$A:$A,A18)</f>
        <v>460</v>
      </c>
      <c r="H18" s="130">
        <f t="array" ref="H18">INDEX('jiliarena_日报_底稿'!$A$3:$N$34,MATCH($A18,'jiliarena_日报_底稿'!$A$3:$A$34,0),MATCH(H$3,'jiliarena_日报_底稿'!$A$3:$N$3,0))</f>
        <v>72</v>
      </c>
      <c r="I18" s="131">
        <v>96.0</v>
      </c>
      <c r="J18" s="130">
        <f t="array" ref="J18">INDEX('jiliarena_日报_底稿'!$A$3:$N$34,MATCH($A18,'jiliarena_日报_底稿'!$A$3:$A$34,0),MATCH(J$3,'jiliarena_日报_底稿'!$A$3:$N$3,0))</f>
        <v>2099</v>
      </c>
      <c r="K18" s="132">
        <f>SUMIFS('渠道充值成功率_底稿'!$J:$J,'渠道充值成功率_底稿'!$A:$A,$A18)</f>
        <v>9596</v>
      </c>
      <c r="L18" s="132">
        <f t="array" ref="L18">INDEX('jiliarena_日报_底稿'!$A$3:$N$34,MATCH($A18,'jiliarena_日报_底稿'!$A$3:$A$34,0),MATCH(L$3,'jiliarena_日报_底稿'!$A$3:$N$3,0))</f>
        <v>78253</v>
      </c>
      <c r="M18" s="132">
        <f t="array" ref="M18">INDEX('jiliarena_日报_底稿'!$P$2:$DS$34,MATCH($A18,'jiliarena_日报_底稿'!$P$2:$P$34,0),MATCH($M$3,'jiliarena_日报_底稿'!$P$3:$DS$3,0))</f>
        <v>55531</v>
      </c>
      <c r="N18" s="133">
        <f t="shared" si="2"/>
        <v>0.7212</v>
      </c>
      <c r="O18" s="134">
        <f t="shared" si="3"/>
        <v>128</v>
      </c>
      <c r="P18" s="133">
        <f t="shared" si="4"/>
        <v>0.122628</v>
      </c>
      <c r="Q18" s="134">
        <f t="shared" si="5"/>
        <v>1.5</v>
      </c>
      <c r="R18" s="135">
        <f t="shared" si="6"/>
        <v>252</v>
      </c>
      <c r="S18" s="134">
        <f t="shared" si="7"/>
        <v>170</v>
      </c>
      <c r="T18" s="134">
        <f t="shared" si="8"/>
        <v>1.3</v>
      </c>
      <c r="U18" s="135">
        <f t="shared" si="9"/>
        <v>771</v>
      </c>
      <c r="V18" s="136">
        <f t="shared" si="10"/>
        <v>22722</v>
      </c>
      <c r="W18" s="137">
        <f t="shared" si="40"/>
        <v>596338.88</v>
      </c>
      <c r="X18" s="137">
        <f t="array" ref="X18">index('jiliarena_日报_底稿'!$P$2:$DS$34,match($A18,'jiliarena_日报_底稿'!$P$2:$P$34,0),match("电子有效投注",'jiliarena_日报_底稿'!$P$3:$DS$3,0))+index('jiliarena_日报_底稿'!$P$2:$DS$34,match($A18,'jiliarena_日报_底稿'!$P$2:$P$34,0),match("真人有效投注",'jiliarena_日报_底稿'!$P$3:$DS$3,0))+index('jiliarena_日报_底稿'!$P$2:$DS$34,match($A18,'jiliarena_日报_底稿'!$P$2:$P$34,0),match("彩票有效投注",'jiliarena_日报_底稿'!$P$3:$DS$3,0))+index('jiliarena_日报_底稿'!$P$2:$DS$34,match($A18,'jiliarena_日报_底稿'!$P$2:$P$34,0),match("棋牌有效投注",'jiliarena_日报_底稿'!$P$3:$DS$3,0))+index('jiliarena_日报_底稿'!$P$2:$DS$34,match($A18,'jiliarena_日报_底稿'!$P$2:$P$34,0),match("捕鱼有效投注",'jiliarena_日报_底稿'!$P$3:$DS$3,0))+index('jiliarena_日报_底稿'!$P$2:$DS$34,match($A18,'jiliarena_日报_底稿'!$P$2:$P$34,0),match("体育有效投注",'jiliarena_日报_底稿'!$P$3:$DS$3,0))+index('jiliarena_日报_底稿'!$P$2:$DS$34,match($A18,'jiliarena_日报_底稿'!$P$2:$P$34,0),match("盘口彩票有效投注",'jiliarena_日报_底稿'!$P$3:$DS$3,0))</f>
        <v>566030.395</v>
      </c>
      <c r="Y18" s="138">
        <f t="shared" si="41"/>
        <v>16566.735</v>
      </c>
      <c r="Z18" s="137">
        <f t="shared" si="42"/>
        <v>579772.145</v>
      </c>
      <c r="AA18" s="133">
        <f t="shared" si="12"/>
        <v>0.027781</v>
      </c>
      <c r="AB18" s="139">
        <f t="array" ref="AB18">INDEX('jiliarena_日报_底稿'!$P$2:$DS$34,MATCH($A18,'jiliarena_日报_底稿'!$P$2:$P$34,0),MATCH(AB$3,'jiliarena_日报_底稿'!$P$3:$DS$3,0))</f>
        <v>1</v>
      </c>
      <c r="AC18" s="139">
        <f t="array" ref="AC18">INDEX('jiliarena_日报_底稿'!$P$2:$DS$34,MATCH($A18,'jiliarena_日报_底稿'!$P$2:$P$34,0),MATCH(AC$3,'jiliarena_日报_底稿'!$P$3:$DS$3,0))</f>
        <v>0</v>
      </c>
      <c r="AD18" s="133">
        <f t="shared" si="14"/>
        <v>1</v>
      </c>
      <c r="AE18" s="139">
        <f t="array" ref="AE18">INDEX('jiliarena_日报_底稿'!$P$2:$DS$34,MATCH($A18,'jiliarena_日报_底稿'!$P$2:$P$34,0),MATCH(AE$3,'jiliarena_日报_底稿'!$P$3:$DS$3,0))</f>
        <v>586052.88</v>
      </c>
      <c r="AF18" s="139">
        <f t="array" ref="AF18">INDEX('jiliarena_日报_底稿'!$P$2:$DS$34,MATCH($A18,'jiliarena_日报_底稿'!$P$2:$P$34,0),MATCH(AF$3,'jiliarena_日报_底稿'!$P$3:$DS$3,0))</f>
        <v>571806.765</v>
      </c>
      <c r="AG18" s="133">
        <f t="shared" si="16"/>
        <v>0.024309</v>
      </c>
      <c r="AH18" s="139">
        <f t="array" ref="AH18">INDEX('jiliarena_日报_底稿'!$P$2:$DS$34,MATCH($A18,'jiliarena_日报_底稿'!$P$2:$P$34,0),MATCH(AH$3,'jiliarena_日报_底稿'!$P$3:$DS$3,0))</f>
        <v>6927.45</v>
      </c>
      <c r="AI18" s="139">
        <f t="array" ref="AI18">INDEX('jiliarena_日报_底稿'!$P$2:$DS$34,MATCH($A18,'jiliarena_日报_底稿'!$P$2:$P$34,0),MATCH(AI$3,'jiliarena_日报_底稿'!$P$3:$DS$3,0))</f>
        <v>5238.3</v>
      </c>
      <c r="AJ18" s="133">
        <f t="shared" si="18"/>
        <v>0.243834</v>
      </c>
      <c r="AK18" s="139">
        <f t="array" ref="AK18">INDEX('jiliarena_日报_底稿'!$P$2:$DS$34,MATCH($A18,'jiliarena_日报_底稿'!$P$2:$P$34,0),MATCH(AK$3,'jiliarena_日报_底稿'!$P$3:$DS$3,0))</f>
        <v>3056.55</v>
      </c>
      <c r="AL18" s="139">
        <f t="array" ref="AL18">INDEX('jiliarena_日报_底稿'!$P$2:$DS$34,MATCH($A18,'jiliarena_日报_底稿'!$P$2:$P$34,0),MATCH(AL$3,'jiliarena_日报_底稿'!$P$3:$DS$3,0))</f>
        <v>2586.08</v>
      </c>
      <c r="AM18" s="133">
        <f t="shared" si="20"/>
        <v>0.153922</v>
      </c>
      <c r="AN18" s="139">
        <f t="array" ref="AN18">INDEX('jiliarena_日报_底稿'!$P$2:$DS$34,MATCH($A18,'jiliarena_日报_底稿'!$P$2:$P$34,0),MATCH(AN$3,'jiliarena_日报_底稿'!$P$3:$DS$3,0))</f>
        <v>300</v>
      </c>
      <c r="AO18" s="139">
        <f t="array" ref="AO18">INDEX('jiliarena_日报_底稿'!$P$2:$DS$34,MATCH($A18,'jiliarena_日报_底稿'!$P$2:$P$34,0),MATCH(AO$3,'jiliarena_日报_底稿'!$P$3:$DS$3,0))</f>
        <v>141</v>
      </c>
      <c r="AP18" s="133">
        <f t="shared" si="22"/>
        <v>0.53</v>
      </c>
      <c r="AQ18" s="139">
        <f t="array" ref="AQ18">INDEX('jiliarena_日报_底稿'!$P$2:$DS$34,MATCH($A18,'jiliarena_日报_底稿'!$P$2:$P$34,0),MATCH(AQ$3,'jiliarena_日报_底稿'!$P$3:$DS$3,0))</f>
        <v>1</v>
      </c>
      <c r="AR18" s="139">
        <f t="array" ref="AR18">INDEX('jiliarena_日报_底稿'!$P$2:$DS$34,MATCH($A18,'jiliarena_日报_底稿'!$P$2:$P$34,0),MATCH(AR$3,'jiliarena_日报_底稿'!$P$3:$DS$3,0))</f>
        <v>0</v>
      </c>
      <c r="AS18" s="133">
        <f t="shared" si="24"/>
        <v>1</v>
      </c>
      <c r="AT18" s="140">
        <f>SUMIFS('jiliarena_活动分析数据_底稿'!$K:$K,'jiliarena_活动分析数据_底稿'!$B:$B,$A18,'jiliarena_活动分析数据_底稿'!$L:$L,AT$3)</f>
        <v>1784.98</v>
      </c>
      <c r="AU18" s="140">
        <f>SUMIFS('jiliarena_活动分析数据_底稿'!$K:$K,'jiliarena_活动分析数据_底稿'!$B:$B,$A18,'jiliarena_活动分析数据_底稿'!$L:$L,AU$3)</f>
        <v>0</v>
      </c>
      <c r="AV18" s="140">
        <f>SUMIFS('jiliarena_活动分析数据_底稿'!$K:$K,'jiliarena_活动分析数据_底稿'!$B:$B,$A18,'jiliarena_活动分析数据_底稿'!$L:$L,AV$3)</f>
        <v>777.03</v>
      </c>
      <c r="AW18" s="140">
        <f>SUMIFS('jiliarena_活动分析数据_底稿'!$K:$K,'jiliarena_活动分析数据_底稿'!$B:$B,$A18,'jiliarena_活动分析数据_底稿'!$L:$L,AW$3)</f>
        <v>4108</v>
      </c>
      <c r="AX18" s="140">
        <f>SUMIFS('jiliarena_活动分析数据_底稿'!$K:$K,'jiliarena_活动分析数据_底稿'!$B:$B,$A18,'jiliarena_活动分析数据_底稿'!$L:$L,AX$3)</f>
        <v>282</v>
      </c>
      <c r="AY18" s="140">
        <f>SUMIFS('jiliarena_活动分析数据_底稿'!$K:$K,'jiliarena_活动分析数据_底稿'!$B:$B,$A18,'jiliarena_活动分析数据_底稿'!$L:$L,AY$3)</f>
        <v>0</v>
      </c>
      <c r="AZ18" s="140">
        <f>SUMIFS('jiliarena_活动分析数据_底稿'!$K:$K,'jiliarena_活动分析数据_底稿'!$B:$B,$A18,'jiliarena_活动分析数据_底稿'!$L:$L,AZ$3)</f>
        <v>0</v>
      </c>
      <c r="BA18" s="140">
        <f>SUMIFS('jiliarena_活动分析数据_底稿'!$K:$K,'jiliarena_活动分析数据_底稿'!$B:$B,$A18,'jiliarena_活动分析数据_底稿'!$L:$L,BA$3)</f>
        <v>0</v>
      </c>
      <c r="BB18" s="140">
        <f>SUMIFS('jiliarena_活动分析数据_底稿'!$K:$K,'jiliarena_活动分析数据_底稿'!$B:$B,$A18,'jiliarena_活动分析数据_底稿'!$L:$L,BB$3)</f>
        <v>119.46</v>
      </c>
      <c r="BC18" s="140">
        <f>SUMIFS('jiliarena_活动分析数据_底稿'!$K:$K,'jiliarena_活动分析数据_底稿'!$B:$B,$A18,'jiliarena_活动分析数据_底稿'!$L:$L,BC$3)</f>
        <v>237</v>
      </c>
      <c r="BD18" s="140">
        <f>SUMIFS('jiliarena_活动分析数据_底稿'!$K:$K,'jiliarena_活动分析数据_底稿'!$B:$B,$A18,'jiliarena_活动分析数据_底稿'!$L:$L,BD$3)</f>
        <v>0</v>
      </c>
      <c r="BE18" s="140">
        <f>SUMIFS('jiliarena_活动分析数据_底稿'!$K:$K,'jiliarena_活动分析数据_底稿'!$B:$B,$A18,'jiliarena_活动分析数据_底稿'!$L:$L,BE$3)</f>
        <v>0</v>
      </c>
      <c r="BF18" s="140">
        <f>SUMIFS('jiliarena_活动分析数据_底稿'!$K:$K,'jiliarena_活动分析数据_底稿'!$B:$B,$A18,'jiliarena_活动分析数据_底稿'!$L:$L,BF$3)</f>
        <v>171</v>
      </c>
      <c r="BG18" s="140">
        <f>SUMIFS('jiliarena_活动分析数据_底稿'!$K:$K,'jiliarena_活动分析数据_底稿'!$B:$B,$A18,'jiliarena_活动分析数据_底稿'!$L:$L,BG$3)</f>
        <v>0</v>
      </c>
      <c r="BH18" s="140">
        <f>SUMIFS('jiliarena_活动分析数据_底稿'!$K:$K,'jiliarena_活动分析数据_底稿'!$B:$B,$A18,'jiliarena_活动分析数据_底稿'!$L:$L,BH$3)</f>
        <v>0</v>
      </c>
      <c r="BI18" s="140">
        <f>SUMIFS('jiliarena_活动分析数据_底稿'!$K:$K,'jiliarena_活动分析数据_底稿'!$B:$B,$A18,'jiliarena_活动分析数据_底稿'!$L:$L,BI$3)</f>
        <v>0</v>
      </c>
      <c r="BJ18" s="140">
        <f>SUMIFS('jiliarena_活动分析数据_底稿'!$K:$K,'jiliarena_活动分析数据_底稿'!$B:$B,$A18,'jiliarena_活动分析数据_底稿'!$L:$L,BJ$3)</f>
        <v>2409</v>
      </c>
      <c r="BK18" s="140">
        <f>SUMIFS('jiliarena_活动分析数据_底稿'!$K:$K,'jiliarena_活动分析数据_底稿'!$B:$B,$A18,'jiliarena_活动分析数据_底稿'!$L:$L,BK$3)</f>
        <v>0</v>
      </c>
      <c r="BL18" s="140">
        <f>SUMIFS('jiliarena_活动分析数据_底稿'!$K:$K,'jiliarena_活动分析数据_底稿'!$B:$B,$A18,'jiliarena_活动分析数据_底稿'!$L:$L,BL$3)</f>
        <v>0</v>
      </c>
      <c r="BM18" s="140">
        <f>SUMIFS('jiliarena_活动分析数据_底稿'!$K:$K,'jiliarena_活动分析数据_底稿'!$B:$B,$A18,'jiliarena_活动分析数据_底稿'!$L:$L,BM$3)</f>
        <v>0</v>
      </c>
      <c r="BN18" s="140">
        <f>SUMIFS('jiliarena_活动分析数据_底稿'!$K:$K,'jiliarena_活动分析数据_底稿'!$B:$B,$A18,'jiliarena_活动分析数据_底稿'!$L:$L,BN$3)</f>
        <v>0</v>
      </c>
      <c r="BO18" s="140">
        <f>SUMIFS('jiliarena_活动分析数据_底稿'!$K:$K,'jiliarena_活动分析数据_底稿'!$B:$B,$A18,'jiliarena_活动分析数据_底稿'!$L:$L,BO$3)</f>
        <v>0</v>
      </c>
      <c r="BP18" s="140">
        <f>SUMIFS('jiliarena_活动分析数据_底稿'!$K:$K,'jiliarena_活动分析数据_底稿'!$B:$B,$A18,'jiliarena_活动分析数据_底稿'!$L:$L,BP$3)</f>
        <v>0</v>
      </c>
      <c r="BQ18" s="137">
        <f t="shared" si="43"/>
        <v>9888.47</v>
      </c>
      <c r="BR18" s="137">
        <f t="shared" si="44"/>
        <v>1784.98</v>
      </c>
      <c r="BS18" s="137">
        <f t="shared" si="45"/>
        <v>119.46</v>
      </c>
      <c r="BT18" s="133">
        <f t="shared" si="26"/>
        <v>0.01747</v>
      </c>
      <c r="BU18" s="133">
        <f t="shared" si="27"/>
        <v>0.126365379</v>
      </c>
      <c r="BV18" s="133">
        <f t="shared" si="28"/>
        <v>0.5968870752</v>
      </c>
      <c r="BW18" s="141">
        <f t="shared" si="29"/>
        <v>6678.265</v>
      </c>
      <c r="BX18" s="142">
        <f t="shared" si="30"/>
        <v>1.480694462</v>
      </c>
      <c r="BY18" s="143">
        <f t="shared" si="31"/>
        <v>1885.8973</v>
      </c>
      <c r="BZ18" s="144">
        <f t="shared" si="32"/>
        <v>111.062</v>
      </c>
      <c r="CA18" s="145">
        <f t="shared" si="33"/>
        <v>1996.9593</v>
      </c>
      <c r="CB18" s="146">
        <f t="shared" si="34"/>
        <v>1491</v>
      </c>
      <c r="CC18" s="142">
        <f t="shared" si="35"/>
        <v>0.2990236686</v>
      </c>
      <c r="CD18" s="137">
        <f t="array" ref="CD18">index('jiliarena_日报_底稿'!$P$3:$DS$34,match(A18,'jiliarena_日报_底稿'!$P$3:$P$34,0),match("综合性分红",'jiliarena_日报_底稿'!$P$3:$DS$3,0))</f>
        <v>0</v>
      </c>
      <c r="CE18" s="147"/>
      <c r="CF18" s="137">
        <f t="array" ref="CF18">INDEX('jiliarena_日报_底稿'!$P$2:$DS$34,MATCH($A18,'jiliarena_日报_底稿'!$P$2:$P$34,0),MATCH(CF$3,'jiliarena_日报_底稿'!$P$3:$DS$3,0))</f>
        <v>0</v>
      </c>
      <c r="CG18" s="137">
        <f t="array" ref="CG18">-INDEX('jiliarena_日报_底稿'!$P$2:$DS$34,MATCH($A18,'jiliarena_日报_底稿'!$P$2:$P$34,0),MATCH(CG$3,'jiliarena_日报_底稿'!$P$3:$DS$3,0))</f>
        <v>0</v>
      </c>
      <c r="CH18" s="137">
        <f t="array" ref="CH18">INDEX('jiliarena_日报_底稿'!$P$2:$DS$34,MATCH($A18,'jiliarena_日报_底稿'!$P$2:$P$34,0),MATCH(CH$3,'jiliarena_日报_底稿'!$P$3:$DS$3,0))</f>
        <v>136707.0309</v>
      </c>
      <c r="CI18" s="141">
        <f t="shared" si="37"/>
        <v>3190.3057</v>
      </c>
      <c r="CJ18" s="148">
        <f t="shared" si="38"/>
        <v>3</v>
      </c>
      <c r="CK18" s="148">
        <f t="shared" si="39"/>
        <v>7</v>
      </c>
    </row>
    <row r="19">
      <c r="A19" s="129">
        <f t="shared" si="46"/>
        <v>46089</v>
      </c>
      <c r="B19" s="130">
        <f t="array" ref="B19">INDEX('jiliarena_日报_底稿'!$A$3:$N$34,MATCH($A19,'jiliarena_日报_底稿'!$A$3:$A$34,0),MATCH(B$3,'jiliarena_日报_底稿'!$A$3:$N$3,0))</f>
        <v>128</v>
      </c>
      <c r="C19" s="130">
        <f t="array" ref="C19">INDEX('jiliarena_日报_底稿'!$A$3:$N$34,MATCH($A19,'jiliarena_日报_底稿'!$A$3:$A$34,0),MATCH(C$3,'jiliarena_日报_底稿'!$A$3:$N$3,0))</f>
        <v>70</v>
      </c>
      <c r="D19" s="130">
        <f t="array" ref="D19">INDEX('jiliarena_日报_底稿'!$A$3:$N$34,MATCH($A19,'jiliarena_日报_底稿'!$A$3:$A$34,0),MATCH(D$3,'jiliarena_日报_底稿'!$A$3:$N$3,0))</f>
        <v>2944</v>
      </c>
      <c r="E19" s="131">
        <v>9.0</v>
      </c>
      <c r="F19" s="130">
        <f t="array" ref="F19">INDEX('jiliarena_日报_底稿'!$A$3:$N$34,MATCH($A19,'jiliarena_日报_底稿'!$A$3:$A$34,0),MATCH(F$3,'jiliarena_日报_底稿'!$A$3:$N$3,0))</f>
        <v>293</v>
      </c>
      <c r="G19" s="130">
        <f>SUMIFS('渠道充值成功率_底稿'!$F:$F,'渠道充值成功率_底稿'!$A:$A,A19)</f>
        <v>452</v>
      </c>
      <c r="H19" s="130">
        <f t="array" ref="H19">INDEX('jiliarena_日报_底稿'!$A$3:$N$34,MATCH($A19,'jiliarena_日报_底稿'!$A$3:$A$34,0),MATCH(H$3,'jiliarena_日报_底稿'!$A$3:$N$3,0))</f>
        <v>63</v>
      </c>
      <c r="I19" s="131">
        <v>79.0</v>
      </c>
      <c r="J19" s="130">
        <f t="array" ref="J19">INDEX('jiliarena_日报_底稿'!$A$3:$N$34,MATCH($A19,'jiliarena_日报_底稿'!$A$3:$A$34,0),MATCH(J$3,'jiliarena_日报_底稿'!$A$3:$N$3,0))</f>
        <v>2192</v>
      </c>
      <c r="K19" s="132">
        <f>SUMIFS('渠道充值成功率_底稿'!$J:$J,'渠道充值成功率_底稿'!$A:$A,$A19)</f>
        <v>7718</v>
      </c>
      <c r="L19" s="132">
        <f t="array" ref="L19">INDEX('jiliarena_日报_底稿'!$A$3:$N$34,MATCH($A19,'jiliarena_日报_底稿'!$A$3:$A$34,0),MATCH(L$3,'jiliarena_日报_底稿'!$A$3:$N$3,0))</f>
        <v>74194</v>
      </c>
      <c r="M19" s="132">
        <f t="array" ref="M19">INDEX('jiliarena_日报_底稿'!$P$2:$DS$34,MATCH($A19,'jiliarena_日报_底稿'!$P$2:$P$34,0),MATCH($M$3,'jiliarena_日报_底稿'!$P$3:$DS$3,0))</f>
        <v>63261</v>
      </c>
      <c r="N19" s="133">
        <f t="shared" si="2"/>
        <v>0.5469</v>
      </c>
      <c r="O19" s="134">
        <f t="shared" si="3"/>
        <v>110</v>
      </c>
      <c r="P19" s="133">
        <f t="shared" si="4"/>
        <v>0.104025</v>
      </c>
      <c r="Q19" s="134">
        <f t="shared" si="5"/>
        <v>1.5</v>
      </c>
      <c r="R19" s="135">
        <f t="shared" si="6"/>
        <v>253</v>
      </c>
      <c r="S19" s="134">
        <f t="shared" si="7"/>
        <v>164</v>
      </c>
      <c r="T19" s="134">
        <f t="shared" si="8"/>
        <v>1.5</v>
      </c>
      <c r="U19" s="135">
        <f t="shared" si="9"/>
        <v>1004</v>
      </c>
      <c r="V19" s="136">
        <f t="shared" si="10"/>
        <v>10933</v>
      </c>
      <c r="W19" s="137">
        <f t="shared" si="40"/>
        <v>600686.94</v>
      </c>
      <c r="X19" s="137">
        <f t="array" ref="X19">index('jiliarena_日报_底稿'!$P$2:$DS$34,match($A19,'jiliarena_日报_底稿'!$P$2:$P$34,0),match("电子有效投注",'jiliarena_日报_底稿'!$P$3:$DS$3,0))+index('jiliarena_日报_底稿'!$P$2:$DS$34,match($A19,'jiliarena_日报_底稿'!$P$2:$P$34,0),match("真人有效投注",'jiliarena_日报_底稿'!$P$3:$DS$3,0))+index('jiliarena_日报_底稿'!$P$2:$DS$34,match($A19,'jiliarena_日报_底稿'!$P$2:$P$34,0),match("彩票有效投注",'jiliarena_日报_底稿'!$P$3:$DS$3,0))+index('jiliarena_日报_底稿'!$P$2:$DS$34,match($A19,'jiliarena_日报_底稿'!$P$2:$P$34,0),match("棋牌有效投注",'jiliarena_日报_底稿'!$P$3:$DS$3,0))+index('jiliarena_日报_底稿'!$P$2:$DS$34,match($A19,'jiliarena_日报_底稿'!$P$2:$P$34,0),match("捕鱼有效投注",'jiliarena_日报_底稿'!$P$3:$DS$3,0))+index('jiliarena_日报_底稿'!$P$2:$DS$34,match($A19,'jiliarena_日报_底稿'!$P$2:$P$34,0),match("体育有效投注",'jiliarena_日报_底稿'!$P$3:$DS$3,0))+index('jiliarena_日报_底稿'!$P$2:$DS$34,match($A19,'jiliarena_日报_底稿'!$P$2:$P$34,0),match("盘口彩票有效投注",'jiliarena_日报_底稿'!$P$3:$DS$3,0))</f>
        <v>565918.89</v>
      </c>
      <c r="Y19" s="138">
        <f t="shared" si="41"/>
        <v>19024.71</v>
      </c>
      <c r="Z19" s="137">
        <f t="shared" si="42"/>
        <v>581662.23</v>
      </c>
      <c r="AA19" s="133">
        <f t="shared" si="12"/>
        <v>0.031672</v>
      </c>
      <c r="AB19" s="139">
        <f t="array" ref="AB19">INDEX('jiliarena_日报_底稿'!$P$2:$DS$34,MATCH($A19,'jiliarena_日报_底稿'!$P$2:$P$34,0),MATCH(AB$3,'jiliarena_日报_底稿'!$P$3:$DS$3,0))</f>
        <v>0</v>
      </c>
      <c r="AC19" s="139">
        <f t="array" ref="AC19">INDEX('jiliarena_日报_底稿'!$P$2:$DS$34,MATCH($A19,'jiliarena_日报_底稿'!$P$2:$P$34,0),MATCH(AC$3,'jiliarena_日报_底稿'!$P$3:$DS$3,0))</f>
        <v>0</v>
      </c>
      <c r="AD19" s="133" t="str">
        <f t="shared" si="14"/>
        <v>#DIV/0!</v>
      </c>
      <c r="AE19" s="139">
        <f t="array" ref="AE19">INDEX('jiliarena_日报_底稿'!$P$2:$DS$34,MATCH($A19,'jiliarena_日报_底稿'!$P$2:$P$34,0),MATCH(AE$3,'jiliarena_日报_底稿'!$P$3:$DS$3,0))</f>
        <v>597649.12</v>
      </c>
      <c r="AF19" s="139">
        <f t="array" ref="AF19">INDEX('jiliarena_日报_底稿'!$P$2:$DS$34,MATCH($A19,'jiliarena_日报_底稿'!$P$2:$P$34,0),MATCH(AF$3,'jiliarena_日报_底稿'!$P$3:$DS$3,0))</f>
        <v>578135.45</v>
      </c>
      <c r="AG19" s="133">
        <f t="shared" si="16"/>
        <v>0.032651</v>
      </c>
      <c r="AH19" s="139">
        <f t="array" ref="AH19">INDEX('jiliarena_日报_底稿'!$P$2:$DS$34,MATCH($A19,'jiliarena_日报_底稿'!$P$2:$P$34,0),MATCH(AH$3,'jiliarena_日报_底稿'!$P$3:$DS$3,0))</f>
        <v>840.72</v>
      </c>
      <c r="AI19" s="139">
        <f t="array" ref="AI19">INDEX('jiliarena_日报_底稿'!$P$2:$DS$34,MATCH($A19,'jiliarena_日报_底稿'!$P$2:$P$34,0),MATCH(AI$3,'jiliarena_日报_底稿'!$P$3:$DS$3,0))</f>
        <v>330</v>
      </c>
      <c r="AJ19" s="133">
        <f t="shared" si="18"/>
        <v>0.607479</v>
      </c>
      <c r="AK19" s="139">
        <f t="array" ref="AK19">INDEX('jiliarena_日报_底稿'!$P$2:$DS$34,MATCH($A19,'jiliarena_日报_底稿'!$P$2:$P$34,0),MATCH(AK$3,'jiliarena_日报_底稿'!$P$3:$DS$3,0))</f>
        <v>2196.1</v>
      </c>
      <c r="AL19" s="139">
        <f t="array" ref="AL19">INDEX('jiliarena_日报_底稿'!$P$2:$DS$34,MATCH($A19,'jiliarena_日报_底稿'!$P$2:$P$34,0),MATCH(AL$3,'jiliarena_日报_底稿'!$P$3:$DS$3,0))</f>
        <v>3196.78</v>
      </c>
      <c r="AM19" s="133">
        <f t="shared" si="20"/>
        <v>-0.455662</v>
      </c>
      <c r="AN19" s="139">
        <f t="array" ref="AN19">INDEX('jiliarena_日报_底稿'!$P$2:$DS$34,MATCH($A19,'jiliarena_日报_底稿'!$P$2:$P$34,0),MATCH(AN$3,'jiliarena_日报_底稿'!$P$3:$DS$3,0))</f>
        <v>0</v>
      </c>
      <c r="AO19" s="139">
        <f t="array" ref="AO19">INDEX('jiliarena_日报_底稿'!$P$2:$DS$34,MATCH($A19,'jiliarena_日报_底稿'!$P$2:$P$34,0),MATCH(AO$3,'jiliarena_日报_底稿'!$P$3:$DS$3,0))</f>
        <v>0</v>
      </c>
      <c r="AP19" s="133" t="str">
        <f t="shared" si="22"/>
        <v>#DIV/0!</v>
      </c>
      <c r="AQ19" s="139">
        <f t="array" ref="AQ19">INDEX('jiliarena_日报_底稿'!$P$2:$DS$34,MATCH($A19,'jiliarena_日报_底稿'!$P$2:$P$34,0),MATCH(AQ$3,'jiliarena_日报_底稿'!$P$3:$DS$3,0))</f>
        <v>1</v>
      </c>
      <c r="AR19" s="139">
        <f t="array" ref="AR19">INDEX('jiliarena_日报_底稿'!$P$2:$DS$34,MATCH($A19,'jiliarena_日报_底稿'!$P$2:$P$34,0),MATCH(AR$3,'jiliarena_日报_底稿'!$P$3:$DS$3,0))</f>
        <v>0</v>
      </c>
      <c r="AS19" s="133">
        <f t="shared" si="24"/>
        <v>1</v>
      </c>
      <c r="AT19" s="140">
        <f>SUMIFS('jiliarena_活动分析数据_底稿'!$K:$K,'jiliarena_活动分析数据_底稿'!$B:$B,$A19,'jiliarena_活动分析数据_底稿'!$L:$L,AT$3)</f>
        <v>1759.84</v>
      </c>
      <c r="AU19" s="140">
        <f>SUMIFS('jiliarena_活动分析数据_底稿'!$K:$K,'jiliarena_活动分析数据_底稿'!$B:$B,$A19,'jiliarena_活动分析数据_底稿'!$L:$L,AU$3)</f>
        <v>0</v>
      </c>
      <c r="AV19" s="140">
        <f>SUMIFS('jiliarena_活动分析数据_底稿'!$K:$K,'jiliarena_活动分析数据_底稿'!$B:$B,$A19,'jiliarena_活动分析数据_底稿'!$L:$L,AV$3)</f>
        <v>374.44</v>
      </c>
      <c r="AW19" s="140">
        <f>SUMIFS('jiliarena_活动分析数据_底稿'!$K:$K,'jiliarena_活动分析数据_底稿'!$B:$B,$A19,'jiliarena_活动分析数据_底稿'!$L:$L,AW$3)</f>
        <v>4149</v>
      </c>
      <c r="AX19" s="140">
        <f>SUMIFS('jiliarena_活动分析数据_底稿'!$K:$K,'jiliarena_活动分析数据_底稿'!$B:$B,$A19,'jiliarena_活动分析数据_底稿'!$L:$L,AX$3)</f>
        <v>224</v>
      </c>
      <c r="AY19" s="140">
        <f>SUMIFS('jiliarena_活动分析数据_底稿'!$K:$K,'jiliarena_活动分析数据_底稿'!$B:$B,$A19,'jiliarena_活动分析数据_底稿'!$L:$L,AY$3)</f>
        <v>0</v>
      </c>
      <c r="AZ19" s="140">
        <f>SUMIFS('jiliarena_活动分析数据_底稿'!$K:$K,'jiliarena_活动分析数据_底稿'!$B:$B,$A19,'jiliarena_活动分析数据_底稿'!$L:$L,AZ$3)</f>
        <v>0</v>
      </c>
      <c r="BA19" s="140">
        <f>SUMIFS('jiliarena_活动分析数据_底稿'!$K:$K,'jiliarena_活动分析数据_底稿'!$B:$B,$A19,'jiliarena_活动分析数据_底稿'!$L:$L,BA$3)</f>
        <v>0</v>
      </c>
      <c r="BB19" s="140">
        <f>SUMIFS('jiliarena_活动分析数据_底稿'!$K:$K,'jiliarena_活动分析数据_底稿'!$B:$B,$A19,'jiliarena_活动分析数据_底稿'!$L:$L,BB$3)</f>
        <v>223.22</v>
      </c>
      <c r="BC19" s="140">
        <f>SUMIFS('jiliarena_活动分析数据_底稿'!$K:$K,'jiliarena_活动分析数据_底稿'!$B:$B,$A19,'jiliarena_活动分析数据_底稿'!$L:$L,BC$3)</f>
        <v>182</v>
      </c>
      <c r="BD19" s="140">
        <f>SUMIFS('jiliarena_活动分析数据_底稿'!$K:$K,'jiliarena_活动分析数据_底稿'!$B:$B,$A19,'jiliarena_活动分析数据_底稿'!$L:$L,BD$3)</f>
        <v>0</v>
      </c>
      <c r="BE19" s="140">
        <f>SUMIFS('jiliarena_活动分析数据_底稿'!$K:$K,'jiliarena_活动分析数据_底稿'!$B:$B,$A19,'jiliarena_活动分析数据_底稿'!$L:$L,BE$3)</f>
        <v>0</v>
      </c>
      <c r="BF19" s="140">
        <f>SUMIFS('jiliarena_活动分析数据_底稿'!$K:$K,'jiliarena_活动分析数据_底稿'!$B:$B,$A19,'jiliarena_活动分析数据_底稿'!$L:$L,BF$3)</f>
        <v>174</v>
      </c>
      <c r="BG19" s="140">
        <f>SUMIFS('jiliarena_活动分析数据_底稿'!$K:$K,'jiliarena_活动分析数据_底稿'!$B:$B,$A19,'jiliarena_活动分析数据_底稿'!$L:$L,BG$3)</f>
        <v>0</v>
      </c>
      <c r="BH19" s="140">
        <f>SUMIFS('jiliarena_活动分析数据_底稿'!$K:$K,'jiliarena_活动分析数据_底稿'!$B:$B,$A19,'jiliarena_活动分析数据_底稿'!$L:$L,BH$3)</f>
        <v>0</v>
      </c>
      <c r="BI19" s="140">
        <f>SUMIFS('jiliarena_活动分析数据_底稿'!$K:$K,'jiliarena_活动分析数据_底稿'!$B:$B,$A19,'jiliarena_活动分析数据_底稿'!$L:$L,BI$3)</f>
        <v>0</v>
      </c>
      <c r="BJ19" s="140">
        <f>SUMIFS('jiliarena_活动分析数据_底稿'!$K:$K,'jiliarena_活动分析数据_底稿'!$B:$B,$A19,'jiliarena_活动分析数据_底稿'!$L:$L,BJ$3)</f>
        <v>2455.5</v>
      </c>
      <c r="BK19" s="140">
        <f>SUMIFS('jiliarena_活动分析数据_底稿'!$K:$K,'jiliarena_活动分析数据_底稿'!$B:$B,$A19,'jiliarena_活动分析数据_底稿'!$L:$L,BK$3)</f>
        <v>0</v>
      </c>
      <c r="BL19" s="140">
        <f>SUMIFS('jiliarena_活动分析数据_底稿'!$K:$K,'jiliarena_活动分析数据_底稿'!$B:$B,$A19,'jiliarena_活动分析数据_底稿'!$L:$L,BL$3)</f>
        <v>0</v>
      </c>
      <c r="BM19" s="140">
        <f>SUMIFS('jiliarena_活动分析数据_底稿'!$K:$K,'jiliarena_活动分析数据_底稿'!$B:$B,$A19,'jiliarena_活动分析数据_底稿'!$L:$L,BM$3)</f>
        <v>0</v>
      </c>
      <c r="BN19" s="140">
        <f>SUMIFS('jiliarena_活动分析数据_底稿'!$K:$K,'jiliarena_活动分析数据_底稿'!$B:$B,$A19,'jiliarena_活动分析数据_底稿'!$L:$L,BN$3)</f>
        <v>0</v>
      </c>
      <c r="BO19" s="140">
        <f>SUMIFS('jiliarena_活动分析数据_底稿'!$K:$K,'jiliarena_活动分析数据_底稿'!$B:$B,$A19,'jiliarena_活动分析数据_底稿'!$L:$L,BO$3)</f>
        <v>0</v>
      </c>
      <c r="BP19" s="140">
        <f>SUMIFS('jiliarena_活动分析数据_底稿'!$K:$K,'jiliarena_活动分析数据_底稿'!$B:$B,$A19,'jiliarena_活动分析数据_底稿'!$L:$L,BP$3)</f>
        <v>0</v>
      </c>
      <c r="BQ19" s="137">
        <f t="shared" si="43"/>
        <v>9542</v>
      </c>
      <c r="BR19" s="137">
        <f t="shared" si="44"/>
        <v>1759.84</v>
      </c>
      <c r="BS19" s="137">
        <f t="shared" si="45"/>
        <v>223.22</v>
      </c>
      <c r="BT19" s="133">
        <f t="shared" si="26"/>
        <v>0.016861</v>
      </c>
      <c r="BU19" s="133">
        <f t="shared" si="27"/>
        <v>0.1286087824</v>
      </c>
      <c r="BV19" s="133">
        <f t="shared" si="28"/>
        <v>0.5015582366</v>
      </c>
      <c r="BW19" s="141">
        <f t="shared" si="29"/>
        <v>9482.71</v>
      </c>
      <c r="BX19" s="142">
        <f t="shared" si="30"/>
        <v>1.006252432</v>
      </c>
      <c r="BY19" s="143">
        <f t="shared" si="31"/>
        <v>1788.0754</v>
      </c>
      <c r="BZ19" s="144">
        <f t="shared" si="32"/>
        <v>126.522</v>
      </c>
      <c r="CA19" s="145">
        <f t="shared" si="33"/>
        <v>1914.5974</v>
      </c>
      <c r="CB19" s="146">
        <f t="shared" si="34"/>
        <v>1712</v>
      </c>
      <c r="CC19" s="142">
        <f t="shared" si="35"/>
        <v>0.2019040338</v>
      </c>
      <c r="CD19" s="137">
        <f t="array" ref="CD19">index('jiliarena_日报_底稿'!$P$3:$DS$34,match(A19,'jiliarena_日报_底稿'!$P$3:$P$34,0),match("综合性分红",'jiliarena_日报_底稿'!$P$3:$DS$3,0))</f>
        <v>0</v>
      </c>
      <c r="CE19" s="147"/>
      <c r="CF19" s="137">
        <f t="array" ref="CF19">INDEX('jiliarena_日报_底稿'!$P$2:$DS$34,MATCH($A19,'jiliarena_日报_底稿'!$P$2:$P$34,0),MATCH(CF$3,'jiliarena_日报_底稿'!$P$3:$DS$3,0))</f>
        <v>0</v>
      </c>
      <c r="CG19" s="137">
        <f t="array" ref="CG19">-INDEX('jiliarena_日报_底稿'!$P$2:$DS$34,MATCH($A19,'jiliarena_日报_底稿'!$P$2:$P$34,0),MATCH(CG$3,'jiliarena_日报_底稿'!$P$3:$DS$3,0))</f>
        <v>0</v>
      </c>
      <c r="CH19" s="137">
        <f t="array" ref="CH19">INDEX('jiliarena_日报_底稿'!$P$2:$DS$34,MATCH($A19,'jiliarena_日报_底稿'!$P$2:$P$34,0),MATCH(CH$3,'jiliarena_日报_底稿'!$P$3:$DS$3,0))</f>
        <v>141243.5781</v>
      </c>
      <c r="CI19" s="141">
        <f t="shared" si="37"/>
        <v>5856.1126</v>
      </c>
      <c r="CJ19" s="148">
        <f t="shared" si="38"/>
        <v>3</v>
      </c>
      <c r="CK19" s="148">
        <f t="shared" si="39"/>
        <v>8</v>
      </c>
    </row>
    <row r="20">
      <c r="A20" s="149" t="s">
        <v>269</v>
      </c>
      <c r="B20" s="150">
        <f t="shared" ref="B20:M20" si="47">SUM(B13:B19)</f>
        <v>1301</v>
      </c>
      <c r="C20" s="150">
        <f t="shared" si="47"/>
        <v>797</v>
      </c>
      <c r="D20" s="150">
        <f t="shared" si="47"/>
        <v>23061</v>
      </c>
      <c r="E20" s="150">
        <f t="shared" si="47"/>
        <v>119</v>
      </c>
      <c r="F20" s="150">
        <f t="shared" si="47"/>
        <v>2591</v>
      </c>
      <c r="G20" s="150">
        <f t="shared" si="47"/>
        <v>3703</v>
      </c>
      <c r="H20" s="150">
        <f t="shared" si="47"/>
        <v>591</v>
      </c>
      <c r="I20" s="150">
        <f t="shared" si="47"/>
        <v>749</v>
      </c>
      <c r="J20" s="150">
        <f t="shared" si="47"/>
        <v>16462</v>
      </c>
      <c r="K20" s="151">
        <f t="shared" si="47"/>
        <v>116969</v>
      </c>
      <c r="L20" s="151">
        <f t="shared" si="47"/>
        <v>618577</v>
      </c>
      <c r="M20" s="151">
        <f t="shared" si="47"/>
        <v>474389</v>
      </c>
      <c r="N20" s="152">
        <f t="shared" si="2"/>
        <v>0.6126</v>
      </c>
      <c r="O20" s="153">
        <f t="shared" si="3"/>
        <v>147</v>
      </c>
      <c r="P20" s="152">
        <f t="shared" si="4"/>
        <v>0.189094</v>
      </c>
      <c r="Q20" s="153">
        <f t="shared" si="5"/>
        <v>1.4</v>
      </c>
      <c r="R20" s="153">
        <f t="shared" si="6"/>
        <v>239</v>
      </c>
      <c r="S20" s="153">
        <f t="shared" si="7"/>
        <v>167</v>
      </c>
      <c r="T20" s="153">
        <f t="shared" si="8"/>
        <v>1.1</v>
      </c>
      <c r="U20" s="154">
        <f t="shared" si="9"/>
        <v>803</v>
      </c>
      <c r="V20" s="155">
        <f t="shared" si="10"/>
        <v>144188</v>
      </c>
      <c r="W20" s="156">
        <f t="shared" ref="W20:Z20" si="48">SUM(W13:W19)</f>
        <v>5326810.6</v>
      </c>
      <c r="X20" s="156">
        <f t="shared" si="48"/>
        <v>4997414.37</v>
      </c>
      <c r="Y20" s="156">
        <f t="shared" si="48"/>
        <v>189743.62</v>
      </c>
      <c r="Z20" s="156">
        <f t="shared" si="48"/>
        <v>5137066.98</v>
      </c>
      <c r="AA20" s="157">
        <f t="shared" si="12"/>
        <v>0.03562</v>
      </c>
      <c r="AB20" s="156">
        <f t="shared" ref="AB20:AC20" si="49">SUM(AB13:AB19)</f>
        <v>26</v>
      </c>
      <c r="AC20" s="156">
        <f t="shared" si="49"/>
        <v>4</v>
      </c>
      <c r="AD20" s="157">
        <f t="shared" si="14"/>
        <v>0.846154</v>
      </c>
      <c r="AE20" s="156">
        <f t="shared" ref="AE20:AF20" si="50">SUM(AE13:AE19)</f>
        <v>5203166.41</v>
      </c>
      <c r="AF20" s="156">
        <f t="shared" si="50"/>
        <v>5011549.82</v>
      </c>
      <c r="AG20" s="157">
        <f t="shared" si="16"/>
        <v>0.036827</v>
      </c>
      <c r="AH20" s="156">
        <f t="shared" ref="AH20:AI20" si="51">SUM(AH13:AH19)</f>
        <v>25508.14</v>
      </c>
      <c r="AI20" s="156">
        <f t="shared" si="51"/>
        <v>23724.57</v>
      </c>
      <c r="AJ20" s="158">
        <f t="shared" si="18"/>
        <v>0.069922</v>
      </c>
      <c r="AK20" s="156">
        <f t="shared" ref="AK20:AL20" si="52">SUM(AK13:AK19)</f>
        <v>96012.05</v>
      </c>
      <c r="AL20" s="156">
        <f t="shared" si="52"/>
        <v>100420.32</v>
      </c>
      <c r="AM20" s="157">
        <f t="shared" si="20"/>
        <v>-0.045914</v>
      </c>
      <c r="AN20" s="156">
        <f t="shared" ref="AN20:AO20" si="53">SUM(AN13:AN19)</f>
        <v>2078</v>
      </c>
      <c r="AO20" s="156">
        <f t="shared" si="53"/>
        <v>1368.27</v>
      </c>
      <c r="AP20" s="157">
        <f t="shared" si="22"/>
        <v>0.341545</v>
      </c>
      <c r="AQ20" s="156">
        <f t="shared" ref="AQ20:AR20" si="54">SUM(AQ13:AQ19)</f>
        <v>20</v>
      </c>
      <c r="AR20" s="156">
        <f t="shared" si="54"/>
        <v>0</v>
      </c>
      <c r="AS20" s="157">
        <f t="shared" si="24"/>
        <v>1</v>
      </c>
      <c r="AT20" s="159">
        <f t="shared" ref="AT20:BS20" si="55">SUM(AT13:AT19)</f>
        <v>17928.57</v>
      </c>
      <c r="AU20" s="159">
        <f t="shared" si="55"/>
        <v>0</v>
      </c>
      <c r="AV20" s="159">
        <f t="shared" si="55"/>
        <v>4310.68</v>
      </c>
      <c r="AW20" s="159">
        <f t="shared" si="55"/>
        <v>30329</v>
      </c>
      <c r="AX20" s="159">
        <f t="shared" si="55"/>
        <v>2264</v>
      </c>
      <c r="AY20" s="159">
        <f t="shared" si="55"/>
        <v>0</v>
      </c>
      <c r="AZ20" s="159">
        <f t="shared" si="55"/>
        <v>0</v>
      </c>
      <c r="BA20" s="159">
        <f t="shared" si="55"/>
        <v>0</v>
      </c>
      <c r="BB20" s="159">
        <f t="shared" si="55"/>
        <v>1925.41</v>
      </c>
      <c r="BC20" s="159">
        <f t="shared" si="55"/>
        <v>1850</v>
      </c>
      <c r="BD20" s="159">
        <f t="shared" si="55"/>
        <v>0</v>
      </c>
      <c r="BE20" s="159">
        <f t="shared" si="55"/>
        <v>0</v>
      </c>
      <c r="BF20" s="159">
        <f t="shared" si="55"/>
        <v>700</v>
      </c>
      <c r="BG20" s="159">
        <f t="shared" si="55"/>
        <v>0</v>
      </c>
      <c r="BH20" s="159">
        <f t="shared" si="55"/>
        <v>0</v>
      </c>
      <c r="BI20" s="159">
        <f t="shared" si="55"/>
        <v>0</v>
      </c>
      <c r="BJ20" s="159">
        <f t="shared" si="55"/>
        <v>25839.5</v>
      </c>
      <c r="BK20" s="159">
        <f t="shared" si="55"/>
        <v>0</v>
      </c>
      <c r="BL20" s="159">
        <f t="shared" si="55"/>
        <v>0</v>
      </c>
      <c r="BM20" s="159">
        <f t="shared" si="55"/>
        <v>0</v>
      </c>
      <c r="BN20" s="159">
        <f t="shared" si="55"/>
        <v>0</v>
      </c>
      <c r="BO20" s="159">
        <f t="shared" si="55"/>
        <v>0</v>
      </c>
      <c r="BP20" s="159">
        <f t="shared" si="55"/>
        <v>0</v>
      </c>
      <c r="BQ20" s="159">
        <f t="shared" si="55"/>
        <v>85147.16</v>
      </c>
      <c r="BR20" s="159">
        <f t="shared" si="55"/>
        <v>17928.57</v>
      </c>
      <c r="BS20" s="159">
        <f t="shared" si="55"/>
        <v>1925.41</v>
      </c>
      <c r="BT20" s="152">
        <f t="shared" si="26"/>
        <v>0.017038</v>
      </c>
      <c r="BU20" s="152">
        <f t="shared" si="27"/>
        <v>0.1376500581</v>
      </c>
      <c r="BV20" s="152">
        <f t="shared" si="28"/>
        <v>0.4487484744</v>
      </c>
      <c r="BW20" s="154">
        <f t="shared" si="29"/>
        <v>104596.46</v>
      </c>
      <c r="BX20" s="152">
        <f t="shared" si="30"/>
        <v>0.8140539364</v>
      </c>
      <c r="BY20" s="154">
        <f t="shared" si="31"/>
        <v>14907.7057</v>
      </c>
      <c r="BZ20" s="154">
        <f t="shared" si="32"/>
        <v>948.778</v>
      </c>
      <c r="CA20" s="154">
        <f t="shared" si="33"/>
        <v>15856.4837</v>
      </c>
      <c r="CB20" s="154">
        <f t="shared" si="34"/>
        <v>17077</v>
      </c>
      <c r="CC20" s="160">
        <f t="shared" si="35"/>
        <v>0.1515967529</v>
      </c>
      <c r="CD20" s="159">
        <f t="shared" ref="CD20:CH20" si="56">SUM(CD13:CD19)</f>
        <v>0</v>
      </c>
      <c r="CE20" s="159">
        <f t="shared" si="56"/>
        <v>0</v>
      </c>
      <c r="CF20" s="159">
        <f t="shared" si="56"/>
        <v>0</v>
      </c>
      <c r="CG20" s="159">
        <f t="shared" si="56"/>
        <v>0</v>
      </c>
      <c r="CH20" s="159">
        <f t="shared" si="56"/>
        <v>921932.347</v>
      </c>
      <c r="CI20" s="154">
        <f t="shared" si="37"/>
        <v>71662.9763</v>
      </c>
      <c r="CJ20" s="65" t="str">
        <f t="shared" si="38"/>
        <v/>
      </c>
      <c r="CK20" s="65" t="str">
        <f t="shared" si="39"/>
        <v/>
      </c>
    </row>
    <row r="21">
      <c r="A21" s="129">
        <f>A19+1</f>
        <v>46090</v>
      </c>
      <c r="B21" s="130">
        <f t="array" ref="B21">INDEX('jiliarena_日报_底稿'!$A$3:$N$34,MATCH($A21,'jiliarena_日报_底稿'!$A$3:$A$34,0),MATCH(B$3,'jiliarena_日报_底稿'!$A$3:$N$3,0))</f>
        <v>115</v>
      </c>
      <c r="C21" s="130">
        <f t="array" ref="C21">INDEX('jiliarena_日报_底稿'!$A$3:$N$34,MATCH($A21,'jiliarena_日报_底稿'!$A$3:$A$34,0),MATCH(C$3,'jiliarena_日报_底稿'!$A$3:$N$3,0))</f>
        <v>53</v>
      </c>
      <c r="D21" s="130">
        <f t="array" ref="D21">INDEX('jiliarena_日报_底稿'!$A$3:$N$34,MATCH($A21,'jiliarena_日报_底稿'!$A$3:$A$34,0),MATCH(D$3,'jiliarena_日报_底稿'!$A$3:$N$3,0))</f>
        <v>2668</v>
      </c>
      <c r="E21" s="131">
        <v>8.0</v>
      </c>
      <c r="F21" s="130">
        <f t="array" ref="F21">INDEX('jiliarena_日报_底稿'!$A$3:$N$34,MATCH($A21,'jiliarena_日报_底稿'!$A$3:$A$34,0),MATCH(F$3,'jiliarena_日报_底稿'!$A$3:$N$3,0))</f>
        <v>203</v>
      </c>
      <c r="G21" s="130">
        <f>SUMIFS('渠道充值成功率_底稿'!$F:$F,'渠道充值成功率_底稿'!$A:$A,A21)</f>
        <v>301</v>
      </c>
      <c r="H21" s="130">
        <f t="array" ref="H21">INDEX('jiliarena_日报_底稿'!$A$3:$N$34,MATCH($A21,'jiliarena_日报_底稿'!$A$3:$A$34,0),MATCH(H$3,'jiliarena_日报_底稿'!$A$3:$N$3,0))</f>
        <v>59</v>
      </c>
      <c r="I21" s="131">
        <v>77.0</v>
      </c>
      <c r="J21" s="130">
        <f t="array" ref="J21">INDEX('jiliarena_日报_底稿'!$A$3:$N$34,MATCH($A21,'jiliarena_日报_底稿'!$A$3:$A$34,0),MATCH(J$3,'jiliarena_日报_底稿'!$A$3:$N$3,0))</f>
        <v>1866</v>
      </c>
      <c r="K21" s="132">
        <f>SUMIFS('渠道充值成功率_底稿'!$J:$J,'渠道充值成功率_底稿'!$A:$A,$A21)</f>
        <v>6845</v>
      </c>
      <c r="L21" s="132">
        <f t="array" ref="L21">INDEX('jiliarena_日报_底稿'!$A$3:$N$34,MATCH($A21,'jiliarena_日报_底稿'!$A$3:$A$34,0),MATCH(L$3,'jiliarena_日报_底稿'!$A$3:$N$3,0))</f>
        <v>43525</v>
      </c>
      <c r="M21" s="132">
        <f t="array" ref="M21">INDEX('jiliarena_日报_底稿'!$P$2:$DS$34,MATCH($A21,'jiliarena_日报_底稿'!$P$2:$P$34,0),MATCH($M$3,'jiliarena_日报_底稿'!$P$3:$DS$3,0))</f>
        <v>42820</v>
      </c>
      <c r="N21" s="133">
        <f t="shared" si="2"/>
        <v>0.4609</v>
      </c>
      <c r="O21" s="134">
        <f t="shared" si="3"/>
        <v>129</v>
      </c>
      <c r="P21" s="133">
        <f t="shared" si="4"/>
        <v>0.157266</v>
      </c>
      <c r="Q21" s="134">
        <f t="shared" si="5"/>
        <v>1.5</v>
      </c>
      <c r="R21" s="135">
        <f t="shared" si="6"/>
        <v>214</v>
      </c>
      <c r="S21" s="134">
        <f t="shared" si="7"/>
        <v>145</v>
      </c>
      <c r="T21" s="134">
        <f t="shared" si="8"/>
        <v>1.1</v>
      </c>
      <c r="U21" s="135">
        <f t="shared" si="9"/>
        <v>726</v>
      </c>
      <c r="V21" s="136">
        <f t="shared" si="10"/>
        <v>705</v>
      </c>
      <c r="W21" s="137">
        <f t="shared" ref="W21:W27" si="57">AB21+AE21+AH21+AK21+AN21+AQ21</f>
        <v>360673.28</v>
      </c>
      <c r="X21" s="137">
        <f t="array" ref="X21">index('jiliarena_日报_底稿'!$P$2:$DS$34,match($A21,'jiliarena_日报_底稿'!$P$2:$P$34,0),match("电子有效投注",'jiliarena_日报_底稿'!$P$3:$DS$3,0))+index('jiliarena_日报_底稿'!$P$2:$DS$34,match($A21,'jiliarena_日报_底稿'!$P$2:$P$34,0),match("真人有效投注",'jiliarena_日报_底稿'!$P$3:$DS$3,0))+index('jiliarena_日报_底稿'!$P$2:$DS$34,match($A21,'jiliarena_日报_底稿'!$P$2:$P$34,0),match("彩票有效投注",'jiliarena_日报_底稿'!$P$3:$DS$3,0))+index('jiliarena_日报_底稿'!$P$2:$DS$34,match($A21,'jiliarena_日报_底稿'!$P$2:$P$34,0),match("棋牌有效投注",'jiliarena_日报_底稿'!$P$3:$DS$3,0))+index('jiliarena_日报_底稿'!$P$2:$DS$34,match($A21,'jiliarena_日报_底稿'!$P$2:$P$34,0),match("捕鱼有效投注",'jiliarena_日报_底稿'!$P$3:$DS$3,0))+index('jiliarena_日报_底稿'!$P$2:$DS$34,match($A21,'jiliarena_日报_底稿'!$P$2:$P$34,0),match("体育有效投注",'jiliarena_日报_底稿'!$P$3:$DS$3,0))+index('jiliarena_日报_底稿'!$P$2:$DS$34,match($A21,'jiliarena_日报_底稿'!$P$2:$P$34,0),match("盘口彩票有效投注",'jiliarena_日报_底稿'!$P$3:$DS$3,0))</f>
        <v>337673</v>
      </c>
      <c r="Y21" s="138">
        <f t="shared" ref="Y21:Y27" si="58">AB21+AE21+AH21+AK21+AN21+AQ21-AR21-AO21-AL21-AI21-AF21-AC21</f>
        <v>15777.649</v>
      </c>
      <c r="Z21" s="137">
        <f t="shared" ref="Z21:Z27" si="59">AC21+AF21+AI21+AL21+AO21+AR21</f>
        <v>344895.631</v>
      </c>
      <c r="AA21" s="133">
        <f t="shared" si="12"/>
        <v>0.043745</v>
      </c>
      <c r="AB21" s="139">
        <f t="array" ref="AB21">INDEX('jiliarena_日报_底稿'!$P$2:$DS$34,MATCH($A21,'jiliarena_日报_底稿'!$P$2:$P$34,0),MATCH(AB$3,'jiliarena_日报_底稿'!$P$3:$DS$3,0))</f>
        <v>0</v>
      </c>
      <c r="AC21" s="139">
        <f t="array" ref="AC21">INDEX('jiliarena_日报_底稿'!$P$2:$DS$34,MATCH($A21,'jiliarena_日报_底稿'!$P$2:$P$34,0),MATCH(AC$3,'jiliarena_日报_底稿'!$P$3:$DS$3,0))</f>
        <v>0</v>
      </c>
      <c r="AD21" s="133" t="str">
        <f t="shared" si="14"/>
        <v>#DIV/0!</v>
      </c>
      <c r="AE21" s="139">
        <f t="array" ref="AE21">INDEX('jiliarena_日报_底稿'!$P$2:$DS$34,MATCH($A21,'jiliarena_日报_底稿'!$P$2:$P$34,0),MATCH(AE$3,'jiliarena_日报_底稿'!$P$3:$DS$3,0))</f>
        <v>357631.53</v>
      </c>
      <c r="AF21" s="139">
        <f t="array" ref="AF21">INDEX('jiliarena_日报_底稿'!$P$2:$DS$34,MATCH($A21,'jiliarena_日报_底稿'!$P$2:$P$34,0),MATCH(AF$3,'jiliarena_日报_底稿'!$P$3:$DS$3,0))</f>
        <v>342343.691</v>
      </c>
      <c r="AG21" s="133">
        <f t="shared" si="16"/>
        <v>0.042747</v>
      </c>
      <c r="AH21" s="139">
        <f t="array" ref="AH21">INDEX('jiliarena_日报_底稿'!$P$2:$DS$34,MATCH($A21,'jiliarena_日报_底稿'!$P$2:$P$34,0),MATCH(AH$3,'jiliarena_日报_底稿'!$P$3:$DS$3,0))</f>
        <v>1085</v>
      </c>
      <c r="AI21" s="139">
        <f t="array" ref="AI21">INDEX('jiliarena_日报_底稿'!$P$2:$DS$34,MATCH($A21,'jiliarena_日报_底稿'!$P$2:$P$34,0),MATCH(AI$3,'jiliarena_日报_底稿'!$P$3:$DS$3,0))</f>
        <v>937.5</v>
      </c>
      <c r="AJ21" s="133">
        <f t="shared" si="18"/>
        <v>0.135945</v>
      </c>
      <c r="AK21" s="139">
        <f t="array" ref="AK21">INDEX('jiliarena_日报_底稿'!$P$2:$DS$34,MATCH($A21,'jiliarena_日报_底稿'!$P$2:$P$34,0),MATCH(AK$3,'jiliarena_日报_底稿'!$P$3:$DS$3,0))</f>
        <v>1953.75</v>
      </c>
      <c r="AL21" s="139">
        <f t="array" ref="AL21">INDEX('jiliarena_日报_底稿'!$P$2:$DS$34,MATCH($A21,'jiliarena_日报_底稿'!$P$2:$P$34,0),MATCH(AL$3,'jiliarena_日报_底稿'!$P$3:$DS$3,0))</f>
        <v>1614.44</v>
      </c>
      <c r="AM21" s="133">
        <f t="shared" si="20"/>
        <v>0.173671</v>
      </c>
      <c r="AN21" s="139">
        <f t="array" ref="AN21">INDEX('jiliarena_日报_底稿'!$P$2:$DS$34,MATCH($A21,'jiliarena_日报_底稿'!$P$2:$P$34,0),MATCH(AN$3,'jiliarena_日报_底稿'!$P$3:$DS$3,0))</f>
        <v>0</v>
      </c>
      <c r="AO21" s="139">
        <f t="array" ref="AO21">INDEX('jiliarena_日报_底稿'!$P$2:$DS$34,MATCH($A21,'jiliarena_日报_底稿'!$P$2:$P$34,0),MATCH(AO$3,'jiliarena_日报_底稿'!$P$3:$DS$3,0))</f>
        <v>0</v>
      </c>
      <c r="AP21" s="133" t="str">
        <f t="shared" si="22"/>
        <v>#DIV/0!</v>
      </c>
      <c r="AQ21" s="139">
        <f t="array" ref="AQ21">INDEX('jiliarena_日报_底稿'!$P$2:$DS$34,MATCH($A21,'jiliarena_日报_底稿'!$P$2:$P$34,0),MATCH(AQ$3,'jiliarena_日报_底稿'!$P$3:$DS$3,0))</f>
        <v>3</v>
      </c>
      <c r="AR21" s="139">
        <f t="array" ref="AR21">INDEX('jiliarena_日报_底稿'!$P$2:$DS$34,MATCH($A21,'jiliarena_日报_底稿'!$P$2:$P$34,0),MATCH(AR$3,'jiliarena_日报_底稿'!$P$3:$DS$3,0))</f>
        <v>0</v>
      </c>
      <c r="AS21" s="133">
        <f t="shared" si="24"/>
        <v>1</v>
      </c>
      <c r="AT21" s="140">
        <f>SUMIFS('jiliarena_活动分析数据_底稿'!$K:$K,'jiliarena_活动分析数据_底稿'!$B:$B,$A21,'jiliarena_活动分析数据_底稿'!$L:$L,AT$3)</f>
        <v>2055.56</v>
      </c>
      <c r="AU21" s="140">
        <f>SUMIFS('jiliarena_活动分析数据_底稿'!$K:$K,'jiliarena_活动分析数据_底稿'!$B:$B,$A21,'jiliarena_活动分析数据_底稿'!$L:$L,AU$3)</f>
        <v>0</v>
      </c>
      <c r="AV21" s="140">
        <f>SUMIFS('jiliarena_活动分析数据_底稿'!$K:$K,'jiliarena_活动分析数据_底稿'!$B:$B,$A21,'jiliarena_活动分析数据_底稿'!$L:$L,AV$3)</f>
        <v>394.34</v>
      </c>
      <c r="AW21" s="140">
        <f>SUMIFS('jiliarena_活动分析数据_底稿'!$K:$K,'jiliarena_活动分析数据_底稿'!$B:$B,$A21,'jiliarena_活动分析数据_底稿'!$L:$L,AW$3)</f>
        <v>3706</v>
      </c>
      <c r="AX21" s="140">
        <f>SUMIFS('jiliarena_活动分析数据_底稿'!$K:$K,'jiliarena_活动分析数据_底稿'!$B:$B,$A21,'jiliarena_活动分析数据_底稿'!$L:$L,AX$3)</f>
        <v>170</v>
      </c>
      <c r="AY21" s="140">
        <f>SUMIFS('jiliarena_活动分析数据_底稿'!$K:$K,'jiliarena_活动分析数据_底稿'!$B:$B,$A21,'jiliarena_活动分析数据_底稿'!$L:$L,AY$3)</f>
        <v>0</v>
      </c>
      <c r="AZ21" s="140">
        <f>SUMIFS('jiliarena_活动分析数据_底稿'!$K:$K,'jiliarena_活动分析数据_底稿'!$B:$B,$A21,'jiliarena_活动分析数据_底稿'!$L:$L,AZ$3)</f>
        <v>0</v>
      </c>
      <c r="BA21" s="140">
        <f>SUMIFS('jiliarena_活动分析数据_底稿'!$K:$K,'jiliarena_活动分析数据_底稿'!$B:$B,$A21,'jiliarena_活动分析数据_底稿'!$L:$L,BA$3)</f>
        <v>0</v>
      </c>
      <c r="BB21" s="140">
        <f>SUMIFS('jiliarena_活动分析数据_底稿'!$K:$K,'jiliarena_活动分析数据_底稿'!$B:$B,$A21,'jiliarena_活动分析数据_底稿'!$L:$L,BB$3)</f>
        <v>255.43</v>
      </c>
      <c r="BC21" s="140">
        <f>SUMIFS('jiliarena_活动分析数据_底稿'!$K:$K,'jiliarena_活动分析数据_底稿'!$B:$B,$A21,'jiliarena_活动分析数据_底稿'!$L:$L,BC$3)</f>
        <v>138</v>
      </c>
      <c r="BD21" s="140">
        <f>SUMIFS('jiliarena_活动分析数据_底稿'!$K:$K,'jiliarena_活动分析数据_底稿'!$B:$B,$A21,'jiliarena_活动分析数据_底稿'!$L:$L,BD$3)</f>
        <v>0</v>
      </c>
      <c r="BE21" s="140">
        <f>SUMIFS('jiliarena_活动分析数据_底稿'!$K:$K,'jiliarena_活动分析数据_底稿'!$B:$B,$A21,'jiliarena_活动分析数据_底稿'!$L:$L,BE$3)</f>
        <v>0</v>
      </c>
      <c r="BF21" s="140">
        <f>SUMIFS('jiliarena_活动分析数据_底稿'!$K:$K,'jiliarena_活动分析数据_底稿'!$B:$B,$A21,'jiliarena_活动分析数据_底稿'!$L:$L,BF$3)</f>
        <v>88</v>
      </c>
      <c r="BG21" s="140">
        <f>SUMIFS('jiliarena_活动分析数据_底稿'!$K:$K,'jiliarena_活动分析数据_底稿'!$B:$B,$A21,'jiliarena_活动分析数据_底稿'!$L:$L,BG$3)</f>
        <v>0</v>
      </c>
      <c r="BH21" s="140">
        <f>SUMIFS('jiliarena_活动分析数据_底稿'!$K:$K,'jiliarena_活动分析数据_底稿'!$B:$B,$A21,'jiliarena_活动分析数据_底稿'!$L:$L,BH$3)</f>
        <v>0</v>
      </c>
      <c r="BI21" s="140">
        <f>SUMIFS('jiliarena_活动分析数据_底稿'!$K:$K,'jiliarena_活动分析数据_底稿'!$B:$B,$A21,'jiliarena_活动分析数据_底稿'!$L:$L,BI$3)</f>
        <v>0</v>
      </c>
      <c r="BJ21" s="140">
        <f>SUMIFS('jiliarena_活动分析数据_底稿'!$K:$K,'jiliarena_活动分析数据_底稿'!$B:$B,$A21,'jiliarena_活动分析数据_底稿'!$L:$L,BJ$3)</f>
        <v>1700</v>
      </c>
      <c r="BK21" s="140">
        <f>SUMIFS('jiliarena_活动分析数据_底稿'!$K:$K,'jiliarena_活动分析数据_底稿'!$B:$B,$A21,'jiliarena_活动分析数据_底稿'!$L:$L,BK$3)</f>
        <v>0</v>
      </c>
      <c r="BL21" s="140">
        <f>SUMIFS('jiliarena_活动分析数据_底稿'!$K:$K,'jiliarena_活动分析数据_底稿'!$B:$B,$A21,'jiliarena_活动分析数据_底稿'!$L:$L,BL$3)</f>
        <v>0</v>
      </c>
      <c r="BM21" s="140">
        <f>SUMIFS('jiliarena_活动分析数据_底稿'!$K:$K,'jiliarena_活动分析数据_底稿'!$B:$B,$A21,'jiliarena_活动分析数据_底稿'!$L:$L,BM$3)</f>
        <v>0</v>
      </c>
      <c r="BN21" s="140">
        <f>SUMIFS('jiliarena_活动分析数据_底稿'!$K:$K,'jiliarena_活动分析数据_底稿'!$B:$B,$A21,'jiliarena_活动分析数据_底稿'!$L:$L,BN$3)</f>
        <v>0</v>
      </c>
      <c r="BO21" s="140">
        <f>SUMIFS('jiliarena_活动分析数据_底稿'!$K:$K,'jiliarena_活动分析数据_底稿'!$B:$B,$A21,'jiliarena_活动分析数据_底稿'!$L:$L,BO$3)</f>
        <v>0</v>
      </c>
      <c r="BP21" s="140">
        <f>SUMIFS('jiliarena_活动分析数据_底稿'!$K:$K,'jiliarena_活动分析数据_底稿'!$B:$B,$A21,'jiliarena_活动分析数据_底稿'!$L:$L,BP$3)</f>
        <v>0</v>
      </c>
      <c r="BQ21" s="137">
        <f t="shared" ref="BQ21:BQ27" si="60">SUM(AT21:BP21)</f>
        <v>8507.33</v>
      </c>
      <c r="BR21" s="137">
        <f t="shared" ref="BR21:BR27" si="61">AT21</f>
        <v>2055.56</v>
      </c>
      <c r="BS21" s="137">
        <f t="shared" ref="BS21:BS27" si="62">BB21</f>
        <v>255.43</v>
      </c>
      <c r="BT21" s="133">
        <f t="shared" si="26"/>
        <v>0.025194</v>
      </c>
      <c r="BU21" s="133">
        <f t="shared" si="27"/>
        <v>0.1954584721</v>
      </c>
      <c r="BV21" s="133">
        <f t="shared" si="28"/>
        <v>0.5392013728</v>
      </c>
      <c r="BW21" s="141">
        <f t="shared" si="29"/>
        <v>7270.319</v>
      </c>
      <c r="BX21" s="142">
        <f t="shared" si="30"/>
        <v>1.170145354</v>
      </c>
      <c r="BY21" s="143">
        <f t="shared" si="31"/>
        <v>1048.9525</v>
      </c>
      <c r="BZ21" s="144">
        <f t="shared" si="32"/>
        <v>85.64</v>
      </c>
      <c r="CA21" s="145">
        <f t="shared" si="33"/>
        <v>1134.5925</v>
      </c>
      <c r="CB21" s="146">
        <f t="shared" si="34"/>
        <v>1420</v>
      </c>
      <c r="CC21" s="142">
        <f t="shared" si="35"/>
        <v>0.1560581455</v>
      </c>
      <c r="CD21" s="137">
        <f t="array" ref="CD21">index('jiliarena_日报_底稿'!$P$3:$DS$34,match(A21,'jiliarena_日报_底稿'!$P$3:$P$34,0),match("综合性分红",'jiliarena_日报_底稿'!$P$3:$DS$3,0))</f>
        <v>0</v>
      </c>
      <c r="CE21" s="147"/>
      <c r="CF21" s="137">
        <f t="array" ref="CF21">INDEX('jiliarena_日报_底稿'!$P$2:$DS$34,MATCH($A21,'jiliarena_日报_底稿'!$P$2:$P$34,0),MATCH(CF$3,'jiliarena_日报_底稿'!$P$3:$DS$3,0))</f>
        <v>0</v>
      </c>
      <c r="CG21" s="137">
        <f t="array" ref="CG21">-INDEX('jiliarena_日报_底稿'!$P$2:$DS$34,MATCH($A21,'jiliarena_日报_底稿'!$P$2:$P$34,0),MATCH(CG$3,'jiliarena_日报_底稿'!$P$3:$DS$3,0))</f>
        <v>0</v>
      </c>
      <c r="CH21" s="137">
        <f t="array" ref="CH21">INDEX('jiliarena_日报_底稿'!$P$2:$DS$34,MATCH($A21,'jiliarena_日报_底稿'!$P$2:$P$34,0),MATCH(CH$3,'jiliarena_日报_底稿'!$P$3:$DS$3,0))</f>
        <v>140364.9121</v>
      </c>
      <c r="CI21" s="141">
        <f t="shared" si="37"/>
        <v>4715.7265</v>
      </c>
      <c r="CJ21" s="148">
        <f t="shared" si="38"/>
        <v>3</v>
      </c>
      <c r="CK21" s="148">
        <f t="shared" si="39"/>
        <v>9</v>
      </c>
    </row>
    <row r="22">
      <c r="A22" s="161">
        <f t="shared" ref="A22:A27" si="63">A21+1</f>
        <v>46091</v>
      </c>
      <c r="B22" s="130">
        <f t="array" ref="B22">INDEX('jiliarena_日报_底稿'!$A$3:$N$34,MATCH($A22,'jiliarena_日报_底稿'!$A$3:$A$34,0),MATCH(B$3,'jiliarena_日报_底稿'!$A$3:$N$3,0))</f>
        <v>104</v>
      </c>
      <c r="C22" s="130">
        <f t="array" ref="C22">INDEX('jiliarena_日报_底稿'!$A$3:$N$34,MATCH($A22,'jiliarena_日报_底稿'!$A$3:$A$34,0),MATCH(C$3,'jiliarena_日报_底稿'!$A$3:$N$3,0))</f>
        <v>66</v>
      </c>
      <c r="D22" s="130">
        <f t="array" ref="D22">INDEX('jiliarena_日报_底稿'!$A$3:$N$34,MATCH($A22,'jiliarena_日报_底稿'!$A$3:$A$34,0),MATCH(D$3,'jiliarena_日报_底稿'!$A$3:$N$3,0))</f>
        <v>2516</v>
      </c>
      <c r="E22" s="131">
        <v>14.0</v>
      </c>
      <c r="F22" s="130">
        <f t="array" ref="F22">INDEX('jiliarena_日报_底稿'!$A$3:$N$34,MATCH($A22,'jiliarena_日报_底稿'!$A$3:$A$34,0),MATCH(F$3,'jiliarena_日报_底稿'!$A$3:$N$3,0))</f>
        <v>231</v>
      </c>
      <c r="G22" s="130">
        <f>SUMIFS('渠道充值成功率_底稿'!$F:$F,'渠道充值成功率_底稿'!$A:$A,A22)</f>
        <v>342</v>
      </c>
      <c r="H22" s="130">
        <f t="array" ref="H22">INDEX('jiliarena_日报_底稿'!$A$3:$N$34,MATCH($A22,'jiliarena_日报_底稿'!$A$3:$A$34,0),MATCH(H$3,'jiliarena_日报_底稿'!$A$3:$N$3,0))</f>
        <v>67</v>
      </c>
      <c r="I22" s="131">
        <v>78.0</v>
      </c>
      <c r="J22" s="130">
        <f t="array" ref="J22">INDEX('jiliarena_日报_底稿'!$A$3:$N$34,MATCH($A22,'jiliarena_日报_底稿'!$A$3:$A$34,0),MATCH(J$3,'jiliarena_日报_底稿'!$A$3:$N$3,0))</f>
        <v>1963</v>
      </c>
      <c r="K22" s="132">
        <f>SUMIFS('渠道充值成功率_底稿'!$J:$J,'渠道充值成功率_底稿'!$A:$A,$A22)</f>
        <v>7738</v>
      </c>
      <c r="L22" s="132">
        <f t="array" ref="L22">INDEX('jiliarena_日报_底稿'!$A$3:$N$34,MATCH($A22,'jiliarena_日报_底稿'!$A$3:$A$34,0),MATCH(L$3,'jiliarena_日报_底稿'!$A$3:$N$3,0))</f>
        <v>53745</v>
      </c>
      <c r="M22" s="132">
        <f t="array" ref="M22">INDEX('jiliarena_日报_底稿'!$P$2:$DS$34,MATCH($A22,'jiliarena_日报_底稿'!$P$2:$P$34,0),MATCH($M$3,'jiliarena_日报_底稿'!$P$3:$DS$3,0))</f>
        <v>45929</v>
      </c>
      <c r="N22" s="133">
        <f t="shared" si="2"/>
        <v>0.6346</v>
      </c>
      <c r="O22" s="134">
        <f t="shared" si="3"/>
        <v>117</v>
      </c>
      <c r="P22" s="133">
        <f t="shared" si="4"/>
        <v>0.143976</v>
      </c>
      <c r="Q22" s="134">
        <f t="shared" si="5"/>
        <v>1.5</v>
      </c>
      <c r="R22" s="135">
        <f t="shared" si="6"/>
        <v>233</v>
      </c>
      <c r="S22" s="134">
        <f t="shared" si="7"/>
        <v>157</v>
      </c>
      <c r="T22" s="134">
        <f t="shared" si="8"/>
        <v>1.3</v>
      </c>
      <c r="U22" s="135">
        <f t="shared" si="9"/>
        <v>686</v>
      </c>
      <c r="V22" s="136">
        <f t="shared" si="10"/>
        <v>7816</v>
      </c>
      <c r="W22" s="137">
        <f t="shared" si="57"/>
        <v>523584.82</v>
      </c>
      <c r="X22" s="137">
        <f t="array" ref="X22">index('jiliarena_日报_底稿'!$P$2:$DS$34,match($A22,'jiliarena_日报_底稿'!$P$2:$P$34,0),match("电子有效投注",'jiliarena_日报_底稿'!$P$3:$DS$3,0))+index('jiliarena_日报_底稿'!$P$2:$DS$34,match($A22,'jiliarena_日报_底稿'!$P$2:$P$34,0),match("真人有效投注",'jiliarena_日报_底稿'!$P$3:$DS$3,0))+index('jiliarena_日报_底稿'!$P$2:$DS$34,match($A22,'jiliarena_日报_底稿'!$P$2:$P$34,0),match("彩票有效投注",'jiliarena_日报_底稿'!$P$3:$DS$3,0))+index('jiliarena_日报_底稿'!$P$2:$DS$34,match($A22,'jiliarena_日报_底稿'!$P$2:$P$34,0),match("棋牌有效投注",'jiliarena_日报_底稿'!$P$3:$DS$3,0))+index('jiliarena_日报_底稿'!$P$2:$DS$34,match($A22,'jiliarena_日报_底稿'!$P$2:$P$34,0),match("捕鱼有效投注",'jiliarena_日报_底稿'!$P$3:$DS$3,0))+index('jiliarena_日报_底稿'!$P$2:$DS$34,match($A22,'jiliarena_日报_底稿'!$P$2:$P$34,0),match("体育有效投注",'jiliarena_日报_底稿'!$P$3:$DS$3,0))+index('jiliarena_日报_底稿'!$P$2:$DS$34,match($A22,'jiliarena_日报_底稿'!$P$2:$P$34,0),match("盘口彩票有效投注",'jiliarena_日报_底稿'!$P$3:$DS$3,0))</f>
        <v>486699.445</v>
      </c>
      <c r="Y22" s="138">
        <f t="shared" si="58"/>
        <v>19212.095</v>
      </c>
      <c r="Z22" s="137">
        <f t="shared" si="59"/>
        <v>504372.725</v>
      </c>
      <c r="AA22" s="133">
        <f t="shared" si="12"/>
        <v>0.036693</v>
      </c>
      <c r="AB22" s="139">
        <f t="array" ref="AB22">INDEX('jiliarena_日报_底稿'!$P$2:$DS$34,MATCH($A22,'jiliarena_日报_底稿'!$P$2:$P$34,0),MATCH(AB$3,'jiliarena_日报_底稿'!$P$3:$DS$3,0))</f>
        <v>0</v>
      </c>
      <c r="AC22" s="139">
        <f t="array" ref="AC22">INDEX('jiliarena_日报_底稿'!$P$2:$DS$34,MATCH($A22,'jiliarena_日报_底稿'!$P$2:$P$34,0),MATCH(AC$3,'jiliarena_日报_底稿'!$P$3:$DS$3,0))</f>
        <v>0</v>
      </c>
      <c r="AD22" s="133" t="str">
        <f t="shared" si="14"/>
        <v>#DIV/0!</v>
      </c>
      <c r="AE22" s="139">
        <f t="array" ref="AE22">INDEX('jiliarena_日报_底稿'!$P$2:$DS$34,MATCH($A22,'jiliarena_日报_底稿'!$P$2:$P$34,0),MATCH(AE$3,'jiliarena_日报_底稿'!$P$3:$DS$3,0))</f>
        <v>512460.42</v>
      </c>
      <c r="AF22" s="139">
        <f t="array" ref="AF22">INDEX('jiliarena_日报_底稿'!$P$2:$DS$34,MATCH($A22,'jiliarena_日报_底稿'!$P$2:$P$34,0),MATCH(AF$3,'jiliarena_日报_底稿'!$P$3:$DS$3,0))</f>
        <v>492843.325</v>
      </c>
      <c r="AG22" s="133">
        <f t="shared" si="16"/>
        <v>0.03828</v>
      </c>
      <c r="AH22" s="139">
        <f t="array" ref="AH22">INDEX('jiliarena_日报_底稿'!$P$2:$DS$34,MATCH($A22,'jiliarena_日报_底稿'!$P$2:$P$34,0),MATCH(AH$3,'jiliarena_日报_底稿'!$P$3:$DS$3,0))</f>
        <v>2660</v>
      </c>
      <c r="AI22" s="139">
        <f t="array" ref="AI22">INDEX('jiliarena_日报_底稿'!$P$2:$DS$34,MATCH($A22,'jiliarena_日报_底稿'!$P$2:$P$34,0),MATCH(AI$3,'jiliarena_日报_底稿'!$P$3:$DS$3,0))</f>
        <v>3065</v>
      </c>
      <c r="AJ22" s="133">
        <f t="shared" si="18"/>
        <v>-0.152256</v>
      </c>
      <c r="AK22" s="139">
        <f t="array" ref="AK22">INDEX('jiliarena_日报_底稿'!$P$2:$DS$34,MATCH($A22,'jiliarena_日报_底稿'!$P$2:$P$34,0),MATCH(AK$3,'jiliarena_日报_底稿'!$P$3:$DS$3,0))</f>
        <v>8461.4</v>
      </c>
      <c r="AL22" s="139">
        <f t="array" ref="AL22">INDEX('jiliarena_日报_底稿'!$P$2:$DS$34,MATCH($A22,'jiliarena_日报_底稿'!$P$2:$P$34,0),MATCH(AL$3,'jiliarena_日报_底稿'!$P$3:$DS$3,0))</f>
        <v>8464.4</v>
      </c>
      <c r="AM22" s="133">
        <f t="shared" si="20"/>
        <v>-0.000355</v>
      </c>
      <c r="AN22" s="139">
        <f t="array" ref="AN22">INDEX('jiliarena_日报_底稿'!$P$2:$DS$34,MATCH($A22,'jiliarena_日报_底稿'!$P$2:$P$34,0),MATCH(AN$3,'jiliarena_日报_底稿'!$P$3:$DS$3,0))</f>
        <v>0</v>
      </c>
      <c r="AO22" s="139">
        <f t="array" ref="AO22">INDEX('jiliarena_日报_底稿'!$P$2:$DS$34,MATCH($A22,'jiliarena_日报_底稿'!$P$2:$P$34,0),MATCH(AO$3,'jiliarena_日报_底稿'!$P$3:$DS$3,0))</f>
        <v>0</v>
      </c>
      <c r="AP22" s="133" t="str">
        <f t="shared" si="22"/>
        <v>#DIV/0!</v>
      </c>
      <c r="AQ22" s="139">
        <f t="array" ref="AQ22">INDEX('jiliarena_日报_底稿'!$P$2:$DS$34,MATCH($A22,'jiliarena_日报_底稿'!$P$2:$P$34,0),MATCH(AQ$3,'jiliarena_日报_底稿'!$P$3:$DS$3,0))</f>
        <v>3</v>
      </c>
      <c r="AR22" s="139">
        <f t="array" ref="AR22">INDEX('jiliarena_日报_底稿'!$P$2:$DS$34,MATCH($A22,'jiliarena_日报_底稿'!$P$2:$P$34,0),MATCH(AR$3,'jiliarena_日报_底稿'!$P$3:$DS$3,0))</f>
        <v>0</v>
      </c>
      <c r="AS22" s="133">
        <f t="shared" si="24"/>
        <v>1</v>
      </c>
      <c r="AT22" s="140">
        <f>SUMIFS('jiliarena_活动分析数据_底稿'!$K:$K,'jiliarena_活动分析数据_底稿'!$B:$B,$A22,'jiliarena_活动分析数据_底稿'!$L:$L,AT$3)</f>
        <v>872.27</v>
      </c>
      <c r="AU22" s="140">
        <f>SUMIFS('jiliarena_活动分析数据_底稿'!$K:$K,'jiliarena_活动分析数据_底稿'!$B:$B,$A22,'jiliarena_活动分析数据_底稿'!$L:$L,AU$3)</f>
        <v>0</v>
      </c>
      <c r="AV22" s="140">
        <f>SUMIFS('jiliarena_活动分析数据_底稿'!$K:$K,'jiliarena_活动分析数据_底稿'!$B:$B,$A22,'jiliarena_活动分析数据_底稿'!$L:$L,AV$3)</f>
        <v>354.46</v>
      </c>
      <c r="AW22" s="140">
        <f>SUMIFS('jiliarena_活动分析数据_底稿'!$K:$K,'jiliarena_活动分析数据_底稿'!$B:$B,$A22,'jiliarena_活动分析数据_底稿'!$L:$L,AW$3)</f>
        <v>3624</v>
      </c>
      <c r="AX22" s="140">
        <f>SUMIFS('jiliarena_活动分析数据_底稿'!$K:$K,'jiliarena_活动分析数据_底稿'!$B:$B,$A22,'jiliarena_活动分析数据_底稿'!$L:$L,AX$3)</f>
        <v>186</v>
      </c>
      <c r="AY22" s="140">
        <f>SUMIFS('jiliarena_活动分析数据_底稿'!$K:$K,'jiliarena_活动分析数据_底稿'!$B:$B,$A22,'jiliarena_活动分析数据_底稿'!$L:$L,AY$3)</f>
        <v>0</v>
      </c>
      <c r="AZ22" s="140">
        <f>SUMIFS('jiliarena_活动分析数据_底稿'!$K:$K,'jiliarena_活动分析数据_底稿'!$B:$B,$A22,'jiliarena_活动分析数据_底稿'!$L:$L,AZ$3)</f>
        <v>0</v>
      </c>
      <c r="BA22" s="140">
        <f>SUMIFS('jiliarena_活动分析数据_底稿'!$K:$K,'jiliarena_活动分析数据_底稿'!$B:$B,$A22,'jiliarena_活动分析数据_底稿'!$L:$L,BA$3)</f>
        <v>0</v>
      </c>
      <c r="BB22" s="140">
        <f>SUMIFS('jiliarena_活动分析数据_底稿'!$K:$K,'jiliarena_活动分析数据_底稿'!$B:$B,$A22,'jiliarena_活动分析数据_底稿'!$L:$L,BB$3)</f>
        <v>341.04</v>
      </c>
      <c r="BC22" s="140">
        <f>SUMIFS('jiliarena_活动分析数据_底稿'!$K:$K,'jiliarena_活动分析数据_底稿'!$B:$B,$A22,'jiliarena_活动分析数据_底稿'!$L:$L,BC$3)</f>
        <v>181</v>
      </c>
      <c r="BD22" s="140">
        <f>SUMIFS('jiliarena_活动分析数据_底稿'!$K:$K,'jiliarena_活动分析数据_底稿'!$B:$B,$A22,'jiliarena_活动分析数据_底稿'!$L:$L,BD$3)</f>
        <v>0</v>
      </c>
      <c r="BE22" s="140">
        <f>SUMIFS('jiliarena_活动分析数据_底稿'!$K:$K,'jiliarena_活动分析数据_底稿'!$B:$B,$A22,'jiliarena_活动分析数据_底稿'!$L:$L,BE$3)</f>
        <v>0</v>
      </c>
      <c r="BF22" s="140">
        <f>SUMIFS('jiliarena_活动分析数据_底稿'!$K:$K,'jiliarena_活动分析数据_底稿'!$B:$B,$A22,'jiliarena_活动分析数据_底稿'!$L:$L,BF$3)</f>
        <v>115</v>
      </c>
      <c r="BG22" s="140">
        <f>SUMIFS('jiliarena_活动分析数据_底稿'!$K:$K,'jiliarena_活动分析数据_底稿'!$B:$B,$A22,'jiliarena_活动分析数据_底稿'!$L:$L,BG$3)</f>
        <v>0</v>
      </c>
      <c r="BH22" s="140">
        <f>SUMIFS('jiliarena_活动分析数据_底稿'!$K:$K,'jiliarena_活动分析数据_底稿'!$B:$B,$A22,'jiliarena_活动分析数据_底稿'!$L:$L,BH$3)</f>
        <v>0</v>
      </c>
      <c r="BI22" s="140">
        <f>SUMIFS('jiliarena_活动分析数据_底稿'!$K:$K,'jiliarena_活动分析数据_底稿'!$B:$B,$A22,'jiliarena_活动分析数据_底稿'!$L:$L,BI$3)</f>
        <v>0</v>
      </c>
      <c r="BJ22" s="140">
        <f>SUMIFS('jiliarena_活动分析数据_底稿'!$K:$K,'jiliarena_活动分析数据_底稿'!$B:$B,$A22,'jiliarena_活动分析数据_底稿'!$L:$L,BJ$3)</f>
        <v>1802.5</v>
      </c>
      <c r="BK22" s="140">
        <f>SUMIFS('jiliarena_活动分析数据_底稿'!$K:$K,'jiliarena_活动分析数据_底稿'!$B:$B,$A22,'jiliarena_活动分析数据_底稿'!$L:$L,BK$3)</f>
        <v>0</v>
      </c>
      <c r="BL22" s="140">
        <f>SUMIFS('jiliarena_活动分析数据_底稿'!$K:$K,'jiliarena_活动分析数据_底稿'!$B:$B,$A22,'jiliarena_活动分析数据_底稿'!$L:$L,BL$3)</f>
        <v>0</v>
      </c>
      <c r="BM22" s="140">
        <f>SUMIFS('jiliarena_活动分析数据_底稿'!$K:$K,'jiliarena_活动分析数据_底稿'!$B:$B,$A22,'jiliarena_活动分析数据_底稿'!$L:$L,BM$3)</f>
        <v>0</v>
      </c>
      <c r="BN22" s="140">
        <f>SUMIFS('jiliarena_活动分析数据_底稿'!$K:$K,'jiliarena_活动分析数据_底稿'!$B:$B,$A22,'jiliarena_活动分析数据_底稿'!$L:$L,BN$3)</f>
        <v>0</v>
      </c>
      <c r="BO22" s="140">
        <f>SUMIFS('jiliarena_活动分析数据_底稿'!$K:$K,'jiliarena_活动分析数据_底稿'!$B:$B,$A22,'jiliarena_活动分析数据_底稿'!$L:$L,BO$3)</f>
        <v>0</v>
      </c>
      <c r="BP22" s="140">
        <f>SUMIFS('jiliarena_活动分析数据_底稿'!$K:$K,'jiliarena_活动分析数据_底稿'!$B:$B,$A22,'jiliarena_活动分析数据_底稿'!$L:$L,BP$3)</f>
        <v>0</v>
      </c>
      <c r="BQ22" s="137">
        <f t="shared" si="60"/>
        <v>7476.27</v>
      </c>
      <c r="BR22" s="137">
        <f t="shared" si="61"/>
        <v>872.27</v>
      </c>
      <c r="BS22" s="137">
        <f t="shared" si="62"/>
        <v>341.04</v>
      </c>
      <c r="BT22" s="133">
        <f t="shared" si="26"/>
        <v>0.015361</v>
      </c>
      <c r="BU22" s="133">
        <f t="shared" si="27"/>
        <v>0.1391063355</v>
      </c>
      <c r="BV22" s="133">
        <f t="shared" si="28"/>
        <v>0.3891439221</v>
      </c>
      <c r="BW22" s="141">
        <f t="shared" si="29"/>
        <v>11735.825</v>
      </c>
      <c r="BX22" s="142">
        <f t="shared" si="30"/>
        <v>0.6370468203</v>
      </c>
      <c r="BY22" s="143">
        <f t="shared" si="31"/>
        <v>1295.2545</v>
      </c>
      <c r="BZ22" s="144">
        <f t="shared" si="32"/>
        <v>91.858</v>
      </c>
      <c r="CA22" s="145">
        <f t="shared" si="33"/>
        <v>1387.1125</v>
      </c>
      <c r="CB22" s="146">
        <f t="shared" si="34"/>
        <v>1729</v>
      </c>
      <c r="CC22" s="142">
        <f t="shared" si="35"/>
        <v>0.1181947158</v>
      </c>
      <c r="CD22" s="137">
        <f t="array" ref="CD22">index('jiliarena_日报_底稿'!$P$3:$DS$34,match(A22,'jiliarena_日报_底稿'!$P$3:$P$34,0),match("综合性分红",'jiliarena_日报_底稿'!$P$3:$DS$3,0))</f>
        <v>0</v>
      </c>
      <c r="CE22" s="147"/>
      <c r="CF22" s="137">
        <f t="array" ref="CF22">INDEX('jiliarena_日报_底稿'!$P$2:$DS$34,MATCH($A22,'jiliarena_日报_底稿'!$P$2:$P$34,0),MATCH(CF$3,'jiliarena_日报_底稿'!$P$3:$DS$3,0))</f>
        <v>0</v>
      </c>
      <c r="CG22" s="137">
        <f t="array" ref="CG22">-INDEX('jiliarena_日报_底稿'!$P$2:$DS$34,MATCH($A22,'jiliarena_日报_底稿'!$P$2:$P$34,0),MATCH(CG$3,'jiliarena_日报_底稿'!$P$3:$DS$3,0))</f>
        <v>0</v>
      </c>
      <c r="CH22" s="137">
        <f t="array" ref="CH22">INDEX('jiliarena_日报_底稿'!$P$2:$DS$34,MATCH($A22,'jiliarena_日报_底稿'!$P$2:$P$34,0),MATCH(CH$3,'jiliarena_日报_底稿'!$P$3:$DS$3,0))</f>
        <v>139051.8841</v>
      </c>
      <c r="CI22" s="141">
        <f t="shared" si="37"/>
        <v>8619.7125</v>
      </c>
      <c r="CJ22" s="148">
        <f t="shared" si="38"/>
        <v>3</v>
      </c>
      <c r="CK22" s="148">
        <f t="shared" si="39"/>
        <v>10</v>
      </c>
    </row>
    <row r="23">
      <c r="A23" s="161">
        <f t="shared" si="63"/>
        <v>46092</v>
      </c>
      <c r="B23" s="130">
        <f t="array" ref="B23">INDEX('jiliarena_日报_底稿'!$A$3:$N$34,MATCH($A23,'jiliarena_日报_底稿'!$A$3:$A$34,0),MATCH(B$3,'jiliarena_日报_底稿'!$A$3:$N$3,0))</f>
        <v>281</v>
      </c>
      <c r="C23" s="130">
        <f t="array" ref="C23">INDEX('jiliarena_日报_底稿'!$A$3:$N$34,MATCH($A23,'jiliarena_日报_底稿'!$A$3:$A$34,0),MATCH(C$3,'jiliarena_日报_底稿'!$A$3:$N$3,0))</f>
        <v>119</v>
      </c>
      <c r="D23" s="130">
        <f t="array" ref="D23">INDEX('jiliarena_日报_底稿'!$A$3:$N$34,MATCH($A23,'jiliarena_日报_底稿'!$A$3:$A$34,0),MATCH(D$3,'jiliarena_日报_底稿'!$A$3:$N$3,0))</f>
        <v>6025</v>
      </c>
      <c r="E23" s="131">
        <v>6.0</v>
      </c>
      <c r="F23" s="130">
        <f t="array" ref="F23">INDEX('jiliarena_日报_底稿'!$A$3:$N$34,MATCH($A23,'jiliarena_日报_底稿'!$A$3:$A$34,0),MATCH(F$3,'jiliarena_日报_底稿'!$A$3:$N$3,0))</f>
        <v>327</v>
      </c>
      <c r="G23" s="130">
        <f>SUMIFS('渠道充值成功率_底稿'!$F:$F,'渠道充值成功率_底稿'!$A:$A,A23)</f>
        <v>408</v>
      </c>
      <c r="H23" s="130">
        <f t="array" ref="H23">INDEX('jiliarena_日报_底稿'!$A$3:$N$34,MATCH($A23,'jiliarena_日报_底稿'!$A$3:$A$34,0),MATCH(H$3,'jiliarena_日报_底稿'!$A$3:$N$3,0))</f>
        <v>107</v>
      </c>
      <c r="I23" s="131">
        <v>124.0</v>
      </c>
      <c r="J23" s="130">
        <f t="array" ref="J23">INDEX('jiliarena_日报_底稿'!$A$3:$N$34,MATCH($A23,'jiliarena_日报_底稿'!$A$3:$A$34,0),MATCH(J$3,'jiliarena_日报_底稿'!$A$3:$N$3,0))</f>
        <v>4665</v>
      </c>
      <c r="K23" s="132">
        <f>SUMIFS('渠道充值成功率_底稿'!$J:$J,'渠道充值成功率_底稿'!$A:$A,$A23)</f>
        <v>14110</v>
      </c>
      <c r="L23" s="132">
        <f t="array" ref="L23">INDEX('jiliarena_日报_底稿'!$A$3:$N$34,MATCH($A23,'jiliarena_日报_底稿'!$A$3:$A$34,0),MATCH(L$3,'jiliarena_日报_底稿'!$A$3:$N$3,0))</f>
        <v>53268</v>
      </c>
      <c r="M23" s="132">
        <f t="array" ref="M23">INDEX('jiliarena_日报_底稿'!$P$2:$DS$34,MATCH($A23,'jiliarena_日报_底稿'!$P$2:$P$34,0),MATCH($M$3,'jiliarena_日报_底稿'!$P$3:$DS$3,0))</f>
        <v>51771</v>
      </c>
      <c r="N23" s="133">
        <f t="shared" si="2"/>
        <v>0.4235</v>
      </c>
      <c r="O23" s="134">
        <f t="shared" si="3"/>
        <v>119</v>
      </c>
      <c r="P23" s="133">
        <f t="shared" si="4"/>
        <v>0.264887</v>
      </c>
      <c r="Q23" s="134">
        <f t="shared" si="5"/>
        <v>1.2</v>
      </c>
      <c r="R23" s="135">
        <f t="shared" si="6"/>
        <v>163</v>
      </c>
      <c r="S23" s="134">
        <f t="shared" si="7"/>
        <v>131</v>
      </c>
      <c r="T23" s="134">
        <f t="shared" si="8"/>
        <v>1.1</v>
      </c>
      <c r="U23" s="135">
        <f t="shared" si="9"/>
        <v>484</v>
      </c>
      <c r="V23" s="136">
        <f t="shared" si="10"/>
        <v>1497</v>
      </c>
      <c r="W23" s="137">
        <f t="shared" si="57"/>
        <v>775594.38</v>
      </c>
      <c r="X23" s="137">
        <f t="array" ref="X23">index('jiliarena_日报_底稿'!$P$2:$DS$34,match($A23,'jiliarena_日报_底稿'!$P$2:$P$34,0),match("电子有效投注",'jiliarena_日报_底稿'!$P$3:$DS$3,0))+index('jiliarena_日报_底稿'!$P$2:$DS$34,match($A23,'jiliarena_日报_底稿'!$P$2:$P$34,0),match("真人有效投注",'jiliarena_日报_底稿'!$P$3:$DS$3,0))+index('jiliarena_日报_底稿'!$P$2:$DS$34,match($A23,'jiliarena_日报_底稿'!$P$2:$P$34,0),match("彩票有效投注",'jiliarena_日报_底稿'!$P$3:$DS$3,0))+index('jiliarena_日报_底稿'!$P$2:$DS$34,match($A23,'jiliarena_日报_底稿'!$P$2:$P$34,0),match("棋牌有效投注",'jiliarena_日报_底稿'!$P$3:$DS$3,0))+index('jiliarena_日报_底稿'!$P$2:$DS$34,match($A23,'jiliarena_日报_底稿'!$P$2:$P$34,0),match("捕鱼有效投注",'jiliarena_日报_底稿'!$P$3:$DS$3,0))+index('jiliarena_日报_底稿'!$P$2:$DS$34,match($A23,'jiliarena_日报_底稿'!$P$2:$P$34,0),match("体育有效投注",'jiliarena_日报_底稿'!$P$3:$DS$3,0))+index('jiliarena_日报_底稿'!$P$2:$DS$34,match($A23,'jiliarena_日报_底稿'!$P$2:$P$34,0),match("盘口彩票有效投注",'jiliarena_日报_底稿'!$P$3:$DS$3,0))</f>
        <v>705311.595</v>
      </c>
      <c r="Y23" s="138">
        <f t="shared" si="58"/>
        <v>25692.14</v>
      </c>
      <c r="Z23" s="137">
        <f t="shared" si="59"/>
        <v>749902.24</v>
      </c>
      <c r="AA23" s="133">
        <f t="shared" si="12"/>
        <v>0.033126</v>
      </c>
      <c r="AB23" s="139">
        <f t="array" ref="AB23">INDEX('jiliarena_日报_底稿'!$P$2:$DS$34,MATCH($A23,'jiliarena_日报_底稿'!$P$2:$P$34,0),MATCH(AB$3,'jiliarena_日报_底稿'!$P$3:$DS$3,0))</f>
        <v>0</v>
      </c>
      <c r="AC23" s="139">
        <f t="array" ref="AC23">INDEX('jiliarena_日报_底稿'!$P$2:$DS$34,MATCH($A23,'jiliarena_日报_底稿'!$P$2:$P$34,0),MATCH(AC$3,'jiliarena_日报_底稿'!$P$3:$DS$3,0))</f>
        <v>0</v>
      </c>
      <c r="AD23" s="133" t="str">
        <f t="shared" si="14"/>
        <v>#DIV/0!</v>
      </c>
      <c r="AE23" s="139">
        <f t="array" ref="AE23">INDEX('jiliarena_日报_底稿'!$P$2:$DS$34,MATCH($A23,'jiliarena_日报_底稿'!$P$2:$P$34,0),MATCH(AE$3,'jiliarena_日报_底稿'!$P$3:$DS$3,0))</f>
        <v>770071.48</v>
      </c>
      <c r="AF23" s="139">
        <f t="array" ref="AF23">INDEX('jiliarena_日报_底稿'!$P$2:$DS$34,MATCH($A23,'jiliarena_日报_底稿'!$P$2:$P$34,0),MATCH(AF$3,'jiliarena_日报_底稿'!$P$3:$DS$3,0))</f>
        <v>743488.78</v>
      </c>
      <c r="AG23" s="133">
        <f t="shared" si="16"/>
        <v>0.03452</v>
      </c>
      <c r="AH23" s="139">
        <f t="array" ref="AH23">INDEX('jiliarena_日报_底稿'!$P$2:$DS$34,MATCH($A23,'jiliarena_日报_底稿'!$P$2:$P$34,0),MATCH(AH$3,'jiliarena_日报_底稿'!$P$3:$DS$3,0))</f>
        <v>4791.5</v>
      </c>
      <c r="AI23" s="139">
        <f t="array" ref="AI23">INDEX('jiliarena_日报_底稿'!$P$2:$DS$34,MATCH($A23,'jiliarena_日报_底稿'!$P$2:$P$34,0),MATCH(AI$3,'jiliarena_日报_底稿'!$P$3:$DS$3,0))</f>
        <v>5894</v>
      </c>
      <c r="AJ23" s="133">
        <f t="shared" si="18"/>
        <v>-0.230095</v>
      </c>
      <c r="AK23" s="139">
        <f t="array" ref="AK23">INDEX('jiliarena_日报_底稿'!$P$2:$DS$34,MATCH($A23,'jiliarena_日报_底稿'!$P$2:$P$34,0),MATCH(AK$3,'jiliarena_日报_底稿'!$P$3:$DS$3,0))</f>
        <v>705.4</v>
      </c>
      <c r="AL23" s="139">
        <f t="array" ref="AL23">INDEX('jiliarena_日报_底稿'!$P$2:$DS$34,MATCH($A23,'jiliarena_日报_底稿'!$P$2:$P$34,0),MATCH(AL$3,'jiliarena_日报_底稿'!$P$3:$DS$3,0))</f>
        <v>519.46</v>
      </c>
      <c r="AM23" s="133">
        <f t="shared" si="20"/>
        <v>0.263595</v>
      </c>
      <c r="AN23" s="139">
        <f t="array" ref="AN23">INDEX('jiliarena_日报_底稿'!$P$2:$DS$34,MATCH($A23,'jiliarena_日报_底稿'!$P$2:$P$34,0),MATCH(AN$3,'jiliarena_日报_底稿'!$P$3:$DS$3,0))</f>
        <v>0</v>
      </c>
      <c r="AO23" s="139">
        <f t="array" ref="AO23">INDEX('jiliarena_日报_底稿'!$P$2:$DS$34,MATCH($A23,'jiliarena_日报_底稿'!$P$2:$P$34,0),MATCH(AO$3,'jiliarena_日报_底稿'!$P$3:$DS$3,0))</f>
        <v>0</v>
      </c>
      <c r="AP23" s="133" t="str">
        <f t="shared" si="22"/>
        <v>#DIV/0!</v>
      </c>
      <c r="AQ23" s="139">
        <f t="array" ref="AQ23">INDEX('jiliarena_日报_底稿'!$P$2:$DS$34,MATCH($A23,'jiliarena_日报_底稿'!$P$2:$P$34,0),MATCH(AQ$3,'jiliarena_日报_底稿'!$P$3:$DS$3,0))</f>
        <v>26</v>
      </c>
      <c r="AR23" s="139">
        <f t="array" ref="AR23">INDEX('jiliarena_日报_底稿'!$P$2:$DS$34,MATCH($A23,'jiliarena_日报_底稿'!$P$2:$P$34,0),MATCH(AR$3,'jiliarena_日报_底稿'!$P$3:$DS$3,0))</f>
        <v>0</v>
      </c>
      <c r="AS23" s="133">
        <f t="shared" si="24"/>
        <v>1</v>
      </c>
      <c r="AT23" s="140">
        <f>SUMIFS('jiliarena_活动分析数据_底稿'!$K:$K,'jiliarena_活动分析数据_底稿'!$B:$B,$A23,'jiliarena_活动分析数据_底稿'!$L:$L,AT$3)</f>
        <v>1556.69</v>
      </c>
      <c r="AU23" s="140">
        <f>SUMIFS('jiliarena_活动分析数据_底稿'!$K:$K,'jiliarena_活动分析数据_底稿'!$B:$B,$A23,'jiliarena_活动分析数据_底稿'!$L:$L,AU$3)</f>
        <v>0</v>
      </c>
      <c r="AV23" s="140">
        <f>SUMIFS('jiliarena_活动分析数据_底稿'!$K:$K,'jiliarena_活动分析数据_底稿'!$B:$B,$A23,'jiliarena_活动分析数据_底稿'!$L:$L,AV$3)</f>
        <v>352.88</v>
      </c>
      <c r="AW23" s="140">
        <f>SUMIFS('jiliarena_活动分析数据_底稿'!$K:$K,'jiliarena_活动分析数据_底稿'!$B:$B,$A23,'jiliarena_活动分析数据_底稿'!$L:$L,AW$3)</f>
        <v>6015</v>
      </c>
      <c r="AX23" s="140">
        <f>SUMIFS('jiliarena_活动分析数据_底稿'!$K:$K,'jiliarena_活动分析数据_底稿'!$B:$B,$A23,'jiliarena_活动分析数据_底稿'!$L:$L,AX$3)</f>
        <v>327</v>
      </c>
      <c r="AY23" s="140">
        <f>SUMIFS('jiliarena_活动分析数据_底稿'!$K:$K,'jiliarena_活动分析数据_底稿'!$B:$B,$A23,'jiliarena_活动分析数据_底稿'!$L:$L,AY$3)</f>
        <v>0</v>
      </c>
      <c r="AZ23" s="140">
        <f>SUMIFS('jiliarena_活动分析数据_底稿'!$K:$K,'jiliarena_活动分析数据_底稿'!$B:$B,$A23,'jiliarena_活动分析数据_底稿'!$L:$L,AZ$3)</f>
        <v>0</v>
      </c>
      <c r="BA23" s="140">
        <f>SUMIFS('jiliarena_活动分析数据_底稿'!$K:$K,'jiliarena_活动分析数据_底稿'!$B:$B,$A23,'jiliarena_活动分析数据_底稿'!$L:$L,BA$3)</f>
        <v>0</v>
      </c>
      <c r="BB23" s="140">
        <f>SUMIFS('jiliarena_活动分析数据_底稿'!$K:$K,'jiliarena_活动分析数据_底稿'!$B:$B,$A23,'jiliarena_活动分析数据_底稿'!$L:$L,BB$3)</f>
        <v>242.4</v>
      </c>
      <c r="BC23" s="140">
        <f>SUMIFS('jiliarena_活动分析数据_底稿'!$K:$K,'jiliarena_活动分析数据_底稿'!$B:$B,$A23,'jiliarena_活动分析数据_底稿'!$L:$L,BC$3)</f>
        <v>187</v>
      </c>
      <c r="BD23" s="140">
        <f>SUMIFS('jiliarena_活动分析数据_底稿'!$K:$K,'jiliarena_活动分析数据_底稿'!$B:$B,$A23,'jiliarena_活动分析数据_底稿'!$L:$L,BD$3)</f>
        <v>0</v>
      </c>
      <c r="BE23" s="140">
        <f>SUMIFS('jiliarena_活动分析数据_底稿'!$K:$K,'jiliarena_活动分析数据_底稿'!$B:$B,$A23,'jiliarena_活动分析数据_底稿'!$L:$L,BE$3)</f>
        <v>0</v>
      </c>
      <c r="BF23" s="140">
        <f>SUMIFS('jiliarena_活动分析数据_底稿'!$K:$K,'jiliarena_活动分析数据_底稿'!$B:$B,$A23,'jiliarena_活动分析数据_底稿'!$L:$L,BF$3)</f>
        <v>147</v>
      </c>
      <c r="BG23" s="140">
        <f>SUMIFS('jiliarena_活动分析数据_底稿'!$K:$K,'jiliarena_活动分析数据_底稿'!$B:$B,$A23,'jiliarena_活动分析数据_底稿'!$L:$L,BG$3)</f>
        <v>0</v>
      </c>
      <c r="BH23" s="140">
        <f>SUMIFS('jiliarena_活动分析数据_底稿'!$K:$K,'jiliarena_活动分析数据_底稿'!$B:$B,$A23,'jiliarena_活动分析数据_底稿'!$L:$L,BH$3)</f>
        <v>0</v>
      </c>
      <c r="BI23" s="140">
        <f>SUMIFS('jiliarena_活动分析数据_底稿'!$K:$K,'jiliarena_活动分析数据_底稿'!$B:$B,$A23,'jiliarena_活动分析数据_底稿'!$L:$L,BI$3)</f>
        <v>0</v>
      </c>
      <c r="BJ23" s="140">
        <f>SUMIFS('jiliarena_活动分析数据_底稿'!$K:$K,'jiliarena_活动分析数据_底稿'!$B:$B,$A23,'jiliarena_活动分析数据_底稿'!$L:$L,BJ$3)</f>
        <v>3425</v>
      </c>
      <c r="BK23" s="140">
        <f>SUMIFS('jiliarena_活动分析数据_底稿'!$K:$K,'jiliarena_活动分析数据_底稿'!$B:$B,$A23,'jiliarena_活动分析数据_底稿'!$L:$L,BK$3)</f>
        <v>0</v>
      </c>
      <c r="BL23" s="140">
        <f>SUMIFS('jiliarena_活动分析数据_底稿'!$K:$K,'jiliarena_活动分析数据_底稿'!$B:$B,$A23,'jiliarena_活动分析数据_底稿'!$L:$L,BL$3)</f>
        <v>0</v>
      </c>
      <c r="BM23" s="140">
        <f>SUMIFS('jiliarena_活动分析数据_底稿'!$K:$K,'jiliarena_活动分析数据_底稿'!$B:$B,$A23,'jiliarena_活动分析数据_底稿'!$L:$L,BM$3)</f>
        <v>0</v>
      </c>
      <c r="BN23" s="140">
        <f>SUMIFS('jiliarena_活动分析数据_底稿'!$K:$K,'jiliarena_活动分析数据_底稿'!$B:$B,$A23,'jiliarena_活动分析数据_底稿'!$L:$L,BN$3)</f>
        <v>0</v>
      </c>
      <c r="BO23" s="140">
        <f>SUMIFS('jiliarena_活动分析数据_底稿'!$K:$K,'jiliarena_活动分析数据_底稿'!$B:$B,$A23,'jiliarena_活动分析数据_底稿'!$L:$L,BO$3)</f>
        <v>0</v>
      </c>
      <c r="BP23" s="140">
        <f>SUMIFS('jiliarena_活动分析数据_底稿'!$K:$K,'jiliarena_活动分析数据_底稿'!$B:$B,$A23,'jiliarena_活动分析数据_底稿'!$L:$L,BP$3)</f>
        <v>0</v>
      </c>
      <c r="BQ23" s="137">
        <f t="shared" si="60"/>
        <v>12252.97</v>
      </c>
      <c r="BR23" s="137">
        <f t="shared" si="61"/>
        <v>1556.69</v>
      </c>
      <c r="BS23" s="137">
        <f t="shared" si="62"/>
        <v>242.4</v>
      </c>
      <c r="BT23" s="133">
        <f t="shared" si="26"/>
        <v>0.017372</v>
      </c>
      <c r="BU23" s="133">
        <f t="shared" si="27"/>
        <v>0.2300249681</v>
      </c>
      <c r="BV23" s="133">
        <f t="shared" si="28"/>
        <v>0.4769151188</v>
      </c>
      <c r="BW23" s="141">
        <f t="shared" si="29"/>
        <v>13439.17</v>
      </c>
      <c r="BX23" s="142">
        <f t="shared" si="30"/>
        <v>0.9117356206</v>
      </c>
      <c r="BY23" s="143">
        <f t="shared" si="31"/>
        <v>1283.7588</v>
      </c>
      <c r="BZ23" s="144">
        <f t="shared" si="32"/>
        <v>103.542</v>
      </c>
      <c r="CA23" s="145">
        <f t="shared" si="33"/>
        <v>1387.3008</v>
      </c>
      <c r="CB23" s="146">
        <f t="shared" si="34"/>
        <v>2312</v>
      </c>
      <c r="CC23" s="142">
        <f t="shared" si="35"/>
        <v>0.1032281607</v>
      </c>
      <c r="CD23" s="137">
        <f t="array" ref="CD23">index('jiliarena_日报_底稿'!$P$3:$DS$34,match(A23,'jiliarena_日报_底稿'!$P$3:$P$34,0),match("综合性分红",'jiliarena_日报_底稿'!$P$3:$DS$3,0))</f>
        <v>0</v>
      </c>
      <c r="CE23" s="147"/>
      <c r="CF23" s="137">
        <f t="array" ref="CF23">INDEX('jiliarena_日报_底稿'!$P$2:$DS$34,MATCH($A23,'jiliarena_日报_底稿'!$P$2:$P$34,0),MATCH(CF$3,'jiliarena_日报_底稿'!$P$3:$DS$3,0))</f>
        <v>0</v>
      </c>
      <c r="CG23" s="137">
        <f t="array" ref="CG23">-INDEX('jiliarena_日报_底稿'!$P$2:$DS$34,MATCH($A23,'jiliarena_日报_底稿'!$P$2:$P$34,0),MATCH(CG$3,'jiliarena_日报_底稿'!$P$3:$DS$3,0))</f>
        <v>0</v>
      </c>
      <c r="CH23" s="137">
        <f t="array" ref="CH23">INDEX('jiliarena_日报_底稿'!$P$2:$DS$34,MATCH($A23,'jiliarena_日报_底稿'!$P$2:$P$34,0),MATCH(CH$3,'jiliarena_日报_底稿'!$P$3:$DS$3,0))</f>
        <v>143518.501</v>
      </c>
      <c r="CI23" s="141">
        <f t="shared" si="37"/>
        <v>9739.8692</v>
      </c>
      <c r="CJ23" s="148">
        <f t="shared" si="38"/>
        <v>3</v>
      </c>
      <c r="CK23" s="148">
        <f t="shared" si="39"/>
        <v>11</v>
      </c>
    </row>
    <row r="24">
      <c r="A24" s="161">
        <f t="shared" si="63"/>
        <v>46093</v>
      </c>
      <c r="B24" s="130" t="str">
        <f t="array" ref="B24">INDEX('jiliarena_日报_底稿'!$A$3:$N$34,MATCH($A24,'jiliarena_日报_底稿'!$A$3:$A$34,0),MATCH(B$3,'jiliarena_日报_底稿'!$A$3:$N$3,0))</f>
        <v/>
      </c>
      <c r="C24" s="130" t="str">
        <f t="array" ref="C24">INDEX('jiliarena_日报_底稿'!$A$3:$N$34,MATCH($A24,'jiliarena_日报_底稿'!$A$3:$A$34,0),MATCH(C$3,'jiliarena_日报_底稿'!$A$3:$N$3,0))</f>
        <v/>
      </c>
      <c r="D24" s="130" t="str">
        <f t="array" ref="D24">INDEX('jiliarena_日报_底稿'!$A$3:$N$34,MATCH($A24,'jiliarena_日报_底稿'!$A$3:$A$34,0),MATCH(D$3,'jiliarena_日报_底稿'!$A$3:$N$3,0))</f>
        <v/>
      </c>
      <c r="E24" s="131"/>
      <c r="F24" s="130" t="str">
        <f t="array" ref="F24">INDEX('jiliarena_日报_底稿'!$A$3:$N$34,MATCH($A24,'jiliarena_日报_底稿'!$A$3:$A$34,0),MATCH(F$3,'jiliarena_日报_底稿'!$A$3:$N$3,0))</f>
        <v/>
      </c>
      <c r="G24" s="130">
        <f>SUMIFS('渠道充值成功率_底稿'!$F:$F,'渠道充值成功率_底稿'!$A:$A,A24)</f>
        <v>0</v>
      </c>
      <c r="H24" s="130" t="str">
        <f t="array" ref="H24">INDEX('jiliarena_日报_底稿'!$A$3:$N$34,MATCH($A24,'jiliarena_日报_底稿'!$A$3:$A$34,0),MATCH(H$3,'jiliarena_日报_底稿'!$A$3:$N$3,0))</f>
        <v/>
      </c>
      <c r="I24" s="131"/>
      <c r="J24" s="130" t="str">
        <f t="array" ref="J24">INDEX('jiliarena_日报_底稿'!$A$3:$N$34,MATCH($A24,'jiliarena_日报_底稿'!$A$3:$A$34,0),MATCH(J$3,'jiliarena_日报_底稿'!$A$3:$N$3,0))</f>
        <v/>
      </c>
      <c r="K24" s="132">
        <f>SUMIFS('渠道充值成功率_底稿'!$J:$J,'渠道充值成功率_底稿'!$A:$A,$A24)</f>
        <v>0</v>
      </c>
      <c r="L24" s="132" t="str">
        <f t="array" ref="L24">INDEX('jiliarena_日报_底稿'!$A$3:$N$34,MATCH($A24,'jiliarena_日报_底稿'!$A$3:$A$34,0),MATCH(L$3,'jiliarena_日报_底稿'!$A$3:$N$3,0))</f>
        <v/>
      </c>
      <c r="M24" s="132" t="str">
        <f t="array" ref="M24">INDEX('jiliarena_日报_底稿'!$P$2:$DS$34,MATCH($A24,'jiliarena_日报_底稿'!$P$2:$P$34,0),MATCH($M$3,'jiliarena_日报_底稿'!$P$3:$DS$3,0))</f>
        <v/>
      </c>
      <c r="N24" s="133" t="str">
        <f t="shared" si="2"/>
        <v/>
      </c>
      <c r="O24" s="134" t="str">
        <f t="shared" si="3"/>
        <v>#DIV/0!</v>
      </c>
      <c r="P24" s="133" t="str">
        <f t="shared" si="4"/>
        <v/>
      </c>
      <c r="Q24" s="134" t="str">
        <f t="shared" si="5"/>
        <v>#DIV/0!</v>
      </c>
      <c r="R24" s="135" t="str">
        <f t="shared" si="6"/>
        <v/>
      </c>
      <c r="S24" s="134" t="str">
        <f t="shared" si="7"/>
        <v/>
      </c>
      <c r="T24" s="134" t="str">
        <f t="shared" si="8"/>
        <v/>
      </c>
      <c r="U24" s="135" t="str">
        <f t="shared" si="9"/>
        <v/>
      </c>
      <c r="V24" s="136" t="str">
        <f t="shared" si="10"/>
        <v/>
      </c>
      <c r="W24" s="137">
        <f t="shared" si="57"/>
        <v>0</v>
      </c>
      <c r="X24" s="137">
        <f t="array" ref="X24">index('jiliarena_日报_底稿'!$P$2:$DS$34,match($A24,'jiliarena_日报_底稿'!$P$2:$P$34,0),match("电子有效投注",'jiliarena_日报_底稿'!$P$3:$DS$3,0))+index('jiliarena_日报_底稿'!$P$2:$DS$34,match($A24,'jiliarena_日报_底稿'!$P$2:$P$34,0),match("真人有效投注",'jiliarena_日报_底稿'!$P$3:$DS$3,0))+index('jiliarena_日报_底稿'!$P$2:$DS$34,match($A24,'jiliarena_日报_底稿'!$P$2:$P$34,0),match("彩票有效投注",'jiliarena_日报_底稿'!$P$3:$DS$3,0))+index('jiliarena_日报_底稿'!$P$2:$DS$34,match($A24,'jiliarena_日报_底稿'!$P$2:$P$34,0),match("棋牌有效投注",'jiliarena_日报_底稿'!$P$3:$DS$3,0))+index('jiliarena_日报_底稿'!$P$2:$DS$34,match($A24,'jiliarena_日报_底稿'!$P$2:$P$34,0),match("捕鱼有效投注",'jiliarena_日报_底稿'!$P$3:$DS$3,0))+index('jiliarena_日报_底稿'!$P$2:$DS$34,match($A24,'jiliarena_日报_底稿'!$P$2:$P$34,0),match("体育有效投注",'jiliarena_日报_底稿'!$P$3:$DS$3,0))+index('jiliarena_日报_底稿'!$P$2:$DS$34,match($A24,'jiliarena_日报_底稿'!$P$2:$P$34,0),match("盘口彩票有效投注",'jiliarena_日报_底稿'!$P$3:$DS$3,0))</f>
        <v>0</v>
      </c>
      <c r="Y24" s="138">
        <f t="shared" si="58"/>
        <v>0</v>
      </c>
      <c r="Z24" s="137">
        <f t="shared" si="59"/>
        <v>0</v>
      </c>
      <c r="AA24" s="133" t="str">
        <f t="shared" si="12"/>
        <v/>
      </c>
      <c r="AB24" s="139" t="str">
        <f t="array" ref="AB24">INDEX('jiliarena_日报_底稿'!$P$2:$DS$34,MATCH($A24,'jiliarena_日报_底稿'!$P$2:$P$34,0),MATCH(AB$3,'jiliarena_日报_底稿'!$P$3:$DS$3,0))</f>
        <v/>
      </c>
      <c r="AC24" s="139" t="str">
        <f t="array" ref="AC24">INDEX('jiliarena_日报_底稿'!$P$2:$DS$34,MATCH($A24,'jiliarena_日报_底稿'!$P$2:$P$34,0),MATCH(AC$3,'jiliarena_日报_底稿'!$P$3:$DS$3,0))</f>
        <v/>
      </c>
      <c r="AD24" s="133" t="str">
        <f t="shared" si="14"/>
        <v/>
      </c>
      <c r="AE24" s="139" t="str">
        <f t="array" ref="AE24">INDEX('jiliarena_日报_底稿'!$P$2:$DS$34,MATCH($A24,'jiliarena_日报_底稿'!$P$2:$P$34,0),MATCH(AE$3,'jiliarena_日报_底稿'!$P$3:$DS$3,0))</f>
        <v/>
      </c>
      <c r="AF24" s="139" t="str">
        <f t="array" ref="AF24">INDEX('jiliarena_日报_底稿'!$P$2:$DS$34,MATCH($A24,'jiliarena_日报_底稿'!$P$2:$P$34,0),MATCH(AF$3,'jiliarena_日报_底稿'!$P$3:$DS$3,0))</f>
        <v/>
      </c>
      <c r="AG24" s="133" t="str">
        <f t="shared" si="16"/>
        <v/>
      </c>
      <c r="AH24" s="139" t="str">
        <f t="array" ref="AH24">INDEX('jiliarena_日报_底稿'!$P$2:$DS$34,MATCH($A24,'jiliarena_日报_底稿'!$P$2:$P$34,0),MATCH(AH$3,'jiliarena_日报_底稿'!$P$3:$DS$3,0))</f>
        <v/>
      </c>
      <c r="AI24" s="139" t="str">
        <f t="array" ref="AI24">INDEX('jiliarena_日报_底稿'!$P$2:$DS$34,MATCH($A24,'jiliarena_日报_底稿'!$P$2:$P$34,0),MATCH(AI$3,'jiliarena_日报_底稿'!$P$3:$DS$3,0))</f>
        <v/>
      </c>
      <c r="AJ24" s="133" t="str">
        <f t="shared" si="18"/>
        <v/>
      </c>
      <c r="AK24" s="139" t="str">
        <f t="array" ref="AK24">INDEX('jiliarena_日报_底稿'!$P$2:$DS$34,MATCH($A24,'jiliarena_日报_底稿'!$P$2:$P$34,0),MATCH(AK$3,'jiliarena_日报_底稿'!$P$3:$DS$3,0))</f>
        <v/>
      </c>
      <c r="AL24" s="139" t="str">
        <f t="array" ref="AL24">INDEX('jiliarena_日报_底稿'!$P$2:$DS$34,MATCH($A24,'jiliarena_日报_底稿'!$P$2:$P$34,0),MATCH(AL$3,'jiliarena_日报_底稿'!$P$3:$DS$3,0))</f>
        <v/>
      </c>
      <c r="AM24" s="133" t="str">
        <f t="shared" si="20"/>
        <v/>
      </c>
      <c r="AN24" s="139" t="str">
        <f t="array" ref="AN24">INDEX('jiliarena_日报_底稿'!$P$2:$DS$34,MATCH($A24,'jiliarena_日报_底稿'!$P$2:$P$34,0),MATCH(AN$3,'jiliarena_日报_底稿'!$P$3:$DS$3,0))</f>
        <v/>
      </c>
      <c r="AO24" s="139" t="str">
        <f t="array" ref="AO24">INDEX('jiliarena_日报_底稿'!$P$2:$DS$34,MATCH($A24,'jiliarena_日报_底稿'!$P$2:$P$34,0),MATCH(AO$3,'jiliarena_日报_底稿'!$P$3:$DS$3,0))</f>
        <v/>
      </c>
      <c r="AP24" s="133" t="str">
        <f t="shared" si="22"/>
        <v/>
      </c>
      <c r="AQ24" s="139" t="str">
        <f t="array" ref="AQ24">INDEX('jiliarena_日报_底稿'!$P$2:$DS$34,MATCH($A24,'jiliarena_日报_底稿'!$P$2:$P$34,0),MATCH(AQ$3,'jiliarena_日报_底稿'!$P$3:$DS$3,0))</f>
        <v/>
      </c>
      <c r="AR24" s="139" t="str">
        <f t="array" ref="AR24">INDEX('jiliarena_日报_底稿'!$P$2:$DS$34,MATCH($A24,'jiliarena_日报_底稿'!$P$2:$P$34,0),MATCH(AR$3,'jiliarena_日报_底稿'!$P$3:$DS$3,0))</f>
        <v/>
      </c>
      <c r="AS24" s="133" t="str">
        <f t="shared" si="24"/>
        <v/>
      </c>
      <c r="AT24" s="140">
        <f>SUMIFS('jiliarena_活动分析数据_底稿'!$K:$K,'jiliarena_活动分析数据_底稿'!$B:$B,$A24,'jiliarena_活动分析数据_底稿'!$L:$L,AT$3)</f>
        <v>0</v>
      </c>
      <c r="AU24" s="140">
        <f>SUMIFS('jiliarena_活动分析数据_底稿'!$K:$K,'jiliarena_活动分析数据_底稿'!$B:$B,$A24,'jiliarena_活动分析数据_底稿'!$L:$L,AU$3)</f>
        <v>0</v>
      </c>
      <c r="AV24" s="140">
        <f>SUMIFS('jiliarena_活动分析数据_底稿'!$K:$K,'jiliarena_活动分析数据_底稿'!$B:$B,$A24,'jiliarena_活动分析数据_底稿'!$L:$L,AV$3)</f>
        <v>0</v>
      </c>
      <c r="AW24" s="140">
        <f>SUMIFS('jiliarena_活动分析数据_底稿'!$K:$K,'jiliarena_活动分析数据_底稿'!$B:$B,$A24,'jiliarena_活动分析数据_底稿'!$L:$L,AW$3)</f>
        <v>0</v>
      </c>
      <c r="AX24" s="140">
        <f>SUMIFS('jiliarena_活动分析数据_底稿'!$K:$K,'jiliarena_活动分析数据_底稿'!$B:$B,$A24,'jiliarena_活动分析数据_底稿'!$L:$L,AX$3)</f>
        <v>0</v>
      </c>
      <c r="AY24" s="140">
        <f>SUMIFS('jiliarena_活动分析数据_底稿'!$K:$K,'jiliarena_活动分析数据_底稿'!$B:$B,$A24,'jiliarena_活动分析数据_底稿'!$L:$L,AY$3)</f>
        <v>0</v>
      </c>
      <c r="AZ24" s="140">
        <f>SUMIFS('jiliarena_活动分析数据_底稿'!$K:$K,'jiliarena_活动分析数据_底稿'!$B:$B,$A24,'jiliarena_活动分析数据_底稿'!$L:$L,AZ$3)</f>
        <v>0</v>
      </c>
      <c r="BA24" s="140">
        <f>SUMIFS('jiliarena_活动分析数据_底稿'!$K:$K,'jiliarena_活动分析数据_底稿'!$B:$B,$A24,'jiliarena_活动分析数据_底稿'!$L:$L,BA$3)</f>
        <v>0</v>
      </c>
      <c r="BB24" s="140">
        <f>SUMIFS('jiliarena_活动分析数据_底稿'!$K:$K,'jiliarena_活动分析数据_底稿'!$B:$B,$A24,'jiliarena_活动分析数据_底稿'!$L:$L,BB$3)</f>
        <v>0</v>
      </c>
      <c r="BC24" s="140">
        <f>SUMIFS('jiliarena_活动分析数据_底稿'!$K:$K,'jiliarena_活动分析数据_底稿'!$B:$B,$A24,'jiliarena_活动分析数据_底稿'!$L:$L,BC$3)</f>
        <v>0</v>
      </c>
      <c r="BD24" s="140">
        <f>SUMIFS('jiliarena_活动分析数据_底稿'!$K:$K,'jiliarena_活动分析数据_底稿'!$B:$B,$A24,'jiliarena_活动分析数据_底稿'!$L:$L,BD$3)</f>
        <v>0</v>
      </c>
      <c r="BE24" s="140">
        <f>SUMIFS('jiliarena_活动分析数据_底稿'!$K:$K,'jiliarena_活动分析数据_底稿'!$B:$B,$A24,'jiliarena_活动分析数据_底稿'!$L:$L,BE$3)</f>
        <v>0</v>
      </c>
      <c r="BF24" s="140">
        <f>SUMIFS('jiliarena_活动分析数据_底稿'!$K:$K,'jiliarena_活动分析数据_底稿'!$B:$B,$A24,'jiliarena_活动分析数据_底稿'!$L:$L,BF$3)</f>
        <v>0</v>
      </c>
      <c r="BG24" s="140">
        <f>SUMIFS('jiliarena_活动分析数据_底稿'!$K:$K,'jiliarena_活动分析数据_底稿'!$B:$B,$A24,'jiliarena_活动分析数据_底稿'!$L:$L,BG$3)</f>
        <v>0</v>
      </c>
      <c r="BH24" s="140">
        <f>SUMIFS('jiliarena_活动分析数据_底稿'!$K:$K,'jiliarena_活动分析数据_底稿'!$B:$B,$A24,'jiliarena_活动分析数据_底稿'!$L:$L,BH$3)</f>
        <v>0</v>
      </c>
      <c r="BI24" s="140">
        <f>SUMIFS('jiliarena_活动分析数据_底稿'!$K:$K,'jiliarena_活动分析数据_底稿'!$B:$B,$A24,'jiliarena_活动分析数据_底稿'!$L:$L,BI$3)</f>
        <v>0</v>
      </c>
      <c r="BJ24" s="140">
        <f>SUMIFS('jiliarena_活动分析数据_底稿'!$K:$K,'jiliarena_活动分析数据_底稿'!$B:$B,$A24,'jiliarena_活动分析数据_底稿'!$L:$L,BJ$3)</f>
        <v>0</v>
      </c>
      <c r="BK24" s="140">
        <f>SUMIFS('jiliarena_活动分析数据_底稿'!$K:$K,'jiliarena_活动分析数据_底稿'!$B:$B,$A24,'jiliarena_活动分析数据_底稿'!$L:$L,BK$3)</f>
        <v>0</v>
      </c>
      <c r="BL24" s="140">
        <f>SUMIFS('jiliarena_活动分析数据_底稿'!$K:$K,'jiliarena_活动分析数据_底稿'!$B:$B,$A24,'jiliarena_活动分析数据_底稿'!$L:$L,BL$3)</f>
        <v>0</v>
      </c>
      <c r="BM24" s="140">
        <f>SUMIFS('jiliarena_活动分析数据_底稿'!$K:$K,'jiliarena_活动分析数据_底稿'!$B:$B,$A24,'jiliarena_活动分析数据_底稿'!$L:$L,BM$3)</f>
        <v>0</v>
      </c>
      <c r="BN24" s="140">
        <f>SUMIFS('jiliarena_活动分析数据_底稿'!$K:$K,'jiliarena_活动分析数据_底稿'!$B:$B,$A24,'jiliarena_活动分析数据_底稿'!$L:$L,BN$3)</f>
        <v>0</v>
      </c>
      <c r="BO24" s="140">
        <f>SUMIFS('jiliarena_活动分析数据_底稿'!$K:$K,'jiliarena_活动分析数据_底稿'!$B:$B,$A24,'jiliarena_活动分析数据_底稿'!$L:$L,BO$3)</f>
        <v>0</v>
      </c>
      <c r="BP24" s="140">
        <f>SUMIFS('jiliarena_活动分析数据_底稿'!$K:$K,'jiliarena_活动分析数据_底稿'!$B:$B,$A24,'jiliarena_活动分析数据_底稿'!$L:$L,BP$3)</f>
        <v>0</v>
      </c>
      <c r="BQ24" s="137">
        <f t="shared" si="60"/>
        <v>0</v>
      </c>
      <c r="BR24" s="137">
        <f t="shared" si="61"/>
        <v>0</v>
      </c>
      <c r="BS24" s="137">
        <f t="shared" si="62"/>
        <v>0</v>
      </c>
      <c r="BT24" s="133" t="str">
        <f t="shared" si="26"/>
        <v/>
      </c>
      <c r="BU24" s="133" t="str">
        <f t="shared" si="27"/>
        <v/>
      </c>
      <c r="BV24" s="133" t="str">
        <f t="shared" si="28"/>
        <v/>
      </c>
      <c r="BW24" s="141">
        <f t="shared" si="29"/>
        <v>0</v>
      </c>
      <c r="BX24" s="142" t="str">
        <f t="shared" si="30"/>
        <v/>
      </c>
      <c r="BY24" s="143">
        <f t="shared" si="31"/>
        <v>0</v>
      </c>
      <c r="BZ24" s="144">
        <f t="shared" si="32"/>
        <v>0</v>
      </c>
      <c r="CA24" s="145">
        <f t="shared" si="33"/>
        <v>0</v>
      </c>
      <c r="CB24" s="146">
        <f t="shared" si="34"/>
        <v>0</v>
      </c>
      <c r="CC24" s="142" t="str">
        <f t="shared" si="35"/>
        <v/>
      </c>
      <c r="CD24" s="137" t="str">
        <f t="array" ref="CD24">index('jiliarena_日报_底稿'!$P$3:$DS$34,match(A24,'jiliarena_日报_底稿'!$P$3:$P$34,0),match("综合性分红",'jiliarena_日报_底稿'!$P$3:$DS$3,0))</f>
        <v/>
      </c>
      <c r="CE24" s="147"/>
      <c r="CF24" s="137" t="str">
        <f t="array" ref="CF24">INDEX('jiliarena_日报_底稿'!$P$2:$DS$34,MATCH($A24,'jiliarena_日报_底稿'!$P$2:$P$34,0),MATCH(CF$3,'jiliarena_日报_底稿'!$P$3:$DS$3,0))</f>
        <v/>
      </c>
      <c r="CG24" s="137">
        <f t="array" ref="CG24">-INDEX('jiliarena_日报_底稿'!$P$2:$DS$34,MATCH($A24,'jiliarena_日报_底稿'!$P$2:$P$34,0),MATCH(CG$3,'jiliarena_日报_底稿'!$P$3:$DS$3,0))</f>
        <v>0</v>
      </c>
      <c r="CH24" s="137" t="str">
        <f t="array" ref="CH24">INDEX('jiliarena_日报_底稿'!$P$2:$DS$34,MATCH($A24,'jiliarena_日报_底稿'!$P$2:$P$34,0),MATCH(CH$3,'jiliarena_日报_底稿'!$P$3:$DS$3,0))</f>
        <v/>
      </c>
      <c r="CI24" s="141">
        <f t="shared" si="37"/>
        <v>0</v>
      </c>
      <c r="CJ24" s="148">
        <f t="shared" si="38"/>
        <v>3</v>
      </c>
      <c r="CK24" s="148">
        <f t="shared" si="39"/>
        <v>12</v>
      </c>
    </row>
    <row r="25">
      <c r="A25" s="161">
        <f t="shared" si="63"/>
        <v>46094</v>
      </c>
      <c r="B25" s="130" t="str">
        <f t="array" ref="B25">INDEX('jiliarena_日报_底稿'!$A$3:$N$34,MATCH($A25,'jiliarena_日报_底稿'!$A$3:$A$34,0),MATCH(B$3,'jiliarena_日报_底稿'!$A$3:$N$3,0))</f>
        <v/>
      </c>
      <c r="C25" s="130" t="str">
        <f t="array" ref="C25">INDEX('jiliarena_日报_底稿'!$A$3:$N$34,MATCH($A25,'jiliarena_日报_底稿'!$A$3:$A$34,0),MATCH(C$3,'jiliarena_日报_底稿'!$A$3:$N$3,0))</f>
        <v/>
      </c>
      <c r="D25" s="130" t="str">
        <f t="array" ref="D25">INDEX('jiliarena_日报_底稿'!$A$3:$N$34,MATCH($A25,'jiliarena_日报_底稿'!$A$3:$A$34,0),MATCH(D$3,'jiliarena_日报_底稿'!$A$3:$N$3,0))</f>
        <v/>
      </c>
      <c r="E25" s="131"/>
      <c r="F25" s="130" t="str">
        <f t="array" ref="F25">INDEX('jiliarena_日报_底稿'!$A$3:$N$34,MATCH($A25,'jiliarena_日报_底稿'!$A$3:$A$34,0),MATCH(F$3,'jiliarena_日报_底稿'!$A$3:$N$3,0))</f>
        <v/>
      </c>
      <c r="G25" s="130">
        <f>SUMIFS('渠道充值成功率_底稿'!$F:$F,'渠道充值成功率_底稿'!$A:$A,A25)</f>
        <v>0</v>
      </c>
      <c r="H25" s="130" t="str">
        <f t="array" ref="H25">INDEX('jiliarena_日报_底稿'!$A$3:$N$34,MATCH($A25,'jiliarena_日报_底稿'!$A$3:$A$34,0),MATCH(H$3,'jiliarena_日报_底稿'!$A$3:$N$3,0))</f>
        <v/>
      </c>
      <c r="I25" s="131"/>
      <c r="J25" s="130" t="str">
        <f t="array" ref="J25">INDEX('jiliarena_日报_底稿'!$A$3:$N$34,MATCH($A25,'jiliarena_日报_底稿'!$A$3:$A$34,0),MATCH(J$3,'jiliarena_日报_底稿'!$A$3:$N$3,0))</f>
        <v/>
      </c>
      <c r="K25" s="132">
        <f>SUMIFS('渠道充值成功率_底稿'!$J:$J,'渠道充值成功率_底稿'!$A:$A,$A25)</f>
        <v>0</v>
      </c>
      <c r="L25" s="132" t="str">
        <f t="array" ref="L25">INDEX('jiliarena_日报_底稿'!$A$3:$N$34,MATCH($A25,'jiliarena_日报_底稿'!$A$3:$A$34,0),MATCH(L$3,'jiliarena_日报_底稿'!$A$3:$N$3,0))</f>
        <v/>
      </c>
      <c r="M25" s="132" t="str">
        <f t="array" ref="M25">INDEX('jiliarena_日报_底稿'!$P$2:$DS$34,MATCH($A25,'jiliarena_日报_底稿'!$P$2:$P$34,0),MATCH($M$3,'jiliarena_日报_底稿'!$P$3:$DS$3,0))</f>
        <v/>
      </c>
      <c r="N25" s="133" t="str">
        <f t="shared" si="2"/>
        <v/>
      </c>
      <c r="O25" s="134" t="str">
        <f t="shared" si="3"/>
        <v>#DIV/0!</v>
      </c>
      <c r="P25" s="133" t="str">
        <f t="shared" si="4"/>
        <v/>
      </c>
      <c r="Q25" s="134" t="str">
        <f t="shared" si="5"/>
        <v>#DIV/0!</v>
      </c>
      <c r="R25" s="135" t="str">
        <f t="shared" si="6"/>
        <v/>
      </c>
      <c r="S25" s="134" t="str">
        <f t="shared" si="7"/>
        <v/>
      </c>
      <c r="T25" s="134" t="str">
        <f t="shared" si="8"/>
        <v/>
      </c>
      <c r="U25" s="135" t="str">
        <f t="shared" si="9"/>
        <v/>
      </c>
      <c r="V25" s="136" t="str">
        <f t="shared" si="10"/>
        <v/>
      </c>
      <c r="W25" s="137">
        <f t="shared" si="57"/>
        <v>0</v>
      </c>
      <c r="X25" s="137">
        <f t="array" ref="X25">index('jiliarena_日报_底稿'!$P$2:$DS$34,match($A25,'jiliarena_日报_底稿'!$P$2:$P$34,0),match("电子有效投注",'jiliarena_日报_底稿'!$P$3:$DS$3,0))+index('jiliarena_日报_底稿'!$P$2:$DS$34,match($A25,'jiliarena_日报_底稿'!$P$2:$P$34,0),match("真人有效投注",'jiliarena_日报_底稿'!$P$3:$DS$3,0))+index('jiliarena_日报_底稿'!$P$2:$DS$34,match($A25,'jiliarena_日报_底稿'!$P$2:$P$34,0),match("彩票有效投注",'jiliarena_日报_底稿'!$P$3:$DS$3,0))+index('jiliarena_日报_底稿'!$P$2:$DS$34,match($A25,'jiliarena_日报_底稿'!$P$2:$P$34,0),match("棋牌有效投注",'jiliarena_日报_底稿'!$P$3:$DS$3,0))+index('jiliarena_日报_底稿'!$P$2:$DS$34,match($A25,'jiliarena_日报_底稿'!$P$2:$P$34,0),match("捕鱼有效投注",'jiliarena_日报_底稿'!$P$3:$DS$3,0))+index('jiliarena_日报_底稿'!$P$2:$DS$34,match($A25,'jiliarena_日报_底稿'!$P$2:$P$34,0),match("体育有效投注",'jiliarena_日报_底稿'!$P$3:$DS$3,0))+index('jiliarena_日报_底稿'!$P$2:$DS$34,match($A25,'jiliarena_日报_底稿'!$P$2:$P$34,0),match("盘口彩票有效投注",'jiliarena_日报_底稿'!$P$3:$DS$3,0))</f>
        <v>0</v>
      </c>
      <c r="Y25" s="138">
        <f t="shared" si="58"/>
        <v>0</v>
      </c>
      <c r="Z25" s="137">
        <f t="shared" si="59"/>
        <v>0</v>
      </c>
      <c r="AA25" s="133" t="str">
        <f t="shared" si="12"/>
        <v/>
      </c>
      <c r="AB25" s="139" t="str">
        <f t="array" ref="AB25">INDEX('jiliarena_日报_底稿'!$P$2:$DS$34,MATCH($A25,'jiliarena_日报_底稿'!$P$2:$P$34,0),MATCH(AB$3,'jiliarena_日报_底稿'!$P$3:$DS$3,0))</f>
        <v/>
      </c>
      <c r="AC25" s="139" t="str">
        <f t="array" ref="AC25">INDEX('jiliarena_日报_底稿'!$P$2:$DS$34,MATCH($A25,'jiliarena_日报_底稿'!$P$2:$P$34,0),MATCH(AC$3,'jiliarena_日报_底稿'!$P$3:$DS$3,0))</f>
        <v/>
      </c>
      <c r="AD25" s="133" t="str">
        <f t="shared" si="14"/>
        <v/>
      </c>
      <c r="AE25" s="139" t="str">
        <f t="array" ref="AE25">INDEX('jiliarena_日报_底稿'!$P$2:$DS$34,MATCH($A25,'jiliarena_日报_底稿'!$P$2:$P$34,0),MATCH(AE$3,'jiliarena_日报_底稿'!$P$3:$DS$3,0))</f>
        <v/>
      </c>
      <c r="AF25" s="139" t="str">
        <f t="array" ref="AF25">INDEX('jiliarena_日报_底稿'!$P$2:$DS$34,MATCH($A25,'jiliarena_日报_底稿'!$P$2:$P$34,0),MATCH(AF$3,'jiliarena_日报_底稿'!$P$3:$DS$3,0))</f>
        <v/>
      </c>
      <c r="AG25" s="133" t="str">
        <f t="shared" si="16"/>
        <v/>
      </c>
      <c r="AH25" s="139" t="str">
        <f t="array" ref="AH25">INDEX('jiliarena_日报_底稿'!$P$2:$DS$34,MATCH($A25,'jiliarena_日报_底稿'!$P$2:$P$34,0),MATCH(AH$3,'jiliarena_日报_底稿'!$P$3:$DS$3,0))</f>
        <v/>
      </c>
      <c r="AI25" s="139" t="str">
        <f t="array" ref="AI25">INDEX('jiliarena_日报_底稿'!$P$2:$DS$34,MATCH($A25,'jiliarena_日报_底稿'!$P$2:$P$34,0),MATCH(AI$3,'jiliarena_日报_底稿'!$P$3:$DS$3,0))</f>
        <v/>
      </c>
      <c r="AJ25" s="133" t="str">
        <f t="shared" si="18"/>
        <v/>
      </c>
      <c r="AK25" s="139" t="str">
        <f t="array" ref="AK25">INDEX('jiliarena_日报_底稿'!$P$2:$DS$34,MATCH($A25,'jiliarena_日报_底稿'!$P$2:$P$34,0),MATCH(AK$3,'jiliarena_日报_底稿'!$P$3:$DS$3,0))</f>
        <v/>
      </c>
      <c r="AL25" s="139" t="str">
        <f t="array" ref="AL25">INDEX('jiliarena_日报_底稿'!$P$2:$DS$34,MATCH($A25,'jiliarena_日报_底稿'!$P$2:$P$34,0),MATCH(AL$3,'jiliarena_日报_底稿'!$P$3:$DS$3,0))</f>
        <v/>
      </c>
      <c r="AM25" s="133" t="str">
        <f t="shared" si="20"/>
        <v/>
      </c>
      <c r="AN25" s="139" t="str">
        <f t="array" ref="AN25">INDEX('jiliarena_日报_底稿'!$P$2:$DS$34,MATCH($A25,'jiliarena_日报_底稿'!$P$2:$P$34,0),MATCH(AN$3,'jiliarena_日报_底稿'!$P$3:$DS$3,0))</f>
        <v/>
      </c>
      <c r="AO25" s="139" t="str">
        <f t="array" ref="AO25">INDEX('jiliarena_日报_底稿'!$P$2:$DS$34,MATCH($A25,'jiliarena_日报_底稿'!$P$2:$P$34,0),MATCH(AO$3,'jiliarena_日报_底稿'!$P$3:$DS$3,0))</f>
        <v/>
      </c>
      <c r="AP25" s="133" t="str">
        <f t="shared" si="22"/>
        <v/>
      </c>
      <c r="AQ25" s="139" t="str">
        <f t="array" ref="AQ25">INDEX('jiliarena_日报_底稿'!$P$2:$DS$34,MATCH($A25,'jiliarena_日报_底稿'!$P$2:$P$34,0),MATCH(AQ$3,'jiliarena_日报_底稿'!$P$3:$DS$3,0))</f>
        <v/>
      </c>
      <c r="AR25" s="139" t="str">
        <f t="array" ref="AR25">INDEX('jiliarena_日报_底稿'!$P$2:$DS$34,MATCH($A25,'jiliarena_日报_底稿'!$P$2:$P$34,0),MATCH(AR$3,'jiliarena_日报_底稿'!$P$3:$DS$3,0))</f>
        <v/>
      </c>
      <c r="AS25" s="133" t="str">
        <f t="shared" si="24"/>
        <v/>
      </c>
      <c r="AT25" s="140">
        <f>SUMIFS('jiliarena_活动分析数据_底稿'!$K:$K,'jiliarena_活动分析数据_底稿'!$B:$B,$A25,'jiliarena_活动分析数据_底稿'!$L:$L,AT$3)</f>
        <v>0</v>
      </c>
      <c r="AU25" s="140">
        <f>SUMIFS('jiliarena_活动分析数据_底稿'!$K:$K,'jiliarena_活动分析数据_底稿'!$B:$B,$A25,'jiliarena_活动分析数据_底稿'!$L:$L,AU$3)</f>
        <v>0</v>
      </c>
      <c r="AV25" s="140">
        <f>SUMIFS('jiliarena_活动分析数据_底稿'!$K:$K,'jiliarena_活动分析数据_底稿'!$B:$B,$A25,'jiliarena_活动分析数据_底稿'!$L:$L,AV$3)</f>
        <v>0</v>
      </c>
      <c r="AW25" s="140">
        <f>SUMIFS('jiliarena_活动分析数据_底稿'!$K:$K,'jiliarena_活动分析数据_底稿'!$B:$B,$A25,'jiliarena_活动分析数据_底稿'!$L:$L,AW$3)</f>
        <v>0</v>
      </c>
      <c r="AX25" s="140">
        <f>SUMIFS('jiliarena_活动分析数据_底稿'!$K:$K,'jiliarena_活动分析数据_底稿'!$B:$B,$A25,'jiliarena_活动分析数据_底稿'!$L:$L,AX$3)</f>
        <v>0</v>
      </c>
      <c r="AY25" s="140">
        <f>SUMIFS('jiliarena_活动分析数据_底稿'!$K:$K,'jiliarena_活动分析数据_底稿'!$B:$B,$A25,'jiliarena_活动分析数据_底稿'!$L:$L,AY$3)</f>
        <v>0</v>
      </c>
      <c r="AZ25" s="140">
        <f>SUMIFS('jiliarena_活动分析数据_底稿'!$K:$K,'jiliarena_活动分析数据_底稿'!$B:$B,$A25,'jiliarena_活动分析数据_底稿'!$L:$L,AZ$3)</f>
        <v>0</v>
      </c>
      <c r="BA25" s="140">
        <f>SUMIFS('jiliarena_活动分析数据_底稿'!$K:$K,'jiliarena_活动分析数据_底稿'!$B:$B,$A25,'jiliarena_活动分析数据_底稿'!$L:$L,BA$3)</f>
        <v>0</v>
      </c>
      <c r="BB25" s="140">
        <f>SUMIFS('jiliarena_活动分析数据_底稿'!$K:$K,'jiliarena_活动分析数据_底稿'!$B:$B,$A25,'jiliarena_活动分析数据_底稿'!$L:$L,BB$3)</f>
        <v>0</v>
      </c>
      <c r="BC25" s="140">
        <f>SUMIFS('jiliarena_活动分析数据_底稿'!$K:$K,'jiliarena_活动分析数据_底稿'!$B:$B,$A25,'jiliarena_活动分析数据_底稿'!$L:$L,BC$3)</f>
        <v>0</v>
      </c>
      <c r="BD25" s="140">
        <f>SUMIFS('jiliarena_活动分析数据_底稿'!$K:$K,'jiliarena_活动分析数据_底稿'!$B:$B,$A25,'jiliarena_活动分析数据_底稿'!$L:$L,BD$3)</f>
        <v>0</v>
      </c>
      <c r="BE25" s="140">
        <f>SUMIFS('jiliarena_活动分析数据_底稿'!$K:$K,'jiliarena_活动分析数据_底稿'!$B:$B,$A25,'jiliarena_活动分析数据_底稿'!$L:$L,BE$3)</f>
        <v>0</v>
      </c>
      <c r="BF25" s="140">
        <f>SUMIFS('jiliarena_活动分析数据_底稿'!$K:$K,'jiliarena_活动分析数据_底稿'!$B:$B,$A25,'jiliarena_活动分析数据_底稿'!$L:$L,BF$3)</f>
        <v>0</v>
      </c>
      <c r="BG25" s="140">
        <f>SUMIFS('jiliarena_活动分析数据_底稿'!$K:$K,'jiliarena_活动分析数据_底稿'!$B:$B,$A25,'jiliarena_活动分析数据_底稿'!$L:$L,BG$3)</f>
        <v>0</v>
      </c>
      <c r="BH25" s="140">
        <f>SUMIFS('jiliarena_活动分析数据_底稿'!$K:$K,'jiliarena_活动分析数据_底稿'!$B:$B,$A25,'jiliarena_活动分析数据_底稿'!$L:$L,BH$3)</f>
        <v>0</v>
      </c>
      <c r="BI25" s="140">
        <f>SUMIFS('jiliarena_活动分析数据_底稿'!$K:$K,'jiliarena_活动分析数据_底稿'!$B:$B,$A25,'jiliarena_活动分析数据_底稿'!$L:$L,BI$3)</f>
        <v>0</v>
      </c>
      <c r="BJ25" s="140">
        <f>SUMIFS('jiliarena_活动分析数据_底稿'!$K:$K,'jiliarena_活动分析数据_底稿'!$B:$B,$A25,'jiliarena_活动分析数据_底稿'!$L:$L,BJ$3)</f>
        <v>0</v>
      </c>
      <c r="BK25" s="140">
        <f>SUMIFS('jiliarena_活动分析数据_底稿'!$K:$K,'jiliarena_活动分析数据_底稿'!$B:$B,$A25,'jiliarena_活动分析数据_底稿'!$L:$L,BK$3)</f>
        <v>0</v>
      </c>
      <c r="BL25" s="140">
        <f>SUMIFS('jiliarena_活动分析数据_底稿'!$K:$K,'jiliarena_活动分析数据_底稿'!$B:$B,$A25,'jiliarena_活动分析数据_底稿'!$L:$L,BL$3)</f>
        <v>0</v>
      </c>
      <c r="BM25" s="140">
        <f>SUMIFS('jiliarena_活动分析数据_底稿'!$K:$K,'jiliarena_活动分析数据_底稿'!$B:$B,$A25,'jiliarena_活动分析数据_底稿'!$L:$L,BM$3)</f>
        <v>0</v>
      </c>
      <c r="BN25" s="140">
        <f>SUMIFS('jiliarena_活动分析数据_底稿'!$K:$K,'jiliarena_活动分析数据_底稿'!$B:$B,$A25,'jiliarena_活动分析数据_底稿'!$L:$L,BN$3)</f>
        <v>0</v>
      </c>
      <c r="BO25" s="140">
        <f>SUMIFS('jiliarena_活动分析数据_底稿'!$K:$K,'jiliarena_活动分析数据_底稿'!$B:$B,$A25,'jiliarena_活动分析数据_底稿'!$L:$L,BO$3)</f>
        <v>0</v>
      </c>
      <c r="BP25" s="140">
        <f>SUMIFS('jiliarena_活动分析数据_底稿'!$K:$K,'jiliarena_活动分析数据_底稿'!$B:$B,$A25,'jiliarena_活动分析数据_底稿'!$L:$L,BP$3)</f>
        <v>0</v>
      </c>
      <c r="BQ25" s="137">
        <f t="shared" si="60"/>
        <v>0</v>
      </c>
      <c r="BR25" s="137">
        <f t="shared" si="61"/>
        <v>0</v>
      </c>
      <c r="BS25" s="137">
        <f t="shared" si="62"/>
        <v>0</v>
      </c>
      <c r="BT25" s="133" t="str">
        <f t="shared" si="26"/>
        <v/>
      </c>
      <c r="BU25" s="133" t="str">
        <f t="shared" si="27"/>
        <v/>
      </c>
      <c r="BV25" s="133" t="str">
        <f t="shared" si="28"/>
        <v/>
      </c>
      <c r="BW25" s="141">
        <f t="shared" si="29"/>
        <v>0</v>
      </c>
      <c r="BX25" s="142" t="str">
        <f t="shared" si="30"/>
        <v/>
      </c>
      <c r="BY25" s="143">
        <f t="shared" si="31"/>
        <v>0</v>
      </c>
      <c r="BZ25" s="144">
        <f t="shared" si="32"/>
        <v>0</v>
      </c>
      <c r="CA25" s="145">
        <f t="shared" si="33"/>
        <v>0</v>
      </c>
      <c r="CB25" s="146">
        <f t="shared" si="34"/>
        <v>0</v>
      </c>
      <c r="CC25" s="142" t="str">
        <f t="shared" si="35"/>
        <v/>
      </c>
      <c r="CD25" s="137" t="str">
        <f t="array" ref="CD25">index('jiliarena_日报_底稿'!$P$3:$DS$34,match(A25,'jiliarena_日报_底稿'!$P$3:$P$34,0),match("综合性分红",'jiliarena_日报_底稿'!$P$3:$DS$3,0))</f>
        <v/>
      </c>
      <c r="CE25" s="147"/>
      <c r="CF25" s="137" t="str">
        <f t="array" ref="CF25">INDEX('jiliarena_日报_底稿'!$P$2:$DS$34,MATCH($A25,'jiliarena_日报_底稿'!$P$2:$P$34,0),MATCH(CF$3,'jiliarena_日报_底稿'!$P$3:$DS$3,0))</f>
        <v/>
      </c>
      <c r="CG25" s="137">
        <f t="array" ref="CG25">-INDEX('jiliarena_日报_底稿'!$P$2:$DS$34,MATCH($A25,'jiliarena_日报_底稿'!$P$2:$P$34,0),MATCH(CG$3,'jiliarena_日报_底稿'!$P$3:$DS$3,0))</f>
        <v>0</v>
      </c>
      <c r="CH25" s="137" t="str">
        <f t="array" ref="CH25">INDEX('jiliarena_日报_底稿'!$P$2:$DS$34,MATCH($A25,'jiliarena_日报_底稿'!$P$2:$P$34,0),MATCH(CH$3,'jiliarena_日报_底稿'!$P$3:$DS$3,0))</f>
        <v/>
      </c>
      <c r="CI25" s="141">
        <f t="shared" si="37"/>
        <v>0</v>
      </c>
      <c r="CJ25" s="148">
        <f t="shared" si="38"/>
        <v>3</v>
      </c>
      <c r="CK25" s="148">
        <f t="shared" si="39"/>
        <v>13</v>
      </c>
    </row>
    <row r="26">
      <c r="A26" s="161">
        <f t="shared" si="63"/>
        <v>46095</v>
      </c>
      <c r="B26" s="130" t="str">
        <f t="array" ref="B26">INDEX('jiliarena_日报_底稿'!$A$3:$N$34,MATCH($A26,'jiliarena_日报_底稿'!$A$3:$A$34,0),MATCH(B$3,'jiliarena_日报_底稿'!$A$3:$N$3,0))</f>
        <v/>
      </c>
      <c r="C26" s="130" t="str">
        <f t="array" ref="C26">INDEX('jiliarena_日报_底稿'!$A$3:$N$34,MATCH($A26,'jiliarena_日报_底稿'!$A$3:$A$34,0),MATCH(C$3,'jiliarena_日报_底稿'!$A$3:$N$3,0))</f>
        <v/>
      </c>
      <c r="D26" s="130" t="str">
        <f t="array" ref="D26">INDEX('jiliarena_日报_底稿'!$A$3:$N$34,MATCH($A26,'jiliarena_日报_底稿'!$A$3:$A$34,0),MATCH(D$3,'jiliarena_日报_底稿'!$A$3:$N$3,0))</f>
        <v/>
      </c>
      <c r="E26" s="131"/>
      <c r="F26" s="130" t="str">
        <f t="array" ref="F26">INDEX('jiliarena_日报_底稿'!$A$3:$N$34,MATCH($A26,'jiliarena_日报_底稿'!$A$3:$A$34,0),MATCH(F$3,'jiliarena_日报_底稿'!$A$3:$N$3,0))</f>
        <v/>
      </c>
      <c r="G26" s="130">
        <f>SUMIFS('渠道充值成功率_底稿'!$F:$F,'渠道充值成功率_底稿'!$A:$A,A26)</f>
        <v>0</v>
      </c>
      <c r="H26" s="130" t="str">
        <f t="array" ref="H26">INDEX('jiliarena_日报_底稿'!$A$3:$N$34,MATCH($A26,'jiliarena_日报_底稿'!$A$3:$A$34,0),MATCH(H$3,'jiliarena_日报_底稿'!$A$3:$N$3,0))</f>
        <v/>
      </c>
      <c r="I26" s="131"/>
      <c r="J26" s="130" t="str">
        <f t="array" ref="J26">INDEX('jiliarena_日报_底稿'!$A$3:$N$34,MATCH($A26,'jiliarena_日报_底稿'!$A$3:$A$34,0),MATCH(J$3,'jiliarena_日报_底稿'!$A$3:$N$3,0))</f>
        <v/>
      </c>
      <c r="K26" s="132">
        <f>SUMIFS('渠道充值成功率_底稿'!$J:$J,'渠道充值成功率_底稿'!$A:$A,$A26)</f>
        <v>0</v>
      </c>
      <c r="L26" s="132" t="str">
        <f t="array" ref="L26">INDEX('jiliarena_日报_底稿'!$A$3:$N$34,MATCH($A26,'jiliarena_日报_底稿'!$A$3:$A$34,0),MATCH(L$3,'jiliarena_日报_底稿'!$A$3:$N$3,0))</f>
        <v/>
      </c>
      <c r="M26" s="132" t="str">
        <f t="array" ref="M26">INDEX('jiliarena_日报_底稿'!$P$2:$DS$34,MATCH($A26,'jiliarena_日报_底稿'!$P$2:$P$34,0),MATCH($M$3,'jiliarena_日报_底稿'!$P$3:$DS$3,0))</f>
        <v/>
      </c>
      <c r="N26" s="133" t="str">
        <f t="shared" si="2"/>
        <v/>
      </c>
      <c r="O26" s="134" t="str">
        <f t="shared" si="3"/>
        <v>#DIV/0!</v>
      </c>
      <c r="P26" s="133" t="str">
        <f t="shared" si="4"/>
        <v/>
      </c>
      <c r="Q26" s="134" t="str">
        <f t="shared" si="5"/>
        <v>#DIV/0!</v>
      </c>
      <c r="R26" s="135" t="str">
        <f t="shared" si="6"/>
        <v/>
      </c>
      <c r="S26" s="134" t="str">
        <f t="shared" si="7"/>
        <v/>
      </c>
      <c r="T26" s="134" t="str">
        <f t="shared" si="8"/>
        <v/>
      </c>
      <c r="U26" s="135" t="str">
        <f t="shared" si="9"/>
        <v/>
      </c>
      <c r="V26" s="136" t="str">
        <f t="shared" si="10"/>
        <v/>
      </c>
      <c r="W26" s="137">
        <f t="shared" si="57"/>
        <v>0</v>
      </c>
      <c r="X26" s="137">
        <f t="array" ref="X26">index('jiliarena_日报_底稿'!$P$2:$DS$34,match($A26,'jiliarena_日报_底稿'!$P$2:$P$34,0),match("电子有效投注",'jiliarena_日报_底稿'!$P$3:$DS$3,0))+index('jiliarena_日报_底稿'!$P$2:$DS$34,match($A26,'jiliarena_日报_底稿'!$P$2:$P$34,0),match("真人有效投注",'jiliarena_日报_底稿'!$P$3:$DS$3,0))+index('jiliarena_日报_底稿'!$P$2:$DS$34,match($A26,'jiliarena_日报_底稿'!$P$2:$P$34,0),match("彩票有效投注",'jiliarena_日报_底稿'!$P$3:$DS$3,0))+index('jiliarena_日报_底稿'!$P$2:$DS$34,match($A26,'jiliarena_日报_底稿'!$P$2:$P$34,0),match("棋牌有效投注",'jiliarena_日报_底稿'!$P$3:$DS$3,0))+index('jiliarena_日报_底稿'!$P$2:$DS$34,match($A26,'jiliarena_日报_底稿'!$P$2:$P$34,0),match("捕鱼有效投注",'jiliarena_日报_底稿'!$P$3:$DS$3,0))+index('jiliarena_日报_底稿'!$P$2:$DS$34,match($A26,'jiliarena_日报_底稿'!$P$2:$P$34,0),match("体育有效投注",'jiliarena_日报_底稿'!$P$3:$DS$3,0))+index('jiliarena_日报_底稿'!$P$2:$DS$34,match($A26,'jiliarena_日报_底稿'!$P$2:$P$34,0),match("盘口彩票有效投注",'jiliarena_日报_底稿'!$P$3:$DS$3,0))</f>
        <v>0</v>
      </c>
      <c r="Y26" s="138">
        <f t="shared" si="58"/>
        <v>0</v>
      </c>
      <c r="Z26" s="137">
        <f t="shared" si="59"/>
        <v>0</v>
      </c>
      <c r="AA26" s="133" t="str">
        <f t="shared" si="12"/>
        <v/>
      </c>
      <c r="AB26" s="139" t="str">
        <f t="array" ref="AB26">INDEX('jiliarena_日报_底稿'!$P$2:$DS$34,MATCH($A26,'jiliarena_日报_底稿'!$P$2:$P$34,0),MATCH(AB$3,'jiliarena_日报_底稿'!$P$3:$DS$3,0))</f>
        <v/>
      </c>
      <c r="AC26" s="139" t="str">
        <f t="array" ref="AC26">INDEX('jiliarena_日报_底稿'!$P$2:$DS$34,MATCH($A26,'jiliarena_日报_底稿'!$P$2:$P$34,0),MATCH(AC$3,'jiliarena_日报_底稿'!$P$3:$DS$3,0))</f>
        <v/>
      </c>
      <c r="AD26" s="133" t="str">
        <f t="shared" si="14"/>
        <v/>
      </c>
      <c r="AE26" s="139" t="str">
        <f t="array" ref="AE26">INDEX('jiliarena_日报_底稿'!$P$2:$DS$34,MATCH($A26,'jiliarena_日报_底稿'!$P$2:$P$34,0),MATCH(AE$3,'jiliarena_日报_底稿'!$P$3:$DS$3,0))</f>
        <v/>
      </c>
      <c r="AF26" s="139" t="str">
        <f t="array" ref="AF26">INDEX('jiliarena_日报_底稿'!$P$2:$DS$34,MATCH($A26,'jiliarena_日报_底稿'!$P$2:$P$34,0),MATCH(AF$3,'jiliarena_日报_底稿'!$P$3:$DS$3,0))</f>
        <v/>
      </c>
      <c r="AG26" s="133" t="str">
        <f t="shared" si="16"/>
        <v/>
      </c>
      <c r="AH26" s="139" t="str">
        <f t="array" ref="AH26">INDEX('jiliarena_日报_底稿'!$P$2:$DS$34,MATCH($A26,'jiliarena_日报_底稿'!$P$2:$P$34,0),MATCH(AH$3,'jiliarena_日报_底稿'!$P$3:$DS$3,0))</f>
        <v/>
      </c>
      <c r="AI26" s="139" t="str">
        <f t="array" ref="AI26">INDEX('jiliarena_日报_底稿'!$P$2:$DS$34,MATCH($A26,'jiliarena_日报_底稿'!$P$2:$P$34,0),MATCH(AI$3,'jiliarena_日报_底稿'!$P$3:$DS$3,0))</f>
        <v/>
      </c>
      <c r="AJ26" s="133" t="str">
        <f t="shared" si="18"/>
        <v/>
      </c>
      <c r="AK26" s="139" t="str">
        <f t="array" ref="AK26">INDEX('jiliarena_日报_底稿'!$P$2:$DS$34,MATCH($A26,'jiliarena_日报_底稿'!$P$2:$P$34,0),MATCH(AK$3,'jiliarena_日报_底稿'!$P$3:$DS$3,0))</f>
        <v/>
      </c>
      <c r="AL26" s="139" t="str">
        <f t="array" ref="AL26">INDEX('jiliarena_日报_底稿'!$P$2:$DS$34,MATCH($A26,'jiliarena_日报_底稿'!$P$2:$P$34,0),MATCH(AL$3,'jiliarena_日报_底稿'!$P$3:$DS$3,0))</f>
        <v/>
      </c>
      <c r="AM26" s="133" t="str">
        <f t="shared" si="20"/>
        <v/>
      </c>
      <c r="AN26" s="139" t="str">
        <f t="array" ref="AN26">INDEX('jiliarena_日报_底稿'!$P$2:$DS$34,MATCH($A26,'jiliarena_日报_底稿'!$P$2:$P$34,0),MATCH(AN$3,'jiliarena_日报_底稿'!$P$3:$DS$3,0))</f>
        <v/>
      </c>
      <c r="AO26" s="139" t="str">
        <f t="array" ref="AO26">INDEX('jiliarena_日报_底稿'!$P$2:$DS$34,MATCH($A26,'jiliarena_日报_底稿'!$P$2:$P$34,0),MATCH(AO$3,'jiliarena_日报_底稿'!$P$3:$DS$3,0))</f>
        <v/>
      </c>
      <c r="AP26" s="133" t="str">
        <f t="shared" si="22"/>
        <v/>
      </c>
      <c r="AQ26" s="139" t="str">
        <f t="array" ref="AQ26">INDEX('jiliarena_日报_底稿'!$P$2:$DS$34,MATCH($A26,'jiliarena_日报_底稿'!$P$2:$P$34,0),MATCH(AQ$3,'jiliarena_日报_底稿'!$P$3:$DS$3,0))</f>
        <v/>
      </c>
      <c r="AR26" s="139" t="str">
        <f t="array" ref="AR26">INDEX('jiliarena_日报_底稿'!$P$2:$DS$34,MATCH($A26,'jiliarena_日报_底稿'!$P$2:$P$34,0),MATCH(AR$3,'jiliarena_日报_底稿'!$P$3:$DS$3,0))</f>
        <v/>
      </c>
      <c r="AS26" s="133" t="str">
        <f t="shared" si="24"/>
        <v/>
      </c>
      <c r="AT26" s="140">
        <f>SUMIFS('jiliarena_活动分析数据_底稿'!$K:$K,'jiliarena_活动分析数据_底稿'!$B:$B,$A26,'jiliarena_活动分析数据_底稿'!$L:$L,AT$3)</f>
        <v>0</v>
      </c>
      <c r="AU26" s="140">
        <f>SUMIFS('jiliarena_活动分析数据_底稿'!$K:$K,'jiliarena_活动分析数据_底稿'!$B:$B,$A26,'jiliarena_活动分析数据_底稿'!$L:$L,AU$3)</f>
        <v>0</v>
      </c>
      <c r="AV26" s="140">
        <f>SUMIFS('jiliarena_活动分析数据_底稿'!$K:$K,'jiliarena_活动分析数据_底稿'!$B:$B,$A26,'jiliarena_活动分析数据_底稿'!$L:$L,AV$3)</f>
        <v>0</v>
      </c>
      <c r="AW26" s="140">
        <f>SUMIFS('jiliarena_活动分析数据_底稿'!$K:$K,'jiliarena_活动分析数据_底稿'!$B:$B,$A26,'jiliarena_活动分析数据_底稿'!$L:$L,AW$3)</f>
        <v>0</v>
      </c>
      <c r="AX26" s="140">
        <f>SUMIFS('jiliarena_活动分析数据_底稿'!$K:$K,'jiliarena_活动分析数据_底稿'!$B:$B,$A26,'jiliarena_活动分析数据_底稿'!$L:$L,AX$3)</f>
        <v>0</v>
      </c>
      <c r="AY26" s="140">
        <f>SUMIFS('jiliarena_活动分析数据_底稿'!$K:$K,'jiliarena_活动分析数据_底稿'!$B:$B,$A26,'jiliarena_活动分析数据_底稿'!$L:$L,AY$3)</f>
        <v>0</v>
      </c>
      <c r="AZ26" s="140">
        <f>SUMIFS('jiliarena_活动分析数据_底稿'!$K:$K,'jiliarena_活动分析数据_底稿'!$B:$B,$A26,'jiliarena_活动分析数据_底稿'!$L:$L,AZ$3)</f>
        <v>0</v>
      </c>
      <c r="BA26" s="140">
        <f>SUMIFS('jiliarena_活动分析数据_底稿'!$K:$K,'jiliarena_活动分析数据_底稿'!$B:$B,$A26,'jiliarena_活动分析数据_底稿'!$L:$L,BA$3)</f>
        <v>0</v>
      </c>
      <c r="BB26" s="140">
        <f>SUMIFS('jiliarena_活动分析数据_底稿'!$K:$K,'jiliarena_活动分析数据_底稿'!$B:$B,$A26,'jiliarena_活动分析数据_底稿'!$L:$L,BB$3)</f>
        <v>0</v>
      </c>
      <c r="BC26" s="140">
        <f>SUMIFS('jiliarena_活动分析数据_底稿'!$K:$K,'jiliarena_活动分析数据_底稿'!$B:$B,$A26,'jiliarena_活动分析数据_底稿'!$L:$L,BC$3)</f>
        <v>0</v>
      </c>
      <c r="BD26" s="140">
        <f>SUMIFS('jiliarena_活动分析数据_底稿'!$K:$K,'jiliarena_活动分析数据_底稿'!$B:$B,$A26,'jiliarena_活动分析数据_底稿'!$L:$L,BD$3)</f>
        <v>0</v>
      </c>
      <c r="BE26" s="140">
        <f>SUMIFS('jiliarena_活动分析数据_底稿'!$K:$K,'jiliarena_活动分析数据_底稿'!$B:$B,$A26,'jiliarena_活动分析数据_底稿'!$L:$L,BE$3)</f>
        <v>0</v>
      </c>
      <c r="BF26" s="140">
        <f>SUMIFS('jiliarena_活动分析数据_底稿'!$K:$K,'jiliarena_活动分析数据_底稿'!$B:$B,$A26,'jiliarena_活动分析数据_底稿'!$L:$L,BF$3)</f>
        <v>0</v>
      </c>
      <c r="BG26" s="140">
        <f>SUMIFS('jiliarena_活动分析数据_底稿'!$K:$K,'jiliarena_活动分析数据_底稿'!$B:$B,$A26,'jiliarena_活动分析数据_底稿'!$L:$L,BG$3)</f>
        <v>0</v>
      </c>
      <c r="BH26" s="140">
        <f>SUMIFS('jiliarena_活动分析数据_底稿'!$K:$K,'jiliarena_活动分析数据_底稿'!$B:$B,$A26,'jiliarena_活动分析数据_底稿'!$L:$L,BH$3)</f>
        <v>0</v>
      </c>
      <c r="BI26" s="140">
        <f>SUMIFS('jiliarena_活动分析数据_底稿'!$K:$K,'jiliarena_活动分析数据_底稿'!$B:$B,$A26,'jiliarena_活动分析数据_底稿'!$L:$L,BI$3)</f>
        <v>0</v>
      </c>
      <c r="BJ26" s="140">
        <f>SUMIFS('jiliarena_活动分析数据_底稿'!$K:$K,'jiliarena_活动分析数据_底稿'!$B:$B,$A26,'jiliarena_活动分析数据_底稿'!$L:$L,BJ$3)</f>
        <v>0</v>
      </c>
      <c r="BK26" s="140">
        <f>SUMIFS('jiliarena_活动分析数据_底稿'!$K:$K,'jiliarena_活动分析数据_底稿'!$B:$B,$A26,'jiliarena_活动分析数据_底稿'!$L:$L,BK$3)</f>
        <v>0</v>
      </c>
      <c r="BL26" s="140">
        <f>SUMIFS('jiliarena_活动分析数据_底稿'!$K:$K,'jiliarena_活动分析数据_底稿'!$B:$B,$A26,'jiliarena_活动分析数据_底稿'!$L:$L,BL$3)</f>
        <v>0</v>
      </c>
      <c r="BM26" s="140">
        <f>SUMIFS('jiliarena_活动分析数据_底稿'!$K:$K,'jiliarena_活动分析数据_底稿'!$B:$B,$A26,'jiliarena_活动分析数据_底稿'!$L:$L,BM$3)</f>
        <v>0</v>
      </c>
      <c r="BN26" s="140">
        <f>SUMIFS('jiliarena_活动分析数据_底稿'!$K:$K,'jiliarena_活动分析数据_底稿'!$B:$B,$A26,'jiliarena_活动分析数据_底稿'!$L:$L,BN$3)</f>
        <v>0</v>
      </c>
      <c r="BO26" s="140">
        <f>SUMIFS('jiliarena_活动分析数据_底稿'!$K:$K,'jiliarena_活动分析数据_底稿'!$B:$B,$A26,'jiliarena_活动分析数据_底稿'!$L:$L,BO$3)</f>
        <v>0</v>
      </c>
      <c r="BP26" s="140">
        <f>SUMIFS('jiliarena_活动分析数据_底稿'!$K:$K,'jiliarena_活动分析数据_底稿'!$B:$B,$A26,'jiliarena_活动分析数据_底稿'!$L:$L,BP$3)</f>
        <v>0</v>
      </c>
      <c r="BQ26" s="137">
        <f t="shared" si="60"/>
        <v>0</v>
      </c>
      <c r="BR26" s="137">
        <f t="shared" si="61"/>
        <v>0</v>
      </c>
      <c r="BS26" s="137">
        <f t="shared" si="62"/>
        <v>0</v>
      </c>
      <c r="BT26" s="133" t="str">
        <f t="shared" si="26"/>
        <v/>
      </c>
      <c r="BU26" s="133" t="str">
        <f t="shared" si="27"/>
        <v/>
      </c>
      <c r="BV26" s="133" t="str">
        <f t="shared" si="28"/>
        <v/>
      </c>
      <c r="BW26" s="141">
        <f t="shared" si="29"/>
        <v>0</v>
      </c>
      <c r="BX26" s="142" t="str">
        <f t="shared" si="30"/>
        <v/>
      </c>
      <c r="BY26" s="143">
        <f t="shared" si="31"/>
        <v>0</v>
      </c>
      <c r="BZ26" s="144">
        <f t="shared" si="32"/>
        <v>0</v>
      </c>
      <c r="CA26" s="145">
        <f t="shared" si="33"/>
        <v>0</v>
      </c>
      <c r="CB26" s="146">
        <f t="shared" si="34"/>
        <v>0</v>
      </c>
      <c r="CC26" s="142" t="str">
        <f t="shared" si="35"/>
        <v/>
      </c>
      <c r="CD26" s="137" t="str">
        <f t="array" ref="CD26">index('jiliarena_日报_底稿'!$P$3:$DS$34,match(A26,'jiliarena_日报_底稿'!$P$3:$P$34,0),match("综合性分红",'jiliarena_日报_底稿'!$P$3:$DS$3,0))</f>
        <v/>
      </c>
      <c r="CE26" s="147"/>
      <c r="CF26" s="137" t="str">
        <f t="array" ref="CF26">INDEX('jiliarena_日报_底稿'!$P$2:$DS$34,MATCH($A26,'jiliarena_日报_底稿'!$P$2:$P$34,0),MATCH(CF$3,'jiliarena_日报_底稿'!$P$3:$DS$3,0))</f>
        <v/>
      </c>
      <c r="CG26" s="137">
        <f t="array" ref="CG26">-INDEX('jiliarena_日报_底稿'!$P$2:$DS$34,MATCH($A26,'jiliarena_日报_底稿'!$P$2:$P$34,0),MATCH(CG$3,'jiliarena_日报_底稿'!$P$3:$DS$3,0))</f>
        <v>0</v>
      </c>
      <c r="CH26" s="137" t="str">
        <f t="array" ref="CH26">INDEX('jiliarena_日报_底稿'!$P$2:$DS$34,MATCH($A26,'jiliarena_日报_底稿'!$P$2:$P$34,0),MATCH(CH$3,'jiliarena_日报_底稿'!$P$3:$DS$3,0))</f>
        <v/>
      </c>
      <c r="CI26" s="141">
        <f t="shared" si="37"/>
        <v>0</v>
      </c>
      <c r="CJ26" s="148">
        <f t="shared" si="38"/>
        <v>3</v>
      </c>
      <c r="CK26" s="148">
        <f t="shared" si="39"/>
        <v>14</v>
      </c>
    </row>
    <row r="27">
      <c r="A27" s="161">
        <f t="shared" si="63"/>
        <v>46096</v>
      </c>
      <c r="B27" s="130" t="str">
        <f t="array" ref="B27">INDEX('jiliarena_日报_底稿'!$A$3:$N$34,MATCH($A27,'jiliarena_日报_底稿'!$A$3:$A$34,0),MATCH(B$3,'jiliarena_日报_底稿'!$A$3:$N$3,0))</f>
        <v/>
      </c>
      <c r="C27" s="130" t="str">
        <f t="array" ref="C27">INDEX('jiliarena_日报_底稿'!$A$3:$N$34,MATCH($A27,'jiliarena_日报_底稿'!$A$3:$A$34,0),MATCH(C$3,'jiliarena_日报_底稿'!$A$3:$N$3,0))</f>
        <v/>
      </c>
      <c r="D27" s="130" t="str">
        <f t="array" ref="D27">INDEX('jiliarena_日报_底稿'!$A$3:$N$34,MATCH($A27,'jiliarena_日报_底稿'!$A$3:$A$34,0),MATCH(D$3,'jiliarena_日报_底稿'!$A$3:$N$3,0))</f>
        <v/>
      </c>
      <c r="E27" s="131"/>
      <c r="F27" s="130" t="str">
        <f t="array" ref="F27">INDEX('jiliarena_日报_底稿'!$A$3:$N$34,MATCH($A27,'jiliarena_日报_底稿'!$A$3:$A$34,0),MATCH(F$3,'jiliarena_日报_底稿'!$A$3:$N$3,0))</f>
        <v/>
      </c>
      <c r="G27" s="130">
        <f>SUMIFS('渠道充值成功率_底稿'!$F:$F,'渠道充值成功率_底稿'!$A:$A,A27)</f>
        <v>0</v>
      </c>
      <c r="H27" s="130" t="str">
        <f t="array" ref="H27">INDEX('jiliarena_日报_底稿'!$A$3:$N$34,MATCH($A27,'jiliarena_日报_底稿'!$A$3:$A$34,0),MATCH(H$3,'jiliarena_日报_底稿'!$A$3:$N$3,0))</f>
        <v/>
      </c>
      <c r="I27" s="131"/>
      <c r="J27" s="130" t="str">
        <f t="array" ref="J27">INDEX('jiliarena_日报_底稿'!$A$3:$N$34,MATCH($A27,'jiliarena_日报_底稿'!$A$3:$A$34,0),MATCH(J$3,'jiliarena_日报_底稿'!$A$3:$N$3,0))</f>
        <v/>
      </c>
      <c r="K27" s="132">
        <f>SUMIFS('渠道充值成功率_底稿'!$J:$J,'渠道充值成功率_底稿'!$A:$A,$A27)</f>
        <v>0</v>
      </c>
      <c r="L27" s="132" t="str">
        <f t="array" ref="L27">INDEX('jiliarena_日报_底稿'!$A$3:$N$34,MATCH($A27,'jiliarena_日报_底稿'!$A$3:$A$34,0),MATCH(L$3,'jiliarena_日报_底稿'!$A$3:$N$3,0))</f>
        <v/>
      </c>
      <c r="M27" s="132" t="str">
        <f t="array" ref="M27">INDEX('jiliarena_日报_底稿'!$P$2:$DS$34,MATCH($A27,'jiliarena_日报_底稿'!$P$2:$P$34,0),MATCH($M$3,'jiliarena_日报_底稿'!$P$3:$DS$3,0))</f>
        <v/>
      </c>
      <c r="N27" s="133" t="str">
        <f t="shared" si="2"/>
        <v/>
      </c>
      <c r="O27" s="134" t="str">
        <f t="shared" si="3"/>
        <v>#DIV/0!</v>
      </c>
      <c r="P27" s="133" t="str">
        <f t="shared" si="4"/>
        <v/>
      </c>
      <c r="Q27" s="134" t="str">
        <f t="shared" si="5"/>
        <v>#DIV/0!</v>
      </c>
      <c r="R27" s="135" t="str">
        <f t="shared" si="6"/>
        <v/>
      </c>
      <c r="S27" s="134" t="str">
        <f t="shared" si="7"/>
        <v/>
      </c>
      <c r="T27" s="134" t="str">
        <f t="shared" si="8"/>
        <v/>
      </c>
      <c r="U27" s="135" t="str">
        <f t="shared" si="9"/>
        <v/>
      </c>
      <c r="V27" s="136" t="str">
        <f t="shared" si="10"/>
        <v/>
      </c>
      <c r="W27" s="137">
        <f t="shared" si="57"/>
        <v>0</v>
      </c>
      <c r="X27" s="137">
        <f t="array" ref="X27">index('jiliarena_日报_底稿'!$P$2:$DS$34,match($A27,'jiliarena_日报_底稿'!$P$2:$P$34,0),match("电子有效投注",'jiliarena_日报_底稿'!$P$3:$DS$3,0))+index('jiliarena_日报_底稿'!$P$2:$DS$34,match($A27,'jiliarena_日报_底稿'!$P$2:$P$34,0),match("真人有效投注",'jiliarena_日报_底稿'!$P$3:$DS$3,0))+index('jiliarena_日报_底稿'!$P$2:$DS$34,match($A27,'jiliarena_日报_底稿'!$P$2:$P$34,0),match("彩票有效投注",'jiliarena_日报_底稿'!$P$3:$DS$3,0))+index('jiliarena_日报_底稿'!$P$2:$DS$34,match($A27,'jiliarena_日报_底稿'!$P$2:$P$34,0),match("棋牌有效投注",'jiliarena_日报_底稿'!$P$3:$DS$3,0))+index('jiliarena_日报_底稿'!$P$2:$DS$34,match($A27,'jiliarena_日报_底稿'!$P$2:$P$34,0),match("捕鱼有效投注",'jiliarena_日报_底稿'!$P$3:$DS$3,0))+index('jiliarena_日报_底稿'!$P$2:$DS$34,match($A27,'jiliarena_日报_底稿'!$P$2:$P$34,0),match("体育有效投注",'jiliarena_日报_底稿'!$P$3:$DS$3,0))+index('jiliarena_日报_底稿'!$P$2:$DS$34,match($A27,'jiliarena_日报_底稿'!$P$2:$P$34,0),match("盘口彩票有效投注",'jiliarena_日报_底稿'!$P$3:$DS$3,0))</f>
        <v>0</v>
      </c>
      <c r="Y27" s="138">
        <f t="shared" si="58"/>
        <v>0</v>
      </c>
      <c r="Z27" s="137">
        <f t="shared" si="59"/>
        <v>0</v>
      </c>
      <c r="AA27" s="133" t="str">
        <f t="shared" si="12"/>
        <v/>
      </c>
      <c r="AB27" s="139" t="str">
        <f t="array" ref="AB27">INDEX('jiliarena_日报_底稿'!$P$2:$DS$34,MATCH($A27,'jiliarena_日报_底稿'!$P$2:$P$34,0),MATCH(AB$3,'jiliarena_日报_底稿'!$P$3:$DS$3,0))</f>
        <v/>
      </c>
      <c r="AC27" s="139" t="str">
        <f t="array" ref="AC27">INDEX('jiliarena_日报_底稿'!$P$2:$DS$34,MATCH($A27,'jiliarena_日报_底稿'!$P$2:$P$34,0),MATCH(AC$3,'jiliarena_日报_底稿'!$P$3:$DS$3,0))</f>
        <v/>
      </c>
      <c r="AD27" s="133" t="str">
        <f t="shared" si="14"/>
        <v/>
      </c>
      <c r="AE27" s="139" t="str">
        <f t="array" ref="AE27">INDEX('jiliarena_日报_底稿'!$P$2:$DS$34,MATCH($A27,'jiliarena_日报_底稿'!$P$2:$P$34,0),MATCH(AE$3,'jiliarena_日报_底稿'!$P$3:$DS$3,0))</f>
        <v/>
      </c>
      <c r="AF27" s="139" t="str">
        <f t="array" ref="AF27">INDEX('jiliarena_日报_底稿'!$P$2:$DS$34,MATCH($A27,'jiliarena_日报_底稿'!$P$2:$P$34,0),MATCH(AF$3,'jiliarena_日报_底稿'!$P$3:$DS$3,0))</f>
        <v/>
      </c>
      <c r="AG27" s="133" t="str">
        <f t="shared" si="16"/>
        <v/>
      </c>
      <c r="AH27" s="139" t="str">
        <f t="array" ref="AH27">INDEX('jiliarena_日报_底稿'!$P$2:$DS$34,MATCH($A27,'jiliarena_日报_底稿'!$P$2:$P$34,0),MATCH(AH$3,'jiliarena_日报_底稿'!$P$3:$DS$3,0))</f>
        <v/>
      </c>
      <c r="AI27" s="139" t="str">
        <f t="array" ref="AI27">INDEX('jiliarena_日报_底稿'!$P$2:$DS$34,MATCH($A27,'jiliarena_日报_底稿'!$P$2:$P$34,0),MATCH(AI$3,'jiliarena_日报_底稿'!$P$3:$DS$3,0))</f>
        <v/>
      </c>
      <c r="AJ27" s="133" t="str">
        <f t="shared" si="18"/>
        <v/>
      </c>
      <c r="AK27" s="139" t="str">
        <f t="array" ref="AK27">INDEX('jiliarena_日报_底稿'!$P$2:$DS$34,MATCH($A27,'jiliarena_日报_底稿'!$P$2:$P$34,0),MATCH(AK$3,'jiliarena_日报_底稿'!$P$3:$DS$3,0))</f>
        <v/>
      </c>
      <c r="AL27" s="139" t="str">
        <f t="array" ref="AL27">INDEX('jiliarena_日报_底稿'!$P$2:$DS$34,MATCH($A27,'jiliarena_日报_底稿'!$P$2:$P$34,0),MATCH(AL$3,'jiliarena_日报_底稿'!$P$3:$DS$3,0))</f>
        <v/>
      </c>
      <c r="AM27" s="133" t="str">
        <f t="shared" si="20"/>
        <v/>
      </c>
      <c r="AN27" s="139" t="str">
        <f t="array" ref="AN27">INDEX('jiliarena_日报_底稿'!$P$2:$DS$34,MATCH($A27,'jiliarena_日报_底稿'!$P$2:$P$34,0),MATCH(AN$3,'jiliarena_日报_底稿'!$P$3:$DS$3,0))</f>
        <v/>
      </c>
      <c r="AO27" s="139" t="str">
        <f t="array" ref="AO27">INDEX('jiliarena_日报_底稿'!$P$2:$DS$34,MATCH($A27,'jiliarena_日报_底稿'!$P$2:$P$34,0),MATCH(AO$3,'jiliarena_日报_底稿'!$P$3:$DS$3,0))</f>
        <v/>
      </c>
      <c r="AP27" s="133" t="str">
        <f t="shared" si="22"/>
        <v/>
      </c>
      <c r="AQ27" s="139" t="str">
        <f t="array" ref="AQ27">INDEX('jiliarena_日报_底稿'!$P$2:$DS$34,MATCH($A27,'jiliarena_日报_底稿'!$P$2:$P$34,0),MATCH(AQ$3,'jiliarena_日报_底稿'!$P$3:$DS$3,0))</f>
        <v/>
      </c>
      <c r="AR27" s="139" t="str">
        <f t="array" ref="AR27">INDEX('jiliarena_日报_底稿'!$P$2:$DS$34,MATCH($A27,'jiliarena_日报_底稿'!$P$2:$P$34,0),MATCH(AR$3,'jiliarena_日报_底稿'!$P$3:$DS$3,0))</f>
        <v/>
      </c>
      <c r="AS27" s="133" t="str">
        <f t="shared" si="24"/>
        <v/>
      </c>
      <c r="AT27" s="140">
        <f>SUMIFS('jiliarena_活动分析数据_底稿'!$K:$K,'jiliarena_活动分析数据_底稿'!$B:$B,$A27,'jiliarena_活动分析数据_底稿'!$L:$L,AT$3)</f>
        <v>0</v>
      </c>
      <c r="AU27" s="140">
        <f>SUMIFS('jiliarena_活动分析数据_底稿'!$K:$K,'jiliarena_活动分析数据_底稿'!$B:$B,$A27,'jiliarena_活动分析数据_底稿'!$L:$L,AU$3)</f>
        <v>0</v>
      </c>
      <c r="AV27" s="140">
        <f>SUMIFS('jiliarena_活动分析数据_底稿'!$K:$K,'jiliarena_活动分析数据_底稿'!$B:$B,$A27,'jiliarena_活动分析数据_底稿'!$L:$L,AV$3)</f>
        <v>0</v>
      </c>
      <c r="AW27" s="140">
        <f>SUMIFS('jiliarena_活动分析数据_底稿'!$K:$K,'jiliarena_活动分析数据_底稿'!$B:$B,$A27,'jiliarena_活动分析数据_底稿'!$L:$L,AW$3)</f>
        <v>0</v>
      </c>
      <c r="AX27" s="140">
        <f>SUMIFS('jiliarena_活动分析数据_底稿'!$K:$K,'jiliarena_活动分析数据_底稿'!$B:$B,$A27,'jiliarena_活动分析数据_底稿'!$L:$L,AX$3)</f>
        <v>0</v>
      </c>
      <c r="AY27" s="140">
        <f>SUMIFS('jiliarena_活动分析数据_底稿'!$K:$K,'jiliarena_活动分析数据_底稿'!$B:$B,$A27,'jiliarena_活动分析数据_底稿'!$L:$L,AY$3)</f>
        <v>0</v>
      </c>
      <c r="AZ27" s="140">
        <f>SUMIFS('jiliarena_活动分析数据_底稿'!$K:$K,'jiliarena_活动分析数据_底稿'!$B:$B,$A27,'jiliarena_活动分析数据_底稿'!$L:$L,AZ$3)</f>
        <v>0</v>
      </c>
      <c r="BA27" s="140">
        <f>SUMIFS('jiliarena_活动分析数据_底稿'!$K:$K,'jiliarena_活动分析数据_底稿'!$B:$B,$A27,'jiliarena_活动分析数据_底稿'!$L:$L,BA$3)</f>
        <v>0</v>
      </c>
      <c r="BB27" s="140">
        <f>SUMIFS('jiliarena_活动分析数据_底稿'!$K:$K,'jiliarena_活动分析数据_底稿'!$B:$B,$A27,'jiliarena_活动分析数据_底稿'!$L:$L,BB$3)</f>
        <v>0</v>
      </c>
      <c r="BC27" s="140">
        <f>SUMIFS('jiliarena_活动分析数据_底稿'!$K:$K,'jiliarena_活动分析数据_底稿'!$B:$B,$A27,'jiliarena_活动分析数据_底稿'!$L:$L,BC$3)</f>
        <v>0</v>
      </c>
      <c r="BD27" s="140">
        <f>SUMIFS('jiliarena_活动分析数据_底稿'!$K:$K,'jiliarena_活动分析数据_底稿'!$B:$B,$A27,'jiliarena_活动分析数据_底稿'!$L:$L,BD$3)</f>
        <v>0</v>
      </c>
      <c r="BE27" s="140">
        <f>SUMIFS('jiliarena_活动分析数据_底稿'!$K:$K,'jiliarena_活动分析数据_底稿'!$B:$B,$A27,'jiliarena_活动分析数据_底稿'!$L:$L,BE$3)</f>
        <v>0</v>
      </c>
      <c r="BF27" s="140">
        <f>SUMIFS('jiliarena_活动分析数据_底稿'!$K:$K,'jiliarena_活动分析数据_底稿'!$B:$B,$A27,'jiliarena_活动分析数据_底稿'!$L:$L,BF$3)</f>
        <v>0</v>
      </c>
      <c r="BG27" s="140">
        <f>SUMIFS('jiliarena_活动分析数据_底稿'!$K:$K,'jiliarena_活动分析数据_底稿'!$B:$B,$A27,'jiliarena_活动分析数据_底稿'!$L:$L,BG$3)</f>
        <v>0</v>
      </c>
      <c r="BH27" s="140">
        <f>SUMIFS('jiliarena_活动分析数据_底稿'!$K:$K,'jiliarena_活动分析数据_底稿'!$B:$B,$A27,'jiliarena_活动分析数据_底稿'!$L:$L,BH$3)</f>
        <v>0</v>
      </c>
      <c r="BI27" s="140">
        <f>SUMIFS('jiliarena_活动分析数据_底稿'!$K:$K,'jiliarena_活动分析数据_底稿'!$B:$B,$A27,'jiliarena_活动分析数据_底稿'!$L:$L,BI$3)</f>
        <v>0</v>
      </c>
      <c r="BJ27" s="140">
        <f>SUMIFS('jiliarena_活动分析数据_底稿'!$K:$K,'jiliarena_活动分析数据_底稿'!$B:$B,$A27,'jiliarena_活动分析数据_底稿'!$L:$L,BJ$3)</f>
        <v>0</v>
      </c>
      <c r="BK27" s="140">
        <f>SUMIFS('jiliarena_活动分析数据_底稿'!$K:$K,'jiliarena_活动分析数据_底稿'!$B:$B,$A27,'jiliarena_活动分析数据_底稿'!$L:$L,BK$3)</f>
        <v>0</v>
      </c>
      <c r="BL27" s="140">
        <f>SUMIFS('jiliarena_活动分析数据_底稿'!$K:$K,'jiliarena_活动分析数据_底稿'!$B:$B,$A27,'jiliarena_活动分析数据_底稿'!$L:$L,BL$3)</f>
        <v>0</v>
      </c>
      <c r="BM27" s="140">
        <f>SUMIFS('jiliarena_活动分析数据_底稿'!$K:$K,'jiliarena_活动分析数据_底稿'!$B:$B,$A27,'jiliarena_活动分析数据_底稿'!$L:$L,BM$3)</f>
        <v>0</v>
      </c>
      <c r="BN27" s="140">
        <f>SUMIFS('jiliarena_活动分析数据_底稿'!$K:$K,'jiliarena_活动分析数据_底稿'!$B:$B,$A27,'jiliarena_活动分析数据_底稿'!$L:$L,BN$3)</f>
        <v>0</v>
      </c>
      <c r="BO27" s="140">
        <f>SUMIFS('jiliarena_活动分析数据_底稿'!$K:$K,'jiliarena_活动分析数据_底稿'!$B:$B,$A27,'jiliarena_活动分析数据_底稿'!$L:$L,BO$3)</f>
        <v>0</v>
      </c>
      <c r="BP27" s="140">
        <f>SUMIFS('jiliarena_活动分析数据_底稿'!$K:$K,'jiliarena_活动分析数据_底稿'!$B:$B,$A27,'jiliarena_活动分析数据_底稿'!$L:$L,BP$3)</f>
        <v>0</v>
      </c>
      <c r="BQ27" s="137">
        <f t="shared" si="60"/>
        <v>0</v>
      </c>
      <c r="BR27" s="137">
        <f t="shared" si="61"/>
        <v>0</v>
      </c>
      <c r="BS27" s="137">
        <f t="shared" si="62"/>
        <v>0</v>
      </c>
      <c r="BT27" s="133" t="str">
        <f t="shared" si="26"/>
        <v/>
      </c>
      <c r="BU27" s="133" t="str">
        <f t="shared" si="27"/>
        <v/>
      </c>
      <c r="BV27" s="133" t="str">
        <f t="shared" si="28"/>
        <v/>
      </c>
      <c r="BW27" s="141">
        <f t="shared" si="29"/>
        <v>0</v>
      </c>
      <c r="BX27" s="142" t="str">
        <f t="shared" si="30"/>
        <v/>
      </c>
      <c r="BY27" s="143">
        <f t="shared" si="31"/>
        <v>0</v>
      </c>
      <c r="BZ27" s="144">
        <f t="shared" si="32"/>
        <v>0</v>
      </c>
      <c r="CA27" s="145">
        <f t="shared" si="33"/>
        <v>0</v>
      </c>
      <c r="CB27" s="146">
        <f t="shared" si="34"/>
        <v>0</v>
      </c>
      <c r="CC27" s="142" t="str">
        <f t="shared" si="35"/>
        <v/>
      </c>
      <c r="CD27" s="137" t="str">
        <f t="array" ref="CD27">index('jiliarena_日报_底稿'!$P$3:$DS$34,match(A27,'jiliarena_日报_底稿'!$P$3:$P$34,0),match("综合性分红",'jiliarena_日报_底稿'!$P$3:$DS$3,0))</f>
        <v/>
      </c>
      <c r="CE27" s="147"/>
      <c r="CF27" s="137" t="str">
        <f t="array" ref="CF27">INDEX('jiliarena_日报_底稿'!$P$2:$DS$34,MATCH($A27,'jiliarena_日报_底稿'!$P$2:$P$34,0),MATCH(CF$3,'jiliarena_日报_底稿'!$P$3:$DS$3,0))</f>
        <v/>
      </c>
      <c r="CG27" s="137">
        <f t="array" ref="CG27">-INDEX('jiliarena_日报_底稿'!$P$2:$DS$34,MATCH($A27,'jiliarena_日报_底稿'!$P$2:$P$34,0),MATCH(CG$3,'jiliarena_日报_底稿'!$P$3:$DS$3,0))</f>
        <v>0</v>
      </c>
      <c r="CH27" s="137" t="str">
        <f t="array" ref="CH27">INDEX('jiliarena_日报_底稿'!$P$2:$DS$34,MATCH($A27,'jiliarena_日报_底稿'!$P$2:$P$34,0),MATCH(CH$3,'jiliarena_日报_底稿'!$P$3:$DS$3,0))</f>
        <v/>
      </c>
      <c r="CI27" s="141">
        <f t="shared" si="37"/>
        <v>0</v>
      </c>
      <c r="CJ27" s="148">
        <f t="shared" si="38"/>
        <v>3</v>
      </c>
      <c r="CK27" s="148">
        <f t="shared" si="39"/>
        <v>15</v>
      </c>
    </row>
    <row r="28">
      <c r="A28" s="149" t="s">
        <v>269</v>
      </c>
      <c r="B28" s="150">
        <f t="shared" ref="B28:M28" si="64">SUM(B21:B27)</f>
        <v>500</v>
      </c>
      <c r="C28" s="150">
        <f t="shared" si="64"/>
        <v>238</v>
      </c>
      <c r="D28" s="150">
        <f t="shared" si="64"/>
        <v>11209</v>
      </c>
      <c r="E28" s="150">
        <f t="shared" si="64"/>
        <v>28</v>
      </c>
      <c r="F28" s="150">
        <f t="shared" si="64"/>
        <v>761</v>
      </c>
      <c r="G28" s="150">
        <f t="shared" si="64"/>
        <v>1051</v>
      </c>
      <c r="H28" s="150">
        <f t="shared" si="64"/>
        <v>233</v>
      </c>
      <c r="I28" s="150">
        <f t="shared" si="64"/>
        <v>279</v>
      </c>
      <c r="J28" s="150">
        <f t="shared" si="64"/>
        <v>8494</v>
      </c>
      <c r="K28" s="151">
        <f t="shared" si="64"/>
        <v>28693</v>
      </c>
      <c r="L28" s="151">
        <f t="shared" si="64"/>
        <v>150538</v>
      </c>
      <c r="M28" s="151">
        <f t="shared" si="64"/>
        <v>140520</v>
      </c>
      <c r="N28" s="152">
        <f t="shared" si="2"/>
        <v>0.476</v>
      </c>
      <c r="O28" s="153">
        <f t="shared" si="3"/>
        <v>121</v>
      </c>
      <c r="P28" s="152">
        <f t="shared" si="4"/>
        <v>0.190603</v>
      </c>
      <c r="Q28" s="153">
        <f t="shared" si="5"/>
        <v>1.4</v>
      </c>
      <c r="R28" s="153">
        <f t="shared" si="6"/>
        <v>198</v>
      </c>
      <c r="S28" s="153">
        <f t="shared" si="7"/>
        <v>143</v>
      </c>
      <c r="T28" s="153">
        <f t="shared" si="8"/>
        <v>1.2</v>
      </c>
      <c r="U28" s="154">
        <f t="shared" si="9"/>
        <v>603</v>
      </c>
      <c r="V28" s="155">
        <f t="shared" si="10"/>
        <v>10018</v>
      </c>
      <c r="W28" s="156">
        <f t="shared" ref="W28:Z28" si="65">SUM(W21:W27)</f>
        <v>1659852.48</v>
      </c>
      <c r="X28" s="156">
        <f t="shared" si="65"/>
        <v>1529684.04</v>
      </c>
      <c r="Y28" s="156">
        <f t="shared" si="65"/>
        <v>60681.884</v>
      </c>
      <c r="Z28" s="156">
        <f t="shared" si="65"/>
        <v>1599170.596</v>
      </c>
      <c r="AA28" s="157">
        <f t="shared" si="12"/>
        <v>0.036559</v>
      </c>
      <c r="AB28" s="156">
        <f t="shared" ref="AB28:AC28" si="66">SUM(AB21:AB27)</f>
        <v>0</v>
      </c>
      <c r="AC28" s="156">
        <f t="shared" si="66"/>
        <v>0</v>
      </c>
      <c r="AD28" s="157" t="str">
        <f t="shared" si="14"/>
        <v>#DIV/0!</v>
      </c>
      <c r="AE28" s="156">
        <f t="shared" ref="AE28:AF28" si="67">SUM(AE21:AE27)</f>
        <v>1640163.43</v>
      </c>
      <c r="AF28" s="156">
        <f t="shared" si="67"/>
        <v>1578675.796</v>
      </c>
      <c r="AG28" s="157">
        <f t="shared" si="16"/>
        <v>0.037489</v>
      </c>
      <c r="AH28" s="156">
        <f t="shared" ref="AH28:AI28" si="68">SUM(AH21:AH27)</f>
        <v>8536.5</v>
      </c>
      <c r="AI28" s="156">
        <f t="shared" si="68"/>
        <v>9896.5</v>
      </c>
      <c r="AJ28" s="158">
        <f t="shared" si="18"/>
        <v>-0.159316</v>
      </c>
      <c r="AK28" s="156">
        <f t="shared" ref="AK28:AL28" si="69">SUM(AK21:AK27)</f>
        <v>11120.55</v>
      </c>
      <c r="AL28" s="156">
        <f t="shared" si="69"/>
        <v>10598.3</v>
      </c>
      <c r="AM28" s="157">
        <f t="shared" si="20"/>
        <v>0.046963</v>
      </c>
      <c r="AN28" s="156">
        <f t="shared" ref="AN28:AO28" si="70">SUM(AN21:AN27)</f>
        <v>0</v>
      </c>
      <c r="AO28" s="156">
        <f t="shared" si="70"/>
        <v>0</v>
      </c>
      <c r="AP28" s="157" t="str">
        <f t="shared" si="22"/>
        <v>#DIV/0!</v>
      </c>
      <c r="AQ28" s="156">
        <f t="shared" ref="AQ28:AR28" si="71">SUM(AQ21:AQ27)</f>
        <v>32</v>
      </c>
      <c r="AR28" s="156">
        <f t="shared" si="71"/>
        <v>0</v>
      </c>
      <c r="AS28" s="157">
        <f t="shared" si="24"/>
        <v>1</v>
      </c>
      <c r="AT28" s="159">
        <f t="shared" ref="AT28:BS28" si="72">SUM(AT21:AT27)</f>
        <v>4484.52</v>
      </c>
      <c r="AU28" s="159">
        <f t="shared" si="72"/>
        <v>0</v>
      </c>
      <c r="AV28" s="159">
        <f t="shared" si="72"/>
        <v>1101.68</v>
      </c>
      <c r="AW28" s="159">
        <f t="shared" si="72"/>
        <v>13345</v>
      </c>
      <c r="AX28" s="159">
        <f t="shared" si="72"/>
        <v>683</v>
      </c>
      <c r="AY28" s="159">
        <f t="shared" si="72"/>
        <v>0</v>
      </c>
      <c r="AZ28" s="159">
        <f t="shared" si="72"/>
        <v>0</v>
      </c>
      <c r="BA28" s="159">
        <f t="shared" si="72"/>
        <v>0</v>
      </c>
      <c r="BB28" s="159">
        <f t="shared" si="72"/>
        <v>838.87</v>
      </c>
      <c r="BC28" s="159">
        <f t="shared" si="72"/>
        <v>506</v>
      </c>
      <c r="BD28" s="159">
        <f t="shared" si="72"/>
        <v>0</v>
      </c>
      <c r="BE28" s="159">
        <f t="shared" si="72"/>
        <v>0</v>
      </c>
      <c r="BF28" s="159">
        <f t="shared" si="72"/>
        <v>350</v>
      </c>
      <c r="BG28" s="159">
        <f t="shared" si="72"/>
        <v>0</v>
      </c>
      <c r="BH28" s="159">
        <f t="shared" si="72"/>
        <v>0</v>
      </c>
      <c r="BI28" s="159">
        <f t="shared" si="72"/>
        <v>0</v>
      </c>
      <c r="BJ28" s="159">
        <f t="shared" si="72"/>
        <v>6927.5</v>
      </c>
      <c r="BK28" s="159">
        <f t="shared" si="72"/>
        <v>0</v>
      </c>
      <c r="BL28" s="159">
        <f t="shared" si="72"/>
        <v>0</v>
      </c>
      <c r="BM28" s="159">
        <f t="shared" si="72"/>
        <v>0</v>
      </c>
      <c r="BN28" s="159">
        <f t="shared" si="72"/>
        <v>0</v>
      </c>
      <c r="BO28" s="159">
        <f t="shared" si="72"/>
        <v>0</v>
      </c>
      <c r="BP28" s="159">
        <f t="shared" si="72"/>
        <v>0</v>
      </c>
      <c r="BQ28" s="159">
        <f t="shared" si="72"/>
        <v>28236.57</v>
      </c>
      <c r="BR28" s="159">
        <f t="shared" si="72"/>
        <v>4484.52</v>
      </c>
      <c r="BS28" s="159">
        <f t="shared" si="72"/>
        <v>838.87</v>
      </c>
      <c r="BT28" s="152">
        <f t="shared" si="26"/>
        <v>0.018459</v>
      </c>
      <c r="BU28" s="152">
        <f t="shared" si="27"/>
        <v>0.1875710452</v>
      </c>
      <c r="BV28" s="152">
        <f t="shared" si="28"/>
        <v>0.4653212481</v>
      </c>
      <c r="BW28" s="154">
        <f t="shared" si="29"/>
        <v>32445.314</v>
      </c>
      <c r="BX28" s="152">
        <f t="shared" si="30"/>
        <v>0.870281915</v>
      </c>
      <c r="BY28" s="154">
        <f t="shared" si="31"/>
        <v>3627.9658</v>
      </c>
      <c r="BZ28" s="154">
        <f t="shared" si="32"/>
        <v>281.04</v>
      </c>
      <c r="CA28" s="154">
        <f t="shared" si="33"/>
        <v>3909.0058</v>
      </c>
      <c r="CB28" s="154">
        <f t="shared" si="34"/>
        <v>5461</v>
      </c>
      <c r="CC28" s="160">
        <f t="shared" si="35"/>
        <v>0.1204798265</v>
      </c>
      <c r="CD28" s="159">
        <f t="shared" ref="CD28:CH28" si="73">SUM(CD21:CD27)</f>
        <v>0</v>
      </c>
      <c r="CE28" s="159">
        <f t="shared" si="73"/>
        <v>0</v>
      </c>
      <c r="CF28" s="159">
        <f t="shared" si="73"/>
        <v>0</v>
      </c>
      <c r="CG28" s="159">
        <f t="shared" si="73"/>
        <v>0</v>
      </c>
      <c r="CH28" s="159">
        <f t="shared" si="73"/>
        <v>422935.2972</v>
      </c>
      <c r="CI28" s="154">
        <f t="shared" si="37"/>
        <v>23075.3082</v>
      </c>
      <c r="CJ28" s="65" t="str">
        <f t="shared" si="38"/>
        <v/>
      </c>
      <c r="CK28" s="65" t="str">
        <f t="shared" si="39"/>
        <v/>
      </c>
    </row>
    <row r="29">
      <c r="A29" s="162">
        <f>A27+1</f>
        <v>46097</v>
      </c>
      <c r="B29" s="163" t="str">
        <f t="array" ref="B29">INDEX('jiliarena_日报_底稿'!$A$3:$N$34,MATCH($A29,'jiliarena_日报_底稿'!$A$3:$A$34,0),MATCH(B$3,'jiliarena_日报_底稿'!$A$3:$N$3,0))</f>
        <v/>
      </c>
      <c r="C29" s="163" t="str">
        <f t="array" ref="C29">INDEX('jiliarena_日报_底稿'!$A$3:$N$34,MATCH($A29,'jiliarena_日报_底稿'!$A$3:$A$34,0),MATCH(C$3,'jiliarena_日报_底稿'!$A$3:$N$3,0))</f>
        <v/>
      </c>
      <c r="D29" s="163" t="str">
        <f t="array" ref="D29">INDEX('jiliarena_日报_底稿'!$A$3:$N$34,MATCH($A29,'jiliarena_日报_底稿'!$A$3:$A$34,0),MATCH(D$3,'jiliarena_日报_底稿'!$A$3:$N$3,0))</f>
        <v/>
      </c>
      <c r="E29" s="163"/>
      <c r="F29" s="163" t="str">
        <f t="array" ref="F29">INDEX('jiliarena_日报_底稿'!$A$3:$N$34,MATCH($A29,'jiliarena_日报_底稿'!$A$3:$A$34,0),MATCH(F$3,'jiliarena_日报_底稿'!$A$3:$N$3,0))</f>
        <v/>
      </c>
      <c r="G29" s="164">
        <f>SUMIFS('渠道充值成功率_底稿'!$F:$F,'渠道充值成功率_底稿'!$A:$A,A29)</f>
        <v>0</v>
      </c>
      <c r="H29" s="163" t="str">
        <f t="array" ref="H29">INDEX('jiliarena_日报_底稿'!$A$3:$N$34,MATCH($A29,'jiliarena_日报_底稿'!$A$3:$A$34,0),MATCH(H$3,'jiliarena_日报_底稿'!$A$3:$N$3,0))</f>
        <v/>
      </c>
      <c r="I29" s="163"/>
      <c r="J29" s="163" t="str">
        <f t="array" ref="J29">INDEX('jiliarena_日报_底稿'!$A$3:$N$34,MATCH($A29,'jiliarena_日报_底稿'!$A$3:$A$34,0),MATCH(J$3,'jiliarena_日报_底稿'!$A$3:$N$3,0))</f>
        <v/>
      </c>
      <c r="K29" s="165">
        <f>SUMIFS('渠道充值成功率_底稿'!$J:$J,'渠道充值成功率_底稿'!$A:$A,$A29)</f>
        <v>0</v>
      </c>
      <c r="L29" s="166" t="str">
        <f t="array" ref="L29">INDEX('jiliarena_日报_底稿'!$A$3:$N$34,MATCH($A29,'jiliarena_日报_底稿'!$A$3:$A$34,0),MATCH(L$3,'jiliarena_日报_底稿'!$A$3:$N$3,0))</f>
        <v/>
      </c>
      <c r="M29" s="166" t="str">
        <f t="array" ref="M29">INDEX('jiliarena_日报_底稿'!$P$2:$DS$34,MATCH($A29,'jiliarena_日报_底稿'!$P$2:$P$34,0),MATCH($M$3,'jiliarena_日报_底稿'!$P$3:$DS$3,0))</f>
        <v/>
      </c>
      <c r="N29" s="167" t="str">
        <f t="shared" si="2"/>
        <v/>
      </c>
      <c r="O29" s="168" t="str">
        <f t="shared" si="3"/>
        <v>#DIV/0!</v>
      </c>
      <c r="P29" s="167" t="str">
        <f t="shared" si="4"/>
        <v/>
      </c>
      <c r="Q29" s="168" t="str">
        <f t="shared" si="5"/>
        <v>#DIV/0!</v>
      </c>
      <c r="R29" s="169" t="str">
        <f t="shared" si="6"/>
        <v/>
      </c>
      <c r="S29" s="170" t="str">
        <f t="shared" si="7"/>
        <v/>
      </c>
      <c r="T29" s="170" t="str">
        <f t="shared" si="8"/>
        <v/>
      </c>
      <c r="U29" s="169" t="str">
        <f t="shared" si="9"/>
        <v/>
      </c>
      <c r="V29" s="171" t="str">
        <f t="shared" si="10"/>
        <v/>
      </c>
      <c r="W29" s="172">
        <f t="shared" ref="W29:W35" si="74">AB29+AE29+AH29+AK29+AN29+AQ29</f>
        <v>0</v>
      </c>
      <c r="X29" s="172">
        <f t="array" ref="X29">index('jiliarena_日报_底稿'!$P$2:$DS$34,match($A29,'jiliarena_日报_底稿'!$P$2:$P$34,0),match("电子有效投注",'jiliarena_日报_底稿'!$P$3:$DS$3,0))+index('jiliarena_日报_底稿'!$P$2:$DS$34,match($A29,'jiliarena_日报_底稿'!$P$2:$P$34,0),match("真人有效投注",'jiliarena_日报_底稿'!$P$3:$DS$3,0))+index('jiliarena_日报_底稿'!$P$2:$DS$34,match($A29,'jiliarena_日报_底稿'!$P$2:$P$34,0),match("彩票有效投注",'jiliarena_日报_底稿'!$P$3:$DS$3,0))+index('jiliarena_日报_底稿'!$P$2:$DS$34,match($A29,'jiliarena_日报_底稿'!$P$2:$P$34,0),match("棋牌有效投注",'jiliarena_日报_底稿'!$P$3:$DS$3,0))+index('jiliarena_日报_底稿'!$P$2:$DS$34,match($A29,'jiliarena_日报_底稿'!$P$2:$P$34,0),match("捕鱼有效投注",'jiliarena_日报_底稿'!$P$3:$DS$3,0))+index('jiliarena_日报_底稿'!$P$2:$DS$34,match($A29,'jiliarena_日报_底稿'!$P$2:$P$34,0),match("体育有效投注",'jiliarena_日报_底稿'!$P$3:$DS$3,0))+index('jiliarena_日报_底稿'!$P$2:$DS$34,match($A29,'jiliarena_日报_底稿'!$P$2:$P$34,0),match("盘口彩票有效投注",'jiliarena_日报_底稿'!$P$3:$DS$3,0))</f>
        <v>0</v>
      </c>
      <c r="Y29" s="138">
        <f t="shared" ref="Y29:Y35" si="75">AB29+AE29+AH29+AK29+AN29+AQ29-AR29-AO29-AL29-AI29-AF29-AC29</f>
        <v>0</v>
      </c>
      <c r="Z29" s="172">
        <f t="shared" ref="Z29:Z35" si="76">AC29+AF29+AI29+AL29+AO29+AR29</f>
        <v>0</v>
      </c>
      <c r="AA29" s="167" t="str">
        <f t="shared" si="12"/>
        <v/>
      </c>
      <c r="AB29" s="173" t="str">
        <f t="array" ref="AB29">INDEX('jiliarena_日报_底稿'!$P$2:$DS$34,MATCH($A29,'jiliarena_日报_底稿'!$P$2:$P$34,0),MATCH(AB$3,'jiliarena_日报_底稿'!$P$3:$DS$3,0))</f>
        <v/>
      </c>
      <c r="AC29" s="173" t="str">
        <f t="array" ref="AC29">INDEX('jiliarena_日报_底稿'!$P$2:$DS$34,MATCH($A29,'jiliarena_日报_底稿'!$P$2:$P$34,0),MATCH(AC$3,'jiliarena_日报_底稿'!$P$3:$DS$3,0))</f>
        <v/>
      </c>
      <c r="AD29" s="167" t="str">
        <f t="shared" si="14"/>
        <v/>
      </c>
      <c r="AE29" s="173" t="str">
        <f t="array" ref="AE29">INDEX('jiliarena_日报_底稿'!$P$2:$DS$34,MATCH($A29,'jiliarena_日报_底稿'!$P$2:$P$34,0),MATCH(AE$3,'jiliarena_日报_底稿'!$P$3:$DS$3,0))</f>
        <v/>
      </c>
      <c r="AF29" s="173" t="str">
        <f t="array" ref="AF29">INDEX('jiliarena_日报_底稿'!$P$2:$DS$34,MATCH($A29,'jiliarena_日报_底稿'!$P$2:$P$34,0),MATCH(AF$3,'jiliarena_日报_底稿'!$P$3:$DS$3,0))</f>
        <v/>
      </c>
      <c r="AG29" s="167" t="str">
        <f t="shared" si="16"/>
        <v/>
      </c>
      <c r="AH29" s="173" t="str">
        <f t="array" ref="AH29">INDEX('jiliarena_日报_底稿'!$P$2:$DS$34,MATCH($A29,'jiliarena_日报_底稿'!$P$2:$P$34,0),MATCH(AH$3,'jiliarena_日报_底稿'!$P$3:$DS$3,0))</f>
        <v/>
      </c>
      <c r="AI29" s="173" t="str">
        <f t="array" ref="AI29">INDEX('jiliarena_日报_底稿'!$P$2:$DS$34,MATCH($A29,'jiliarena_日报_底稿'!$P$2:$P$34,0),MATCH(AI$3,'jiliarena_日报_底稿'!$P$3:$DS$3,0))</f>
        <v/>
      </c>
      <c r="AJ29" s="167" t="str">
        <f t="shared" si="18"/>
        <v/>
      </c>
      <c r="AK29" s="173" t="str">
        <f t="array" ref="AK29">INDEX('jiliarena_日报_底稿'!$P$2:$DS$34,MATCH($A29,'jiliarena_日报_底稿'!$P$2:$P$34,0),MATCH(AK$3,'jiliarena_日报_底稿'!$P$3:$DS$3,0))</f>
        <v/>
      </c>
      <c r="AL29" s="173" t="str">
        <f t="array" ref="AL29">INDEX('jiliarena_日报_底稿'!$P$2:$DS$34,MATCH($A29,'jiliarena_日报_底稿'!$P$2:$P$34,0),MATCH(AL$3,'jiliarena_日报_底稿'!$P$3:$DS$3,0))</f>
        <v/>
      </c>
      <c r="AM29" s="167" t="str">
        <f t="shared" si="20"/>
        <v/>
      </c>
      <c r="AN29" s="173" t="str">
        <f t="array" ref="AN29">INDEX('jiliarena_日报_底稿'!$P$2:$DS$34,MATCH($A29,'jiliarena_日报_底稿'!$P$2:$P$34,0),MATCH(AN$3,'jiliarena_日报_底稿'!$P$3:$DS$3,0))</f>
        <v/>
      </c>
      <c r="AO29" s="173" t="str">
        <f t="array" ref="AO29">INDEX('jiliarena_日报_底稿'!$P$2:$DS$34,MATCH($A29,'jiliarena_日报_底稿'!$P$2:$P$34,0),MATCH(AO$3,'jiliarena_日报_底稿'!$P$3:$DS$3,0))</f>
        <v/>
      </c>
      <c r="AP29" s="167" t="str">
        <f t="shared" si="22"/>
        <v/>
      </c>
      <c r="AQ29" s="173" t="str">
        <f t="array" ref="AQ29">INDEX('jiliarena_日报_底稿'!$P$2:$DS$34,MATCH($A29,'jiliarena_日报_底稿'!$P$2:$P$34,0),MATCH(AQ$3,'jiliarena_日报_底稿'!$P$3:$DS$3,0))</f>
        <v/>
      </c>
      <c r="AR29" s="173" t="str">
        <f t="array" ref="AR29">INDEX('jiliarena_日报_底稿'!$P$2:$DS$34,MATCH($A29,'jiliarena_日报_底稿'!$P$2:$P$34,0),MATCH(AR$3,'jiliarena_日报_底稿'!$P$3:$DS$3,0))</f>
        <v/>
      </c>
      <c r="AS29" s="167" t="str">
        <f t="shared" si="24"/>
        <v/>
      </c>
      <c r="AT29" s="174">
        <f>SUMIFS('jiliarena_活动分析数据_底稿'!$K:$K,'jiliarena_活动分析数据_底稿'!$B:$B,$A29,'jiliarena_活动分析数据_底稿'!$L:$L,AT$3)</f>
        <v>0</v>
      </c>
      <c r="AU29" s="174">
        <f>SUMIFS('jiliarena_活动分析数据_底稿'!$K:$K,'jiliarena_活动分析数据_底稿'!$B:$B,$A29,'jiliarena_活动分析数据_底稿'!$L:$L,AU$3)</f>
        <v>0</v>
      </c>
      <c r="AV29" s="174">
        <f>SUMIFS('jiliarena_活动分析数据_底稿'!$K:$K,'jiliarena_活动分析数据_底稿'!$B:$B,$A29,'jiliarena_活动分析数据_底稿'!$L:$L,AV$3)</f>
        <v>0</v>
      </c>
      <c r="AW29" s="174">
        <f>SUMIFS('jiliarena_活动分析数据_底稿'!$K:$K,'jiliarena_活动分析数据_底稿'!$B:$B,$A29,'jiliarena_活动分析数据_底稿'!$L:$L,AW$3)</f>
        <v>0</v>
      </c>
      <c r="AX29" s="174">
        <f>SUMIFS('jiliarena_活动分析数据_底稿'!$K:$K,'jiliarena_活动分析数据_底稿'!$B:$B,$A29,'jiliarena_活动分析数据_底稿'!$L:$L,AX$3)</f>
        <v>0</v>
      </c>
      <c r="AY29" s="174">
        <f>SUMIFS('jiliarena_活动分析数据_底稿'!$K:$K,'jiliarena_活动分析数据_底稿'!$B:$B,$A29,'jiliarena_活动分析数据_底稿'!$L:$L,AY$3)</f>
        <v>0</v>
      </c>
      <c r="AZ29" s="174">
        <f>SUMIFS('jiliarena_活动分析数据_底稿'!$K:$K,'jiliarena_活动分析数据_底稿'!$B:$B,$A29,'jiliarena_活动分析数据_底稿'!$L:$L,AZ$3)</f>
        <v>0</v>
      </c>
      <c r="BA29" s="174">
        <f>SUMIFS('jiliarena_活动分析数据_底稿'!$K:$K,'jiliarena_活动分析数据_底稿'!$B:$B,$A29,'jiliarena_活动分析数据_底稿'!$L:$L,BA$3)</f>
        <v>0</v>
      </c>
      <c r="BB29" s="174">
        <f>SUMIFS('jiliarena_活动分析数据_底稿'!$K:$K,'jiliarena_活动分析数据_底稿'!$B:$B,$A29,'jiliarena_活动分析数据_底稿'!$L:$L,BB$3)</f>
        <v>0</v>
      </c>
      <c r="BC29" s="174">
        <f>SUMIFS('jiliarena_活动分析数据_底稿'!$K:$K,'jiliarena_活动分析数据_底稿'!$B:$B,$A29,'jiliarena_活动分析数据_底稿'!$L:$L,BC$3)</f>
        <v>0</v>
      </c>
      <c r="BD29" s="174">
        <f>SUMIFS('jiliarena_活动分析数据_底稿'!$K:$K,'jiliarena_活动分析数据_底稿'!$B:$B,$A29,'jiliarena_活动分析数据_底稿'!$L:$L,BD$3)</f>
        <v>0</v>
      </c>
      <c r="BE29" s="174">
        <f>SUMIFS('jiliarena_活动分析数据_底稿'!$K:$K,'jiliarena_活动分析数据_底稿'!$B:$B,$A29,'jiliarena_活动分析数据_底稿'!$L:$L,BE$3)</f>
        <v>0</v>
      </c>
      <c r="BF29" s="174">
        <f>SUMIFS('jiliarena_活动分析数据_底稿'!$K:$K,'jiliarena_活动分析数据_底稿'!$B:$B,$A29,'jiliarena_活动分析数据_底稿'!$L:$L,BF$3)</f>
        <v>0</v>
      </c>
      <c r="BG29" s="174">
        <f>SUMIFS('jiliarena_活动分析数据_底稿'!$K:$K,'jiliarena_活动分析数据_底稿'!$B:$B,$A29,'jiliarena_活动分析数据_底稿'!$L:$L,BG$3)</f>
        <v>0</v>
      </c>
      <c r="BH29" s="174">
        <f>SUMIFS('jiliarena_活动分析数据_底稿'!$K:$K,'jiliarena_活动分析数据_底稿'!$B:$B,$A29,'jiliarena_活动分析数据_底稿'!$L:$L,BH$3)</f>
        <v>0</v>
      </c>
      <c r="BI29" s="174">
        <f>SUMIFS('jiliarena_活动分析数据_底稿'!$K:$K,'jiliarena_活动分析数据_底稿'!$B:$B,$A29,'jiliarena_活动分析数据_底稿'!$L:$L,BI$3)</f>
        <v>0</v>
      </c>
      <c r="BJ29" s="174">
        <f>SUMIFS('jiliarena_活动分析数据_底稿'!$K:$K,'jiliarena_活动分析数据_底稿'!$B:$B,$A29,'jiliarena_活动分析数据_底稿'!$L:$L,BJ$3)</f>
        <v>0</v>
      </c>
      <c r="BK29" s="174">
        <f>SUMIFS('jiliarena_活动分析数据_底稿'!$K:$K,'jiliarena_活动分析数据_底稿'!$B:$B,$A29,'jiliarena_活动分析数据_底稿'!$L:$L,BK$3)</f>
        <v>0</v>
      </c>
      <c r="BL29" s="174">
        <f>SUMIFS('jiliarena_活动分析数据_底稿'!$K:$K,'jiliarena_活动分析数据_底稿'!$B:$B,$A29,'jiliarena_活动分析数据_底稿'!$L:$L,BL$3)</f>
        <v>0</v>
      </c>
      <c r="BM29" s="174">
        <f>SUMIFS('jiliarena_活动分析数据_底稿'!$K:$K,'jiliarena_活动分析数据_底稿'!$B:$B,$A29,'jiliarena_活动分析数据_底稿'!$L:$L,BM$3)</f>
        <v>0</v>
      </c>
      <c r="BN29" s="174">
        <f>SUMIFS('jiliarena_活动分析数据_底稿'!$K:$K,'jiliarena_活动分析数据_底稿'!$B:$B,$A29,'jiliarena_活动分析数据_底稿'!$L:$L,BN$3)</f>
        <v>0</v>
      </c>
      <c r="BO29" s="174">
        <f>SUMIFS('jiliarena_活动分析数据_底稿'!$K:$K,'jiliarena_活动分析数据_底稿'!$B:$B,$A29,'jiliarena_活动分析数据_底稿'!$L:$L,BO$3)</f>
        <v>0</v>
      </c>
      <c r="BP29" s="174">
        <f>SUMIFS('jiliarena_活动分析数据_底稿'!$K:$K,'jiliarena_活动分析数据_底稿'!$B:$B,$A29,'jiliarena_活动分析数据_底稿'!$L:$L,BP$3)</f>
        <v>0</v>
      </c>
      <c r="BQ29" s="172">
        <f t="shared" ref="BQ29:BQ35" si="77">SUM(AT29:BP29)</f>
        <v>0</v>
      </c>
      <c r="BR29" s="172">
        <f t="shared" ref="BR29:BR35" si="78">AT29</f>
        <v>0</v>
      </c>
      <c r="BS29" s="172">
        <f t="shared" ref="BS29:BS35" si="79">BB29</f>
        <v>0</v>
      </c>
      <c r="BT29" s="167" t="str">
        <f t="shared" si="26"/>
        <v/>
      </c>
      <c r="BU29" s="167" t="str">
        <f t="shared" si="27"/>
        <v/>
      </c>
      <c r="BV29" s="167" t="str">
        <f t="shared" si="28"/>
        <v/>
      </c>
      <c r="BW29" s="175">
        <f t="shared" si="29"/>
        <v>0</v>
      </c>
      <c r="BX29" s="176" t="str">
        <f t="shared" si="30"/>
        <v/>
      </c>
      <c r="BY29" s="177">
        <f t="shared" si="31"/>
        <v>0</v>
      </c>
      <c r="BZ29" s="178">
        <f t="shared" si="32"/>
        <v>0</v>
      </c>
      <c r="CA29" s="179">
        <f t="shared" si="33"/>
        <v>0</v>
      </c>
      <c r="CB29" s="180">
        <f t="shared" si="34"/>
        <v>0</v>
      </c>
      <c r="CC29" s="176" t="str">
        <f t="shared" si="35"/>
        <v/>
      </c>
      <c r="CD29" s="181" t="str">
        <f t="array" ref="CD29">index('jiliarena_日报_底稿'!$P$3:$DS$34,match(A29,'jiliarena_日报_底稿'!$P$3:$P$34,0),match("综合性分红",'jiliarena_日报_底稿'!$P$3:$DS$3,0))</f>
        <v/>
      </c>
      <c r="CE29" s="127"/>
      <c r="CF29" s="181" t="str">
        <f t="array" ref="CF29">INDEX('jiliarena_日报_底稿'!$P$2:$DS$34,MATCH($A29,'jiliarena_日报_底稿'!$P$2:$P$34,0),MATCH(CF$3,'jiliarena_日报_底稿'!$P$3:$DS$3,0))</f>
        <v/>
      </c>
      <c r="CG29" s="172">
        <f t="array" ref="CG29">-INDEX('jiliarena_日报_底稿'!$P$2:$DS$34,MATCH($A29,'jiliarena_日报_底稿'!$P$2:$P$34,0),MATCH(CG$3,'jiliarena_日报_底稿'!$P$3:$DS$3,0))</f>
        <v>0</v>
      </c>
      <c r="CH29" s="181" t="str">
        <f t="array" ref="CH29">INDEX('jiliarena_日报_底稿'!$P$2:$DS$34,MATCH($A29,'jiliarena_日报_底稿'!$P$2:$P$34,0),MATCH(CH$3,'jiliarena_日报_底稿'!$P$3:$DS$3,0))</f>
        <v/>
      </c>
      <c r="CI29" s="175">
        <f t="shared" si="37"/>
        <v>0</v>
      </c>
      <c r="CJ29" s="182">
        <f t="shared" si="38"/>
        <v>3</v>
      </c>
      <c r="CK29" s="182">
        <f t="shared" si="39"/>
        <v>16</v>
      </c>
    </row>
    <row r="30">
      <c r="A30" s="162">
        <f t="shared" ref="A30:A35" si="80">A29+1</f>
        <v>46098</v>
      </c>
      <c r="B30" s="163" t="str">
        <f t="array" ref="B30">INDEX('jiliarena_日报_底稿'!$A$3:$N$34,MATCH($A30,'jiliarena_日报_底稿'!$A$3:$A$34,0),MATCH(B$3,'jiliarena_日报_底稿'!$A$3:$N$3,0))</f>
        <v/>
      </c>
      <c r="C30" s="163" t="str">
        <f t="array" ref="C30">INDEX('jiliarena_日报_底稿'!$A$3:$N$34,MATCH($A30,'jiliarena_日报_底稿'!$A$3:$A$34,0),MATCH(C$3,'jiliarena_日报_底稿'!$A$3:$N$3,0))</f>
        <v/>
      </c>
      <c r="D30" s="163" t="str">
        <f t="array" ref="D30">INDEX('jiliarena_日报_底稿'!$A$3:$N$34,MATCH($A30,'jiliarena_日报_底稿'!$A$3:$A$34,0),MATCH(D$3,'jiliarena_日报_底稿'!$A$3:$N$3,0))</f>
        <v/>
      </c>
      <c r="E30" s="163"/>
      <c r="F30" s="163" t="str">
        <f t="array" ref="F30">INDEX('jiliarena_日报_底稿'!$A$3:$N$34,MATCH($A30,'jiliarena_日报_底稿'!$A$3:$A$34,0),MATCH(F$3,'jiliarena_日报_底稿'!$A$3:$N$3,0))</f>
        <v/>
      </c>
      <c r="G30" s="164">
        <f>SUMIFS('渠道充值成功率_底稿'!$F:$F,'渠道充值成功率_底稿'!$A:$A,A30)</f>
        <v>0</v>
      </c>
      <c r="H30" s="163" t="str">
        <f t="array" ref="H30">INDEX('jiliarena_日报_底稿'!$A$3:$N$34,MATCH($A30,'jiliarena_日报_底稿'!$A$3:$A$34,0),MATCH(H$3,'jiliarena_日报_底稿'!$A$3:$N$3,0))</f>
        <v/>
      </c>
      <c r="I30" s="163"/>
      <c r="J30" s="163" t="str">
        <f t="array" ref="J30">INDEX('jiliarena_日报_底稿'!$A$3:$N$34,MATCH($A30,'jiliarena_日报_底稿'!$A$3:$A$34,0),MATCH(J$3,'jiliarena_日报_底稿'!$A$3:$N$3,0))</f>
        <v/>
      </c>
      <c r="K30" s="165">
        <f>SUMIFS('渠道充值成功率_底稿'!$J:$J,'渠道充值成功率_底稿'!$A:$A,$A30)</f>
        <v>0</v>
      </c>
      <c r="L30" s="166" t="str">
        <f t="array" ref="L30">INDEX('jiliarena_日报_底稿'!$A$3:$N$34,MATCH($A30,'jiliarena_日报_底稿'!$A$3:$A$34,0),MATCH(L$3,'jiliarena_日报_底稿'!$A$3:$N$3,0))</f>
        <v/>
      </c>
      <c r="M30" s="166" t="str">
        <f t="array" ref="M30">INDEX('jiliarena_日报_底稿'!$P$2:$DS$34,MATCH($A30,'jiliarena_日报_底稿'!$P$2:$P$34,0),MATCH($M$3,'jiliarena_日报_底稿'!$P$3:$DS$3,0))</f>
        <v/>
      </c>
      <c r="N30" s="167" t="str">
        <f t="shared" si="2"/>
        <v/>
      </c>
      <c r="O30" s="168" t="str">
        <f t="shared" si="3"/>
        <v>#DIV/0!</v>
      </c>
      <c r="P30" s="167" t="str">
        <f t="shared" si="4"/>
        <v/>
      </c>
      <c r="Q30" s="168" t="str">
        <f t="shared" si="5"/>
        <v>#DIV/0!</v>
      </c>
      <c r="R30" s="169" t="str">
        <f t="shared" si="6"/>
        <v/>
      </c>
      <c r="S30" s="170" t="str">
        <f t="shared" si="7"/>
        <v/>
      </c>
      <c r="T30" s="170" t="str">
        <f t="shared" si="8"/>
        <v/>
      </c>
      <c r="U30" s="169" t="str">
        <f t="shared" si="9"/>
        <v/>
      </c>
      <c r="V30" s="171" t="str">
        <f t="shared" si="10"/>
        <v/>
      </c>
      <c r="W30" s="172">
        <f t="shared" si="74"/>
        <v>0</v>
      </c>
      <c r="X30" s="172">
        <f t="array" ref="X30">index('jiliarena_日报_底稿'!$P$2:$DS$34,match($A30,'jiliarena_日报_底稿'!$P$2:$P$34,0),match("电子有效投注",'jiliarena_日报_底稿'!$P$3:$DS$3,0))+index('jiliarena_日报_底稿'!$P$2:$DS$34,match($A30,'jiliarena_日报_底稿'!$P$2:$P$34,0),match("真人有效投注",'jiliarena_日报_底稿'!$P$3:$DS$3,0))+index('jiliarena_日报_底稿'!$P$2:$DS$34,match($A30,'jiliarena_日报_底稿'!$P$2:$P$34,0),match("彩票有效投注",'jiliarena_日报_底稿'!$P$3:$DS$3,0))+index('jiliarena_日报_底稿'!$P$2:$DS$34,match($A30,'jiliarena_日报_底稿'!$P$2:$P$34,0),match("棋牌有效投注",'jiliarena_日报_底稿'!$P$3:$DS$3,0))+index('jiliarena_日报_底稿'!$P$2:$DS$34,match($A30,'jiliarena_日报_底稿'!$P$2:$P$34,0),match("捕鱼有效投注",'jiliarena_日报_底稿'!$P$3:$DS$3,0))+index('jiliarena_日报_底稿'!$P$2:$DS$34,match($A30,'jiliarena_日报_底稿'!$P$2:$P$34,0),match("体育有效投注",'jiliarena_日报_底稿'!$P$3:$DS$3,0))+index('jiliarena_日报_底稿'!$P$2:$DS$34,match($A30,'jiliarena_日报_底稿'!$P$2:$P$34,0),match("盘口彩票有效投注",'jiliarena_日报_底稿'!$P$3:$DS$3,0))</f>
        <v>0</v>
      </c>
      <c r="Y30" s="138">
        <f t="shared" si="75"/>
        <v>0</v>
      </c>
      <c r="Z30" s="172">
        <f t="shared" si="76"/>
        <v>0</v>
      </c>
      <c r="AA30" s="167" t="str">
        <f t="shared" si="12"/>
        <v/>
      </c>
      <c r="AB30" s="173" t="str">
        <f t="array" ref="AB30">INDEX('jiliarena_日报_底稿'!$P$2:$DS$34,MATCH($A30,'jiliarena_日报_底稿'!$P$2:$P$34,0),MATCH(AB$3,'jiliarena_日报_底稿'!$P$3:$DS$3,0))</f>
        <v/>
      </c>
      <c r="AC30" s="173" t="str">
        <f t="array" ref="AC30">INDEX('jiliarena_日报_底稿'!$P$2:$DS$34,MATCH($A30,'jiliarena_日报_底稿'!$P$2:$P$34,0),MATCH(AC$3,'jiliarena_日报_底稿'!$P$3:$DS$3,0))</f>
        <v/>
      </c>
      <c r="AD30" s="167" t="str">
        <f t="shared" si="14"/>
        <v/>
      </c>
      <c r="AE30" s="173" t="str">
        <f t="array" ref="AE30">INDEX('jiliarena_日报_底稿'!$P$2:$DS$34,MATCH($A30,'jiliarena_日报_底稿'!$P$2:$P$34,0),MATCH(AE$3,'jiliarena_日报_底稿'!$P$3:$DS$3,0))</f>
        <v/>
      </c>
      <c r="AF30" s="173" t="str">
        <f t="array" ref="AF30">INDEX('jiliarena_日报_底稿'!$P$2:$DS$34,MATCH($A30,'jiliarena_日报_底稿'!$P$2:$P$34,0),MATCH(AF$3,'jiliarena_日报_底稿'!$P$3:$DS$3,0))</f>
        <v/>
      </c>
      <c r="AG30" s="167" t="str">
        <f t="shared" si="16"/>
        <v/>
      </c>
      <c r="AH30" s="173" t="str">
        <f t="array" ref="AH30">INDEX('jiliarena_日报_底稿'!$P$2:$DS$34,MATCH($A30,'jiliarena_日报_底稿'!$P$2:$P$34,0),MATCH(AH$3,'jiliarena_日报_底稿'!$P$3:$DS$3,0))</f>
        <v/>
      </c>
      <c r="AI30" s="173" t="str">
        <f t="array" ref="AI30">INDEX('jiliarena_日报_底稿'!$P$2:$DS$34,MATCH($A30,'jiliarena_日报_底稿'!$P$2:$P$34,0),MATCH(AI$3,'jiliarena_日报_底稿'!$P$3:$DS$3,0))</f>
        <v/>
      </c>
      <c r="AJ30" s="167" t="str">
        <f t="shared" si="18"/>
        <v/>
      </c>
      <c r="AK30" s="173" t="str">
        <f t="array" ref="AK30">INDEX('jiliarena_日报_底稿'!$P$2:$DS$34,MATCH($A30,'jiliarena_日报_底稿'!$P$2:$P$34,0),MATCH(AK$3,'jiliarena_日报_底稿'!$P$3:$DS$3,0))</f>
        <v/>
      </c>
      <c r="AL30" s="173" t="str">
        <f t="array" ref="AL30">INDEX('jiliarena_日报_底稿'!$P$2:$DS$34,MATCH($A30,'jiliarena_日报_底稿'!$P$2:$P$34,0),MATCH(AL$3,'jiliarena_日报_底稿'!$P$3:$DS$3,0))</f>
        <v/>
      </c>
      <c r="AM30" s="167" t="str">
        <f t="shared" si="20"/>
        <v/>
      </c>
      <c r="AN30" s="173" t="str">
        <f t="array" ref="AN30">INDEX('jiliarena_日报_底稿'!$P$2:$DS$34,MATCH($A30,'jiliarena_日报_底稿'!$P$2:$P$34,0),MATCH(AN$3,'jiliarena_日报_底稿'!$P$3:$DS$3,0))</f>
        <v/>
      </c>
      <c r="AO30" s="173" t="str">
        <f t="array" ref="AO30">INDEX('jiliarena_日报_底稿'!$P$2:$DS$34,MATCH($A30,'jiliarena_日报_底稿'!$P$2:$P$34,0),MATCH(AO$3,'jiliarena_日报_底稿'!$P$3:$DS$3,0))</f>
        <v/>
      </c>
      <c r="AP30" s="167" t="str">
        <f t="shared" si="22"/>
        <v/>
      </c>
      <c r="AQ30" s="173" t="str">
        <f t="array" ref="AQ30">INDEX('jiliarena_日报_底稿'!$P$2:$DS$34,MATCH($A30,'jiliarena_日报_底稿'!$P$2:$P$34,0),MATCH(AQ$3,'jiliarena_日报_底稿'!$P$3:$DS$3,0))</f>
        <v/>
      </c>
      <c r="AR30" s="173" t="str">
        <f t="array" ref="AR30">INDEX('jiliarena_日报_底稿'!$P$2:$DS$34,MATCH($A30,'jiliarena_日报_底稿'!$P$2:$P$34,0),MATCH(AR$3,'jiliarena_日报_底稿'!$P$3:$DS$3,0))</f>
        <v/>
      </c>
      <c r="AS30" s="167" t="str">
        <f t="shared" si="24"/>
        <v/>
      </c>
      <c r="AT30" s="174">
        <f>SUMIFS('jiliarena_活动分析数据_底稿'!$K:$K,'jiliarena_活动分析数据_底稿'!$B:$B,$A30,'jiliarena_活动分析数据_底稿'!$L:$L,AT$3)</f>
        <v>0</v>
      </c>
      <c r="AU30" s="174">
        <f>SUMIFS('jiliarena_活动分析数据_底稿'!$K:$K,'jiliarena_活动分析数据_底稿'!$B:$B,$A30,'jiliarena_活动分析数据_底稿'!$L:$L,AU$3)</f>
        <v>0</v>
      </c>
      <c r="AV30" s="174">
        <f>SUMIFS('jiliarena_活动分析数据_底稿'!$K:$K,'jiliarena_活动分析数据_底稿'!$B:$B,$A30,'jiliarena_活动分析数据_底稿'!$L:$L,AV$3)</f>
        <v>0</v>
      </c>
      <c r="AW30" s="174">
        <f>SUMIFS('jiliarena_活动分析数据_底稿'!$K:$K,'jiliarena_活动分析数据_底稿'!$B:$B,$A30,'jiliarena_活动分析数据_底稿'!$L:$L,AW$3)</f>
        <v>0</v>
      </c>
      <c r="AX30" s="174">
        <f>SUMIFS('jiliarena_活动分析数据_底稿'!$K:$K,'jiliarena_活动分析数据_底稿'!$B:$B,$A30,'jiliarena_活动分析数据_底稿'!$L:$L,AX$3)</f>
        <v>0</v>
      </c>
      <c r="AY30" s="174">
        <f>SUMIFS('jiliarena_活动分析数据_底稿'!$K:$K,'jiliarena_活动分析数据_底稿'!$B:$B,$A30,'jiliarena_活动分析数据_底稿'!$L:$L,AY$3)</f>
        <v>0</v>
      </c>
      <c r="AZ30" s="174">
        <f>SUMIFS('jiliarena_活动分析数据_底稿'!$K:$K,'jiliarena_活动分析数据_底稿'!$B:$B,$A30,'jiliarena_活动分析数据_底稿'!$L:$L,AZ$3)</f>
        <v>0</v>
      </c>
      <c r="BA30" s="174">
        <f>SUMIFS('jiliarena_活动分析数据_底稿'!$K:$K,'jiliarena_活动分析数据_底稿'!$B:$B,$A30,'jiliarena_活动分析数据_底稿'!$L:$L,BA$3)</f>
        <v>0</v>
      </c>
      <c r="BB30" s="174">
        <f>SUMIFS('jiliarena_活动分析数据_底稿'!$K:$K,'jiliarena_活动分析数据_底稿'!$B:$B,$A30,'jiliarena_活动分析数据_底稿'!$L:$L,BB$3)</f>
        <v>0</v>
      </c>
      <c r="BC30" s="174">
        <f>SUMIFS('jiliarena_活动分析数据_底稿'!$K:$K,'jiliarena_活动分析数据_底稿'!$B:$B,$A30,'jiliarena_活动分析数据_底稿'!$L:$L,BC$3)</f>
        <v>0</v>
      </c>
      <c r="BD30" s="174">
        <f>SUMIFS('jiliarena_活动分析数据_底稿'!$K:$K,'jiliarena_活动分析数据_底稿'!$B:$B,$A30,'jiliarena_活动分析数据_底稿'!$L:$L,BD$3)</f>
        <v>0</v>
      </c>
      <c r="BE30" s="174">
        <f>SUMIFS('jiliarena_活动分析数据_底稿'!$K:$K,'jiliarena_活动分析数据_底稿'!$B:$B,$A30,'jiliarena_活动分析数据_底稿'!$L:$L,BE$3)</f>
        <v>0</v>
      </c>
      <c r="BF30" s="174">
        <f>SUMIFS('jiliarena_活动分析数据_底稿'!$K:$K,'jiliarena_活动分析数据_底稿'!$B:$B,$A30,'jiliarena_活动分析数据_底稿'!$L:$L,BF$3)</f>
        <v>0</v>
      </c>
      <c r="BG30" s="174">
        <f>SUMIFS('jiliarena_活动分析数据_底稿'!$K:$K,'jiliarena_活动分析数据_底稿'!$B:$B,$A30,'jiliarena_活动分析数据_底稿'!$L:$L,BG$3)</f>
        <v>0</v>
      </c>
      <c r="BH30" s="174">
        <f>SUMIFS('jiliarena_活动分析数据_底稿'!$K:$K,'jiliarena_活动分析数据_底稿'!$B:$B,$A30,'jiliarena_活动分析数据_底稿'!$L:$L,BH$3)</f>
        <v>0</v>
      </c>
      <c r="BI30" s="174">
        <f>SUMIFS('jiliarena_活动分析数据_底稿'!$K:$K,'jiliarena_活动分析数据_底稿'!$B:$B,$A30,'jiliarena_活动分析数据_底稿'!$L:$L,BI$3)</f>
        <v>0</v>
      </c>
      <c r="BJ30" s="174">
        <f>SUMIFS('jiliarena_活动分析数据_底稿'!$K:$K,'jiliarena_活动分析数据_底稿'!$B:$B,$A30,'jiliarena_活动分析数据_底稿'!$L:$L,BJ$3)</f>
        <v>0</v>
      </c>
      <c r="BK30" s="174">
        <f>SUMIFS('jiliarena_活动分析数据_底稿'!$K:$K,'jiliarena_活动分析数据_底稿'!$B:$B,$A30,'jiliarena_活动分析数据_底稿'!$L:$L,BK$3)</f>
        <v>0</v>
      </c>
      <c r="BL30" s="174">
        <f>SUMIFS('jiliarena_活动分析数据_底稿'!$K:$K,'jiliarena_活动分析数据_底稿'!$B:$B,$A30,'jiliarena_活动分析数据_底稿'!$L:$L,BL$3)</f>
        <v>0</v>
      </c>
      <c r="BM30" s="174">
        <f>SUMIFS('jiliarena_活动分析数据_底稿'!$K:$K,'jiliarena_活动分析数据_底稿'!$B:$B,$A30,'jiliarena_活动分析数据_底稿'!$L:$L,BM$3)</f>
        <v>0</v>
      </c>
      <c r="BN30" s="174">
        <f>SUMIFS('jiliarena_活动分析数据_底稿'!$K:$K,'jiliarena_活动分析数据_底稿'!$B:$B,$A30,'jiliarena_活动分析数据_底稿'!$L:$L,BN$3)</f>
        <v>0</v>
      </c>
      <c r="BO30" s="174">
        <f>SUMIFS('jiliarena_活动分析数据_底稿'!$K:$K,'jiliarena_活动分析数据_底稿'!$B:$B,$A30,'jiliarena_活动分析数据_底稿'!$L:$L,BO$3)</f>
        <v>0</v>
      </c>
      <c r="BP30" s="174">
        <f>SUMIFS('jiliarena_活动分析数据_底稿'!$K:$K,'jiliarena_活动分析数据_底稿'!$B:$B,$A30,'jiliarena_活动分析数据_底稿'!$L:$L,BP$3)</f>
        <v>0</v>
      </c>
      <c r="BQ30" s="172">
        <f t="shared" si="77"/>
        <v>0</v>
      </c>
      <c r="BR30" s="172">
        <f t="shared" si="78"/>
        <v>0</v>
      </c>
      <c r="BS30" s="172">
        <f t="shared" si="79"/>
        <v>0</v>
      </c>
      <c r="BT30" s="167" t="str">
        <f t="shared" si="26"/>
        <v/>
      </c>
      <c r="BU30" s="167" t="str">
        <f t="shared" si="27"/>
        <v/>
      </c>
      <c r="BV30" s="167" t="str">
        <f t="shared" si="28"/>
        <v/>
      </c>
      <c r="BW30" s="175">
        <f t="shared" si="29"/>
        <v>0</v>
      </c>
      <c r="BX30" s="176" t="str">
        <f t="shared" si="30"/>
        <v/>
      </c>
      <c r="BY30" s="177">
        <f t="shared" si="31"/>
        <v>0</v>
      </c>
      <c r="BZ30" s="178">
        <f t="shared" si="32"/>
        <v>0</v>
      </c>
      <c r="CA30" s="179">
        <f t="shared" si="33"/>
        <v>0</v>
      </c>
      <c r="CB30" s="180">
        <f t="shared" si="34"/>
        <v>0</v>
      </c>
      <c r="CC30" s="176" t="str">
        <f t="shared" si="35"/>
        <v/>
      </c>
      <c r="CD30" s="181" t="str">
        <f t="array" ref="CD30">index('jiliarena_日报_底稿'!$P$3:$DS$34,match(A30,'jiliarena_日报_底稿'!$P$3:$P$34,0),match("综合性分红",'jiliarena_日报_底稿'!$P$3:$DS$3,0))</f>
        <v/>
      </c>
      <c r="CE30" s="127"/>
      <c r="CF30" s="181" t="str">
        <f t="array" ref="CF30">INDEX('jiliarena_日报_底稿'!$P$2:$DS$34,MATCH($A30,'jiliarena_日报_底稿'!$P$2:$P$34,0),MATCH(CF$3,'jiliarena_日报_底稿'!$P$3:$DS$3,0))</f>
        <v/>
      </c>
      <c r="CG30" s="172">
        <f t="array" ref="CG30">-INDEX('jiliarena_日报_底稿'!$P$2:$DS$34,MATCH($A30,'jiliarena_日报_底稿'!$P$2:$P$34,0),MATCH(CG$3,'jiliarena_日报_底稿'!$P$3:$DS$3,0))</f>
        <v>0</v>
      </c>
      <c r="CH30" s="181" t="str">
        <f t="array" ref="CH30">INDEX('jiliarena_日报_底稿'!$P$2:$DS$34,MATCH($A30,'jiliarena_日报_底稿'!$P$2:$P$34,0),MATCH(CH$3,'jiliarena_日报_底稿'!$P$3:$DS$3,0))</f>
        <v/>
      </c>
      <c r="CI30" s="175">
        <f t="shared" si="37"/>
        <v>0</v>
      </c>
      <c r="CJ30" s="182">
        <f t="shared" si="38"/>
        <v>3</v>
      </c>
      <c r="CK30" s="182">
        <f t="shared" si="39"/>
        <v>17</v>
      </c>
    </row>
    <row r="31">
      <c r="A31" s="162">
        <f t="shared" si="80"/>
        <v>46099</v>
      </c>
      <c r="B31" s="163" t="str">
        <f t="array" ref="B31">INDEX('jiliarena_日报_底稿'!$A$3:$N$34,MATCH($A31,'jiliarena_日报_底稿'!$A$3:$A$34,0),MATCH(B$3,'jiliarena_日报_底稿'!$A$3:$N$3,0))</f>
        <v/>
      </c>
      <c r="C31" s="163" t="str">
        <f t="array" ref="C31">INDEX('jiliarena_日报_底稿'!$A$3:$N$34,MATCH($A31,'jiliarena_日报_底稿'!$A$3:$A$34,0),MATCH(C$3,'jiliarena_日报_底稿'!$A$3:$N$3,0))</f>
        <v/>
      </c>
      <c r="D31" s="163" t="str">
        <f t="array" ref="D31">INDEX('jiliarena_日报_底稿'!$A$3:$N$34,MATCH($A31,'jiliarena_日报_底稿'!$A$3:$A$34,0),MATCH(D$3,'jiliarena_日报_底稿'!$A$3:$N$3,0))</f>
        <v/>
      </c>
      <c r="E31" s="163"/>
      <c r="F31" s="163" t="str">
        <f t="array" ref="F31">INDEX('jiliarena_日报_底稿'!$A$3:$N$34,MATCH($A31,'jiliarena_日报_底稿'!$A$3:$A$34,0),MATCH(F$3,'jiliarena_日报_底稿'!$A$3:$N$3,0))</f>
        <v/>
      </c>
      <c r="G31" s="164">
        <f>SUMIFS('渠道充值成功率_底稿'!$F:$F,'渠道充值成功率_底稿'!$A:$A,A31)</f>
        <v>0</v>
      </c>
      <c r="H31" s="163" t="str">
        <f t="array" ref="H31">INDEX('jiliarena_日报_底稿'!$A$3:$N$34,MATCH($A31,'jiliarena_日报_底稿'!$A$3:$A$34,0),MATCH(H$3,'jiliarena_日报_底稿'!$A$3:$N$3,0))</f>
        <v/>
      </c>
      <c r="I31" s="163"/>
      <c r="J31" s="163" t="str">
        <f t="array" ref="J31">INDEX('jiliarena_日报_底稿'!$A$3:$N$34,MATCH($A31,'jiliarena_日报_底稿'!$A$3:$A$34,0),MATCH(J$3,'jiliarena_日报_底稿'!$A$3:$N$3,0))</f>
        <v/>
      </c>
      <c r="K31" s="165">
        <f>SUMIFS('渠道充值成功率_底稿'!$J:$J,'渠道充值成功率_底稿'!$A:$A,$A31)</f>
        <v>0</v>
      </c>
      <c r="L31" s="166" t="str">
        <f t="array" ref="L31">INDEX('jiliarena_日报_底稿'!$A$3:$N$34,MATCH($A31,'jiliarena_日报_底稿'!$A$3:$A$34,0),MATCH(L$3,'jiliarena_日报_底稿'!$A$3:$N$3,0))</f>
        <v/>
      </c>
      <c r="M31" s="166" t="str">
        <f t="array" ref="M31">INDEX('jiliarena_日报_底稿'!$P$2:$DS$34,MATCH($A31,'jiliarena_日报_底稿'!$P$2:$P$34,0),MATCH($M$3,'jiliarena_日报_底稿'!$P$3:$DS$3,0))</f>
        <v/>
      </c>
      <c r="N31" s="167" t="str">
        <f t="shared" si="2"/>
        <v/>
      </c>
      <c r="O31" s="168" t="str">
        <f t="shared" si="3"/>
        <v>#DIV/0!</v>
      </c>
      <c r="P31" s="167" t="str">
        <f t="shared" si="4"/>
        <v/>
      </c>
      <c r="Q31" s="168" t="str">
        <f t="shared" si="5"/>
        <v>#DIV/0!</v>
      </c>
      <c r="R31" s="169" t="str">
        <f t="shared" si="6"/>
        <v/>
      </c>
      <c r="S31" s="170" t="str">
        <f t="shared" si="7"/>
        <v/>
      </c>
      <c r="T31" s="170" t="str">
        <f t="shared" si="8"/>
        <v/>
      </c>
      <c r="U31" s="169" t="str">
        <f t="shared" si="9"/>
        <v/>
      </c>
      <c r="V31" s="171" t="str">
        <f t="shared" si="10"/>
        <v/>
      </c>
      <c r="W31" s="172">
        <f t="shared" si="74"/>
        <v>0</v>
      </c>
      <c r="X31" s="172">
        <f t="array" ref="X31">index('jiliarena_日报_底稿'!$P$2:$DS$34,match($A31,'jiliarena_日报_底稿'!$P$2:$P$34,0),match("电子有效投注",'jiliarena_日报_底稿'!$P$3:$DS$3,0))+index('jiliarena_日报_底稿'!$P$2:$DS$34,match($A31,'jiliarena_日报_底稿'!$P$2:$P$34,0),match("真人有效投注",'jiliarena_日报_底稿'!$P$3:$DS$3,0))+index('jiliarena_日报_底稿'!$P$2:$DS$34,match($A31,'jiliarena_日报_底稿'!$P$2:$P$34,0),match("彩票有效投注",'jiliarena_日报_底稿'!$P$3:$DS$3,0))+index('jiliarena_日报_底稿'!$P$2:$DS$34,match($A31,'jiliarena_日报_底稿'!$P$2:$P$34,0),match("棋牌有效投注",'jiliarena_日报_底稿'!$P$3:$DS$3,0))+index('jiliarena_日报_底稿'!$P$2:$DS$34,match($A31,'jiliarena_日报_底稿'!$P$2:$P$34,0),match("捕鱼有效投注",'jiliarena_日报_底稿'!$P$3:$DS$3,0))+index('jiliarena_日报_底稿'!$P$2:$DS$34,match($A31,'jiliarena_日报_底稿'!$P$2:$P$34,0),match("体育有效投注",'jiliarena_日报_底稿'!$P$3:$DS$3,0))+index('jiliarena_日报_底稿'!$P$2:$DS$34,match($A31,'jiliarena_日报_底稿'!$P$2:$P$34,0),match("盘口彩票有效投注",'jiliarena_日报_底稿'!$P$3:$DS$3,0))</f>
        <v>0</v>
      </c>
      <c r="Y31" s="138">
        <f t="shared" si="75"/>
        <v>0</v>
      </c>
      <c r="Z31" s="172">
        <f t="shared" si="76"/>
        <v>0</v>
      </c>
      <c r="AA31" s="167" t="str">
        <f t="shared" si="12"/>
        <v/>
      </c>
      <c r="AB31" s="173" t="str">
        <f t="array" ref="AB31">INDEX('jiliarena_日报_底稿'!$P$2:$DS$34,MATCH($A31,'jiliarena_日报_底稿'!$P$2:$P$34,0),MATCH(AB$3,'jiliarena_日报_底稿'!$P$3:$DS$3,0))</f>
        <v/>
      </c>
      <c r="AC31" s="173" t="str">
        <f t="array" ref="AC31">INDEX('jiliarena_日报_底稿'!$P$2:$DS$34,MATCH($A31,'jiliarena_日报_底稿'!$P$2:$P$34,0),MATCH(AC$3,'jiliarena_日报_底稿'!$P$3:$DS$3,0))</f>
        <v/>
      </c>
      <c r="AD31" s="167" t="str">
        <f t="shared" si="14"/>
        <v/>
      </c>
      <c r="AE31" s="173" t="str">
        <f t="array" ref="AE31">INDEX('jiliarena_日报_底稿'!$P$2:$DS$34,MATCH($A31,'jiliarena_日报_底稿'!$P$2:$P$34,0),MATCH(AE$3,'jiliarena_日报_底稿'!$P$3:$DS$3,0))</f>
        <v/>
      </c>
      <c r="AF31" s="173" t="str">
        <f t="array" ref="AF31">INDEX('jiliarena_日报_底稿'!$P$2:$DS$34,MATCH($A31,'jiliarena_日报_底稿'!$P$2:$P$34,0),MATCH(AF$3,'jiliarena_日报_底稿'!$P$3:$DS$3,0))</f>
        <v/>
      </c>
      <c r="AG31" s="167" t="str">
        <f t="shared" si="16"/>
        <v/>
      </c>
      <c r="AH31" s="173" t="str">
        <f t="array" ref="AH31">INDEX('jiliarena_日报_底稿'!$P$2:$DS$34,MATCH($A31,'jiliarena_日报_底稿'!$P$2:$P$34,0),MATCH(AH$3,'jiliarena_日报_底稿'!$P$3:$DS$3,0))</f>
        <v/>
      </c>
      <c r="AI31" s="173" t="str">
        <f t="array" ref="AI31">INDEX('jiliarena_日报_底稿'!$P$2:$DS$34,MATCH($A31,'jiliarena_日报_底稿'!$P$2:$P$34,0),MATCH(AI$3,'jiliarena_日报_底稿'!$P$3:$DS$3,0))</f>
        <v/>
      </c>
      <c r="AJ31" s="167" t="str">
        <f t="shared" si="18"/>
        <v/>
      </c>
      <c r="AK31" s="173" t="str">
        <f t="array" ref="AK31">INDEX('jiliarena_日报_底稿'!$P$2:$DS$34,MATCH($A31,'jiliarena_日报_底稿'!$P$2:$P$34,0),MATCH(AK$3,'jiliarena_日报_底稿'!$P$3:$DS$3,0))</f>
        <v/>
      </c>
      <c r="AL31" s="173" t="str">
        <f t="array" ref="AL31">INDEX('jiliarena_日报_底稿'!$P$2:$DS$34,MATCH($A31,'jiliarena_日报_底稿'!$P$2:$P$34,0),MATCH(AL$3,'jiliarena_日报_底稿'!$P$3:$DS$3,0))</f>
        <v/>
      </c>
      <c r="AM31" s="167" t="str">
        <f t="shared" si="20"/>
        <v/>
      </c>
      <c r="AN31" s="173" t="str">
        <f t="array" ref="AN31">INDEX('jiliarena_日报_底稿'!$P$2:$DS$34,MATCH($A31,'jiliarena_日报_底稿'!$P$2:$P$34,0),MATCH(AN$3,'jiliarena_日报_底稿'!$P$3:$DS$3,0))</f>
        <v/>
      </c>
      <c r="AO31" s="173" t="str">
        <f t="array" ref="AO31">INDEX('jiliarena_日报_底稿'!$P$2:$DS$34,MATCH($A31,'jiliarena_日报_底稿'!$P$2:$P$34,0),MATCH(AO$3,'jiliarena_日报_底稿'!$P$3:$DS$3,0))</f>
        <v/>
      </c>
      <c r="AP31" s="167" t="str">
        <f t="shared" si="22"/>
        <v/>
      </c>
      <c r="AQ31" s="173" t="str">
        <f t="array" ref="AQ31">INDEX('jiliarena_日报_底稿'!$P$2:$DS$34,MATCH($A31,'jiliarena_日报_底稿'!$P$2:$P$34,0),MATCH(AQ$3,'jiliarena_日报_底稿'!$P$3:$DS$3,0))</f>
        <v/>
      </c>
      <c r="AR31" s="173" t="str">
        <f t="array" ref="AR31">INDEX('jiliarena_日报_底稿'!$P$2:$DS$34,MATCH($A31,'jiliarena_日报_底稿'!$P$2:$P$34,0),MATCH(AR$3,'jiliarena_日报_底稿'!$P$3:$DS$3,0))</f>
        <v/>
      </c>
      <c r="AS31" s="167" t="str">
        <f t="shared" si="24"/>
        <v/>
      </c>
      <c r="AT31" s="174">
        <f>SUMIFS('jiliarena_活动分析数据_底稿'!$K:$K,'jiliarena_活动分析数据_底稿'!$B:$B,$A31,'jiliarena_活动分析数据_底稿'!$L:$L,AT$3)</f>
        <v>0</v>
      </c>
      <c r="AU31" s="174">
        <f>SUMIFS('jiliarena_活动分析数据_底稿'!$K:$K,'jiliarena_活动分析数据_底稿'!$B:$B,$A31,'jiliarena_活动分析数据_底稿'!$L:$L,AU$3)</f>
        <v>0</v>
      </c>
      <c r="AV31" s="174">
        <f>SUMIFS('jiliarena_活动分析数据_底稿'!$K:$K,'jiliarena_活动分析数据_底稿'!$B:$B,$A31,'jiliarena_活动分析数据_底稿'!$L:$L,AV$3)</f>
        <v>0</v>
      </c>
      <c r="AW31" s="174">
        <f>SUMIFS('jiliarena_活动分析数据_底稿'!$K:$K,'jiliarena_活动分析数据_底稿'!$B:$B,$A31,'jiliarena_活动分析数据_底稿'!$L:$L,AW$3)</f>
        <v>0</v>
      </c>
      <c r="AX31" s="174">
        <f>SUMIFS('jiliarena_活动分析数据_底稿'!$K:$K,'jiliarena_活动分析数据_底稿'!$B:$B,$A31,'jiliarena_活动分析数据_底稿'!$L:$L,AX$3)</f>
        <v>0</v>
      </c>
      <c r="AY31" s="174">
        <f>SUMIFS('jiliarena_活动分析数据_底稿'!$K:$K,'jiliarena_活动分析数据_底稿'!$B:$B,$A31,'jiliarena_活动分析数据_底稿'!$L:$L,AY$3)</f>
        <v>0</v>
      </c>
      <c r="AZ31" s="174">
        <f>SUMIFS('jiliarena_活动分析数据_底稿'!$K:$K,'jiliarena_活动分析数据_底稿'!$B:$B,$A31,'jiliarena_活动分析数据_底稿'!$L:$L,AZ$3)</f>
        <v>0</v>
      </c>
      <c r="BA31" s="174">
        <f>SUMIFS('jiliarena_活动分析数据_底稿'!$K:$K,'jiliarena_活动分析数据_底稿'!$B:$B,$A31,'jiliarena_活动分析数据_底稿'!$L:$L,BA$3)</f>
        <v>0</v>
      </c>
      <c r="BB31" s="174">
        <f>SUMIFS('jiliarena_活动分析数据_底稿'!$K:$K,'jiliarena_活动分析数据_底稿'!$B:$B,$A31,'jiliarena_活动分析数据_底稿'!$L:$L,BB$3)</f>
        <v>0</v>
      </c>
      <c r="BC31" s="174">
        <f>SUMIFS('jiliarena_活动分析数据_底稿'!$K:$K,'jiliarena_活动分析数据_底稿'!$B:$B,$A31,'jiliarena_活动分析数据_底稿'!$L:$L,BC$3)</f>
        <v>0</v>
      </c>
      <c r="BD31" s="174">
        <f>SUMIFS('jiliarena_活动分析数据_底稿'!$K:$K,'jiliarena_活动分析数据_底稿'!$B:$B,$A31,'jiliarena_活动分析数据_底稿'!$L:$L,BD$3)</f>
        <v>0</v>
      </c>
      <c r="BE31" s="174">
        <f>SUMIFS('jiliarena_活动分析数据_底稿'!$K:$K,'jiliarena_活动分析数据_底稿'!$B:$B,$A31,'jiliarena_活动分析数据_底稿'!$L:$L,BE$3)</f>
        <v>0</v>
      </c>
      <c r="BF31" s="174">
        <f>SUMIFS('jiliarena_活动分析数据_底稿'!$K:$K,'jiliarena_活动分析数据_底稿'!$B:$B,$A31,'jiliarena_活动分析数据_底稿'!$L:$L,BF$3)</f>
        <v>0</v>
      </c>
      <c r="BG31" s="174">
        <f>SUMIFS('jiliarena_活动分析数据_底稿'!$K:$K,'jiliarena_活动分析数据_底稿'!$B:$B,$A31,'jiliarena_活动分析数据_底稿'!$L:$L,BG$3)</f>
        <v>0</v>
      </c>
      <c r="BH31" s="174">
        <f>SUMIFS('jiliarena_活动分析数据_底稿'!$K:$K,'jiliarena_活动分析数据_底稿'!$B:$B,$A31,'jiliarena_活动分析数据_底稿'!$L:$L,BH$3)</f>
        <v>0</v>
      </c>
      <c r="BI31" s="174">
        <f>SUMIFS('jiliarena_活动分析数据_底稿'!$K:$K,'jiliarena_活动分析数据_底稿'!$B:$B,$A31,'jiliarena_活动分析数据_底稿'!$L:$L,BI$3)</f>
        <v>0</v>
      </c>
      <c r="BJ31" s="174">
        <f>SUMIFS('jiliarena_活动分析数据_底稿'!$K:$K,'jiliarena_活动分析数据_底稿'!$B:$B,$A31,'jiliarena_活动分析数据_底稿'!$L:$L,BJ$3)</f>
        <v>0</v>
      </c>
      <c r="BK31" s="174">
        <f>SUMIFS('jiliarena_活动分析数据_底稿'!$K:$K,'jiliarena_活动分析数据_底稿'!$B:$B,$A31,'jiliarena_活动分析数据_底稿'!$L:$L,BK$3)</f>
        <v>0</v>
      </c>
      <c r="BL31" s="174">
        <f>SUMIFS('jiliarena_活动分析数据_底稿'!$K:$K,'jiliarena_活动分析数据_底稿'!$B:$B,$A31,'jiliarena_活动分析数据_底稿'!$L:$L,BL$3)</f>
        <v>0</v>
      </c>
      <c r="BM31" s="174">
        <f>SUMIFS('jiliarena_活动分析数据_底稿'!$K:$K,'jiliarena_活动分析数据_底稿'!$B:$B,$A31,'jiliarena_活动分析数据_底稿'!$L:$L,BM$3)</f>
        <v>0</v>
      </c>
      <c r="BN31" s="174">
        <f>SUMIFS('jiliarena_活动分析数据_底稿'!$K:$K,'jiliarena_活动分析数据_底稿'!$B:$B,$A31,'jiliarena_活动分析数据_底稿'!$L:$L,BN$3)</f>
        <v>0</v>
      </c>
      <c r="BO31" s="174">
        <f>SUMIFS('jiliarena_活动分析数据_底稿'!$K:$K,'jiliarena_活动分析数据_底稿'!$B:$B,$A31,'jiliarena_活动分析数据_底稿'!$L:$L,BO$3)</f>
        <v>0</v>
      </c>
      <c r="BP31" s="174">
        <f>SUMIFS('jiliarena_活动分析数据_底稿'!$K:$K,'jiliarena_活动分析数据_底稿'!$B:$B,$A31,'jiliarena_活动分析数据_底稿'!$L:$L,BP$3)</f>
        <v>0</v>
      </c>
      <c r="BQ31" s="172">
        <f t="shared" si="77"/>
        <v>0</v>
      </c>
      <c r="BR31" s="172">
        <f t="shared" si="78"/>
        <v>0</v>
      </c>
      <c r="BS31" s="172">
        <f t="shared" si="79"/>
        <v>0</v>
      </c>
      <c r="BT31" s="167" t="str">
        <f t="shared" si="26"/>
        <v/>
      </c>
      <c r="BU31" s="167" t="str">
        <f t="shared" si="27"/>
        <v/>
      </c>
      <c r="BV31" s="167" t="str">
        <f t="shared" si="28"/>
        <v/>
      </c>
      <c r="BW31" s="175">
        <f t="shared" si="29"/>
        <v>0</v>
      </c>
      <c r="BX31" s="176" t="str">
        <f t="shared" si="30"/>
        <v/>
      </c>
      <c r="BY31" s="177">
        <f t="shared" si="31"/>
        <v>0</v>
      </c>
      <c r="BZ31" s="178">
        <f t="shared" si="32"/>
        <v>0</v>
      </c>
      <c r="CA31" s="179">
        <f t="shared" si="33"/>
        <v>0</v>
      </c>
      <c r="CB31" s="180">
        <f t="shared" si="34"/>
        <v>0</v>
      </c>
      <c r="CC31" s="176" t="str">
        <f t="shared" si="35"/>
        <v/>
      </c>
      <c r="CD31" s="181" t="str">
        <f t="array" ref="CD31">index('jiliarena_日报_底稿'!$P$3:$DS$34,match(A31,'jiliarena_日报_底稿'!$P$3:$P$34,0),match("综合性分红",'jiliarena_日报_底稿'!$P$3:$DS$3,0))</f>
        <v/>
      </c>
      <c r="CE31" s="127"/>
      <c r="CF31" s="181" t="str">
        <f t="array" ref="CF31">INDEX('jiliarena_日报_底稿'!$P$2:$DS$34,MATCH($A31,'jiliarena_日报_底稿'!$P$2:$P$34,0),MATCH(CF$3,'jiliarena_日报_底稿'!$P$3:$DS$3,0))</f>
        <v/>
      </c>
      <c r="CG31" s="172">
        <f t="array" ref="CG31">-INDEX('jiliarena_日报_底稿'!$P$2:$DS$34,MATCH($A31,'jiliarena_日报_底稿'!$P$2:$P$34,0),MATCH(CG$3,'jiliarena_日报_底稿'!$P$3:$DS$3,0))</f>
        <v>0</v>
      </c>
      <c r="CH31" s="181" t="str">
        <f t="array" ref="CH31">INDEX('jiliarena_日报_底稿'!$P$2:$DS$34,MATCH($A31,'jiliarena_日报_底稿'!$P$2:$P$34,0),MATCH(CH$3,'jiliarena_日报_底稿'!$P$3:$DS$3,0))</f>
        <v/>
      </c>
      <c r="CI31" s="175">
        <f t="shared" si="37"/>
        <v>0</v>
      </c>
      <c r="CJ31" s="182">
        <f t="shared" si="38"/>
        <v>3</v>
      </c>
      <c r="CK31" s="182">
        <f t="shared" si="39"/>
        <v>18</v>
      </c>
    </row>
    <row r="32">
      <c r="A32" s="162">
        <f t="shared" si="80"/>
        <v>46100</v>
      </c>
      <c r="B32" s="163" t="str">
        <f t="array" ref="B32">INDEX('jiliarena_日报_底稿'!$A$3:$N$34,MATCH($A32,'jiliarena_日报_底稿'!$A$3:$A$34,0),MATCH(B$3,'jiliarena_日报_底稿'!$A$3:$N$3,0))</f>
        <v/>
      </c>
      <c r="C32" s="163" t="str">
        <f t="array" ref="C32">INDEX('jiliarena_日报_底稿'!$A$3:$N$34,MATCH($A32,'jiliarena_日报_底稿'!$A$3:$A$34,0),MATCH(C$3,'jiliarena_日报_底稿'!$A$3:$N$3,0))</f>
        <v/>
      </c>
      <c r="D32" s="163" t="str">
        <f t="array" ref="D32">INDEX('jiliarena_日报_底稿'!$A$3:$N$34,MATCH($A32,'jiliarena_日报_底稿'!$A$3:$A$34,0),MATCH(D$3,'jiliarena_日报_底稿'!$A$3:$N$3,0))</f>
        <v/>
      </c>
      <c r="E32" s="163"/>
      <c r="F32" s="163" t="str">
        <f t="array" ref="F32">INDEX('jiliarena_日报_底稿'!$A$3:$N$34,MATCH($A32,'jiliarena_日报_底稿'!$A$3:$A$34,0),MATCH(F$3,'jiliarena_日报_底稿'!$A$3:$N$3,0))</f>
        <v/>
      </c>
      <c r="G32" s="164">
        <f>SUMIFS('渠道充值成功率_底稿'!$F:$F,'渠道充值成功率_底稿'!$A:$A,A32)</f>
        <v>0</v>
      </c>
      <c r="H32" s="163" t="str">
        <f t="array" ref="H32">INDEX('jiliarena_日报_底稿'!$A$3:$N$34,MATCH($A32,'jiliarena_日报_底稿'!$A$3:$A$34,0),MATCH(H$3,'jiliarena_日报_底稿'!$A$3:$N$3,0))</f>
        <v/>
      </c>
      <c r="I32" s="163"/>
      <c r="J32" s="163" t="str">
        <f t="array" ref="J32">INDEX('jiliarena_日报_底稿'!$A$3:$N$34,MATCH($A32,'jiliarena_日报_底稿'!$A$3:$A$34,0),MATCH(J$3,'jiliarena_日报_底稿'!$A$3:$N$3,0))</f>
        <v/>
      </c>
      <c r="K32" s="165">
        <f>SUMIFS('渠道充值成功率_底稿'!$J:$J,'渠道充值成功率_底稿'!$A:$A,$A32)</f>
        <v>0</v>
      </c>
      <c r="L32" s="166" t="str">
        <f t="array" ref="L32">INDEX('jiliarena_日报_底稿'!$A$3:$N$34,MATCH($A32,'jiliarena_日报_底稿'!$A$3:$A$34,0),MATCH(L$3,'jiliarena_日报_底稿'!$A$3:$N$3,0))</f>
        <v/>
      </c>
      <c r="M32" s="166" t="str">
        <f t="array" ref="M32">INDEX('jiliarena_日报_底稿'!$P$2:$DS$34,MATCH($A32,'jiliarena_日报_底稿'!$P$2:$P$34,0),MATCH($M$3,'jiliarena_日报_底稿'!$P$3:$DS$3,0))</f>
        <v/>
      </c>
      <c r="N32" s="167" t="str">
        <f t="shared" si="2"/>
        <v/>
      </c>
      <c r="O32" s="168" t="str">
        <f t="shared" si="3"/>
        <v>#DIV/0!</v>
      </c>
      <c r="P32" s="167" t="str">
        <f t="shared" si="4"/>
        <v/>
      </c>
      <c r="Q32" s="168" t="str">
        <f t="shared" si="5"/>
        <v>#DIV/0!</v>
      </c>
      <c r="R32" s="169" t="str">
        <f t="shared" si="6"/>
        <v/>
      </c>
      <c r="S32" s="170" t="str">
        <f t="shared" si="7"/>
        <v/>
      </c>
      <c r="T32" s="170" t="str">
        <f t="shared" si="8"/>
        <v/>
      </c>
      <c r="U32" s="169" t="str">
        <f t="shared" si="9"/>
        <v/>
      </c>
      <c r="V32" s="171" t="str">
        <f t="shared" si="10"/>
        <v/>
      </c>
      <c r="W32" s="172">
        <f t="shared" si="74"/>
        <v>0</v>
      </c>
      <c r="X32" s="172">
        <f t="array" ref="X32">index('jiliarena_日报_底稿'!$P$2:$DS$34,match($A32,'jiliarena_日报_底稿'!$P$2:$P$34,0),match("电子有效投注",'jiliarena_日报_底稿'!$P$3:$DS$3,0))+index('jiliarena_日报_底稿'!$P$2:$DS$34,match($A32,'jiliarena_日报_底稿'!$P$2:$P$34,0),match("真人有效投注",'jiliarena_日报_底稿'!$P$3:$DS$3,0))+index('jiliarena_日报_底稿'!$P$2:$DS$34,match($A32,'jiliarena_日报_底稿'!$P$2:$P$34,0),match("彩票有效投注",'jiliarena_日报_底稿'!$P$3:$DS$3,0))+index('jiliarena_日报_底稿'!$P$2:$DS$34,match($A32,'jiliarena_日报_底稿'!$P$2:$P$34,0),match("棋牌有效投注",'jiliarena_日报_底稿'!$P$3:$DS$3,0))+index('jiliarena_日报_底稿'!$P$2:$DS$34,match($A32,'jiliarena_日报_底稿'!$P$2:$P$34,0),match("捕鱼有效投注",'jiliarena_日报_底稿'!$P$3:$DS$3,0))+index('jiliarena_日报_底稿'!$P$2:$DS$34,match($A32,'jiliarena_日报_底稿'!$P$2:$P$34,0),match("体育有效投注",'jiliarena_日报_底稿'!$P$3:$DS$3,0))+index('jiliarena_日报_底稿'!$P$2:$DS$34,match($A32,'jiliarena_日报_底稿'!$P$2:$P$34,0),match("盘口彩票有效投注",'jiliarena_日报_底稿'!$P$3:$DS$3,0))</f>
        <v>0</v>
      </c>
      <c r="Y32" s="138">
        <f t="shared" si="75"/>
        <v>0</v>
      </c>
      <c r="Z32" s="172">
        <f t="shared" si="76"/>
        <v>0</v>
      </c>
      <c r="AA32" s="167" t="str">
        <f t="shared" si="12"/>
        <v/>
      </c>
      <c r="AB32" s="173" t="str">
        <f t="array" ref="AB32">INDEX('jiliarena_日报_底稿'!$P$2:$DS$34,MATCH($A32,'jiliarena_日报_底稿'!$P$2:$P$34,0),MATCH(AB$3,'jiliarena_日报_底稿'!$P$3:$DS$3,0))</f>
        <v/>
      </c>
      <c r="AC32" s="173" t="str">
        <f t="array" ref="AC32">INDEX('jiliarena_日报_底稿'!$P$2:$DS$34,MATCH($A32,'jiliarena_日报_底稿'!$P$2:$P$34,0),MATCH(AC$3,'jiliarena_日报_底稿'!$P$3:$DS$3,0))</f>
        <v/>
      </c>
      <c r="AD32" s="167" t="str">
        <f t="shared" si="14"/>
        <v/>
      </c>
      <c r="AE32" s="173" t="str">
        <f t="array" ref="AE32">INDEX('jiliarena_日报_底稿'!$P$2:$DS$34,MATCH($A32,'jiliarena_日报_底稿'!$P$2:$P$34,0),MATCH(AE$3,'jiliarena_日报_底稿'!$P$3:$DS$3,0))</f>
        <v/>
      </c>
      <c r="AF32" s="173" t="str">
        <f t="array" ref="AF32">INDEX('jiliarena_日报_底稿'!$P$2:$DS$34,MATCH($A32,'jiliarena_日报_底稿'!$P$2:$P$34,0),MATCH(AF$3,'jiliarena_日报_底稿'!$P$3:$DS$3,0))</f>
        <v/>
      </c>
      <c r="AG32" s="167" t="str">
        <f t="shared" si="16"/>
        <v/>
      </c>
      <c r="AH32" s="173" t="str">
        <f t="array" ref="AH32">INDEX('jiliarena_日报_底稿'!$P$2:$DS$34,MATCH($A32,'jiliarena_日报_底稿'!$P$2:$P$34,0),MATCH(AH$3,'jiliarena_日报_底稿'!$P$3:$DS$3,0))</f>
        <v/>
      </c>
      <c r="AI32" s="173" t="str">
        <f t="array" ref="AI32">INDEX('jiliarena_日报_底稿'!$P$2:$DS$34,MATCH($A32,'jiliarena_日报_底稿'!$P$2:$P$34,0),MATCH(AI$3,'jiliarena_日报_底稿'!$P$3:$DS$3,0))</f>
        <v/>
      </c>
      <c r="AJ32" s="167" t="str">
        <f t="shared" si="18"/>
        <v/>
      </c>
      <c r="AK32" s="173" t="str">
        <f t="array" ref="AK32">INDEX('jiliarena_日报_底稿'!$P$2:$DS$34,MATCH($A32,'jiliarena_日报_底稿'!$P$2:$P$34,0),MATCH(AK$3,'jiliarena_日报_底稿'!$P$3:$DS$3,0))</f>
        <v/>
      </c>
      <c r="AL32" s="173" t="str">
        <f t="array" ref="AL32">INDEX('jiliarena_日报_底稿'!$P$2:$DS$34,MATCH($A32,'jiliarena_日报_底稿'!$P$2:$P$34,0),MATCH(AL$3,'jiliarena_日报_底稿'!$P$3:$DS$3,0))</f>
        <v/>
      </c>
      <c r="AM32" s="167" t="str">
        <f t="shared" si="20"/>
        <v/>
      </c>
      <c r="AN32" s="173" t="str">
        <f t="array" ref="AN32">INDEX('jiliarena_日报_底稿'!$P$2:$DS$34,MATCH($A32,'jiliarena_日报_底稿'!$P$2:$P$34,0),MATCH(AN$3,'jiliarena_日报_底稿'!$P$3:$DS$3,0))</f>
        <v/>
      </c>
      <c r="AO32" s="173" t="str">
        <f t="array" ref="AO32">INDEX('jiliarena_日报_底稿'!$P$2:$DS$34,MATCH($A32,'jiliarena_日报_底稿'!$P$2:$P$34,0),MATCH(AO$3,'jiliarena_日报_底稿'!$P$3:$DS$3,0))</f>
        <v/>
      </c>
      <c r="AP32" s="167" t="str">
        <f t="shared" si="22"/>
        <v/>
      </c>
      <c r="AQ32" s="173" t="str">
        <f t="array" ref="AQ32">INDEX('jiliarena_日报_底稿'!$P$2:$DS$34,MATCH($A32,'jiliarena_日报_底稿'!$P$2:$P$34,0),MATCH(AQ$3,'jiliarena_日报_底稿'!$P$3:$DS$3,0))</f>
        <v/>
      </c>
      <c r="AR32" s="173" t="str">
        <f t="array" ref="AR32">INDEX('jiliarena_日报_底稿'!$P$2:$DS$34,MATCH($A32,'jiliarena_日报_底稿'!$P$2:$P$34,0),MATCH(AR$3,'jiliarena_日报_底稿'!$P$3:$DS$3,0))</f>
        <v/>
      </c>
      <c r="AS32" s="167" t="str">
        <f t="shared" si="24"/>
        <v/>
      </c>
      <c r="AT32" s="174">
        <f>SUMIFS('jiliarena_活动分析数据_底稿'!$K:$K,'jiliarena_活动分析数据_底稿'!$B:$B,$A32,'jiliarena_活动分析数据_底稿'!$L:$L,AT$3)</f>
        <v>0</v>
      </c>
      <c r="AU32" s="174">
        <f>SUMIFS('jiliarena_活动分析数据_底稿'!$K:$K,'jiliarena_活动分析数据_底稿'!$B:$B,$A32,'jiliarena_活动分析数据_底稿'!$L:$L,AU$3)</f>
        <v>0</v>
      </c>
      <c r="AV32" s="174">
        <f>SUMIFS('jiliarena_活动分析数据_底稿'!$K:$K,'jiliarena_活动分析数据_底稿'!$B:$B,$A32,'jiliarena_活动分析数据_底稿'!$L:$L,AV$3)</f>
        <v>0</v>
      </c>
      <c r="AW32" s="174">
        <f>SUMIFS('jiliarena_活动分析数据_底稿'!$K:$K,'jiliarena_活动分析数据_底稿'!$B:$B,$A32,'jiliarena_活动分析数据_底稿'!$L:$L,AW$3)</f>
        <v>0</v>
      </c>
      <c r="AX32" s="174">
        <f>SUMIFS('jiliarena_活动分析数据_底稿'!$K:$K,'jiliarena_活动分析数据_底稿'!$B:$B,$A32,'jiliarena_活动分析数据_底稿'!$L:$L,AX$3)</f>
        <v>0</v>
      </c>
      <c r="AY32" s="174">
        <f>SUMIFS('jiliarena_活动分析数据_底稿'!$K:$K,'jiliarena_活动分析数据_底稿'!$B:$B,$A32,'jiliarena_活动分析数据_底稿'!$L:$L,AY$3)</f>
        <v>0</v>
      </c>
      <c r="AZ32" s="174">
        <f>SUMIFS('jiliarena_活动分析数据_底稿'!$K:$K,'jiliarena_活动分析数据_底稿'!$B:$B,$A32,'jiliarena_活动分析数据_底稿'!$L:$L,AZ$3)</f>
        <v>0</v>
      </c>
      <c r="BA32" s="174">
        <f>SUMIFS('jiliarena_活动分析数据_底稿'!$K:$K,'jiliarena_活动分析数据_底稿'!$B:$B,$A32,'jiliarena_活动分析数据_底稿'!$L:$L,BA$3)</f>
        <v>0</v>
      </c>
      <c r="BB32" s="174">
        <f>SUMIFS('jiliarena_活动分析数据_底稿'!$K:$K,'jiliarena_活动分析数据_底稿'!$B:$B,$A32,'jiliarena_活动分析数据_底稿'!$L:$L,BB$3)</f>
        <v>0</v>
      </c>
      <c r="BC32" s="174">
        <f>SUMIFS('jiliarena_活动分析数据_底稿'!$K:$K,'jiliarena_活动分析数据_底稿'!$B:$B,$A32,'jiliarena_活动分析数据_底稿'!$L:$L,BC$3)</f>
        <v>0</v>
      </c>
      <c r="BD32" s="174">
        <f>SUMIFS('jiliarena_活动分析数据_底稿'!$K:$K,'jiliarena_活动分析数据_底稿'!$B:$B,$A32,'jiliarena_活动分析数据_底稿'!$L:$L,BD$3)</f>
        <v>0</v>
      </c>
      <c r="BE32" s="174">
        <f>SUMIFS('jiliarena_活动分析数据_底稿'!$K:$K,'jiliarena_活动分析数据_底稿'!$B:$B,$A32,'jiliarena_活动分析数据_底稿'!$L:$L,BE$3)</f>
        <v>0</v>
      </c>
      <c r="BF32" s="174">
        <f>SUMIFS('jiliarena_活动分析数据_底稿'!$K:$K,'jiliarena_活动分析数据_底稿'!$B:$B,$A32,'jiliarena_活动分析数据_底稿'!$L:$L,BF$3)</f>
        <v>0</v>
      </c>
      <c r="BG32" s="174">
        <f>SUMIFS('jiliarena_活动分析数据_底稿'!$K:$K,'jiliarena_活动分析数据_底稿'!$B:$B,$A32,'jiliarena_活动分析数据_底稿'!$L:$L,BG$3)</f>
        <v>0</v>
      </c>
      <c r="BH32" s="174">
        <f>SUMIFS('jiliarena_活动分析数据_底稿'!$K:$K,'jiliarena_活动分析数据_底稿'!$B:$B,$A32,'jiliarena_活动分析数据_底稿'!$L:$L,BH$3)</f>
        <v>0</v>
      </c>
      <c r="BI32" s="174">
        <f>SUMIFS('jiliarena_活动分析数据_底稿'!$K:$K,'jiliarena_活动分析数据_底稿'!$B:$B,$A32,'jiliarena_活动分析数据_底稿'!$L:$L,BI$3)</f>
        <v>0</v>
      </c>
      <c r="BJ32" s="174">
        <f>SUMIFS('jiliarena_活动分析数据_底稿'!$K:$K,'jiliarena_活动分析数据_底稿'!$B:$B,$A32,'jiliarena_活动分析数据_底稿'!$L:$L,BJ$3)</f>
        <v>0</v>
      </c>
      <c r="BK32" s="174">
        <f>SUMIFS('jiliarena_活动分析数据_底稿'!$K:$K,'jiliarena_活动分析数据_底稿'!$B:$B,$A32,'jiliarena_活动分析数据_底稿'!$L:$L,BK$3)</f>
        <v>0</v>
      </c>
      <c r="BL32" s="174">
        <f>SUMIFS('jiliarena_活动分析数据_底稿'!$K:$K,'jiliarena_活动分析数据_底稿'!$B:$B,$A32,'jiliarena_活动分析数据_底稿'!$L:$L,BL$3)</f>
        <v>0</v>
      </c>
      <c r="BM32" s="174">
        <f>SUMIFS('jiliarena_活动分析数据_底稿'!$K:$K,'jiliarena_活动分析数据_底稿'!$B:$B,$A32,'jiliarena_活动分析数据_底稿'!$L:$L,BM$3)</f>
        <v>0</v>
      </c>
      <c r="BN32" s="174">
        <f>SUMIFS('jiliarena_活动分析数据_底稿'!$K:$K,'jiliarena_活动分析数据_底稿'!$B:$B,$A32,'jiliarena_活动分析数据_底稿'!$L:$L,BN$3)</f>
        <v>0</v>
      </c>
      <c r="BO32" s="174">
        <f>SUMIFS('jiliarena_活动分析数据_底稿'!$K:$K,'jiliarena_活动分析数据_底稿'!$B:$B,$A32,'jiliarena_活动分析数据_底稿'!$L:$L,BO$3)</f>
        <v>0</v>
      </c>
      <c r="BP32" s="174">
        <f>SUMIFS('jiliarena_活动分析数据_底稿'!$K:$K,'jiliarena_活动分析数据_底稿'!$B:$B,$A32,'jiliarena_活动分析数据_底稿'!$L:$L,BP$3)</f>
        <v>0</v>
      </c>
      <c r="BQ32" s="172">
        <f t="shared" si="77"/>
        <v>0</v>
      </c>
      <c r="BR32" s="172">
        <f t="shared" si="78"/>
        <v>0</v>
      </c>
      <c r="BS32" s="172">
        <f t="shared" si="79"/>
        <v>0</v>
      </c>
      <c r="BT32" s="167" t="str">
        <f t="shared" si="26"/>
        <v/>
      </c>
      <c r="BU32" s="167" t="str">
        <f t="shared" si="27"/>
        <v/>
      </c>
      <c r="BV32" s="167" t="str">
        <f t="shared" si="28"/>
        <v/>
      </c>
      <c r="BW32" s="175">
        <f t="shared" si="29"/>
        <v>0</v>
      </c>
      <c r="BX32" s="176" t="str">
        <f t="shared" si="30"/>
        <v/>
      </c>
      <c r="BY32" s="177">
        <f t="shared" si="31"/>
        <v>0</v>
      </c>
      <c r="BZ32" s="178">
        <f t="shared" si="32"/>
        <v>0</v>
      </c>
      <c r="CA32" s="179">
        <f t="shared" si="33"/>
        <v>0</v>
      </c>
      <c r="CB32" s="180">
        <f t="shared" si="34"/>
        <v>0</v>
      </c>
      <c r="CC32" s="176" t="str">
        <f t="shared" si="35"/>
        <v/>
      </c>
      <c r="CD32" s="181" t="str">
        <f t="array" ref="CD32">index('jiliarena_日报_底稿'!$P$3:$DS$34,match(A32,'jiliarena_日报_底稿'!$P$3:$P$34,0),match("综合性分红",'jiliarena_日报_底稿'!$P$3:$DS$3,0))</f>
        <v/>
      </c>
      <c r="CE32" s="127"/>
      <c r="CF32" s="181" t="str">
        <f t="array" ref="CF32">INDEX('jiliarena_日报_底稿'!$P$2:$DS$34,MATCH($A32,'jiliarena_日报_底稿'!$P$2:$P$34,0),MATCH(CF$3,'jiliarena_日报_底稿'!$P$3:$DS$3,0))</f>
        <v/>
      </c>
      <c r="CG32" s="172">
        <f t="array" ref="CG32">-INDEX('jiliarena_日报_底稿'!$P$2:$DS$34,MATCH($A32,'jiliarena_日报_底稿'!$P$2:$P$34,0),MATCH(CG$3,'jiliarena_日报_底稿'!$P$3:$DS$3,0))</f>
        <v>0</v>
      </c>
      <c r="CH32" s="181" t="str">
        <f t="array" ref="CH32">INDEX('jiliarena_日报_底稿'!$P$2:$DS$34,MATCH($A32,'jiliarena_日报_底稿'!$P$2:$P$34,0),MATCH(CH$3,'jiliarena_日报_底稿'!$P$3:$DS$3,0))</f>
        <v/>
      </c>
      <c r="CI32" s="175">
        <f t="shared" si="37"/>
        <v>0</v>
      </c>
      <c r="CJ32" s="182">
        <f t="shared" si="38"/>
        <v>3</v>
      </c>
      <c r="CK32" s="182">
        <f t="shared" si="39"/>
        <v>19</v>
      </c>
    </row>
    <row r="33">
      <c r="A33" s="162">
        <f t="shared" si="80"/>
        <v>46101</v>
      </c>
      <c r="B33" s="163" t="str">
        <f t="array" ref="B33">INDEX('jiliarena_日报_底稿'!$A$3:$N$34,MATCH($A33,'jiliarena_日报_底稿'!$A$3:$A$34,0),MATCH(B$3,'jiliarena_日报_底稿'!$A$3:$N$3,0))</f>
        <v/>
      </c>
      <c r="C33" s="163" t="str">
        <f t="array" ref="C33">INDEX('jiliarena_日报_底稿'!$A$3:$N$34,MATCH($A33,'jiliarena_日报_底稿'!$A$3:$A$34,0),MATCH(C$3,'jiliarena_日报_底稿'!$A$3:$N$3,0))</f>
        <v/>
      </c>
      <c r="D33" s="163" t="str">
        <f t="array" ref="D33">INDEX('jiliarena_日报_底稿'!$A$3:$N$34,MATCH($A33,'jiliarena_日报_底稿'!$A$3:$A$34,0),MATCH(D$3,'jiliarena_日报_底稿'!$A$3:$N$3,0))</f>
        <v/>
      </c>
      <c r="E33" s="163"/>
      <c r="F33" s="163" t="str">
        <f t="array" ref="F33">INDEX('jiliarena_日报_底稿'!$A$3:$N$34,MATCH($A33,'jiliarena_日报_底稿'!$A$3:$A$34,0),MATCH(F$3,'jiliarena_日报_底稿'!$A$3:$N$3,0))</f>
        <v/>
      </c>
      <c r="G33" s="164">
        <f>SUMIFS('渠道充值成功率_底稿'!$F:$F,'渠道充值成功率_底稿'!$A:$A,A33)</f>
        <v>0</v>
      </c>
      <c r="H33" s="163" t="str">
        <f t="array" ref="H33">INDEX('jiliarena_日报_底稿'!$A$3:$N$34,MATCH($A33,'jiliarena_日报_底稿'!$A$3:$A$34,0),MATCH(H$3,'jiliarena_日报_底稿'!$A$3:$N$3,0))</f>
        <v/>
      </c>
      <c r="I33" s="163"/>
      <c r="J33" s="163" t="str">
        <f t="array" ref="J33">INDEX('jiliarena_日报_底稿'!$A$3:$N$34,MATCH($A33,'jiliarena_日报_底稿'!$A$3:$A$34,0),MATCH(J$3,'jiliarena_日报_底稿'!$A$3:$N$3,0))</f>
        <v/>
      </c>
      <c r="K33" s="165">
        <f>SUMIFS('渠道充值成功率_底稿'!$J:$J,'渠道充值成功率_底稿'!$A:$A,$A33)</f>
        <v>0</v>
      </c>
      <c r="L33" s="166" t="str">
        <f t="array" ref="L33">INDEX('jiliarena_日报_底稿'!$A$3:$N$34,MATCH($A33,'jiliarena_日报_底稿'!$A$3:$A$34,0),MATCH(L$3,'jiliarena_日报_底稿'!$A$3:$N$3,0))</f>
        <v/>
      </c>
      <c r="M33" s="166" t="str">
        <f t="array" ref="M33">INDEX('jiliarena_日报_底稿'!$P$2:$DS$34,MATCH($A33,'jiliarena_日报_底稿'!$P$2:$P$34,0),MATCH($M$3,'jiliarena_日报_底稿'!$P$3:$DS$3,0))</f>
        <v/>
      </c>
      <c r="N33" s="167" t="str">
        <f t="shared" si="2"/>
        <v/>
      </c>
      <c r="O33" s="168" t="str">
        <f t="shared" si="3"/>
        <v>#DIV/0!</v>
      </c>
      <c r="P33" s="167" t="str">
        <f t="shared" si="4"/>
        <v/>
      </c>
      <c r="Q33" s="168" t="str">
        <f t="shared" si="5"/>
        <v>#DIV/0!</v>
      </c>
      <c r="R33" s="169" t="str">
        <f t="shared" si="6"/>
        <v/>
      </c>
      <c r="S33" s="170" t="str">
        <f t="shared" si="7"/>
        <v/>
      </c>
      <c r="T33" s="170" t="str">
        <f t="shared" si="8"/>
        <v/>
      </c>
      <c r="U33" s="169" t="str">
        <f t="shared" si="9"/>
        <v/>
      </c>
      <c r="V33" s="171" t="str">
        <f t="shared" si="10"/>
        <v/>
      </c>
      <c r="W33" s="172">
        <f t="shared" si="74"/>
        <v>0</v>
      </c>
      <c r="X33" s="172">
        <f t="array" ref="X33">index('jiliarena_日报_底稿'!$P$2:$DS$34,match($A33,'jiliarena_日报_底稿'!$P$2:$P$34,0),match("电子有效投注",'jiliarena_日报_底稿'!$P$3:$DS$3,0))+index('jiliarena_日报_底稿'!$P$2:$DS$34,match($A33,'jiliarena_日报_底稿'!$P$2:$P$34,0),match("真人有效投注",'jiliarena_日报_底稿'!$P$3:$DS$3,0))+index('jiliarena_日报_底稿'!$P$2:$DS$34,match($A33,'jiliarena_日报_底稿'!$P$2:$P$34,0),match("彩票有效投注",'jiliarena_日报_底稿'!$P$3:$DS$3,0))+index('jiliarena_日报_底稿'!$P$2:$DS$34,match($A33,'jiliarena_日报_底稿'!$P$2:$P$34,0),match("棋牌有效投注",'jiliarena_日报_底稿'!$P$3:$DS$3,0))+index('jiliarena_日报_底稿'!$P$2:$DS$34,match($A33,'jiliarena_日报_底稿'!$P$2:$P$34,0),match("捕鱼有效投注",'jiliarena_日报_底稿'!$P$3:$DS$3,0))+index('jiliarena_日报_底稿'!$P$2:$DS$34,match($A33,'jiliarena_日报_底稿'!$P$2:$P$34,0),match("体育有效投注",'jiliarena_日报_底稿'!$P$3:$DS$3,0))+index('jiliarena_日报_底稿'!$P$2:$DS$34,match($A33,'jiliarena_日报_底稿'!$P$2:$P$34,0),match("盘口彩票有效投注",'jiliarena_日报_底稿'!$P$3:$DS$3,0))</f>
        <v>0</v>
      </c>
      <c r="Y33" s="138">
        <f t="shared" si="75"/>
        <v>0</v>
      </c>
      <c r="Z33" s="172">
        <f t="shared" si="76"/>
        <v>0</v>
      </c>
      <c r="AA33" s="167" t="str">
        <f t="shared" si="12"/>
        <v/>
      </c>
      <c r="AB33" s="173" t="str">
        <f t="array" ref="AB33">INDEX('jiliarena_日报_底稿'!$P$2:$DS$34,MATCH($A33,'jiliarena_日报_底稿'!$P$2:$P$34,0),MATCH(AB$3,'jiliarena_日报_底稿'!$P$3:$DS$3,0))</f>
        <v/>
      </c>
      <c r="AC33" s="173" t="str">
        <f t="array" ref="AC33">INDEX('jiliarena_日报_底稿'!$P$2:$DS$34,MATCH($A33,'jiliarena_日报_底稿'!$P$2:$P$34,0),MATCH(AC$3,'jiliarena_日报_底稿'!$P$3:$DS$3,0))</f>
        <v/>
      </c>
      <c r="AD33" s="167" t="str">
        <f t="shared" si="14"/>
        <v/>
      </c>
      <c r="AE33" s="173" t="str">
        <f t="array" ref="AE33">INDEX('jiliarena_日报_底稿'!$P$2:$DS$34,MATCH($A33,'jiliarena_日报_底稿'!$P$2:$P$34,0),MATCH(AE$3,'jiliarena_日报_底稿'!$P$3:$DS$3,0))</f>
        <v/>
      </c>
      <c r="AF33" s="173" t="str">
        <f t="array" ref="AF33">INDEX('jiliarena_日报_底稿'!$P$2:$DS$34,MATCH($A33,'jiliarena_日报_底稿'!$P$2:$P$34,0),MATCH(AF$3,'jiliarena_日报_底稿'!$P$3:$DS$3,0))</f>
        <v/>
      </c>
      <c r="AG33" s="167" t="str">
        <f t="shared" si="16"/>
        <v/>
      </c>
      <c r="AH33" s="173" t="str">
        <f t="array" ref="AH33">INDEX('jiliarena_日报_底稿'!$P$2:$DS$34,MATCH($A33,'jiliarena_日报_底稿'!$P$2:$P$34,0),MATCH(AH$3,'jiliarena_日报_底稿'!$P$3:$DS$3,0))</f>
        <v/>
      </c>
      <c r="AI33" s="173" t="str">
        <f t="array" ref="AI33">INDEX('jiliarena_日报_底稿'!$P$2:$DS$34,MATCH($A33,'jiliarena_日报_底稿'!$P$2:$P$34,0),MATCH(AI$3,'jiliarena_日报_底稿'!$P$3:$DS$3,0))</f>
        <v/>
      </c>
      <c r="AJ33" s="167" t="str">
        <f t="shared" si="18"/>
        <v/>
      </c>
      <c r="AK33" s="173" t="str">
        <f t="array" ref="AK33">INDEX('jiliarena_日报_底稿'!$P$2:$DS$34,MATCH($A33,'jiliarena_日报_底稿'!$P$2:$P$34,0),MATCH(AK$3,'jiliarena_日报_底稿'!$P$3:$DS$3,0))</f>
        <v/>
      </c>
      <c r="AL33" s="173" t="str">
        <f t="array" ref="AL33">INDEX('jiliarena_日报_底稿'!$P$2:$DS$34,MATCH($A33,'jiliarena_日报_底稿'!$P$2:$P$34,0),MATCH(AL$3,'jiliarena_日报_底稿'!$P$3:$DS$3,0))</f>
        <v/>
      </c>
      <c r="AM33" s="167" t="str">
        <f t="shared" si="20"/>
        <v/>
      </c>
      <c r="AN33" s="173" t="str">
        <f t="array" ref="AN33">INDEX('jiliarena_日报_底稿'!$P$2:$DS$34,MATCH($A33,'jiliarena_日报_底稿'!$P$2:$P$34,0),MATCH(AN$3,'jiliarena_日报_底稿'!$P$3:$DS$3,0))</f>
        <v/>
      </c>
      <c r="AO33" s="173" t="str">
        <f t="array" ref="AO33">INDEX('jiliarena_日报_底稿'!$P$2:$DS$34,MATCH($A33,'jiliarena_日报_底稿'!$P$2:$P$34,0),MATCH(AO$3,'jiliarena_日报_底稿'!$P$3:$DS$3,0))</f>
        <v/>
      </c>
      <c r="AP33" s="167" t="str">
        <f t="shared" si="22"/>
        <v/>
      </c>
      <c r="AQ33" s="173" t="str">
        <f t="array" ref="AQ33">INDEX('jiliarena_日报_底稿'!$P$2:$DS$34,MATCH($A33,'jiliarena_日报_底稿'!$P$2:$P$34,0),MATCH(AQ$3,'jiliarena_日报_底稿'!$P$3:$DS$3,0))</f>
        <v/>
      </c>
      <c r="AR33" s="173" t="str">
        <f t="array" ref="AR33">INDEX('jiliarena_日报_底稿'!$P$2:$DS$34,MATCH($A33,'jiliarena_日报_底稿'!$P$2:$P$34,0),MATCH(AR$3,'jiliarena_日报_底稿'!$P$3:$DS$3,0))</f>
        <v/>
      </c>
      <c r="AS33" s="167" t="str">
        <f t="shared" si="24"/>
        <v/>
      </c>
      <c r="AT33" s="174">
        <f>SUMIFS('jiliarena_活动分析数据_底稿'!$K:$K,'jiliarena_活动分析数据_底稿'!$B:$B,$A33,'jiliarena_活动分析数据_底稿'!$L:$L,AT$3)</f>
        <v>0</v>
      </c>
      <c r="AU33" s="174">
        <f>SUMIFS('jiliarena_活动分析数据_底稿'!$K:$K,'jiliarena_活动分析数据_底稿'!$B:$B,$A33,'jiliarena_活动分析数据_底稿'!$L:$L,AU$3)</f>
        <v>0</v>
      </c>
      <c r="AV33" s="174">
        <f>SUMIFS('jiliarena_活动分析数据_底稿'!$K:$K,'jiliarena_活动分析数据_底稿'!$B:$B,$A33,'jiliarena_活动分析数据_底稿'!$L:$L,AV$3)</f>
        <v>0</v>
      </c>
      <c r="AW33" s="174">
        <f>SUMIFS('jiliarena_活动分析数据_底稿'!$K:$K,'jiliarena_活动分析数据_底稿'!$B:$B,$A33,'jiliarena_活动分析数据_底稿'!$L:$L,AW$3)</f>
        <v>0</v>
      </c>
      <c r="AX33" s="174">
        <f>SUMIFS('jiliarena_活动分析数据_底稿'!$K:$K,'jiliarena_活动分析数据_底稿'!$B:$B,$A33,'jiliarena_活动分析数据_底稿'!$L:$L,AX$3)</f>
        <v>0</v>
      </c>
      <c r="AY33" s="174">
        <f>SUMIFS('jiliarena_活动分析数据_底稿'!$K:$K,'jiliarena_活动分析数据_底稿'!$B:$B,$A33,'jiliarena_活动分析数据_底稿'!$L:$L,AY$3)</f>
        <v>0</v>
      </c>
      <c r="AZ33" s="174">
        <f>SUMIFS('jiliarena_活动分析数据_底稿'!$K:$K,'jiliarena_活动分析数据_底稿'!$B:$B,$A33,'jiliarena_活动分析数据_底稿'!$L:$L,AZ$3)</f>
        <v>0</v>
      </c>
      <c r="BA33" s="174">
        <f>SUMIFS('jiliarena_活动分析数据_底稿'!$K:$K,'jiliarena_活动分析数据_底稿'!$B:$B,$A33,'jiliarena_活动分析数据_底稿'!$L:$L,BA$3)</f>
        <v>0</v>
      </c>
      <c r="BB33" s="174">
        <f>SUMIFS('jiliarena_活动分析数据_底稿'!$K:$K,'jiliarena_活动分析数据_底稿'!$B:$B,$A33,'jiliarena_活动分析数据_底稿'!$L:$L,BB$3)</f>
        <v>0</v>
      </c>
      <c r="BC33" s="174">
        <f>SUMIFS('jiliarena_活动分析数据_底稿'!$K:$K,'jiliarena_活动分析数据_底稿'!$B:$B,$A33,'jiliarena_活动分析数据_底稿'!$L:$L,BC$3)</f>
        <v>0</v>
      </c>
      <c r="BD33" s="174">
        <f>SUMIFS('jiliarena_活动分析数据_底稿'!$K:$K,'jiliarena_活动分析数据_底稿'!$B:$B,$A33,'jiliarena_活动分析数据_底稿'!$L:$L,BD$3)</f>
        <v>0</v>
      </c>
      <c r="BE33" s="174">
        <f>SUMIFS('jiliarena_活动分析数据_底稿'!$K:$K,'jiliarena_活动分析数据_底稿'!$B:$B,$A33,'jiliarena_活动分析数据_底稿'!$L:$L,BE$3)</f>
        <v>0</v>
      </c>
      <c r="BF33" s="174">
        <f>SUMIFS('jiliarena_活动分析数据_底稿'!$K:$K,'jiliarena_活动分析数据_底稿'!$B:$B,$A33,'jiliarena_活动分析数据_底稿'!$L:$L,BF$3)</f>
        <v>0</v>
      </c>
      <c r="BG33" s="174">
        <f>SUMIFS('jiliarena_活动分析数据_底稿'!$K:$K,'jiliarena_活动分析数据_底稿'!$B:$B,$A33,'jiliarena_活动分析数据_底稿'!$L:$L,BG$3)</f>
        <v>0</v>
      </c>
      <c r="BH33" s="174">
        <f>SUMIFS('jiliarena_活动分析数据_底稿'!$K:$K,'jiliarena_活动分析数据_底稿'!$B:$B,$A33,'jiliarena_活动分析数据_底稿'!$L:$L,BH$3)</f>
        <v>0</v>
      </c>
      <c r="BI33" s="174">
        <f>SUMIFS('jiliarena_活动分析数据_底稿'!$K:$K,'jiliarena_活动分析数据_底稿'!$B:$B,$A33,'jiliarena_活动分析数据_底稿'!$L:$L,BI$3)</f>
        <v>0</v>
      </c>
      <c r="BJ33" s="174">
        <f>SUMIFS('jiliarena_活动分析数据_底稿'!$K:$K,'jiliarena_活动分析数据_底稿'!$B:$B,$A33,'jiliarena_活动分析数据_底稿'!$L:$L,BJ$3)</f>
        <v>0</v>
      </c>
      <c r="BK33" s="174">
        <f>SUMIFS('jiliarena_活动分析数据_底稿'!$K:$K,'jiliarena_活动分析数据_底稿'!$B:$B,$A33,'jiliarena_活动分析数据_底稿'!$L:$L,BK$3)</f>
        <v>0</v>
      </c>
      <c r="BL33" s="174">
        <f>SUMIFS('jiliarena_活动分析数据_底稿'!$K:$K,'jiliarena_活动分析数据_底稿'!$B:$B,$A33,'jiliarena_活动分析数据_底稿'!$L:$L,BL$3)</f>
        <v>0</v>
      </c>
      <c r="BM33" s="174">
        <f>SUMIFS('jiliarena_活动分析数据_底稿'!$K:$K,'jiliarena_活动分析数据_底稿'!$B:$B,$A33,'jiliarena_活动分析数据_底稿'!$L:$L,BM$3)</f>
        <v>0</v>
      </c>
      <c r="BN33" s="174">
        <f>SUMIFS('jiliarena_活动分析数据_底稿'!$K:$K,'jiliarena_活动分析数据_底稿'!$B:$B,$A33,'jiliarena_活动分析数据_底稿'!$L:$L,BN$3)</f>
        <v>0</v>
      </c>
      <c r="BO33" s="174">
        <f>SUMIFS('jiliarena_活动分析数据_底稿'!$K:$K,'jiliarena_活动分析数据_底稿'!$B:$B,$A33,'jiliarena_活动分析数据_底稿'!$L:$L,BO$3)</f>
        <v>0</v>
      </c>
      <c r="BP33" s="174">
        <f>SUMIFS('jiliarena_活动分析数据_底稿'!$K:$K,'jiliarena_活动分析数据_底稿'!$B:$B,$A33,'jiliarena_活动分析数据_底稿'!$L:$L,BP$3)</f>
        <v>0</v>
      </c>
      <c r="BQ33" s="172">
        <f t="shared" si="77"/>
        <v>0</v>
      </c>
      <c r="BR33" s="172">
        <f t="shared" si="78"/>
        <v>0</v>
      </c>
      <c r="BS33" s="172">
        <f t="shared" si="79"/>
        <v>0</v>
      </c>
      <c r="BT33" s="167" t="str">
        <f t="shared" si="26"/>
        <v/>
      </c>
      <c r="BU33" s="167" t="str">
        <f t="shared" si="27"/>
        <v/>
      </c>
      <c r="BV33" s="167" t="str">
        <f t="shared" si="28"/>
        <v/>
      </c>
      <c r="BW33" s="175">
        <f t="shared" si="29"/>
        <v>0</v>
      </c>
      <c r="BX33" s="176" t="str">
        <f t="shared" si="30"/>
        <v/>
      </c>
      <c r="BY33" s="177">
        <f t="shared" si="31"/>
        <v>0</v>
      </c>
      <c r="BZ33" s="178">
        <f t="shared" si="32"/>
        <v>0</v>
      </c>
      <c r="CA33" s="179">
        <f t="shared" si="33"/>
        <v>0</v>
      </c>
      <c r="CB33" s="180">
        <f t="shared" si="34"/>
        <v>0</v>
      </c>
      <c r="CC33" s="176" t="str">
        <f t="shared" si="35"/>
        <v/>
      </c>
      <c r="CD33" s="181" t="str">
        <f t="array" ref="CD33">index('jiliarena_日报_底稿'!$P$3:$DS$34,match(A33,'jiliarena_日报_底稿'!$P$3:$P$34,0),match("综合性分红",'jiliarena_日报_底稿'!$P$3:$DS$3,0))</f>
        <v/>
      </c>
      <c r="CE33" s="127"/>
      <c r="CF33" s="181" t="str">
        <f t="array" ref="CF33">INDEX('jiliarena_日报_底稿'!$P$2:$DS$34,MATCH($A33,'jiliarena_日报_底稿'!$P$2:$P$34,0),MATCH(CF$3,'jiliarena_日报_底稿'!$P$3:$DS$3,0))</f>
        <v/>
      </c>
      <c r="CG33" s="172">
        <f t="array" ref="CG33">-INDEX('jiliarena_日报_底稿'!$P$2:$DS$34,MATCH($A33,'jiliarena_日报_底稿'!$P$2:$P$34,0),MATCH(CG$3,'jiliarena_日报_底稿'!$P$3:$DS$3,0))</f>
        <v>0</v>
      </c>
      <c r="CH33" s="181" t="str">
        <f t="array" ref="CH33">INDEX('jiliarena_日报_底稿'!$P$2:$DS$34,MATCH($A33,'jiliarena_日报_底稿'!$P$2:$P$34,0),MATCH(CH$3,'jiliarena_日报_底稿'!$P$3:$DS$3,0))</f>
        <v/>
      </c>
      <c r="CI33" s="175">
        <f t="shared" si="37"/>
        <v>0</v>
      </c>
      <c r="CJ33" s="182">
        <f t="shared" si="38"/>
        <v>3</v>
      </c>
      <c r="CK33" s="182">
        <f t="shared" si="39"/>
        <v>20</v>
      </c>
    </row>
    <row r="34">
      <c r="A34" s="162">
        <f t="shared" si="80"/>
        <v>46102</v>
      </c>
      <c r="B34" s="163" t="str">
        <f t="array" ref="B34">INDEX('jiliarena_日报_底稿'!$A$3:$N$34,MATCH($A34,'jiliarena_日报_底稿'!$A$3:$A$34,0),MATCH(B$3,'jiliarena_日报_底稿'!$A$3:$N$3,0))</f>
        <v/>
      </c>
      <c r="C34" s="163" t="str">
        <f t="array" ref="C34">INDEX('jiliarena_日报_底稿'!$A$3:$N$34,MATCH($A34,'jiliarena_日报_底稿'!$A$3:$A$34,0),MATCH(C$3,'jiliarena_日报_底稿'!$A$3:$N$3,0))</f>
        <v/>
      </c>
      <c r="D34" s="163" t="str">
        <f t="array" ref="D34">INDEX('jiliarena_日报_底稿'!$A$3:$N$34,MATCH($A34,'jiliarena_日报_底稿'!$A$3:$A$34,0),MATCH(D$3,'jiliarena_日报_底稿'!$A$3:$N$3,0))</f>
        <v/>
      </c>
      <c r="E34" s="163"/>
      <c r="F34" s="163" t="str">
        <f t="array" ref="F34">INDEX('jiliarena_日报_底稿'!$A$3:$N$34,MATCH($A34,'jiliarena_日报_底稿'!$A$3:$A$34,0),MATCH(F$3,'jiliarena_日报_底稿'!$A$3:$N$3,0))</f>
        <v/>
      </c>
      <c r="G34" s="164">
        <f>SUMIFS('渠道充值成功率_底稿'!$F:$F,'渠道充值成功率_底稿'!$A:$A,A34)</f>
        <v>0</v>
      </c>
      <c r="H34" s="163" t="str">
        <f t="array" ref="H34">INDEX('jiliarena_日报_底稿'!$A$3:$N$34,MATCH($A34,'jiliarena_日报_底稿'!$A$3:$A$34,0),MATCH(H$3,'jiliarena_日报_底稿'!$A$3:$N$3,0))</f>
        <v/>
      </c>
      <c r="I34" s="163"/>
      <c r="J34" s="163" t="str">
        <f t="array" ref="J34">INDEX('jiliarena_日报_底稿'!$A$3:$N$34,MATCH($A34,'jiliarena_日报_底稿'!$A$3:$A$34,0),MATCH(J$3,'jiliarena_日报_底稿'!$A$3:$N$3,0))</f>
        <v/>
      </c>
      <c r="K34" s="165">
        <f>SUMIFS('渠道充值成功率_底稿'!$J:$J,'渠道充值成功率_底稿'!$A:$A,$A34)</f>
        <v>0</v>
      </c>
      <c r="L34" s="166" t="str">
        <f t="array" ref="L34">INDEX('jiliarena_日报_底稿'!$A$3:$N$34,MATCH($A34,'jiliarena_日报_底稿'!$A$3:$A$34,0),MATCH(L$3,'jiliarena_日报_底稿'!$A$3:$N$3,0))</f>
        <v/>
      </c>
      <c r="M34" s="166" t="str">
        <f t="array" ref="M34">INDEX('jiliarena_日报_底稿'!$P$2:$DS$34,MATCH($A34,'jiliarena_日报_底稿'!$P$2:$P$34,0),MATCH($M$3,'jiliarena_日报_底稿'!$P$3:$DS$3,0))</f>
        <v/>
      </c>
      <c r="N34" s="167" t="str">
        <f t="shared" si="2"/>
        <v/>
      </c>
      <c r="O34" s="168" t="str">
        <f t="shared" si="3"/>
        <v>#DIV/0!</v>
      </c>
      <c r="P34" s="167" t="str">
        <f t="shared" si="4"/>
        <v/>
      </c>
      <c r="Q34" s="168" t="str">
        <f t="shared" si="5"/>
        <v>#DIV/0!</v>
      </c>
      <c r="R34" s="169" t="str">
        <f t="shared" si="6"/>
        <v/>
      </c>
      <c r="S34" s="170" t="str">
        <f t="shared" si="7"/>
        <v/>
      </c>
      <c r="T34" s="170" t="str">
        <f t="shared" si="8"/>
        <v/>
      </c>
      <c r="U34" s="169" t="str">
        <f t="shared" si="9"/>
        <v/>
      </c>
      <c r="V34" s="171" t="str">
        <f t="shared" si="10"/>
        <v/>
      </c>
      <c r="W34" s="172">
        <f t="shared" si="74"/>
        <v>0</v>
      </c>
      <c r="X34" s="172">
        <f t="array" ref="X34">index('jiliarena_日报_底稿'!$P$2:$DS$34,match($A34,'jiliarena_日报_底稿'!$P$2:$P$34,0),match("电子有效投注",'jiliarena_日报_底稿'!$P$3:$DS$3,0))+index('jiliarena_日报_底稿'!$P$2:$DS$34,match($A34,'jiliarena_日报_底稿'!$P$2:$P$34,0),match("真人有效投注",'jiliarena_日报_底稿'!$P$3:$DS$3,0))+index('jiliarena_日报_底稿'!$P$2:$DS$34,match($A34,'jiliarena_日报_底稿'!$P$2:$P$34,0),match("彩票有效投注",'jiliarena_日报_底稿'!$P$3:$DS$3,0))+index('jiliarena_日报_底稿'!$P$2:$DS$34,match($A34,'jiliarena_日报_底稿'!$P$2:$P$34,0),match("棋牌有效投注",'jiliarena_日报_底稿'!$P$3:$DS$3,0))+index('jiliarena_日报_底稿'!$P$2:$DS$34,match($A34,'jiliarena_日报_底稿'!$P$2:$P$34,0),match("捕鱼有效投注",'jiliarena_日报_底稿'!$P$3:$DS$3,0))+index('jiliarena_日报_底稿'!$P$2:$DS$34,match($A34,'jiliarena_日报_底稿'!$P$2:$P$34,0),match("体育有效投注",'jiliarena_日报_底稿'!$P$3:$DS$3,0))+index('jiliarena_日报_底稿'!$P$2:$DS$34,match($A34,'jiliarena_日报_底稿'!$P$2:$P$34,0),match("盘口彩票有效投注",'jiliarena_日报_底稿'!$P$3:$DS$3,0))</f>
        <v>0</v>
      </c>
      <c r="Y34" s="138">
        <f t="shared" si="75"/>
        <v>0</v>
      </c>
      <c r="Z34" s="172">
        <f t="shared" si="76"/>
        <v>0</v>
      </c>
      <c r="AA34" s="167" t="str">
        <f t="shared" si="12"/>
        <v/>
      </c>
      <c r="AB34" s="173" t="str">
        <f t="array" ref="AB34">INDEX('jiliarena_日报_底稿'!$P$2:$DS$34,MATCH($A34,'jiliarena_日报_底稿'!$P$2:$P$34,0),MATCH(AB$3,'jiliarena_日报_底稿'!$P$3:$DS$3,0))</f>
        <v/>
      </c>
      <c r="AC34" s="173" t="str">
        <f t="array" ref="AC34">INDEX('jiliarena_日报_底稿'!$P$2:$DS$34,MATCH($A34,'jiliarena_日报_底稿'!$P$2:$P$34,0),MATCH(AC$3,'jiliarena_日报_底稿'!$P$3:$DS$3,0))</f>
        <v/>
      </c>
      <c r="AD34" s="167" t="str">
        <f t="shared" si="14"/>
        <v/>
      </c>
      <c r="AE34" s="173" t="str">
        <f t="array" ref="AE34">INDEX('jiliarena_日报_底稿'!$P$2:$DS$34,MATCH($A34,'jiliarena_日报_底稿'!$P$2:$P$34,0),MATCH(AE$3,'jiliarena_日报_底稿'!$P$3:$DS$3,0))</f>
        <v/>
      </c>
      <c r="AF34" s="173" t="str">
        <f t="array" ref="AF34">INDEX('jiliarena_日报_底稿'!$P$2:$DS$34,MATCH($A34,'jiliarena_日报_底稿'!$P$2:$P$34,0),MATCH(AF$3,'jiliarena_日报_底稿'!$P$3:$DS$3,0))</f>
        <v/>
      </c>
      <c r="AG34" s="167" t="str">
        <f t="shared" si="16"/>
        <v/>
      </c>
      <c r="AH34" s="173" t="str">
        <f t="array" ref="AH34">INDEX('jiliarena_日报_底稿'!$P$2:$DS$34,MATCH($A34,'jiliarena_日报_底稿'!$P$2:$P$34,0),MATCH(AH$3,'jiliarena_日报_底稿'!$P$3:$DS$3,0))</f>
        <v/>
      </c>
      <c r="AI34" s="173" t="str">
        <f t="array" ref="AI34">INDEX('jiliarena_日报_底稿'!$P$2:$DS$34,MATCH($A34,'jiliarena_日报_底稿'!$P$2:$P$34,0),MATCH(AI$3,'jiliarena_日报_底稿'!$P$3:$DS$3,0))</f>
        <v/>
      </c>
      <c r="AJ34" s="167" t="str">
        <f t="shared" si="18"/>
        <v/>
      </c>
      <c r="AK34" s="173" t="str">
        <f t="array" ref="AK34">INDEX('jiliarena_日报_底稿'!$P$2:$DS$34,MATCH($A34,'jiliarena_日报_底稿'!$P$2:$P$34,0),MATCH(AK$3,'jiliarena_日报_底稿'!$P$3:$DS$3,0))</f>
        <v/>
      </c>
      <c r="AL34" s="173" t="str">
        <f t="array" ref="AL34">INDEX('jiliarena_日报_底稿'!$P$2:$DS$34,MATCH($A34,'jiliarena_日报_底稿'!$P$2:$P$34,0),MATCH(AL$3,'jiliarena_日报_底稿'!$P$3:$DS$3,0))</f>
        <v/>
      </c>
      <c r="AM34" s="167" t="str">
        <f t="shared" si="20"/>
        <v/>
      </c>
      <c r="AN34" s="173" t="str">
        <f t="array" ref="AN34">INDEX('jiliarena_日报_底稿'!$P$2:$DS$34,MATCH($A34,'jiliarena_日报_底稿'!$P$2:$P$34,0),MATCH(AN$3,'jiliarena_日报_底稿'!$P$3:$DS$3,0))</f>
        <v/>
      </c>
      <c r="AO34" s="173" t="str">
        <f t="array" ref="AO34">INDEX('jiliarena_日报_底稿'!$P$2:$DS$34,MATCH($A34,'jiliarena_日报_底稿'!$P$2:$P$34,0),MATCH(AO$3,'jiliarena_日报_底稿'!$P$3:$DS$3,0))</f>
        <v/>
      </c>
      <c r="AP34" s="167" t="str">
        <f t="shared" si="22"/>
        <v/>
      </c>
      <c r="AQ34" s="173" t="str">
        <f t="array" ref="AQ34">INDEX('jiliarena_日报_底稿'!$P$2:$DS$34,MATCH($A34,'jiliarena_日报_底稿'!$P$2:$P$34,0),MATCH(AQ$3,'jiliarena_日报_底稿'!$P$3:$DS$3,0))</f>
        <v/>
      </c>
      <c r="AR34" s="173" t="str">
        <f t="array" ref="AR34">INDEX('jiliarena_日报_底稿'!$P$2:$DS$34,MATCH($A34,'jiliarena_日报_底稿'!$P$2:$P$34,0),MATCH(AR$3,'jiliarena_日报_底稿'!$P$3:$DS$3,0))</f>
        <v/>
      </c>
      <c r="AS34" s="167" t="str">
        <f t="shared" si="24"/>
        <v/>
      </c>
      <c r="AT34" s="174">
        <f>SUMIFS('jiliarena_活动分析数据_底稿'!$K:$K,'jiliarena_活动分析数据_底稿'!$B:$B,$A34,'jiliarena_活动分析数据_底稿'!$L:$L,AT$3)</f>
        <v>0</v>
      </c>
      <c r="AU34" s="174">
        <f>SUMIFS('jiliarena_活动分析数据_底稿'!$K:$K,'jiliarena_活动分析数据_底稿'!$B:$B,$A34,'jiliarena_活动分析数据_底稿'!$L:$L,AU$3)</f>
        <v>0</v>
      </c>
      <c r="AV34" s="174">
        <f>SUMIFS('jiliarena_活动分析数据_底稿'!$K:$K,'jiliarena_活动分析数据_底稿'!$B:$B,$A34,'jiliarena_活动分析数据_底稿'!$L:$L,AV$3)</f>
        <v>0</v>
      </c>
      <c r="AW34" s="174">
        <f>SUMIFS('jiliarena_活动分析数据_底稿'!$K:$K,'jiliarena_活动分析数据_底稿'!$B:$B,$A34,'jiliarena_活动分析数据_底稿'!$L:$L,AW$3)</f>
        <v>0</v>
      </c>
      <c r="AX34" s="174">
        <f>SUMIFS('jiliarena_活动分析数据_底稿'!$K:$K,'jiliarena_活动分析数据_底稿'!$B:$B,$A34,'jiliarena_活动分析数据_底稿'!$L:$L,AX$3)</f>
        <v>0</v>
      </c>
      <c r="AY34" s="174">
        <f>SUMIFS('jiliarena_活动分析数据_底稿'!$K:$K,'jiliarena_活动分析数据_底稿'!$B:$B,$A34,'jiliarena_活动分析数据_底稿'!$L:$L,AY$3)</f>
        <v>0</v>
      </c>
      <c r="AZ34" s="174">
        <f>SUMIFS('jiliarena_活动分析数据_底稿'!$K:$K,'jiliarena_活动分析数据_底稿'!$B:$B,$A34,'jiliarena_活动分析数据_底稿'!$L:$L,AZ$3)</f>
        <v>0</v>
      </c>
      <c r="BA34" s="174">
        <f>SUMIFS('jiliarena_活动分析数据_底稿'!$K:$K,'jiliarena_活动分析数据_底稿'!$B:$B,$A34,'jiliarena_活动分析数据_底稿'!$L:$L,BA$3)</f>
        <v>0</v>
      </c>
      <c r="BB34" s="174">
        <f>SUMIFS('jiliarena_活动分析数据_底稿'!$K:$K,'jiliarena_活动分析数据_底稿'!$B:$B,$A34,'jiliarena_活动分析数据_底稿'!$L:$L,BB$3)</f>
        <v>0</v>
      </c>
      <c r="BC34" s="174">
        <f>SUMIFS('jiliarena_活动分析数据_底稿'!$K:$K,'jiliarena_活动分析数据_底稿'!$B:$B,$A34,'jiliarena_活动分析数据_底稿'!$L:$L,BC$3)</f>
        <v>0</v>
      </c>
      <c r="BD34" s="174">
        <f>SUMIFS('jiliarena_活动分析数据_底稿'!$K:$K,'jiliarena_活动分析数据_底稿'!$B:$B,$A34,'jiliarena_活动分析数据_底稿'!$L:$L,BD$3)</f>
        <v>0</v>
      </c>
      <c r="BE34" s="174">
        <f>SUMIFS('jiliarena_活动分析数据_底稿'!$K:$K,'jiliarena_活动分析数据_底稿'!$B:$B,$A34,'jiliarena_活动分析数据_底稿'!$L:$L,BE$3)</f>
        <v>0</v>
      </c>
      <c r="BF34" s="174">
        <f>SUMIFS('jiliarena_活动分析数据_底稿'!$K:$K,'jiliarena_活动分析数据_底稿'!$B:$B,$A34,'jiliarena_活动分析数据_底稿'!$L:$L,BF$3)</f>
        <v>0</v>
      </c>
      <c r="BG34" s="174">
        <f>SUMIFS('jiliarena_活动分析数据_底稿'!$K:$K,'jiliarena_活动分析数据_底稿'!$B:$B,$A34,'jiliarena_活动分析数据_底稿'!$L:$L,BG$3)</f>
        <v>0</v>
      </c>
      <c r="BH34" s="174">
        <f>SUMIFS('jiliarena_活动分析数据_底稿'!$K:$K,'jiliarena_活动分析数据_底稿'!$B:$B,$A34,'jiliarena_活动分析数据_底稿'!$L:$L,BH$3)</f>
        <v>0</v>
      </c>
      <c r="BI34" s="174">
        <f>SUMIFS('jiliarena_活动分析数据_底稿'!$K:$K,'jiliarena_活动分析数据_底稿'!$B:$B,$A34,'jiliarena_活动分析数据_底稿'!$L:$L,BI$3)</f>
        <v>0</v>
      </c>
      <c r="BJ34" s="174">
        <f>SUMIFS('jiliarena_活动分析数据_底稿'!$K:$K,'jiliarena_活动分析数据_底稿'!$B:$B,$A34,'jiliarena_活动分析数据_底稿'!$L:$L,BJ$3)</f>
        <v>0</v>
      </c>
      <c r="BK34" s="174">
        <f>SUMIFS('jiliarena_活动分析数据_底稿'!$K:$K,'jiliarena_活动分析数据_底稿'!$B:$B,$A34,'jiliarena_活动分析数据_底稿'!$L:$L,BK$3)</f>
        <v>0</v>
      </c>
      <c r="BL34" s="174">
        <f>SUMIFS('jiliarena_活动分析数据_底稿'!$K:$K,'jiliarena_活动分析数据_底稿'!$B:$B,$A34,'jiliarena_活动分析数据_底稿'!$L:$L,BL$3)</f>
        <v>0</v>
      </c>
      <c r="BM34" s="174">
        <f>SUMIFS('jiliarena_活动分析数据_底稿'!$K:$K,'jiliarena_活动分析数据_底稿'!$B:$B,$A34,'jiliarena_活动分析数据_底稿'!$L:$L,BM$3)</f>
        <v>0</v>
      </c>
      <c r="BN34" s="174">
        <f>SUMIFS('jiliarena_活动分析数据_底稿'!$K:$K,'jiliarena_活动分析数据_底稿'!$B:$B,$A34,'jiliarena_活动分析数据_底稿'!$L:$L,BN$3)</f>
        <v>0</v>
      </c>
      <c r="BO34" s="174">
        <f>SUMIFS('jiliarena_活动分析数据_底稿'!$K:$K,'jiliarena_活动分析数据_底稿'!$B:$B,$A34,'jiliarena_活动分析数据_底稿'!$L:$L,BO$3)</f>
        <v>0</v>
      </c>
      <c r="BP34" s="174">
        <f>SUMIFS('jiliarena_活动分析数据_底稿'!$K:$K,'jiliarena_活动分析数据_底稿'!$B:$B,$A34,'jiliarena_活动分析数据_底稿'!$L:$L,BP$3)</f>
        <v>0</v>
      </c>
      <c r="BQ34" s="172">
        <f t="shared" si="77"/>
        <v>0</v>
      </c>
      <c r="BR34" s="172">
        <f t="shared" si="78"/>
        <v>0</v>
      </c>
      <c r="BS34" s="172">
        <f t="shared" si="79"/>
        <v>0</v>
      </c>
      <c r="BT34" s="167" t="str">
        <f t="shared" si="26"/>
        <v/>
      </c>
      <c r="BU34" s="167" t="str">
        <f t="shared" si="27"/>
        <v/>
      </c>
      <c r="BV34" s="167" t="str">
        <f t="shared" si="28"/>
        <v/>
      </c>
      <c r="BW34" s="175">
        <f t="shared" si="29"/>
        <v>0</v>
      </c>
      <c r="BX34" s="176" t="str">
        <f t="shared" si="30"/>
        <v/>
      </c>
      <c r="BY34" s="177">
        <f t="shared" si="31"/>
        <v>0</v>
      </c>
      <c r="BZ34" s="178">
        <f t="shared" si="32"/>
        <v>0</v>
      </c>
      <c r="CA34" s="179">
        <f t="shared" si="33"/>
        <v>0</v>
      </c>
      <c r="CB34" s="180">
        <f t="shared" si="34"/>
        <v>0</v>
      </c>
      <c r="CC34" s="176" t="str">
        <f t="shared" si="35"/>
        <v/>
      </c>
      <c r="CD34" s="181" t="str">
        <f t="array" ref="CD34">index('jiliarena_日报_底稿'!$P$3:$DS$34,match(A34,'jiliarena_日报_底稿'!$P$3:$P$34,0),match("综合性分红",'jiliarena_日报_底稿'!$P$3:$DS$3,0))</f>
        <v/>
      </c>
      <c r="CE34" s="127"/>
      <c r="CF34" s="181" t="str">
        <f t="array" ref="CF34">INDEX('jiliarena_日报_底稿'!$P$2:$DS$34,MATCH($A34,'jiliarena_日报_底稿'!$P$2:$P$34,0),MATCH(CF$3,'jiliarena_日报_底稿'!$P$3:$DS$3,0))</f>
        <v/>
      </c>
      <c r="CG34" s="172">
        <f t="array" ref="CG34">-INDEX('jiliarena_日报_底稿'!$P$2:$DS$34,MATCH($A34,'jiliarena_日报_底稿'!$P$2:$P$34,0),MATCH(CG$3,'jiliarena_日报_底稿'!$P$3:$DS$3,0))</f>
        <v>0</v>
      </c>
      <c r="CH34" s="181" t="str">
        <f t="array" ref="CH34">INDEX('jiliarena_日报_底稿'!$P$2:$DS$34,MATCH($A34,'jiliarena_日报_底稿'!$P$2:$P$34,0),MATCH(CH$3,'jiliarena_日报_底稿'!$P$3:$DS$3,0))</f>
        <v/>
      </c>
      <c r="CI34" s="175">
        <f t="shared" si="37"/>
        <v>0</v>
      </c>
      <c r="CJ34" s="182">
        <f t="shared" si="38"/>
        <v>3</v>
      </c>
      <c r="CK34" s="182">
        <f t="shared" si="39"/>
        <v>21</v>
      </c>
    </row>
    <row r="35">
      <c r="A35" s="162">
        <f t="shared" si="80"/>
        <v>46103</v>
      </c>
      <c r="B35" s="163" t="str">
        <f t="array" ref="B35">INDEX('jiliarena_日报_底稿'!$A$3:$N$34,MATCH($A35,'jiliarena_日报_底稿'!$A$3:$A$34,0),MATCH(B$3,'jiliarena_日报_底稿'!$A$3:$N$3,0))</f>
        <v/>
      </c>
      <c r="C35" s="163" t="str">
        <f t="array" ref="C35">INDEX('jiliarena_日报_底稿'!$A$3:$N$34,MATCH($A35,'jiliarena_日报_底稿'!$A$3:$A$34,0),MATCH(C$3,'jiliarena_日报_底稿'!$A$3:$N$3,0))</f>
        <v/>
      </c>
      <c r="D35" s="163" t="str">
        <f t="array" ref="D35">INDEX('jiliarena_日报_底稿'!$A$3:$N$34,MATCH($A35,'jiliarena_日报_底稿'!$A$3:$A$34,0),MATCH(D$3,'jiliarena_日报_底稿'!$A$3:$N$3,0))</f>
        <v/>
      </c>
      <c r="E35" s="163"/>
      <c r="F35" s="163" t="str">
        <f t="array" ref="F35">INDEX('jiliarena_日报_底稿'!$A$3:$N$34,MATCH($A35,'jiliarena_日报_底稿'!$A$3:$A$34,0),MATCH(F$3,'jiliarena_日报_底稿'!$A$3:$N$3,0))</f>
        <v/>
      </c>
      <c r="G35" s="164">
        <f>SUMIFS('渠道充值成功率_底稿'!$F:$F,'渠道充值成功率_底稿'!$A:$A,A35)</f>
        <v>0</v>
      </c>
      <c r="H35" s="163" t="str">
        <f t="array" ref="H35">INDEX('jiliarena_日报_底稿'!$A$3:$N$34,MATCH($A35,'jiliarena_日报_底稿'!$A$3:$A$34,0),MATCH(H$3,'jiliarena_日报_底稿'!$A$3:$N$3,0))</f>
        <v/>
      </c>
      <c r="I35" s="163"/>
      <c r="J35" s="163" t="str">
        <f t="array" ref="J35">INDEX('jiliarena_日报_底稿'!$A$3:$N$34,MATCH($A35,'jiliarena_日报_底稿'!$A$3:$A$34,0),MATCH(J$3,'jiliarena_日报_底稿'!$A$3:$N$3,0))</f>
        <v/>
      </c>
      <c r="K35" s="165">
        <f>SUMIFS('渠道充值成功率_底稿'!$J:$J,'渠道充值成功率_底稿'!$A:$A,$A35)</f>
        <v>0</v>
      </c>
      <c r="L35" s="166" t="str">
        <f t="array" ref="L35">INDEX('jiliarena_日报_底稿'!$A$3:$N$34,MATCH($A35,'jiliarena_日报_底稿'!$A$3:$A$34,0),MATCH(L$3,'jiliarena_日报_底稿'!$A$3:$N$3,0))</f>
        <v/>
      </c>
      <c r="M35" s="166" t="str">
        <f t="array" ref="M35">INDEX('jiliarena_日报_底稿'!$P$2:$DS$34,MATCH($A35,'jiliarena_日报_底稿'!$P$2:$P$34,0),MATCH($M$3,'jiliarena_日报_底稿'!$P$3:$DS$3,0))</f>
        <v/>
      </c>
      <c r="N35" s="167" t="str">
        <f t="shared" si="2"/>
        <v/>
      </c>
      <c r="O35" s="168" t="str">
        <f t="shared" si="3"/>
        <v>#DIV/0!</v>
      </c>
      <c r="P35" s="167" t="str">
        <f t="shared" si="4"/>
        <v/>
      </c>
      <c r="Q35" s="168" t="str">
        <f t="shared" si="5"/>
        <v>#DIV/0!</v>
      </c>
      <c r="R35" s="169" t="str">
        <f t="shared" si="6"/>
        <v/>
      </c>
      <c r="S35" s="170" t="str">
        <f t="shared" si="7"/>
        <v/>
      </c>
      <c r="T35" s="170" t="str">
        <f t="shared" si="8"/>
        <v/>
      </c>
      <c r="U35" s="169" t="str">
        <f t="shared" si="9"/>
        <v/>
      </c>
      <c r="V35" s="171" t="str">
        <f t="shared" si="10"/>
        <v/>
      </c>
      <c r="W35" s="172">
        <f t="shared" si="74"/>
        <v>0</v>
      </c>
      <c r="X35" s="172">
        <f t="array" ref="X35">index('jiliarena_日报_底稿'!$P$2:$DS$34,match($A35,'jiliarena_日报_底稿'!$P$2:$P$34,0),match("电子有效投注",'jiliarena_日报_底稿'!$P$3:$DS$3,0))+index('jiliarena_日报_底稿'!$P$2:$DS$34,match($A35,'jiliarena_日报_底稿'!$P$2:$P$34,0),match("真人有效投注",'jiliarena_日报_底稿'!$P$3:$DS$3,0))+index('jiliarena_日报_底稿'!$P$2:$DS$34,match($A35,'jiliarena_日报_底稿'!$P$2:$P$34,0),match("彩票有效投注",'jiliarena_日报_底稿'!$P$3:$DS$3,0))+index('jiliarena_日报_底稿'!$P$2:$DS$34,match($A35,'jiliarena_日报_底稿'!$P$2:$P$34,0),match("棋牌有效投注",'jiliarena_日报_底稿'!$P$3:$DS$3,0))+index('jiliarena_日报_底稿'!$P$2:$DS$34,match($A35,'jiliarena_日报_底稿'!$P$2:$P$34,0),match("捕鱼有效投注",'jiliarena_日报_底稿'!$P$3:$DS$3,0))+index('jiliarena_日报_底稿'!$P$2:$DS$34,match($A35,'jiliarena_日报_底稿'!$P$2:$P$34,0),match("体育有效投注",'jiliarena_日报_底稿'!$P$3:$DS$3,0))+index('jiliarena_日报_底稿'!$P$2:$DS$34,match($A35,'jiliarena_日报_底稿'!$P$2:$P$34,0),match("盘口彩票有效投注",'jiliarena_日报_底稿'!$P$3:$DS$3,0))</f>
        <v>0</v>
      </c>
      <c r="Y35" s="138">
        <f t="shared" si="75"/>
        <v>0</v>
      </c>
      <c r="Z35" s="172">
        <f t="shared" si="76"/>
        <v>0</v>
      </c>
      <c r="AA35" s="167" t="str">
        <f t="shared" si="12"/>
        <v/>
      </c>
      <c r="AB35" s="173" t="str">
        <f t="array" ref="AB35">INDEX('jiliarena_日报_底稿'!$P$2:$DS$34,MATCH($A35,'jiliarena_日报_底稿'!$P$2:$P$34,0),MATCH(AB$3,'jiliarena_日报_底稿'!$P$3:$DS$3,0))</f>
        <v/>
      </c>
      <c r="AC35" s="173" t="str">
        <f t="array" ref="AC35">INDEX('jiliarena_日报_底稿'!$P$2:$DS$34,MATCH($A35,'jiliarena_日报_底稿'!$P$2:$P$34,0),MATCH(AC$3,'jiliarena_日报_底稿'!$P$3:$DS$3,0))</f>
        <v/>
      </c>
      <c r="AD35" s="167" t="str">
        <f t="shared" si="14"/>
        <v/>
      </c>
      <c r="AE35" s="173" t="str">
        <f t="array" ref="AE35">INDEX('jiliarena_日报_底稿'!$P$2:$DS$34,MATCH($A35,'jiliarena_日报_底稿'!$P$2:$P$34,0),MATCH(AE$3,'jiliarena_日报_底稿'!$P$3:$DS$3,0))</f>
        <v/>
      </c>
      <c r="AF35" s="173" t="str">
        <f t="array" ref="AF35">INDEX('jiliarena_日报_底稿'!$P$2:$DS$34,MATCH($A35,'jiliarena_日报_底稿'!$P$2:$P$34,0),MATCH(AF$3,'jiliarena_日报_底稿'!$P$3:$DS$3,0))</f>
        <v/>
      </c>
      <c r="AG35" s="167" t="str">
        <f t="shared" si="16"/>
        <v/>
      </c>
      <c r="AH35" s="173" t="str">
        <f t="array" ref="AH35">INDEX('jiliarena_日报_底稿'!$P$2:$DS$34,MATCH($A35,'jiliarena_日报_底稿'!$P$2:$P$34,0),MATCH(AH$3,'jiliarena_日报_底稿'!$P$3:$DS$3,0))</f>
        <v/>
      </c>
      <c r="AI35" s="173" t="str">
        <f t="array" ref="AI35">INDEX('jiliarena_日报_底稿'!$P$2:$DS$34,MATCH($A35,'jiliarena_日报_底稿'!$P$2:$P$34,0),MATCH(AI$3,'jiliarena_日报_底稿'!$P$3:$DS$3,0))</f>
        <v/>
      </c>
      <c r="AJ35" s="167" t="str">
        <f t="shared" si="18"/>
        <v/>
      </c>
      <c r="AK35" s="173" t="str">
        <f t="array" ref="AK35">INDEX('jiliarena_日报_底稿'!$P$2:$DS$34,MATCH($A35,'jiliarena_日报_底稿'!$P$2:$P$34,0),MATCH(AK$3,'jiliarena_日报_底稿'!$P$3:$DS$3,0))</f>
        <v/>
      </c>
      <c r="AL35" s="173" t="str">
        <f t="array" ref="AL35">INDEX('jiliarena_日报_底稿'!$P$2:$DS$34,MATCH($A35,'jiliarena_日报_底稿'!$P$2:$P$34,0),MATCH(AL$3,'jiliarena_日报_底稿'!$P$3:$DS$3,0))</f>
        <v/>
      </c>
      <c r="AM35" s="167" t="str">
        <f t="shared" si="20"/>
        <v/>
      </c>
      <c r="AN35" s="173" t="str">
        <f t="array" ref="AN35">INDEX('jiliarena_日报_底稿'!$P$2:$DS$34,MATCH($A35,'jiliarena_日报_底稿'!$P$2:$P$34,0),MATCH(AN$3,'jiliarena_日报_底稿'!$P$3:$DS$3,0))</f>
        <v/>
      </c>
      <c r="AO35" s="173" t="str">
        <f t="array" ref="AO35">INDEX('jiliarena_日报_底稿'!$P$2:$DS$34,MATCH($A35,'jiliarena_日报_底稿'!$P$2:$P$34,0),MATCH(AO$3,'jiliarena_日报_底稿'!$P$3:$DS$3,0))</f>
        <v/>
      </c>
      <c r="AP35" s="167" t="str">
        <f t="shared" si="22"/>
        <v/>
      </c>
      <c r="AQ35" s="173" t="str">
        <f t="array" ref="AQ35">INDEX('jiliarena_日报_底稿'!$P$2:$DS$34,MATCH($A35,'jiliarena_日报_底稿'!$P$2:$P$34,0),MATCH(AQ$3,'jiliarena_日报_底稿'!$P$3:$DS$3,0))</f>
        <v/>
      </c>
      <c r="AR35" s="173" t="str">
        <f t="array" ref="AR35">INDEX('jiliarena_日报_底稿'!$P$2:$DS$34,MATCH($A35,'jiliarena_日报_底稿'!$P$2:$P$34,0),MATCH(AR$3,'jiliarena_日报_底稿'!$P$3:$DS$3,0))</f>
        <v/>
      </c>
      <c r="AS35" s="167" t="str">
        <f t="shared" si="24"/>
        <v/>
      </c>
      <c r="AT35" s="174">
        <f>SUMIFS('jiliarena_活动分析数据_底稿'!$K:$K,'jiliarena_活动分析数据_底稿'!$B:$B,$A35,'jiliarena_活动分析数据_底稿'!$L:$L,AT$3)</f>
        <v>0</v>
      </c>
      <c r="AU35" s="174">
        <f>SUMIFS('jiliarena_活动分析数据_底稿'!$K:$K,'jiliarena_活动分析数据_底稿'!$B:$B,$A35,'jiliarena_活动分析数据_底稿'!$L:$L,AU$3)</f>
        <v>0</v>
      </c>
      <c r="AV35" s="174">
        <f>SUMIFS('jiliarena_活动分析数据_底稿'!$K:$K,'jiliarena_活动分析数据_底稿'!$B:$B,$A35,'jiliarena_活动分析数据_底稿'!$L:$L,AV$3)</f>
        <v>0</v>
      </c>
      <c r="AW35" s="174">
        <f>SUMIFS('jiliarena_活动分析数据_底稿'!$K:$K,'jiliarena_活动分析数据_底稿'!$B:$B,$A35,'jiliarena_活动分析数据_底稿'!$L:$L,AW$3)</f>
        <v>0</v>
      </c>
      <c r="AX35" s="174">
        <f>SUMIFS('jiliarena_活动分析数据_底稿'!$K:$K,'jiliarena_活动分析数据_底稿'!$B:$B,$A35,'jiliarena_活动分析数据_底稿'!$L:$L,AX$3)</f>
        <v>0</v>
      </c>
      <c r="AY35" s="174">
        <f>SUMIFS('jiliarena_活动分析数据_底稿'!$K:$K,'jiliarena_活动分析数据_底稿'!$B:$B,$A35,'jiliarena_活动分析数据_底稿'!$L:$L,AY$3)</f>
        <v>0</v>
      </c>
      <c r="AZ35" s="174">
        <f>SUMIFS('jiliarena_活动分析数据_底稿'!$K:$K,'jiliarena_活动分析数据_底稿'!$B:$B,$A35,'jiliarena_活动分析数据_底稿'!$L:$L,AZ$3)</f>
        <v>0</v>
      </c>
      <c r="BA35" s="174">
        <f>SUMIFS('jiliarena_活动分析数据_底稿'!$K:$K,'jiliarena_活动分析数据_底稿'!$B:$B,$A35,'jiliarena_活动分析数据_底稿'!$L:$L,BA$3)</f>
        <v>0</v>
      </c>
      <c r="BB35" s="174">
        <f>SUMIFS('jiliarena_活动分析数据_底稿'!$K:$K,'jiliarena_活动分析数据_底稿'!$B:$B,$A35,'jiliarena_活动分析数据_底稿'!$L:$L,BB$3)</f>
        <v>0</v>
      </c>
      <c r="BC35" s="174">
        <f>SUMIFS('jiliarena_活动分析数据_底稿'!$K:$K,'jiliarena_活动分析数据_底稿'!$B:$B,$A35,'jiliarena_活动分析数据_底稿'!$L:$L,BC$3)</f>
        <v>0</v>
      </c>
      <c r="BD35" s="174">
        <f>SUMIFS('jiliarena_活动分析数据_底稿'!$K:$K,'jiliarena_活动分析数据_底稿'!$B:$B,$A35,'jiliarena_活动分析数据_底稿'!$L:$L,BD$3)</f>
        <v>0</v>
      </c>
      <c r="BE35" s="174">
        <f>SUMIFS('jiliarena_活动分析数据_底稿'!$K:$K,'jiliarena_活动分析数据_底稿'!$B:$B,$A35,'jiliarena_活动分析数据_底稿'!$L:$L,BE$3)</f>
        <v>0</v>
      </c>
      <c r="BF35" s="174">
        <f>SUMIFS('jiliarena_活动分析数据_底稿'!$K:$K,'jiliarena_活动分析数据_底稿'!$B:$B,$A35,'jiliarena_活动分析数据_底稿'!$L:$L,BF$3)</f>
        <v>0</v>
      </c>
      <c r="BG35" s="174">
        <f>SUMIFS('jiliarena_活动分析数据_底稿'!$K:$K,'jiliarena_活动分析数据_底稿'!$B:$B,$A35,'jiliarena_活动分析数据_底稿'!$L:$L,BG$3)</f>
        <v>0</v>
      </c>
      <c r="BH35" s="174">
        <f>SUMIFS('jiliarena_活动分析数据_底稿'!$K:$K,'jiliarena_活动分析数据_底稿'!$B:$B,$A35,'jiliarena_活动分析数据_底稿'!$L:$L,BH$3)</f>
        <v>0</v>
      </c>
      <c r="BI35" s="174">
        <f>SUMIFS('jiliarena_活动分析数据_底稿'!$K:$K,'jiliarena_活动分析数据_底稿'!$B:$B,$A35,'jiliarena_活动分析数据_底稿'!$L:$L,BI$3)</f>
        <v>0</v>
      </c>
      <c r="BJ35" s="174">
        <f>SUMIFS('jiliarena_活动分析数据_底稿'!$K:$K,'jiliarena_活动分析数据_底稿'!$B:$B,$A35,'jiliarena_活动分析数据_底稿'!$L:$L,BJ$3)</f>
        <v>0</v>
      </c>
      <c r="BK35" s="174">
        <f>SUMIFS('jiliarena_活动分析数据_底稿'!$K:$K,'jiliarena_活动分析数据_底稿'!$B:$B,$A35,'jiliarena_活动分析数据_底稿'!$L:$L,BK$3)</f>
        <v>0</v>
      </c>
      <c r="BL35" s="174">
        <f>SUMIFS('jiliarena_活动分析数据_底稿'!$K:$K,'jiliarena_活动分析数据_底稿'!$B:$B,$A35,'jiliarena_活动分析数据_底稿'!$L:$L,BL$3)</f>
        <v>0</v>
      </c>
      <c r="BM35" s="174">
        <f>SUMIFS('jiliarena_活动分析数据_底稿'!$K:$K,'jiliarena_活动分析数据_底稿'!$B:$B,$A35,'jiliarena_活动分析数据_底稿'!$L:$L,BM$3)</f>
        <v>0</v>
      </c>
      <c r="BN35" s="174">
        <f>SUMIFS('jiliarena_活动分析数据_底稿'!$K:$K,'jiliarena_活动分析数据_底稿'!$B:$B,$A35,'jiliarena_活动分析数据_底稿'!$L:$L,BN$3)</f>
        <v>0</v>
      </c>
      <c r="BO35" s="174">
        <f>SUMIFS('jiliarena_活动分析数据_底稿'!$K:$K,'jiliarena_活动分析数据_底稿'!$B:$B,$A35,'jiliarena_活动分析数据_底稿'!$L:$L,BO$3)</f>
        <v>0</v>
      </c>
      <c r="BP35" s="174">
        <f>SUMIFS('jiliarena_活动分析数据_底稿'!$K:$K,'jiliarena_活动分析数据_底稿'!$B:$B,$A35,'jiliarena_活动分析数据_底稿'!$L:$L,BP$3)</f>
        <v>0</v>
      </c>
      <c r="BQ35" s="172">
        <f t="shared" si="77"/>
        <v>0</v>
      </c>
      <c r="BR35" s="172">
        <f t="shared" si="78"/>
        <v>0</v>
      </c>
      <c r="BS35" s="172">
        <f t="shared" si="79"/>
        <v>0</v>
      </c>
      <c r="BT35" s="167" t="str">
        <f t="shared" si="26"/>
        <v/>
      </c>
      <c r="BU35" s="167" t="str">
        <f t="shared" si="27"/>
        <v/>
      </c>
      <c r="BV35" s="167" t="str">
        <f t="shared" si="28"/>
        <v/>
      </c>
      <c r="BW35" s="175">
        <f t="shared" si="29"/>
        <v>0</v>
      </c>
      <c r="BX35" s="176" t="str">
        <f t="shared" si="30"/>
        <v/>
      </c>
      <c r="BY35" s="177">
        <f t="shared" si="31"/>
        <v>0</v>
      </c>
      <c r="BZ35" s="178">
        <f t="shared" si="32"/>
        <v>0</v>
      </c>
      <c r="CA35" s="179">
        <f t="shared" si="33"/>
        <v>0</v>
      </c>
      <c r="CB35" s="180">
        <f t="shared" si="34"/>
        <v>0</v>
      </c>
      <c r="CC35" s="176" t="str">
        <f t="shared" si="35"/>
        <v/>
      </c>
      <c r="CD35" s="181" t="str">
        <f t="array" ref="CD35">index('jiliarena_日报_底稿'!$P$3:$DS$34,match(A35,'jiliarena_日报_底稿'!$P$3:$P$34,0),match("综合性分红",'jiliarena_日报_底稿'!$P$3:$DS$3,0))</f>
        <v/>
      </c>
      <c r="CE35" s="127"/>
      <c r="CF35" s="181" t="str">
        <f t="array" ref="CF35">INDEX('jiliarena_日报_底稿'!$P$2:$DS$34,MATCH($A35,'jiliarena_日报_底稿'!$P$2:$P$34,0),MATCH(CF$3,'jiliarena_日报_底稿'!$P$3:$DS$3,0))</f>
        <v/>
      </c>
      <c r="CG35" s="172">
        <f t="array" ref="CG35">-INDEX('jiliarena_日报_底稿'!$P$2:$DS$34,MATCH($A35,'jiliarena_日报_底稿'!$P$2:$P$34,0),MATCH(CG$3,'jiliarena_日报_底稿'!$P$3:$DS$3,0))</f>
        <v>0</v>
      </c>
      <c r="CH35" s="181" t="str">
        <f t="array" ref="CH35">INDEX('jiliarena_日报_底稿'!$P$2:$DS$34,MATCH($A35,'jiliarena_日报_底稿'!$P$2:$P$34,0),MATCH(CH$3,'jiliarena_日报_底稿'!$P$3:$DS$3,0))</f>
        <v/>
      </c>
      <c r="CI35" s="175">
        <f t="shared" si="37"/>
        <v>0</v>
      </c>
      <c r="CJ35" s="182">
        <f t="shared" si="38"/>
        <v>3</v>
      </c>
      <c r="CK35" s="182">
        <f t="shared" si="39"/>
        <v>22</v>
      </c>
    </row>
    <row r="36">
      <c r="A36" s="183" t="s">
        <v>269</v>
      </c>
      <c r="B36" s="184">
        <f t="shared" ref="B36:M36" si="81">SUM(B29:B35)</f>
        <v>0</v>
      </c>
      <c r="C36" s="184">
        <f t="shared" si="81"/>
        <v>0</v>
      </c>
      <c r="D36" s="184">
        <f t="shared" si="81"/>
        <v>0</v>
      </c>
      <c r="E36" s="184">
        <f t="shared" si="81"/>
        <v>0</v>
      </c>
      <c r="F36" s="184">
        <f t="shared" si="81"/>
        <v>0</v>
      </c>
      <c r="G36" s="184">
        <f t="shared" si="81"/>
        <v>0</v>
      </c>
      <c r="H36" s="184">
        <f t="shared" si="81"/>
        <v>0</v>
      </c>
      <c r="I36" s="184">
        <f t="shared" si="81"/>
        <v>0</v>
      </c>
      <c r="J36" s="184">
        <f t="shared" si="81"/>
        <v>0</v>
      </c>
      <c r="K36" s="185">
        <f t="shared" si="81"/>
        <v>0</v>
      </c>
      <c r="L36" s="185">
        <f t="shared" si="81"/>
        <v>0</v>
      </c>
      <c r="M36" s="185">
        <f t="shared" si="81"/>
        <v>0</v>
      </c>
      <c r="N36" s="186" t="str">
        <f t="shared" si="2"/>
        <v>#DIV/0!</v>
      </c>
      <c r="O36" s="187" t="str">
        <f t="shared" si="3"/>
        <v>#DIV/0!</v>
      </c>
      <c r="P36" s="186" t="str">
        <f t="shared" si="4"/>
        <v>#DIV/0!</v>
      </c>
      <c r="Q36" s="187" t="str">
        <f t="shared" si="5"/>
        <v>#DIV/0!</v>
      </c>
      <c r="R36" s="187" t="str">
        <f t="shared" si="6"/>
        <v>#DIV/0!</v>
      </c>
      <c r="S36" s="187" t="str">
        <f t="shared" si="7"/>
        <v>#DIV/0!</v>
      </c>
      <c r="T36" s="187" t="str">
        <f t="shared" si="8"/>
        <v>#DIV/0!</v>
      </c>
      <c r="U36" s="188" t="str">
        <f t="shared" si="9"/>
        <v>#DIV/0!</v>
      </c>
      <c r="V36" s="189">
        <f t="shared" si="10"/>
        <v>0</v>
      </c>
      <c r="W36" s="190">
        <f t="shared" ref="W36:Z36" si="82">SUM(W29:W35)</f>
        <v>0</v>
      </c>
      <c r="X36" s="190">
        <f t="shared" si="82"/>
        <v>0</v>
      </c>
      <c r="Y36" s="190">
        <f t="shared" si="82"/>
        <v>0</v>
      </c>
      <c r="Z36" s="190">
        <f t="shared" si="82"/>
        <v>0</v>
      </c>
      <c r="AA36" s="191" t="str">
        <f t="shared" si="12"/>
        <v/>
      </c>
      <c r="AB36" s="190">
        <f t="shared" ref="AB36:AC36" si="83">SUM(AB29:AB35)</f>
        <v>0</v>
      </c>
      <c r="AC36" s="190">
        <f t="shared" si="83"/>
        <v>0</v>
      </c>
      <c r="AD36" s="192" t="str">
        <f t="shared" si="14"/>
        <v>#DIV/0!</v>
      </c>
      <c r="AE36" s="190">
        <f t="shared" ref="AE36:AF36" si="84">SUM(AE29:AE35)</f>
        <v>0</v>
      </c>
      <c r="AF36" s="190">
        <f t="shared" si="84"/>
        <v>0</v>
      </c>
      <c r="AG36" s="192" t="str">
        <f t="shared" si="16"/>
        <v>#DIV/0!</v>
      </c>
      <c r="AH36" s="190">
        <f t="shared" ref="AH36:AI36" si="85">SUM(AH29:AH35)</f>
        <v>0</v>
      </c>
      <c r="AI36" s="190">
        <f t="shared" si="85"/>
        <v>0</v>
      </c>
      <c r="AJ36" s="193" t="str">
        <f t="shared" si="18"/>
        <v>#DIV/0!</v>
      </c>
      <c r="AK36" s="190">
        <f t="shared" ref="AK36:AL36" si="86">SUM(AK29:AK35)</f>
        <v>0</v>
      </c>
      <c r="AL36" s="190">
        <f t="shared" si="86"/>
        <v>0</v>
      </c>
      <c r="AM36" s="192" t="str">
        <f t="shared" si="20"/>
        <v>#DIV/0!</v>
      </c>
      <c r="AN36" s="190">
        <f t="shared" ref="AN36:AO36" si="87">SUM(AN29:AN35)</f>
        <v>0</v>
      </c>
      <c r="AO36" s="190">
        <f t="shared" si="87"/>
        <v>0</v>
      </c>
      <c r="AP36" s="192" t="str">
        <f t="shared" si="22"/>
        <v>#DIV/0!</v>
      </c>
      <c r="AQ36" s="190">
        <f t="shared" ref="AQ36:AR36" si="88">SUM(AQ29:AQ35)</f>
        <v>0</v>
      </c>
      <c r="AR36" s="190">
        <f t="shared" si="88"/>
        <v>0</v>
      </c>
      <c r="AS36" s="192" t="str">
        <f t="shared" si="24"/>
        <v>#DIV/0!</v>
      </c>
      <c r="AT36" s="189">
        <f t="shared" ref="AT36:BS36" si="89">SUM(AT29:AT35)</f>
        <v>0</v>
      </c>
      <c r="AU36" s="189">
        <f t="shared" si="89"/>
        <v>0</v>
      </c>
      <c r="AV36" s="189">
        <f t="shared" si="89"/>
        <v>0</v>
      </c>
      <c r="AW36" s="189">
        <f t="shared" si="89"/>
        <v>0</v>
      </c>
      <c r="AX36" s="189">
        <f t="shared" si="89"/>
        <v>0</v>
      </c>
      <c r="AY36" s="189">
        <f t="shared" si="89"/>
        <v>0</v>
      </c>
      <c r="AZ36" s="189">
        <f t="shared" si="89"/>
        <v>0</v>
      </c>
      <c r="BA36" s="189">
        <f t="shared" si="89"/>
        <v>0</v>
      </c>
      <c r="BB36" s="189">
        <f t="shared" si="89"/>
        <v>0</v>
      </c>
      <c r="BC36" s="189">
        <f t="shared" si="89"/>
        <v>0</v>
      </c>
      <c r="BD36" s="189">
        <f t="shared" si="89"/>
        <v>0</v>
      </c>
      <c r="BE36" s="189">
        <f t="shared" si="89"/>
        <v>0</v>
      </c>
      <c r="BF36" s="189">
        <f t="shared" si="89"/>
        <v>0</v>
      </c>
      <c r="BG36" s="189">
        <f t="shared" si="89"/>
        <v>0</v>
      </c>
      <c r="BH36" s="189">
        <f t="shared" si="89"/>
        <v>0</v>
      </c>
      <c r="BI36" s="189">
        <f t="shared" si="89"/>
        <v>0</v>
      </c>
      <c r="BJ36" s="189">
        <f t="shared" si="89"/>
        <v>0</v>
      </c>
      <c r="BK36" s="189">
        <f t="shared" si="89"/>
        <v>0</v>
      </c>
      <c r="BL36" s="189">
        <f t="shared" si="89"/>
        <v>0</v>
      </c>
      <c r="BM36" s="189">
        <f t="shared" si="89"/>
        <v>0</v>
      </c>
      <c r="BN36" s="189">
        <f t="shared" si="89"/>
        <v>0</v>
      </c>
      <c r="BO36" s="189">
        <f t="shared" si="89"/>
        <v>0</v>
      </c>
      <c r="BP36" s="189">
        <f t="shared" si="89"/>
        <v>0</v>
      </c>
      <c r="BQ36" s="189">
        <f t="shared" si="89"/>
        <v>0</v>
      </c>
      <c r="BR36" s="189">
        <f t="shared" si="89"/>
        <v>0</v>
      </c>
      <c r="BS36" s="189">
        <f t="shared" si="89"/>
        <v>0</v>
      </c>
      <c r="BT36" s="194" t="str">
        <f t="shared" si="26"/>
        <v/>
      </c>
      <c r="BU36" s="194" t="str">
        <f t="shared" si="27"/>
        <v/>
      </c>
      <c r="BV36" s="194" t="str">
        <f t="shared" si="28"/>
        <v/>
      </c>
      <c r="BW36" s="188">
        <f t="shared" si="29"/>
        <v>0</v>
      </c>
      <c r="BX36" s="194" t="str">
        <f t="shared" si="30"/>
        <v/>
      </c>
      <c r="BY36" s="188">
        <f t="shared" si="31"/>
        <v>0</v>
      </c>
      <c r="BZ36" s="188">
        <f t="shared" si="32"/>
        <v>0</v>
      </c>
      <c r="CA36" s="188">
        <f t="shared" si="33"/>
        <v>0</v>
      </c>
      <c r="CB36" s="188">
        <f t="shared" si="34"/>
        <v>0</v>
      </c>
      <c r="CC36" s="191" t="str">
        <f t="shared" si="35"/>
        <v/>
      </c>
      <c r="CD36" s="189">
        <f t="shared" ref="CD36:CH36" si="90">SUM(CD29:CD35)</f>
        <v>0</v>
      </c>
      <c r="CE36" s="189">
        <f t="shared" si="90"/>
        <v>0</v>
      </c>
      <c r="CF36" s="189">
        <f t="shared" si="90"/>
        <v>0</v>
      </c>
      <c r="CG36" s="189">
        <f t="shared" si="90"/>
        <v>0</v>
      </c>
      <c r="CH36" s="189">
        <f t="shared" si="90"/>
        <v>0</v>
      </c>
      <c r="CI36" s="188">
        <f t="shared" si="37"/>
        <v>0</v>
      </c>
      <c r="CJ36" s="195" t="str">
        <f t="shared" si="38"/>
        <v/>
      </c>
      <c r="CK36" s="195" t="str">
        <f t="shared" si="39"/>
        <v/>
      </c>
    </row>
    <row r="37">
      <c r="A37" s="162">
        <f>A35+1</f>
        <v>46104</v>
      </c>
      <c r="B37" s="163" t="str">
        <f t="array" ref="B37">INDEX('jiliarena_日报_底稿'!$A$3:$N$34,MATCH($A37,'jiliarena_日报_底稿'!$A$3:$A$34,0),MATCH(B$3,'jiliarena_日报_底稿'!$A$3:$N$3,0))</f>
        <v/>
      </c>
      <c r="C37" s="163" t="str">
        <f t="array" ref="C37">INDEX('jiliarena_日报_底稿'!$A$3:$N$34,MATCH($A37,'jiliarena_日报_底稿'!$A$3:$A$34,0),MATCH(C$3,'jiliarena_日报_底稿'!$A$3:$N$3,0))</f>
        <v/>
      </c>
      <c r="D37" s="163" t="str">
        <f t="array" ref="D37">INDEX('jiliarena_日报_底稿'!$A$3:$N$34,MATCH($A37,'jiliarena_日报_底稿'!$A$3:$A$34,0),MATCH(D$3,'jiliarena_日报_底稿'!$A$3:$N$3,0))</f>
        <v/>
      </c>
      <c r="E37" s="163"/>
      <c r="F37" s="163" t="str">
        <f t="array" ref="F37">INDEX('jiliarena_日报_底稿'!$A$3:$N$34,MATCH($A37,'jiliarena_日报_底稿'!$A$3:$A$34,0),MATCH(F$3,'jiliarena_日报_底稿'!$A$3:$N$3,0))</f>
        <v/>
      </c>
      <c r="G37" s="164">
        <f>SUMIFS('渠道充值成功率_底稿'!$F:$F,'渠道充值成功率_底稿'!$A:$A,A37)</f>
        <v>0</v>
      </c>
      <c r="H37" s="163" t="str">
        <f t="array" ref="H37">INDEX('jiliarena_日报_底稿'!$A$3:$N$34,MATCH($A37,'jiliarena_日报_底稿'!$A$3:$A$34,0),MATCH(H$3,'jiliarena_日报_底稿'!$A$3:$N$3,0))</f>
        <v/>
      </c>
      <c r="I37" s="163"/>
      <c r="J37" s="163" t="str">
        <f t="array" ref="J37">INDEX('jiliarena_日报_底稿'!$A$3:$N$34,MATCH($A37,'jiliarena_日报_底稿'!$A$3:$A$34,0),MATCH(J$3,'jiliarena_日报_底稿'!$A$3:$N$3,0))</f>
        <v/>
      </c>
      <c r="K37" s="165">
        <f>SUMIFS('渠道充值成功率_底稿'!$J:$J,'渠道充值成功率_底稿'!$A:$A,$A37)</f>
        <v>0</v>
      </c>
      <c r="L37" s="166" t="str">
        <f t="array" ref="L37">INDEX('jiliarena_日报_底稿'!$A$3:$N$34,MATCH($A37,'jiliarena_日报_底稿'!$A$3:$A$34,0),MATCH(L$3,'jiliarena_日报_底稿'!$A$3:$N$3,0))</f>
        <v/>
      </c>
      <c r="M37" s="166" t="str">
        <f t="array" ref="M37">INDEX('jiliarena_日报_底稿'!$P$2:$DS$34,MATCH($A37,'jiliarena_日报_底稿'!$P$2:$P$34,0),MATCH($M$3,'jiliarena_日报_底稿'!$P$3:$DS$3,0))</f>
        <v/>
      </c>
      <c r="N37" s="167" t="str">
        <f t="shared" si="2"/>
        <v/>
      </c>
      <c r="O37" s="168" t="str">
        <f t="shared" si="3"/>
        <v>#DIV/0!</v>
      </c>
      <c r="P37" s="167" t="str">
        <f t="shared" si="4"/>
        <v/>
      </c>
      <c r="Q37" s="168" t="str">
        <f t="shared" si="5"/>
        <v>#DIV/0!</v>
      </c>
      <c r="R37" s="169" t="str">
        <f t="shared" si="6"/>
        <v/>
      </c>
      <c r="S37" s="170" t="str">
        <f t="shared" si="7"/>
        <v/>
      </c>
      <c r="T37" s="170" t="str">
        <f t="shared" si="8"/>
        <v/>
      </c>
      <c r="U37" s="169" t="str">
        <f t="shared" si="9"/>
        <v/>
      </c>
      <c r="V37" s="171" t="str">
        <f t="shared" si="10"/>
        <v/>
      </c>
      <c r="W37" s="172">
        <f t="shared" ref="W37:W43" si="91">AB37+AE37+AH37+AK37+AN37+AQ37</f>
        <v>0</v>
      </c>
      <c r="X37" s="172">
        <f t="array" ref="X37">index('jiliarena_日报_底稿'!$P$2:$DS$34,match($A37,'jiliarena_日报_底稿'!$P$2:$P$34,0),match("电子有效投注",'jiliarena_日报_底稿'!$P$3:$DS$3,0))+index('jiliarena_日报_底稿'!$P$2:$DS$34,match($A37,'jiliarena_日报_底稿'!$P$2:$P$34,0),match("真人有效投注",'jiliarena_日报_底稿'!$P$3:$DS$3,0))+index('jiliarena_日报_底稿'!$P$2:$DS$34,match($A37,'jiliarena_日报_底稿'!$P$2:$P$34,0),match("彩票有效投注",'jiliarena_日报_底稿'!$P$3:$DS$3,0))+index('jiliarena_日报_底稿'!$P$2:$DS$34,match($A37,'jiliarena_日报_底稿'!$P$2:$P$34,0),match("棋牌有效投注",'jiliarena_日报_底稿'!$P$3:$DS$3,0))+index('jiliarena_日报_底稿'!$P$2:$DS$34,match($A37,'jiliarena_日报_底稿'!$P$2:$P$34,0),match("捕鱼有效投注",'jiliarena_日报_底稿'!$P$3:$DS$3,0))+index('jiliarena_日报_底稿'!$P$2:$DS$34,match($A37,'jiliarena_日报_底稿'!$P$2:$P$34,0),match("体育有效投注",'jiliarena_日报_底稿'!$P$3:$DS$3,0))+index('jiliarena_日报_底稿'!$P$2:$DS$34,match($A37,'jiliarena_日报_底稿'!$P$2:$P$34,0),match("盘口彩票有效投注",'jiliarena_日报_底稿'!$P$3:$DS$3,0))</f>
        <v>0</v>
      </c>
      <c r="Y37" s="138">
        <f t="shared" ref="Y37:Y43" si="92">AB37+AE37+AH37+AK37+AN37+AQ37-AR37-AO37-AL37-AI37-AF37-AC37</f>
        <v>0</v>
      </c>
      <c r="Z37" s="172">
        <f t="shared" ref="Z37:Z43" si="93">AC37+AF37+AI37+AL37+AO37+AR37</f>
        <v>0</v>
      </c>
      <c r="AA37" s="167" t="str">
        <f t="shared" si="12"/>
        <v/>
      </c>
      <c r="AB37" s="173" t="str">
        <f t="array" ref="AB37">INDEX('jiliarena_日报_底稿'!$P$2:$DS$34,MATCH($A37,'jiliarena_日报_底稿'!$P$2:$P$34,0),MATCH(AB$3,'jiliarena_日报_底稿'!$P$3:$DS$3,0))</f>
        <v/>
      </c>
      <c r="AC37" s="173" t="str">
        <f t="array" ref="AC37">INDEX('jiliarena_日报_底稿'!$P$2:$DS$34,MATCH($A37,'jiliarena_日报_底稿'!$P$2:$P$34,0),MATCH(AC$3,'jiliarena_日报_底稿'!$P$3:$DS$3,0))</f>
        <v/>
      </c>
      <c r="AD37" s="167" t="str">
        <f t="shared" si="14"/>
        <v/>
      </c>
      <c r="AE37" s="173" t="str">
        <f t="array" ref="AE37">INDEX('jiliarena_日报_底稿'!$P$2:$DS$34,MATCH($A37,'jiliarena_日报_底稿'!$P$2:$P$34,0),MATCH(AE$3,'jiliarena_日报_底稿'!$P$3:$DS$3,0))</f>
        <v/>
      </c>
      <c r="AF37" s="173" t="str">
        <f t="array" ref="AF37">INDEX('jiliarena_日报_底稿'!$P$2:$DS$34,MATCH($A37,'jiliarena_日报_底稿'!$P$2:$P$34,0),MATCH(AF$3,'jiliarena_日报_底稿'!$P$3:$DS$3,0))</f>
        <v/>
      </c>
      <c r="AG37" s="167" t="str">
        <f t="shared" si="16"/>
        <v/>
      </c>
      <c r="AH37" s="173" t="str">
        <f t="array" ref="AH37">INDEX('jiliarena_日报_底稿'!$P$2:$DS$34,MATCH($A37,'jiliarena_日报_底稿'!$P$2:$P$34,0),MATCH(AH$3,'jiliarena_日报_底稿'!$P$3:$DS$3,0))</f>
        <v/>
      </c>
      <c r="AI37" s="173" t="str">
        <f t="array" ref="AI37">INDEX('jiliarena_日报_底稿'!$P$2:$DS$34,MATCH($A37,'jiliarena_日报_底稿'!$P$2:$P$34,0),MATCH(AI$3,'jiliarena_日报_底稿'!$P$3:$DS$3,0))</f>
        <v/>
      </c>
      <c r="AJ37" s="167" t="str">
        <f t="shared" si="18"/>
        <v/>
      </c>
      <c r="AK37" s="173" t="str">
        <f t="array" ref="AK37">INDEX('jiliarena_日报_底稿'!$P$2:$DS$34,MATCH($A37,'jiliarena_日报_底稿'!$P$2:$P$34,0),MATCH(AK$3,'jiliarena_日报_底稿'!$P$3:$DS$3,0))</f>
        <v/>
      </c>
      <c r="AL37" s="173" t="str">
        <f t="array" ref="AL37">INDEX('jiliarena_日报_底稿'!$P$2:$DS$34,MATCH($A37,'jiliarena_日报_底稿'!$P$2:$P$34,0),MATCH(AL$3,'jiliarena_日报_底稿'!$P$3:$DS$3,0))</f>
        <v/>
      </c>
      <c r="AM37" s="167" t="str">
        <f t="shared" si="20"/>
        <v/>
      </c>
      <c r="AN37" s="173" t="str">
        <f t="array" ref="AN37">INDEX('jiliarena_日报_底稿'!$P$2:$DS$34,MATCH($A37,'jiliarena_日报_底稿'!$P$2:$P$34,0),MATCH(AN$3,'jiliarena_日报_底稿'!$P$3:$DS$3,0))</f>
        <v/>
      </c>
      <c r="AO37" s="173" t="str">
        <f t="array" ref="AO37">INDEX('jiliarena_日报_底稿'!$P$2:$DS$34,MATCH($A37,'jiliarena_日报_底稿'!$P$2:$P$34,0),MATCH(AO$3,'jiliarena_日报_底稿'!$P$3:$DS$3,0))</f>
        <v/>
      </c>
      <c r="AP37" s="167" t="str">
        <f t="shared" si="22"/>
        <v/>
      </c>
      <c r="AQ37" s="173" t="str">
        <f t="array" ref="AQ37">INDEX('jiliarena_日报_底稿'!$P$2:$DS$34,MATCH($A37,'jiliarena_日报_底稿'!$P$2:$P$34,0),MATCH(AQ$3,'jiliarena_日报_底稿'!$P$3:$DS$3,0))</f>
        <v/>
      </c>
      <c r="AR37" s="173" t="str">
        <f t="array" ref="AR37">INDEX('jiliarena_日报_底稿'!$P$2:$DS$34,MATCH($A37,'jiliarena_日报_底稿'!$P$2:$P$34,0),MATCH(AR$3,'jiliarena_日报_底稿'!$P$3:$DS$3,0))</f>
        <v/>
      </c>
      <c r="AS37" s="167" t="str">
        <f t="shared" si="24"/>
        <v/>
      </c>
      <c r="AT37" s="174">
        <f>SUMIFS('jiliarena_活动分析数据_底稿'!$K:$K,'jiliarena_活动分析数据_底稿'!$B:$B,$A37,'jiliarena_活动分析数据_底稿'!$L:$L,AT$3)</f>
        <v>0</v>
      </c>
      <c r="AU37" s="174">
        <f>SUMIFS('jiliarena_活动分析数据_底稿'!$K:$K,'jiliarena_活动分析数据_底稿'!$B:$B,$A37,'jiliarena_活动分析数据_底稿'!$L:$L,AU$3)</f>
        <v>0</v>
      </c>
      <c r="AV37" s="174">
        <f>SUMIFS('jiliarena_活动分析数据_底稿'!$K:$K,'jiliarena_活动分析数据_底稿'!$B:$B,$A37,'jiliarena_活动分析数据_底稿'!$L:$L,AV$3)</f>
        <v>0</v>
      </c>
      <c r="AW37" s="174">
        <f>SUMIFS('jiliarena_活动分析数据_底稿'!$K:$K,'jiliarena_活动分析数据_底稿'!$B:$B,$A37,'jiliarena_活动分析数据_底稿'!$L:$L,AW$3)</f>
        <v>0</v>
      </c>
      <c r="AX37" s="174">
        <f>SUMIFS('jiliarena_活动分析数据_底稿'!$K:$K,'jiliarena_活动分析数据_底稿'!$B:$B,$A37,'jiliarena_活动分析数据_底稿'!$L:$L,AX$3)</f>
        <v>0</v>
      </c>
      <c r="AY37" s="174">
        <f>SUMIFS('jiliarena_活动分析数据_底稿'!$K:$K,'jiliarena_活动分析数据_底稿'!$B:$B,$A37,'jiliarena_活动分析数据_底稿'!$L:$L,AY$3)</f>
        <v>0</v>
      </c>
      <c r="AZ37" s="174">
        <f>SUMIFS('jiliarena_活动分析数据_底稿'!$K:$K,'jiliarena_活动分析数据_底稿'!$B:$B,$A37,'jiliarena_活动分析数据_底稿'!$L:$L,AZ$3)</f>
        <v>0</v>
      </c>
      <c r="BA37" s="174">
        <f>SUMIFS('jiliarena_活动分析数据_底稿'!$K:$K,'jiliarena_活动分析数据_底稿'!$B:$B,$A37,'jiliarena_活动分析数据_底稿'!$L:$L,BA$3)</f>
        <v>0</v>
      </c>
      <c r="BB37" s="174">
        <f>SUMIFS('jiliarena_活动分析数据_底稿'!$K:$K,'jiliarena_活动分析数据_底稿'!$B:$B,$A37,'jiliarena_活动分析数据_底稿'!$L:$L,BB$3)</f>
        <v>0</v>
      </c>
      <c r="BC37" s="174">
        <f>SUMIFS('jiliarena_活动分析数据_底稿'!$K:$K,'jiliarena_活动分析数据_底稿'!$B:$B,$A37,'jiliarena_活动分析数据_底稿'!$L:$L,BC$3)</f>
        <v>0</v>
      </c>
      <c r="BD37" s="174">
        <f>SUMIFS('jiliarena_活动分析数据_底稿'!$K:$K,'jiliarena_活动分析数据_底稿'!$B:$B,$A37,'jiliarena_活动分析数据_底稿'!$L:$L,BD$3)</f>
        <v>0</v>
      </c>
      <c r="BE37" s="174">
        <f>SUMIFS('jiliarena_活动分析数据_底稿'!$K:$K,'jiliarena_活动分析数据_底稿'!$B:$B,$A37,'jiliarena_活动分析数据_底稿'!$L:$L,BE$3)</f>
        <v>0</v>
      </c>
      <c r="BF37" s="174">
        <f>SUMIFS('jiliarena_活动分析数据_底稿'!$K:$K,'jiliarena_活动分析数据_底稿'!$B:$B,$A37,'jiliarena_活动分析数据_底稿'!$L:$L,BF$3)</f>
        <v>0</v>
      </c>
      <c r="BG37" s="174">
        <f>SUMIFS('jiliarena_活动分析数据_底稿'!$K:$K,'jiliarena_活动分析数据_底稿'!$B:$B,$A37,'jiliarena_活动分析数据_底稿'!$L:$L,BG$3)</f>
        <v>0</v>
      </c>
      <c r="BH37" s="174">
        <f>SUMIFS('jiliarena_活动分析数据_底稿'!$K:$K,'jiliarena_活动分析数据_底稿'!$B:$B,$A37,'jiliarena_活动分析数据_底稿'!$L:$L,BH$3)</f>
        <v>0</v>
      </c>
      <c r="BI37" s="174">
        <f>SUMIFS('jiliarena_活动分析数据_底稿'!$K:$K,'jiliarena_活动分析数据_底稿'!$B:$B,$A37,'jiliarena_活动分析数据_底稿'!$L:$L,BI$3)</f>
        <v>0</v>
      </c>
      <c r="BJ37" s="174">
        <f>SUMIFS('jiliarena_活动分析数据_底稿'!$K:$K,'jiliarena_活动分析数据_底稿'!$B:$B,$A37,'jiliarena_活动分析数据_底稿'!$L:$L,BJ$3)</f>
        <v>0</v>
      </c>
      <c r="BK37" s="174">
        <f>SUMIFS('jiliarena_活动分析数据_底稿'!$K:$K,'jiliarena_活动分析数据_底稿'!$B:$B,$A37,'jiliarena_活动分析数据_底稿'!$L:$L,BK$3)</f>
        <v>0</v>
      </c>
      <c r="BL37" s="174">
        <f>SUMIFS('jiliarena_活动分析数据_底稿'!$K:$K,'jiliarena_活动分析数据_底稿'!$B:$B,$A37,'jiliarena_活动分析数据_底稿'!$L:$L,BL$3)</f>
        <v>0</v>
      </c>
      <c r="BM37" s="174">
        <f>SUMIFS('jiliarena_活动分析数据_底稿'!$K:$K,'jiliarena_活动分析数据_底稿'!$B:$B,$A37,'jiliarena_活动分析数据_底稿'!$L:$L,BM$3)</f>
        <v>0</v>
      </c>
      <c r="BN37" s="174">
        <f>SUMIFS('jiliarena_活动分析数据_底稿'!$K:$K,'jiliarena_活动分析数据_底稿'!$B:$B,$A37,'jiliarena_活动分析数据_底稿'!$L:$L,BN$3)</f>
        <v>0</v>
      </c>
      <c r="BO37" s="174">
        <f>SUMIFS('jiliarena_活动分析数据_底稿'!$K:$K,'jiliarena_活动分析数据_底稿'!$B:$B,$A37,'jiliarena_活动分析数据_底稿'!$L:$L,BO$3)</f>
        <v>0</v>
      </c>
      <c r="BP37" s="174">
        <f>SUMIFS('jiliarena_活动分析数据_底稿'!$K:$K,'jiliarena_活动分析数据_底稿'!$B:$B,$A37,'jiliarena_活动分析数据_底稿'!$L:$L,BP$3)</f>
        <v>0</v>
      </c>
      <c r="BQ37" s="172">
        <f t="shared" ref="BQ37:BQ43" si="94">SUM(AT37:BP37)</f>
        <v>0</v>
      </c>
      <c r="BR37" s="172">
        <f t="shared" ref="BR37:BR43" si="95">AT37</f>
        <v>0</v>
      </c>
      <c r="BS37" s="172">
        <f t="shared" ref="BS37:BS43" si="96">BB37</f>
        <v>0</v>
      </c>
      <c r="BT37" s="167" t="str">
        <f t="shared" si="26"/>
        <v/>
      </c>
      <c r="BU37" s="167" t="str">
        <f t="shared" si="27"/>
        <v/>
      </c>
      <c r="BV37" s="167" t="str">
        <f t="shared" si="28"/>
        <v/>
      </c>
      <c r="BW37" s="175">
        <f t="shared" si="29"/>
        <v>0</v>
      </c>
      <c r="BX37" s="176" t="str">
        <f t="shared" si="30"/>
        <v/>
      </c>
      <c r="BY37" s="177">
        <f t="shared" si="31"/>
        <v>0</v>
      </c>
      <c r="BZ37" s="178">
        <f t="shared" si="32"/>
        <v>0</v>
      </c>
      <c r="CA37" s="179">
        <f t="shared" si="33"/>
        <v>0</v>
      </c>
      <c r="CB37" s="180">
        <f t="shared" si="34"/>
        <v>0</v>
      </c>
      <c r="CC37" s="176" t="str">
        <f t="shared" si="35"/>
        <v/>
      </c>
      <c r="CD37" s="181" t="str">
        <f t="array" ref="CD37">index('jiliarena_日报_底稿'!$P$3:$DS$34,match(A37,'jiliarena_日报_底稿'!$P$3:$P$34,0),match("综合性分红",'jiliarena_日报_底稿'!$P$3:$DS$3,0))</f>
        <v/>
      </c>
      <c r="CE37" s="127"/>
      <c r="CF37" s="181" t="str">
        <f t="array" ref="CF37">INDEX('jiliarena_日报_底稿'!$P$2:$DS$34,MATCH($A37,'jiliarena_日报_底稿'!$P$2:$P$34,0),MATCH(CF$3,'jiliarena_日报_底稿'!$P$3:$DS$3,0))</f>
        <v/>
      </c>
      <c r="CG37" s="172">
        <f t="array" ref="CG37">-INDEX('jiliarena_日报_底稿'!$P$2:$DS$34,MATCH($A37,'jiliarena_日报_底稿'!$P$2:$P$34,0),MATCH(CG$3,'jiliarena_日报_底稿'!$P$3:$DS$3,0))</f>
        <v>0</v>
      </c>
      <c r="CH37" s="181" t="str">
        <f t="array" ref="CH37">INDEX('jiliarena_日报_底稿'!$P$2:$DS$34,MATCH($A37,'jiliarena_日报_底稿'!$P$2:$P$34,0),MATCH(CH$3,'jiliarena_日报_底稿'!$P$3:$DS$3,0))</f>
        <v/>
      </c>
      <c r="CI37" s="175">
        <f t="shared" si="37"/>
        <v>0</v>
      </c>
      <c r="CJ37" s="182">
        <f t="shared" si="38"/>
        <v>3</v>
      </c>
      <c r="CK37" s="182">
        <f t="shared" si="39"/>
        <v>23</v>
      </c>
    </row>
    <row r="38">
      <c r="A38" s="162">
        <f t="shared" ref="A38:A43" si="97">A37+1</f>
        <v>46105</v>
      </c>
      <c r="B38" s="163" t="str">
        <f t="array" ref="B38">INDEX('jiliarena_日报_底稿'!$A$3:$N$34,MATCH($A38,'jiliarena_日报_底稿'!$A$3:$A$34,0),MATCH(B$3,'jiliarena_日报_底稿'!$A$3:$N$3,0))</f>
        <v/>
      </c>
      <c r="C38" s="163" t="str">
        <f t="array" ref="C38">INDEX('jiliarena_日报_底稿'!$A$3:$N$34,MATCH($A38,'jiliarena_日报_底稿'!$A$3:$A$34,0),MATCH(C$3,'jiliarena_日报_底稿'!$A$3:$N$3,0))</f>
        <v/>
      </c>
      <c r="D38" s="163" t="str">
        <f t="array" ref="D38">INDEX('jiliarena_日报_底稿'!$A$3:$N$34,MATCH($A38,'jiliarena_日报_底稿'!$A$3:$A$34,0),MATCH(D$3,'jiliarena_日报_底稿'!$A$3:$N$3,0))</f>
        <v/>
      </c>
      <c r="E38" s="163"/>
      <c r="F38" s="163" t="str">
        <f t="array" ref="F38">INDEX('jiliarena_日报_底稿'!$A$3:$N$34,MATCH($A38,'jiliarena_日报_底稿'!$A$3:$A$34,0),MATCH(F$3,'jiliarena_日报_底稿'!$A$3:$N$3,0))</f>
        <v/>
      </c>
      <c r="G38" s="164">
        <f>SUMIFS('渠道充值成功率_底稿'!$F:$F,'渠道充值成功率_底稿'!$A:$A,A38)</f>
        <v>0</v>
      </c>
      <c r="H38" s="163" t="str">
        <f t="array" ref="H38">INDEX('jiliarena_日报_底稿'!$A$3:$N$34,MATCH($A38,'jiliarena_日报_底稿'!$A$3:$A$34,0),MATCH(H$3,'jiliarena_日报_底稿'!$A$3:$N$3,0))</f>
        <v/>
      </c>
      <c r="I38" s="163"/>
      <c r="J38" s="163" t="str">
        <f t="array" ref="J38">INDEX('jiliarena_日报_底稿'!$A$3:$N$34,MATCH($A38,'jiliarena_日报_底稿'!$A$3:$A$34,0),MATCH(J$3,'jiliarena_日报_底稿'!$A$3:$N$3,0))</f>
        <v/>
      </c>
      <c r="K38" s="165">
        <f>SUMIFS('渠道充值成功率_底稿'!$J:$J,'渠道充值成功率_底稿'!$A:$A,$A38)</f>
        <v>0</v>
      </c>
      <c r="L38" s="166" t="str">
        <f t="array" ref="L38">INDEX('jiliarena_日报_底稿'!$A$3:$N$34,MATCH($A38,'jiliarena_日报_底稿'!$A$3:$A$34,0),MATCH(L$3,'jiliarena_日报_底稿'!$A$3:$N$3,0))</f>
        <v/>
      </c>
      <c r="M38" s="166" t="str">
        <f t="array" ref="M38">INDEX('jiliarena_日报_底稿'!$P$2:$DS$34,MATCH($A38,'jiliarena_日报_底稿'!$P$2:$P$34,0),MATCH($M$3,'jiliarena_日报_底稿'!$P$3:$DS$3,0))</f>
        <v/>
      </c>
      <c r="N38" s="167" t="str">
        <f t="shared" si="2"/>
        <v/>
      </c>
      <c r="O38" s="168" t="str">
        <f t="shared" si="3"/>
        <v>#DIV/0!</v>
      </c>
      <c r="P38" s="167" t="str">
        <f t="shared" si="4"/>
        <v/>
      </c>
      <c r="Q38" s="168" t="str">
        <f t="shared" si="5"/>
        <v>#DIV/0!</v>
      </c>
      <c r="R38" s="169" t="str">
        <f t="shared" si="6"/>
        <v/>
      </c>
      <c r="S38" s="170" t="str">
        <f t="shared" si="7"/>
        <v/>
      </c>
      <c r="T38" s="170" t="str">
        <f t="shared" si="8"/>
        <v/>
      </c>
      <c r="U38" s="169" t="str">
        <f t="shared" si="9"/>
        <v/>
      </c>
      <c r="V38" s="171" t="str">
        <f t="shared" si="10"/>
        <v/>
      </c>
      <c r="W38" s="172">
        <f t="shared" si="91"/>
        <v>0</v>
      </c>
      <c r="X38" s="172">
        <f t="array" ref="X38">index('jiliarena_日报_底稿'!$P$2:$DS$34,match($A38,'jiliarena_日报_底稿'!$P$2:$P$34,0),match("电子有效投注",'jiliarena_日报_底稿'!$P$3:$DS$3,0))+index('jiliarena_日报_底稿'!$P$2:$DS$34,match($A38,'jiliarena_日报_底稿'!$P$2:$P$34,0),match("真人有效投注",'jiliarena_日报_底稿'!$P$3:$DS$3,0))+index('jiliarena_日报_底稿'!$P$2:$DS$34,match($A38,'jiliarena_日报_底稿'!$P$2:$P$34,0),match("彩票有效投注",'jiliarena_日报_底稿'!$P$3:$DS$3,0))+index('jiliarena_日报_底稿'!$P$2:$DS$34,match($A38,'jiliarena_日报_底稿'!$P$2:$P$34,0),match("棋牌有效投注",'jiliarena_日报_底稿'!$P$3:$DS$3,0))+index('jiliarena_日报_底稿'!$P$2:$DS$34,match($A38,'jiliarena_日报_底稿'!$P$2:$P$34,0),match("捕鱼有效投注",'jiliarena_日报_底稿'!$P$3:$DS$3,0))+index('jiliarena_日报_底稿'!$P$2:$DS$34,match($A38,'jiliarena_日报_底稿'!$P$2:$P$34,0),match("体育有效投注",'jiliarena_日报_底稿'!$P$3:$DS$3,0))+index('jiliarena_日报_底稿'!$P$2:$DS$34,match($A38,'jiliarena_日报_底稿'!$P$2:$P$34,0),match("盘口彩票有效投注",'jiliarena_日报_底稿'!$P$3:$DS$3,0))</f>
        <v>0</v>
      </c>
      <c r="Y38" s="138">
        <f t="shared" si="92"/>
        <v>0</v>
      </c>
      <c r="Z38" s="172">
        <f t="shared" si="93"/>
        <v>0</v>
      </c>
      <c r="AA38" s="167" t="str">
        <f t="shared" si="12"/>
        <v/>
      </c>
      <c r="AB38" s="173" t="str">
        <f t="array" ref="AB38">INDEX('jiliarena_日报_底稿'!$P$2:$DS$34,MATCH($A38,'jiliarena_日报_底稿'!$P$2:$P$34,0),MATCH(AB$3,'jiliarena_日报_底稿'!$P$3:$DS$3,0))</f>
        <v/>
      </c>
      <c r="AC38" s="173" t="str">
        <f t="array" ref="AC38">INDEX('jiliarena_日报_底稿'!$P$2:$DS$34,MATCH($A38,'jiliarena_日报_底稿'!$P$2:$P$34,0),MATCH(AC$3,'jiliarena_日报_底稿'!$P$3:$DS$3,0))</f>
        <v/>
      </c>
      <c r="AD38" s="167" t="str">
        <f t="shared" si="14"/>
        <v/>
      </c>
      <c r="AE38" s="173" t="str">
        <f t="array" ref="AE38">INDEX('jiliarena_日报_底稿'!$P$2:$DS$34,MATCH($A38,'jiliarena_日报_底稿'!$P$2:$P$34,0),MATCH(AE$3,'jiliarena_日报_底稿'!$P$3:$DS$3,0))</f>
        <v/>
      </c>
      <c r="AF38" s="173" t="str">
        <f t="array" ref="AF38">INDEX('jiliarena_日报_底稿'!$P$2:$DS$34,MATCH($A38,'jiliarena_日报_底稿'!$P$2:$P$34,0),MATCH(AF$3,'jiliarena_日报_底稿'!$P$3:$DS$3,0))</f>
        <v/>
      </c>
      <c r="AG38" s="167" t="str">
        <f t="shared" si="16"/>
        <v/>
      </c>
      <c r="AH38" s="173" t="str">
        <f t="array" ref="AH38">INDEX('jiliarena_日报_底稿'!$P$2:$DS$34,MATCH($A38,'jiliarena_日报_底稿'!$P$2:$P$34,0),MATCH(AH$3,'jiliarena_日报_底稿'!$P$3:$DS$3,0))</f>
        <v/>
      </c>
      <c r="AI38" s="173" t="str">
        <f t="array" ref="AI38">INDEX('jiliarena_日报_底稿'!$P$2:$DS$34,MATCH($A38,'jiliarena_日报_底稿'!$P$2:$P$34,0),MATCH(AI$3,'jiliarena_日报_底稿'!$P$3:$DS$3,0))</f>
        <v/>
      </c>
      <c r="AJ38" s="167" t="str">
        <f t="shared" si="18"/>
        <v/>
      </c>
      <c r="AK38" s="173" t="str">
        <f t="array" ref="AK38">INDEX('jiliarena_日报_底稿'!$P$2:$DS$34,MATCH($A38,'jiliarena_日报_底稿'!$P$2:$P$34,0),MATCH(AK$3,'jiliarena_日报_底稿'!$P$3:$DS$3,0))</f>
        <v/>
      </c>
      <c r="AL38" s="173" t="str">
        <f t="array" ref="AL38">INDEX('jiliarena_日报_底稿'!$P$2:$DS$34,MATCH($A38,'jiliarena_日报_底稿'!$P$2:$P$34,0),MATCH(AL$3,'jiliarena_日报_底稿'!$P$3:$DS$3,0))</f>
        <v/>
      </c>
      <c r="AM38" s="167" t="str">
        <f t="shared" si="20"/>
        <v/>
      </c>
      <c r="AN38" s="173" t="str">
        <f t="array" ref="AN38">INDEX('jiliarena_日报_底稿'!$P$2:$DS$34,MATCH($A38,'jiliarena_日报_底稿'!$P$2:$P$34,0),MATCH(AN$3,'jiliarena_日报_底稿'!$P$3:$DS$3,0))</f>
        <v/>
      </c>
      <c r="AO38" s="173" t="str">
        <f t="array" ref="AO38">INDEX('jiliarena_日报_底稿'!$P$2:$DS$34,MATCH($A38,'jiliarena_日报_底稿'!$P$2:$P$34,0),MATCH(AO$3,'jiliarena_日报_底稿'!$P$3:$DS$3,0))</f>
        <v/>
      </c>
      <c r="AP38" s="167" t="str">
        <f t="shared" si="22"/>
        <v/>
      </c>
      <c r="AQ38" s="173" t="str">
        <f t="array" ref="AQ38">INDEX('jiliarena_日报_底稿'!$P$2:$DS$34,MATCH($A38,'jiliarena_日报_底稿'!$P$2:$P$34,0),MATCH(AQ$3,'jiliarena_日报_底稿'!$P$3:$DS$3,0))</f>
        <v/>
      </c>
      <c r="AR38" s="173" t="str">
        <f t="array" ref="AR38">INDEX('jiliarena_日报_底稿'!$P$2:$DS$34,MATCH($A38,'jiliarena_日报_底稿'!$P$2:$P$34,0),MATCH(AR$3,'jiliarena_日报_底稿'!$P$3:$DS$3,0))</f>
        <v/>
      </c>
      <c r="AS38" s="167" t="str">
        <f t="shared" si="24"/>
        <v/>
      </c>
      <c r="AT38" s="174">
        <f>SUMIFS('jiliarena_活动分析数据_底稿'!$K:$K,'jiliarena_活动分析数据_底稿'!$B:$B,$A38,'jiliarena_活动分析数据_底稿'!$L:$L,AT$3)</f>
        <v>0</v>
      </c>
      <c r="AU38" s="174">
        <f>SUMIFS('jiliarena_活动分析数据_底稿'!$K:$K,'jiliarena_活动分析数据_底稿'!$B:$B,$A38,'jiliarena_活动分析数据_底稿'!$L:$L,AU$3)</f>
        <v>0</v>
      </c>
      <c r="AV38" s="174">
        <f>SUMIFS('jiliarena_活动分析数据_底稿'!$K:$K,'jiliarena_活动分析数据_底稿'!$B:$B,$A38,'jiliarena_活动分析数据_底稿'!$L:$L,AV$3)</f>
        <v>0</v>
      </c>
      <c r="AW38" s="174">
        <f>SUMIFS('jiliarena_活动分析数据_底稿'!$K:$K,'jiliarena_活动分析数据_底稿'!$B:$B,$A38,'jiliarena_活动分析数据_底稿'!$L:$L,AW$3)</f>
        <v>0</v>
      </c>
      <c r="AX38" s="174">
        <f>SUMIFS('jiliarena_活动分析数据_底稿'!$K:$K,'jiliarena_活动分析数据_底稿'!$B:$B,$A38,'jiliarena_活动分析数据_底稿'!$L:$L,AX$3)</f>
        <v>0</v>
      </c>
      <c r="AY38" s="174">
        <f>SUMIFS('jiliarena_活动分析数据_底稿'!$K:$K,'jiliarena_活动分析数据_底稿'!$B:$B,$A38,'jiliarena_活动分析数据_底稿'!$L:$L,AY$3)</f>
        <v>0</v>
      </c>
      <c r="AZ38" s="174">
        <f>SUMIFS('jiliarena_活动分析数据_底稿'!$K:$K,'jiliarena_活动分析数据_底稿'!$B:$B,$A38,'jiliarena_活动分析数据_底稿'!$L:$L,AZ$3)</f>
        <v>0</v>
      </c>
      <c r="BA38" s="174">
        <f>SUMIFS('jiliarena_活动分析数据_底稿'!$K:$K,'jiliarena_活动分析数据_底稿'!$B:$B,$A38,'jiliarena_活动分析数据_底稿'!$L:$L,BA$3)</f>
        <v>0</v>
      </c>
      <c r="BB38" s="174">
        <f>SUMIFS('jiliarena_活动分析数据_底稿'!$K:$K,'jiliarena_活动分析数据_底稿'!$B:$B,$A38,'jiliarena_活动分析数据_底稿'!$L:$L,BB$3)</f>
        <v>0</v>
      </c>
      <c r="BC38" s="174">
        <f>SUMIFS('jiliarena_活动分析数据_底稿'!$K:$K,'jiliarena_活动分析数据_底稿'!$B:$B,$A38,'jiliarena_活动分析数据_底稿'!$L:$L,BC$3)</f>
        <v>0</v>
      </c>
      <c r="BD38" s="174">
        <f>SUMIFS('jiliarena_活动分析数据_底稿'!$K:$K,'jiliarena_活动分析数据_底稿'!$B:$B,$A38,'jiliarena_活动分析数据_底稿'!$L:$L,BD$3)</f>
        <v>0</v>
      </c>
      <c r="BE38" s="174">
        <f>SUMIFS('jiliarena_活动分析数据_底稿'!$K:$K,'jiliarena_活动分析数据_底稿'!$B:$B,$A38,'jiliarena_活动分析数据_底稿'!$L:$L,BE$3)</f>
        <v>0</v>
      </c>
      <c r="BF38" s="174">
        <f>SUMIFS('jiliarena_活动分析数据_底稿'!$K:$K,'jiliarena_活动分析数据_底稿'!$B:$B,$A38,'jiliarena_活动分析数据_底稿'!$L:$L,BF$3)</f>
        <v>0</v>
      </c>
      <c r="BG38" s="174">
        <f>SUMIFS('jiliarena_活动分析数据_底稿'!$K:$K,'jiliarena_活动分析数据_底稿'!$B:$B,$A38,'jiliarena_活动分析数据_底稿'!$L:$L,BG$3)</f>
        <v>0</v>
      </c>
      <c r="BH38" s="174">
        <f>SUMIFS('jiliarena_活动分析数据_底稿'!$K:$K,'jiliarena_活动分析数据_底稿'!$B:$B,$A38,'jiliarena_活动分析数据_底稿'!$L:$L,BH$3)</f>
        <v>0</v>
      </c>
      <c r="BI38" s="174">
        <f>SUMIFS('jiliarena_活动分析数据_底稿'!$K:$K,'jiliarena_活动分析数据_底稿'!$B:$B,$A38,'jiliarena_活动分析数据_底稿'!$L:$L,BI$3)</f>
        <v>0</v>
      </c>
      <c r="BJ38" s="174">
        <f>SUMIFS('jiliarena_活动分析数据_底稿'!$K:$K,'jiliarena_活动分析数据_底稿'!$B:$B,$A38,'jiliarena_活动分析数据_底稿'!$L:$L,BJ$3)</f>
        <v>0</v>
      </c>
      <c r="BK38" s="174">
        <f>SUMIFS('jiliarena_活动分析数据_底稿'!$K:$K,'jiliarena_活动分析数据_底稿'!$B:$B,$A38,'jiliarena_活动分析数据_底稿'!$L:$L,BK$3)</f>
        <v>0</v>
      </c>
      <c r="BL38" s="174">
        <f>SUMIFS('jiliarena_活动分析数据_底稿'!$K:$K,'jiliarena_活动分析数据_底稿'!$B:$B,$A38,'jiliarena_活动分析数据_底稿'!$L:$L,BL$3)</f>
        <v>0</v>
      </c>
      <c r="BM38" s="174">
        <f>SUMIFS('jiliarena_活动分析数据_底稿'!$K:$K,'jiliarena_活动分析数据_底稿'!$B:$B,$A38,'jiliarena_活动分析数据_底稿'!$L:$L,BM$3)</f>
        <v>0</v>
      </c>
      <c r="BN38" s="174">
        <f>SUMIFS('jiliarena_活动分析数据_底稿'!$K:$K,'jiliarena_活动分析数据_底稿'!$B:$B,$A38,'jiliarena_活动分析数据_底稿'!$L:$L,BN$3)</f>
        <v>0</v>
      </c>
      <c r="BO38" s="174">
        <f>SUMIFS('jiliarena_活动分析数据_底稿'!$K:$K,'jiliarena_活动分析数据_底稿'!$B:$B,$A38,'jiliarena_活动分析数据_底稿'!$L:$L,BO$3)</f>
        <v>0</v>
      </c>
      <c r="BP38" s="174">
        <f>SUMIFS('jiliarena_活动分析数据_底稿'!$K:$K,'jiliarena_活动分析数据_底稿'!$B:$B,$A38,'jiliarena_活动分析数据_底稿'!$L:$L,BP$3)</f>
        <v>0</v>
      </c>
      <c r="BQ38" s="172">
        <f t="shared" si="94"/>
        <v>0</v>
      </c>
      <c r="BR38" s="172">
        <f t="shared" si="95"/>
        <v>0</v>
      </c>
      <c r="BS38" s="172">
        <f t="shared" si="96"/>
        <v>0</v>
      </c>
      <c r="BT38" s="167" t="str">
        <f t="shared" si="26"/>
        <v/>
      </c>
      <c r="BU38" s="167" t="str">
        <f t="shared" si="27"/>
        <v/>
      </c>
      <c r="BV38" s="167" t="str">
        <f t="shared" si="28"/>
        <v/>
      </c>
      <c r="BW38" s="175">
        <f t="shared" si="29"/>
        <v>0</v>
      </c>
      <c r="BX38" s="176" t="str">
        <f t="shared" si="30"/>
        <v/>
      </c>
      <c r="BY38" s="177">
        <f t="shared" si="31"/>
        <v>0</v>
      </c>
      <c r="BZ38" s="178">
        <f t="shared" si="32"/>
        <v>0</v>
      </c>
      <c r="CA38" s="179">
        <f t="shared" si="33"/>
        <v>0</v>
      </c>
      <c r="CB38" s="180">
        <f t="shared" si="34"/>
        <v>0</v>
      </c>
      <c r="CC38" s="176" t="str">
        <f t="shared" si="35"/>
        <v/>
      </c>
      <c r="CD38" s="181" t="str">
        <f t="array" ref="CD38">index('jiliarena_日报_底稿'!$P$3:$DS$34,match(A38,'jiliarena_日报_底稿'!$P$3:$P$34,0),match("综合性分红",'jiliarena_日报_底稿'!$P$3:$DS$3,0))</f>
        <v/>
      </c>
      <c r="CE38" s="127"/>
      <c r="CF38" s="181" t="str">
        <f t="array" ref="CF38">INDEX('jiliarena_日报_底稿'!$P$2:$DS$34,MATCH($A38,'jiliarena_日报_底稿'!$P$2:$P$34,0),MATCH(CF$3,'jiliarena_日报_底稿'!$P$3:$DS$3,0))</f>
        <v/>
      </c>
      <c r="CG38" s="172">
        <f t="array" ref="CG38">-INDEX('jiliarena_日报_底稿'!$P$2:$DS$34,MATCH($A38,'jiliarena_日报_底稿'!$P$2:$P$34,0),MATCH(CG$3,'jiliarena_日报_底稿'!$P$3:$DS$3,0))</f>
        <v>0</v>
      </c>
      <c r="CH38" s="181" t="str">
        <f t="array" ref="CH38">INDEX('jiliarena_日报_底稿'!$P$2:$DS$34,MATCH($A38,'jiliarena_日报_底稿'!$P$2:$P$34,0),MATCH(CH$3,'jiliarena_日报_底稿'!$P$3:$DS$3,0))</f>
        <v/>
      </c>
      <c r="CI38" s="175">
        <f t="shared" si="37"/>
        <v>0</v>
      </c>
      <c r="CJ38" s="182">
        <f t="shared" si="38"/>
        <v>3</v>
      </c>
      <c r="CK38" s="182">
        <f t="shared" si="39"/>
        <v>24</v>
      </c>
    </row>
    <row r="39">
      <c r="A39" s="162">
        <f t="shared" si="97"/>
        <v>46106</v>
      </c>
      <c r="B39" s="163" t="str">
        <f t="array" ref="B39">INDEX('jiliarena_日报_底稿'!$A$3:$N$34,MATCH($A39,'jiliarena_日报_底稿'!$A$3:$A$34,0),MATCH(B$3,'jiliarena_日报_底稿'!$A$3:$N$3,0))</f>
        <v/>
      </c>
      <c r="C39" s="163" t="str">
        <f t="array" ref="C39">INDEX('jiliarena_日报_底稿'!$A$3:$N$34,MATCH($A39,'jiliarena_日报_底稿'!$A$3:$A$34,0),MATCH(C$3,'jiliarena_日报_底稿'!$A$3:$N$3,0))</f>
        <v/>
      </c>
      <c r="D39" s="163" t="str">
        <f t="array" ref="D39">INDEX('jiliarena_日报_底稿'!$A$3:$N$34,MATCH($A39,'jiliarena_日报_底稿'!$A$3:$A$34,0),MATCH(D$3,'jiliarena_日报_底稿'!$A$3:$N$3,0))</f>
        <v/>
      </c>
      <c r="E39" s="163"/>
      <c r="F39" s="163" t="str">
        <f t="array" ref="F39">INDEX('jiliarena_日报_底稿'!$A$3:$N$34,MATCH($A39,'jiliarena_日报_底稿'!$A$3:$A$34,0),MATCH(F$3,'jiliarena_日报_底稿'!$A$3:$N$3,0))</f>
        <v/>
      </c>
      <c r="G39" s="164">
        <f>SUMIFS('渠道充值成功率_底稿'!$F:$F,'渠道充值成功率_底稿'!$A:$A,A39)</f>
        <v>0</v>
      </c>
      <c r="H39" s="163" t="str">
        <f t="array" ref="H39">INDEX('jiliarena_日报_底稿'!$A$3:$N$34,MATCH($A39,'jiliarena_日报_底稿'!$A$3:$A$34,0),MATCH(H$3,'jiliarena_日报_底稿'!$A$3:$N$3,0))</f>
        <v/>
      </c>
      <c r="I39" s="163"/>
      <c r="J39" s="163" t="str">
        <f t="array" ref="J39">INDEX('jiliarena_日报_底稿'!$A$3:$N$34,MATCH($A39,'jiliarena_日报_底稿'!$A$3:$A$34,0),MATCH(J$3,'jiliarena_日报_底稿'!$A$3:$N$3,0))</f>
        <v/>
      </c>
      <c r="K39" s="165">
        <f>SUMIFS('渠道充值成功率_底稿'!$J:$J,'渠道充值成功率_底稿'!$A:$A,$A39)</f>
        <v>0</v>
      </c>
      <c r="L39" s="166" t="str">
        <f t="array" ref="L39">INDEX('jiliarena_日报_底稿'!$A$3:$N$34,MATCH($A39,'jiliarena_日报_底稿'!$A$3:$A$34,0),MATCH(L$3,'jiliarena_日报_底稿'!$A$3:$N$3,0))</f>
        <v/>
      </c>
      <c r="M39" s="166" t="str">
        <f t="array" ref="M39">INDEX('jiliarena_日报_底稿'!$P$2:$DS$34,MATCH($A39,'jiliarena_日报_底稿'!$P$2:$P$34,0),MATCH($M$3,'jiliarena_日报_底稿'!$P$3:$DS$3,0))</f>
        <v/>
      </c>
      <c r="N39" s="167" t="str">
        <f t="shared" si="2"/>
        <v/>
      </c>
      <c r="O39" s="168" t="str">
        <f t="shared" si="3"/>
        <v>#DIV/0!</v>
      </c>
      <c r="P39" s="167" t="str">
        <f t="shared" si="4"/>
        <v/>
      </c>
      <c r="Q39" s="168" t="str">
        <f t="shared" si="5"/>
        <v>#DIV/0!</v>
      </c>
      <c r="R39" s="169" t="str">
        <f t="shared" si="6"/>
        <v/>
      </c>
      <c r="S39" s="170" t="str">
        <f t="shared" si="7"/>
        <v/>
      </c>
      <c r="T39" s="170" t="str">
        <f t="shared" si="8"/>
        <v/>
      </c>
      <c r="U39" s="169" t="str">
        <f t="shared" si="9"/>
        <v/>
      </c>
      <c r="V39" s="171" t="str">
        <f t="shared" si="10"/>
        <v/>
      </c>
      <c r="W39" s="172">
        <f t="shared" si="91"/>
        <v>0</v>
      </c>
      <c r="X39" s="172">
        <f t="array" ref="X39">index('jiliarena_日报_底稿'!$P$2:$DS$34,match($A39,'jiliarena_日报_底稿'!$P$2:$P$34,0),match("电子有效投注",'jiliarena_日报_底稿'!$P$3:$DS$3,0))+index('jiliarena_日报_底稿'!$P$2:$DS$34,match($A39,'jiliarena_日报_底稿'!$P$2:$P$34,0),match("真人有效投注",'jiliarena_日报_底稿'!$P$3:$DS$3,0))+index('jiliarena_日报_底稿'!$P$2:$DS$34,match($A39,'jiliarena_日报_底稿'!$P$2:$P$34,0),match("彩票有效投注",'jiliarena_日报_底稿'!$P$3:$DS$3,0))+index('jiliarena_日报_底稿'!$P$2:$DS$34,match($A39,'jiliarena_日报_底稿'!$P$2:$P$34,0),match("棋牌有效投注",'jiliarena_日报_底稿'!$P$3:$DS$3,0))+index('jiliarena_日报_底稿'!$P$2:$DS$34,match($A39,'jiliarena_日报_底稿'!$P$2:$P$34,0),match("捕鱼有效投注",'jiliarena_日报_底稿'!$P$3:$DS$3,0))+index('jiliarena_日报_底稿'!$P$2:$DS$34,match($A39,'jiliarena_日报_底稿'!$P$2:$P$34,0),match("体育有效投注",'jiliarena_日报_底稿'!$P$3:$DS$3,0))+index('jiliarena_日报_底稿'!$P$2:$DS$34,match($A39,'jiliarena_日报_底稿'!$P$2:$P$34,0),match("盘口彩票有效投注",'jiliarena_日报_底稿'!$P$3:$DS$3,0))</f>
        <v>0</v>
      </c>
      <c r="Y39" s="138">
        <f t="shared" si="92"/>
        <v>0</v>
      </c>
      <c r="Z39" s="172">
        <f t="shared" si="93"/>
        <v>0</v>
      </c>
      <c r="AA39" s="167" t="str">
        <f t="shared" si="12"/>
        <v/>
      </c>
      <c r="AB39" s="173" t="str">
        <f t="array" ref="AB39">INDEX('jiliarena_日报_底稿'!$P$2:$DS$34,MATCH($A39,'jiliarena_日报_底稿'!$P$2:$P$34,0),MATCH(AB$3,'jiliarena_日报_底稿'!$P$3:$DS$3,0))</f>
        <v/>
      </c>
      <c r="AC39" s="173" t="str">
        <f t="array" ref="AC39">INDEX('jiliarena_日报_底稿'!$P$2:$DS$34,MATCH($A39,'jiliarena_日报_底稿'!$P$2:$P$34,0),MATCH(AC$3,'jiliarena_日报_底稿'!$P$3:$DS$3,0))</f>
        <v/>
      </c>
      <c r="AD39" s="167" t="str">
        <f t="shared" si="14"/>
        <v/>
      </c>
      <c r="AE39" s="173" t="str">
        <f t="array" ref="AE39">INDEX('jiliarena_日报_底稿'!$P$2:$DS$34,MATCH($A39,'jiliarena_日报_底稿'!$P$2:$P$34,0),MATCH(AE$3,'jiliarena_日报_底稿'!$P$3:$DS$3,0))</f>
        <v/>
      </c>
      <c r="AF39" s="173" t="str">
        <f t="array" ref="AF39">INDEX('jiliarena_日报_底稿'!$P$2:$DS$34,MATCH($A39,'jiliarena_日报_底稿'!$P$2:$P$34,0),MATCH(AF$3,'jiliarena_日报_底稿'!$P$3:$DS$3,0))</f>
        <v/>
      </c>
      <c r="AG39" s="167" t="str">
        <f t="shared" si="16"/>
        <v/>
      </c>
      <c r="AH39" s="173" t="str">
        <f t="array" ref="AH39">INDEX('jiliarena_日报_底稿'!$P$2:$DS$34,MATCH($A39,'jiliarena_日报_底稿'!$P$2:$P$34,0),MATCH(AH$3,'jiliarena_日报_底稿'!$P$3:$DS$3,0))</f>
        <v/>
      </c>
      <c r="AI39" s="173" t="str">
        <f t="array" ref="AI39">INDEX('jiliarena_日报_底稿'!$P$2:$DS$34,MATCH($A39,'jiliarena_日报_底稿'!$P$2:$P$34,0),MATCH(AI$3,'jiliarena_日报_底稿'!$P$3:$DS$3,0))</f>
        <v/>
      </c>
      <c r="AJ39" s="167" t="str">
        <f t="shared" si="18"/>
        <v/>
      </c>
      <c r="AK39" s="173" t="str">
        <f t="array" ref="AK39">INDEX('jiliarena_日报_底稿'!$P$2:$DS$34,MATCH($A39,'jiliarena_日报_底稿'!$P$2:$P$34,0),MATCH(AK$3,'jiliarena_日报_底稿'!$P$3:$DS$3,0))</f>
        <v/>
      </c>
      <c r="AL39" s="173" t="str">
        <f t="array" ref="AL39">INDEX('jiliarena_日报_底稿'!$P$2:$DS$34,MATCH($A39,'jiliarena_日报_底稿'!$P$2:$P$34,0),MATCH(AL$3,'jiliarena_日报_底稿'!$P$3:$DS$3,0))</f>
        <v/>
      </c>
      <c r="AM39" s="167" t="str">
        <f t="shared" si="20"/>
        <v/>
      </c>
      <c r="AN39" s="173" t="str">
        <f t="array" ref="AN39">INDEX('jiliarena_日报_底稿'!$P$2:$DS$34,MATCH($A39,'jiliarena_日报_底稿'!$P$2:$P$34,0),MATCH(AN$3,'jiliarena_日报_底稿'!$P$3:$DS$3,0))</f>
        <v/>
      </c>
      <c r="AO39" s="173" t="str">
        <f t="array" ref="AO39">INDEX('jiliarena_日报_底稿'!$P$2:$DS$34,MATCH($A39,'jiliarena_日报_底稿'!$P$2:$P$34,0),MATCH(AO$3,'jiliarena_日报_底稿'!$P$3:$DS$3,0))</f>
        <v/>
      </c>
      <c r="AP39" s="167" t="str">
        <f t="shared" si="22"/>
        <v/>
      </c>
      <c r="AQ39" s="173" t="str">
        <f t="array" ref="AQ39">INDEX('jiliarena_日报_底稿'!$P$2:$DS$34,MATCH($A39,'jiliarena_日报_底稿'!$P$2:$P$34,0),MATCH(AQ$3,'jiliarena_日报_底稿'!$P$3:$DS$3,0))</f>
        <v/>
      </c>
      <c r="AR39" s="173" t="str">
        <f t="array" ref="AR39">INDEX('jiliarena_日报_底稿'!$P$2:$DS$34,MATCH($A39,'jiliarena_日报_底稿'!$P$2:$P$34,0),MATCH(AR$3,'jiliarena_日报_底稿'!$P$3:$DS$3,0))</f>
        <v/>
      </c>
      <c r="AS39" s="167" t="str">
        <f t="shared" si="24"/>
        <v/>
      </c>
      <c r="AT39" s="174">
        <f>SUMIFS('jiliarena_活动分析数据_底稿'!$K:$K,'jiliarena_活动分析数据_底稿'!$B:$B,$A39,'jiliarena_活动分析数据_底稿'!$L:$L,AT$3)</f>
        <v>0</v>
      </c>
      <c r="AU39" s="174">
        <f>SUMIFS('jiliarena_活动分析数据_底稿'!$K:$K,'jiliarena_活动分析数据_底稿'!$B:$B,$A39,'jiliarena_活动分析数据_底稿'!$L:$L,AU$3)</f>
        <v>0</v>
      </c>
      <c r="AV39" s="174">
        <f>SUMIFS('jiliarena_活动分析数据_底稿'!$K:$K,'jiliarena_活动分析数据_底稿'!$B:$B,$A39,'jiliarena_活动分析数据_底稿'!$L:$L,AV$3)</f>
        <v>0</v>
      </c>
      <c r="AW39" s="174">
        <f>SUMIFS('jiliarena_活动分析数据_底稿'!$K:$K,'jiliarena_活动分析数据_底稿'!$B:$B,$A39,'jiliarena_活动分析数据_底稿'!$L:$L,AW$3)</f>
        <v>0</v>
      </c>
      <c r="AX39" s="174">
        <f>SUMIFS('jiliarena_活动分析数据_底稿'!$K:$K,'jiliarena_活动分析数据_底稿'!$B:$B,$A39,'jiliarena_活动分析数据_底稿'!$L:$L,AX$3)</f>
        <v>0</v>
      </c>
      <c r="AY39" s="174">
        <f>SUMIFS('jiliarena_活动分析数据_底稿'!$K:$K,'jiliarena_活动分析数据_底稿'!$B:$B,$A39,'jiliarena_活动分析数据_底稿'!$L:$L,AY$3)</f>
        <v>0</v>
      </c>
      <c r="AZ39" s="174">
        <f>SUMIFS('jiliarena_活动分析数据_底稿'!$K:$K,'jiliarena_活动分析数据_底稿'!$B:$B,$A39,'jiliarena_活动分析数据_底稿'!$L:$L,AZ$3)</f>
        <v>0</v>
      </c>
      <c r="BA39" s="174">
        <f>SUMIFS('jiliarena_活动分析数据_底稿'!$K:$K,'jiliarena_活动分析数据_底稿'!$B:$B,$A39,'jiliarena_活动分析数据_底稿'!$L:$L,BA$3)</f>
        <v>0</v>
      </c>
      <c r="BB39" s="174">
        <f>SUMIFS('jiliarena_活动分析数据_底稿'!$K:$K,'jiliarena_活动分析数据_底稿'!$B:$B,$A39,'jiliarena_活动分析数据_底稿'!$L:$L,BB$3)</f>
        <v>0</v>
      </c>
      <c r="BC39" s="174">
        <f>SUMIFS('jiliarena_活动分析数据_底稿'!$K:$K,'jiliarena_活动分析数据_底稿'!$B:$B,$A39,'jiliarena_活动分析数据_底稿'!$L:$L,BC$3)</f>
        <v>0</v>
      </c>
      <c r="BD39" s="174">
        <f>SUMIFS('jiliarena_活动分析数据_底稿'!$K:$K,'jiliarena_活动分析数据_底稿'!$B:$B,$A39,'jiliarena_活动分析数据_底稿'!$L:$L,BD$3)</f>
        <v>0</v>
      </c>
      <c r="BE39" s="174">
        <f>SUMIFS('jiliarena_活动分析数据_底稿'!$K:$K,'jiliarena_活动分析数据_底稿'!$B:$B,$A39,'jiliarena_活动分析数据_底稿'!$L:$L,BE$3)</f>
        <v>0</v>
      </c>
      <c r="BF39" s="174">
        <f>SUMIFS('jiliarena_活动分析数据_底稿'!$K:$K,'jiliarena_活动分析数据_底稿'!$B:$B,$A39,'jiliarena_活动分析数据_底稿'!$L:$L,BF$3)</f>
        <v>0</v>
      </c>
      <c r="BG39" s="174">
        <f>SUMIFS('jiliarena_活动分析数据_底稿'!$K:$K,'jiliarena_活动分析数据_底稿'!$B:$B,$A39,'jiliarena_活动分析数据_底稿'!$L:$L,BG$3)</f>
        <v>0</v>
      </c>
      <c r="BH39" s="174">
        <f>SUMIFS('jiliarena_活动分析数据_底稿'!$K:$K,'jiliarena_活动分析数据_底稿'!$B:$B,$A39,'jiliarena_活动分析数据_底稿'!$L:$L,BH$3)</f>
        <v>0</v>
      </c>
      <c r="BI39" s="174">
        <f>SUMIFS('jiliarena_活动分析数据_底稿'!$K:$K,'jiliarena_活动分析数据_底稿'!$B:$B,$A39,'jiliarena_活动分析数据_底稿'!$L:$L,BI$3)</f>
        <v>0</v>
      </c>
      <c r="BJ39" s="174">
        <f>SUMIFS('jiliarena_活动分析数据_底稿'!$K:$K,'jiliarena_活动分析数据_底稿'!$B:$B,$A39,'jiliarena_活动分析数据_底稿'!$L:$L,BJ$3)</f>
        <v>0</v>
      </c>
      <c r="BK39" s="174">
        <f>SUMIFS('jiliarena_活动分析数据_底稿'!$K:$K,'jiliarena_活动分析数据_底稿'!$B:$B,$A39,'jiliarena_活动分析数据_底稿'!$L:$L,BK$3)</f>
        <v>0</v>
      </c>
      <c r="BL39" s="174">
        <f>SUMIFS('jiliarena_活动分析数据_底稿'!$K:$K,'jiliarena_活动分析数据_底稿'!$B:$B,$A39,'jiliarena_活动分析数据_底稿'!$L:$L,BL$3)</f>
        <v>0</v>
      </c>
      <c r="BM39" s="174">
        <f>SUMIFS('jiliarena_活动分析数据_底稿'!$K:$K,'jiliarena_活动分析数据_底稿'!$B:$B,$A39,'jiliarena_活动分析数据_底稿'!$L:$L,BM$3)</f>
        <v>0</v>
      </c>
      <c r="BN39" s="174">
        <f>SUMIFS('jiliarena_活动分析数据_底稿'!$K:$K,'jiliarena_活动分析数据_底稿'!$B:$B,$A39,'jiliarena_活动分析数据_底稿'!$L:$L,BN$3)</f>
        <v>0</v>
      </c>
      <c r="BO39" s="174">
        <f>SUMIFS('jiliarena_活动分析数据_底稿'!$K:$K,'jiliarena_活动分析数据_底稿'!$B:$B,$A39,'jiliarena_活动分析数据_底稿'!$L:$L,BO$3)</f>
        <v>0</v>
      </c>
      <c r="BP39" s="174">
        <f>SUMIFS('jiliarena_活动分析数据_底稿'!$K:$K,'jiliarena_活动分析数据_底稿'!$B:$B,$A39,'jiliarena_活动分析数据_底稿'!$L:$L,BP$3)</f>
        <v>0</v>
      </c>
      <c r="BQ39" s="172">
        <f t="shared" si="94"/>
        <v>0</v>
      </c>
      <c r="BR39" s="172">
        <f t="shared" si="95"/>
        <v>0</v>
      </c>
      <c r="BS39" s="172">
        <f t="shared" si="96"/>
        <v>0</v>
      </c>
      <c r="BT39" s="167" t="str">
        <f t="shared" si="26"/>
        <v/>
      </c>
      <c r="BU39" s="167" t="str">
        <f t="shared" si="27"/>
        <v/>
      </c>
      <c r="BV39" s="167" t="str">
        <f t="shared" si="28"/>
        <v/>
      </c>
      <c r="BW39" s="175">
        <f t="shared" si="29"/>
        <v>0</v>
      </c>
      <c r="BX39" s="176" t="str">
        <f t="shared" si="30"/>
        <v/>
      </c>
      <c r="BY39" s="177">
        <f t="shared" si="31"/>
        <v>0</v>
      </c>
      <c r="BZ39" s="178">
        <f t="shared" si="32"/>
        <v>0</v>
      </c>
      <c r="CA39" s="179">
        <f t="shared" si="33"/>
        <v>0</v>
      </c>
      <c r="CB39" s="180">
        <f t="shared" si="34"/>
        <v>0</v>
      </c>
      <c r="CC39" s="176" t="str">
        <f t="shared" si="35"/>
        <v/>
      </c>
      <c r="CD39" s="181" t="str">
        <f t="array" ref="CD39">index('jiliarena_日报_底稿'!$P$3:$DS$34,match(A39,'jiliarena_日报_底稿'!$P$3:$P$34,0),match("综合性分红",'jiliarena_日报_底稿'!$P$3:$DS$3,0))</f>
        <v/>
      </c>
      <c r="CE39" s="127"/>
      <c r="CF39" s="181" t="str">
        <f t="array" ref="CF39">INDEX('jiliarena_日报_底稿'!$P$2:$DS$34,MATCH($A39,'jiliarena_日报_底稿'!$P$2:$P$34,0),MATCH(CF$3,'jiliarena_日报_底稿'!$P$3:$DS$3,0))</f>
        <v/>
      </c>
      <c r="CG39" s="172">
        <f t="array" ref="CG39">-INDEX('jiliarena_日报_底稿'!$P$2:$DS$34,MATCH($A39,'jiliarena_日报_底稿'!$P$2:$P$34,0),MATCH(CG$3,'jiliarena_日报_底稿'!$P$3:$DS$3,0))</f>
        <v>0</v>
      </c>
      <c r="CH39" s="181" t="str">
        <f t="array" ref="CH39">INDEX('jiliarena_日报_底稿'!$P$2:$DS$34,MATCH($A39,'jiliarena_日报_底稿'!$P$2:$P$34,0),MATCH(CH$3,'jiliarena_日报_底稿'!$P$3:$DS$3,0))</f>
        <v/>
      </c>
      <c r="CI39" s="175">
        <f t="shared" si="37"/>
        <v>0</v>
      </c>
      <c r="CJ39" s="182">
        <f t="shared" si="38"/>
        <v>3</v>
      </c>
      <c r="CK39" s="182">
        <f t="shared" si="39"/>
        <v>25</v>
      </c>
    </row>
    <row r="40">
      <c r="A40" s="162">
        <f t="shared" si="97"/>
        <v>46107</v>
      </c>
      <c r="B40" s="163" t="str">
        <f t="array" ref="B40">INDEX('jiliarena_日报_底稿'!$A$3:$N$34,MATCH($A40,'jiliarena_日报_底稿'!$A$3:$A$34,0),MATCH(B$3,'jiliarena_日报_底稿'!$A$3:$N$3,0))</f>
        <v/>
      </c>
      <c r="C40" s="163" t="str">
        <f t="array" ref="C40">INDEX('jiliarena_日报_底稿'!$A$3:$N$34,MATCH($A40,'jiliarena_日报_底稿'!$A$3:$A$34,0),MATCH(C$3,'jiliarena_日报_底稿'!$A$3:$N$3,0))</f>
        <v/>
      </c>
      <c r="D40" s="163" t="str">
        <f t="array" ref="D40">INDEX('jiliarena_日报_底稿'!$A$3:$N$34,MATCH($A40,'jiliarena_日报_底稿'!$A$3:$A$34,0),MATCH(D$3,'jiliarena_日报_底稿'!$A$3:$N$3,0))</f>
        <v/>
      </c>
      <c r="E40" s="163"/>
      <c r="F40" s="163" t="str">
        <f t="array" ref="F40">INDEX('jiliarena_日报_底稿'!$A$3:$N$34,MATCH($A40,'jiliarena_日报_底稿'!$A$3:$A$34,0),MATCH(F$3,'jiliarena_日报_底稿'!$A$3:$N$3,0))</f>
        <v/>
      </c>
      <c r="G40" s="164">
        <f>SUMIFS('渠道充值成功率_底稿'!$F:$F,'渠道充值成功率_底稿'!$A:$A,A40)</f>
        <v>0</v>
      </c>
      <c r="H40" s="163" t="str">
        <f t="array" ref="H40">INDEX('jiliarena_日报_底稿'!$A$3:$N$34,MATCH($A40,'jiliarena_日报_底稿'!$A$3:$A$34,0),MATCH(H$3,'jiliarena_日报_底稿'!$A$3:$N$3,0))</f>
        <v/>
      </c>
      <c r="I40" s="163"/>
      <c r="J40" s="163" t="str">
        <f t="array" ref="J40">INDEX('jiliarena_日报_底稿'!$A$3:$N$34,MATCH($A40,'jiliarena_日报_底稿'!$A$3:$A$34,0),MATCH(J$3,'jiliarena_日报_底稿'!$A$3:$N$3,0))</f>
        <v/>
      </c>
      <c r="K40" s="165">
        <f>SUMIFS('渠道充值成功率_底稿'!$J:$J,'渠道充值成功率_底稿'!$A:$A,$A40)</f>
        <v>0</v>
      </c>
      <c r="L40" s="166" t="str">
        <f t="array" ref="L40">INDEX('jiliarena_日报_底稿'!$A$3:$N$34,MATCH($A40,'jiliarena_日报_底稿'!$A$3:$A$34,0),MATCH(L$3,'jiliarena_日报_底稿'!$A$3:$N$3,0))</f>
        <v/>
      </c>
      <c r="M40" s="166" t="str">
        <f t="array" ref="M40">INDEX('jiliarena_日报_底稿'!$P$2:$DS$34,MATCH($A40,'jiliarena_日报_底稿'!$P$2:$P$34,0),MATCH($M$3,'jiliarena_日报_底稿'!$P$3:$DS$3,0))</f>
        <v/>
      </c>
      <c r="N40" s="167" t="str">
        <f t="shared" si="2"/>
        <v/>
      </c>
      <c r="O40" s="168" t="str">
        <f t="shared" si="3"/>
        <v>#DIV/0!</v>
      </c>
      <c r="P40" s="167" t="str">
        <f t="shared" si="4"/>
        <v/>
      </c>
      <c r="Q40" s="168" t="str">
        <f t="shared" si="5"/>
        <v>#DIV/0!</v>
      </c>
      <c r="R40" s="169" t="str">
        <f t="shared" si="6"/>
        <v/>
      </c>
      <c r="S40" s="170" t="str">
        <f t="shared" si="7"/>
        <v/>
      </c>
      <c r="T40" s="170" t="str">
        <f t="shared" si="8"/>
        <v/>
      </c>
      <c r="U40" s="169" t="str">
        <f t="shared" si="9"/>
        <v/>
      </c>
      <c r="V40" s="171" t="str">
        <f t="shared" si="10"/>
        <v/>
      </c>
      <c r="W40" s="172">
        <f t="shared" si="91"/>
        <v>0</v>
      </c>
      <c r="X40" s="172">
        <f t="array" ref="X40">index('jiliarena_日报_底稿'!$P$2:$DS$34,match($A40,'jiliarena_日报_底稿'!$P$2:$P$34,0),match("电子有效投注",'jiliarena_日报_底稿'!$P$3:$DS$3,0))+index('jiliarena_日报_底稿'!$P$2:$DS$34,match($A40,'jiliarena_日报_底稿'!$P$2:$P$34,0),match("真人有效投注",'jiliarena_日报_底稿'!$P$3:$DS$3,0))+index('jiliarena_日报_底稿'!$P$2:$DS$34,match($A40,'jiliarena_日报_底稿'!$P$2:$P$34,0),match("彩票有效投注",'jiliarena_日报_底稿'!$P$3:$DS$3,0))+index('jiliarena_日报_底稿'!$P$2:$DS$34,match($A40,'jiliarena_日报_底稿'!$P$2:$P$34,0),match("棋牌有效投注",'jiliarena_日报_底稿'!$P$3:$DS$3,0))+index('jiliarena_日报_底稿'!$P$2:$DS$34,match($A40,'jiliarena_日报_底稿'!$P$2:$P$34,0),match("捕鱼有效投注",'jiliarena_日报_底稿'!$P$3:$DS$3,0))+index('jiliarena_日报_底稿'!$P$2:$DS$34,match($A40,'jiliarena_日报_底稿'!$P$2:$P$34,0),match("体育有效投注",'jiliarena_日报_底稿'!$P$3:$DS$3,0))+index('jiliarena_日报_底稿'!$P$2:$DS$34,match($A40,'jiliarena_日报_底稿'!$P$2:$P$34,0),match("盘口彩票有效投注",'jiliarena_日报_底稿'!$P$3:$DS$3,0))</f>
        <v>0</v>
      </c>
      <c r="Y40" s="138">
        <f t="shared" si="92"/>
        <v>0</v>
      </c>
      <c r="Z40" s="172">
        <f t="shared" si="93"/>
        <v>0</v>
      </c>
      <c r="AA40" s="167" t="str">
        <f t="shared" si="12"/>
        <v/>
      </c>
      <c r="AB40" s="173" t="str">
        <f t="array" ref="AB40">INDEX('jiliarena_日报_底稿'!$P$2:$DS$34,MATCH($A40,'jiliarena_日报_底稿'!$P$2:$P$34,0),MATCH(AB$3,'jiliarena_日报_底稿'!$P$3:$DS$3,0))</f>
        <v/>
      </c>
      <c r="AC40" s="173" t="str">
        <f t="array" ref="AC40">INDEX('jiliarena_日报_底稿'!$P$2:$DS$34,MATCH($A40,'jiliarena_日报_底稿'!$P$2:$P$34,0),MATCH(AC$3,'jiliarena_日报_底稿'!$P$3:$DS$3,0))</f>
        <v/>
      </c>
      <c r="AD40" s="167" t="str">
        <f t="shared" si="14"/>
        <v/>
      </c>
      <c r="AE40" s="173" t="str">
        <f t="array" ref="AE40">INDEX('jiliarena_日报_底稿'!$P$2:$DS$34,MATCH($A40,'jiliarena_日报_底稿'!$P$2:$P$34,0),MATCH(AE$3,'jiliarena_日报_底稿'!$P$3:$DS$3,0))</f>
        <v/>
      </c>
      <c r="AF40" s="173" t="str">
        <f t="array" ref="AF40">INDEX('jiliarena_日报_底稿'!$P$2:$DS$34,MATCH($A40,'jiliarena_日报_底稿'!$P$2:$P$34,0),MATCH(AF$3,'jiliarena_日报_底稿'!$P$3:$DS$3,0))</f>
        <v/>
      </c>
      <c r="AG40" s="167" t="str">
        <f t="shared" si="16"/>
        <v/>
      </c>
      <c r="AH40" s="173" t="str">
        <f t="array" ref="AH40">INDEX('jiliarena_日报_底稿'!$P$2:$DS$34,MATCH($A40,'jiliarena_日报_底稿'!$P$2:$P$34,0),MATCH(AH$3,'jiliarena_日报_底稿'!$P$3:$DS$3,0))</f>
        <v/>
      </c>
      <c r="AI40" s="173" t="str">
        <f t="array" ref="AI40">INDEX('jiliarena_日报_底稿'!$P$2:$DS$34,MATCH($A40,'jiliarena_日报_底稿'!$P$2:$P$34,0),MATCH(AI$3,'jiliarena_日报_底稿'!$P$3:$DS$3,0))</f>
        <v/>
      </c>
      <c r="AJ40" s="167" t="str">
        <f t="shared" si="18"/>
        <v/>
      </c>
      <c r="AK40" s="173" t="str">
        <f t="array" ref="AK40">INDEX('jiliarena_日报_底稿'!$P$2:$DS$34,MATCH($A40,'jiliarena_日报_底稿'!$P$2:$P$34,0),MATCH(AK$3,'jiliarena_日报_底稿'!$P$3:$DS$3,0))</f>
        <v/>
      </c>
      <c r="AL40" s="173" t="str">
        <f t="array" ref="AL40">INDEX('jiliarena_日报_底稿'!$P$2:$DS$34,MATCH($A40,'jiliarena_日报_底稿'!$P$2:$P$34,0),MATCH(AL$3,'jiliarena_日报_底稿'!$P$3:$DS$3,0))</f>
        <v/>
      </c>
      <c r="AM40" s="167" t="str">
        <f t="shared" si="20"/>
        <v/>
      </c>
      <c r="AN40" s="173" t="str">
        <f t="array" ref="AN40">INDEX('jiliarena_日报_底稿'!$P$2:$DS$34,MATCH($A40,'jiliarena_日报_底稿'!$P$2:$P$34,0),MATCH(AN$3,'jiliarena_日报_底稿'!$P$3:$DS$3,0))</f>
        <v/>
      </c>
      <c r="AO40" s="173" t="str">
        <f t="array" ref="AO40">INDEX('jiliarena_日报_底稿'!$P$2:$DS$34,MATCH($A40,'jiliarena_日报_底稿'!$P$2:$P$34,0),MATCH(AO$3,'jiliarena_日报_底稿'!$P$3:$DS$3,0))</f>
        <v/>
      </c>
      <c r="AP40" s="167" t="str">
        <f t="shared" si="22"/>
        <v/>
      </c>
      <c r="AQ40" s="173" t="str">
        <f t="array" ref="AQ40">INDEX('jiliarena_日报_底稿'!$P$2:$DS$34,MATCH($A40,'jiliarena_日报_底稿'!$P$2:$P$34,0),MATCH(AQ$3,'jiliarena_日报_底稿'!$P$3:$DS$3,0))</f>
        <v/>
      </c>
      <c r="AR40" s="173" t="str">
        <f t="array" ref="AR40">INDEX('jiliarena_日报_底稿'!$P$2:$DS$34,MATCH($A40,'jiliarena_日报_底稿'!$P$2:$P$34,0),MATCH(AR$3,'jiliarena_日报_底稿'!$P$3:$DS$3,0))</f>
        <v/>
      </c>
      <c r="AS40" s="167" t="str">
        <f t="shared" si="24"/>
        <v/>
      </c>
      <c r="AT40" s="174">
        <f>SUMIFS('jiliarena_活动分析数据_底稿'!$K:$K,'jiliarena_活动分析数据_底稿'!$B:$B,$A40,'jiliarena_活动分析数据_底稿'!$L:$L,AT$3)</f>
        <v>0</v>
      </c>
      <c r="AU40" s="174">
        <f>SUMIFS('jiliarena_活动分析数据_底稿'!$K:$K,'jiliarena_活动分析数据_底稿'!$B:$B,$A40,'jiliarena_活动分析数据_底稿'!$L:$L,AU$3)</f>
        <v>0</v>
      </c>
      <c r="AV40" s="174">
        <f>SUMIFS('jiliarena_活动分析数据_底稿'!$K:$K,'jiliarena_活动分析数据_底稿'!$B:$B,$A40,'jiliarena_活动分析数据_底稿'!$L:$L,AV$3)</f>
        <v>0</v>
      </c>
      <c r="AW40" s="174">
        <f>SUMIFS('jiliarena_活动分析数据_底稿'!$K:$K,'jiliarena_活动分析数据_底稿'!$B:$B,$A40,'jiliarena_活动分析数据_底稿'!$L:$L,AW$3)</f>
        <v>0</v>
      </c>
      <c r="AX40" s="174">
        <f>SUMIFS('jiliarena_活动分析数据_底稿'!$K:$K,'jiliarena_活动分析数据_底稿'!$B:$B,$A40,'jiliarena_活动分析数据_底稿'!$L:$L,AX$3)</f>
        <v>0</v>
      </c>
      <c r="AY40" s="174">
        <f>SUMIFS('jiliarena_活动分析数据_底稿'!$K:$K,'jiliarena_活动分析数据_底稿'!$B:$B,$A40,'jiliarena_活动分析数据_底稿'!$L:$L,AY$3)</f>
        <v>0</v>
      </c>
      <c r="AZ40" s="174">
        <f>SUMIFS('jiliarena_活动分析数据_底稿'!$K:$K,'jiliarena_活动分析数据_底稿'!$B:$B,$A40,'jiliarena_活动分析数据_底稿'!$L:$L,AZ$3)</f>
        <v>0</v>
      </c>
      <c r="BA40" s="174">
        <f>SUMIFS('jiliarena_活动分析数据_底稿'!$K:$K,'jiliarena_活动分析数据_底稿'!$B:$B,$A40,'jiliarena_活动分析数据_底稿'!$L:$L,BA$3)</f>
        <v>0</v>
      </c>
      <c r="BB40" s="174">
        <f>SUMIFS('jiliarena_活动分析数据_底稿'!$K:$K,'jiliarena_活动分析数据_底稿'!$B:$B,$A40,'jiliarena_活动分析数据_底稿'!$L:$L,BB$3)</f>
        <v>0</v>
      </c>
      <c r="BC40" s="174">
        <f>SUMIFS('jiliarena_活动分析数据_底稿'!$K:$K,'jiliarena_活动分析数据_底稿'!$B:$B,$A40,'jiliarena_活动分析数据_底稿'!$L:$L,BC$3)</f>
        <v>0</v>
      </c>
      <c r="BD40" s="174">
        <f>SUMIFS('jiliarena_活动分析数据_底稿'!$K:$K,'jiliarena_活动分析数据_底稿'!$B:$B,$A40,'jiliarena_活动分析数据_底稿'!$L:$L,BD$3)</f>
        <v>0</v>
      </c>
      <c r="BE40" s="174">
        <f>SUMIFS('jiliarena_活动分析数据_底稿'!$K:$K,'jiliarena_活动分析数据_底稿'!$B:$B,$A40,'jiliarena_活动分析数据_底稿'!$L:$L,BE$3)</f>
        <v>0</v>
      </c>
      <c r="BF40" s="174">
        <f>SUMIFS('jiliarena_活动分析数据_底稿'!$K:$K,'jiliarena_活动分析数据_底稿'!$B:$B,$A40,'jiliarena_活动分析数据_底稿'!$L:$L,BF$3)</f>
        <v>0</v>
      </c>
      <c r="BG40" s="174">
        <f>SUMIFS('jiliarena_活动分析数据_底稿'!$K:$K,'jiliarena_活动分析数据_底稿'!$B:$B,$A40,'jiliarena_活动分析数据_底稿'!$L:$L,BG$3)</f>
        <v>0</v>
      </c>
      <c r="BH40" s="174">
        <f>SUMIFS('jiliarena_活动分析数据_底稿'!$K:$K,'jiliarena_活动分析数据_底稿'!$B:$B,$A40,'jiliarena_活动分析数据_底稿'!$L:$L,BH$3)</f>
        <v>0</v>
      </c>
      <c r="BI40" s="174">
        <f>SUMIFS('jiliarena_活动分析数据_底稿'!$K:$K,'jiliarena_活动分析数据_底稿'!$B:$B,$A40,'jiliarena_活动分析数据_底稿'!$L:$L,BI$3)</f>
        <v>0</v>
      </c>
      <c r="BJ40" s="174">
        <f>SUMIFS('jiliarena_活动分析数据_底稿'!$K:$K,'jiliarena_活动分析数据_底稿'!$B:$B,$A40,'jiliarena_活动分析数据_底稿'!$L:$L,BJ$3)</f>
        <v>0</v>
      </c>
      <c r="BK40" s="174">
        <f>SUMIFS('jiliarena_活动分析数据_底稿'!$K:$K,'jiliarena_活动分析数据_底稿'!$B:$B,$A40,'jiliarena_活动分析数据_底稿'!$L:$L,BK$3)</f>
        <v>0</v>
      </c>
      <c r="BL40" s="174">
        <f>SUMIFS('jiliarena_活动分析数据_底稿'!$K:$K,'jiliarena_活动分析数据_底稿'!$B:$B,$A40,'jiliarena_活动分析数据_底稿'!$L:$L,BL$3)</f>
        <v>0</v>
      </c>
      <c r="BM40" s="174">
        <f>SUMIFS('jiliarena_活动分析数据_底稿'!$K:$K,'jiliarena_活动分析数据_底稿'!$B:$B,$A40,'jiliarena_活动分析数据_底稿'!$L:$L,BM$3)</f>
        <v>0</v>
      </c>
      <c r="BN40" s="174">
        <f>SUMIFS('jiliarena_活动分析数据_底稿'!$K:$K,'jiliarena_活动分析数据_底稿'!$B:$B,$A40,'jiliarena_活动分析数据_底稿'!$L:$L,BN$3)</f>
        <v>0</v>
      </c>
      <c r="BO40" s="174">
        <f>SUMIFS('jiliarena_活动分析数据_底稿'!$K:$K,'jiliarena_活动分析数据_底稿'!$B:$B,$A40,'jiliarena_活动分析数据_底稿'!$L:$L,BO$3)</f>
        <v>0</v>
      </c>
      <c r="BP40" s="174">
        <f>SUMIFS('jiliarena_活动分析数据_底稿'!$K:$K,'jiliarena_活动分析数据_底稿'!$B:$B,$A40,'jiliarena_活动分析数据_底稿'!$L:$L,BP$3)</f>
        <v>0</v>
      </c>
      <c r="BQ40" s="172">
        <f t="shared" si="94"/>
        <v>0</v>
      </c>
      <c r="BR40" s="172">
        <f t="shared" si="95"/>
        <v>0</v>
      </c>
      <c r="BS40" s="172">
        <f t="shared" si="96"/>
        <v>0</v>
      </c>
      <c r="BT40" s="167" t="str">
        <f t="shared" si="26"/>
        <v/>
      </c>
      <c r="BU40" s="167" t="str">
        <f t="shared" si="27"/>
        <v/>
      </c>
      <c r="BV40" s="167" t="str">
        <f t="shared" si="28"/>
        <v/>
      </c>
      <c r="BW40" s="175">
        <f t="shared" si="29"/>
        <v>0</v>
      </c>
      <c r="BX40" s="176" t="str">
        <f t="shared" si="30"/>
        <v/>
      </c>
      <c r="BY40" s="177">
        <f t="shared" si="31"/>
        <v>0</v>
      </c>
      <c r="BZ40" s="178">
        <f t="shared" si="32"/>
        <v>0</v>
      </c>
      <c r="CA40" s="179">
        <f t="shared" si="33"/>
        <v>0</v>
      </c>
      <c r="CB40" s="180">
        <f t="shared" si="34"/>
        <v>0</v>
      </c>
      <c r="CC40" s="176" t="str">
        <f t="shared" si="35"/>
        <v/>
      </c>
      <c r="CD40" s="181" t="str">
        <f t="array" ref="CD40">index('jiliarena_日报_底稿'!$P$3:$DS$34,match(A40,'jiliarena_日报_底稿'!$P$3:$P$34,0),match("综合性分红",'jiliarena_日报_底稿'!$P$3:$DS$3,0))</f>
        <v/>
      </c>
      <c r="CE40" s="127"/>
      <c r="CF40" s="181" t="str">
        <f t="array" ref="CF40">INDEX('jiliarena_日报_底稿'!$P$2:$DS$34,MATCH($A40,'jiliarena_日报_底稿'!$P$2:$P$34,0),MATCH(CF$3,'jiliarena_日报_底稿'!$P$3:$DS$3,0))</f>
        <v/>
      </c>
      <c r="CG40" s="172">
        <f t="array" ref="CG40">-INDEX('jiliarena_日报_底稿'!$P$2:$DS$34,MATCH($A40,'jiliarena_日报_底稿'!$P$2:$P$34,0),MATCH(CG$3,'jiliarena_日报_底稿'!$P$3:$DS$3,0))</f>
        <v>0</v>
      </c>
      <c r="CH40" s="181" t="str">
        <f t="array" ref="CH40">INDEX('jiliarena_日报_底稿'!$P$2:$DS$34,MATCH($A40,'jiliarena_日报_底稿'!$P$2:$P$34,0),MATCH(CH$3,'jiliarena_日报_底稿'!$P$3:$DS$3,0))</f>
        <v/>
      </c>
      <c r="CI40" s="175">
        <f t="shared" si="37"/>
        <v>0</v>
      </c>
      <c r="CJ40" s="182">
        <f t="shared" si="38"/>
        <v>3</v>
      </c>
      <c r="CK40" s="182">
        <f t="shared" si="39"/>
        <v>26</v>
      </c>
    </row>
    <row r="41">
      <c r="A41" s="162">
        <f t="shared" si="97"/>
        <v>46108</v>
      </c>
      <c r="B41" s="163" t="str">
        <f t="array" ref="B41">INDEX('jiliarena_日报_底稿'!$A$3:$N$34,MATCH($A41,'jiliarena_日报_底稿'!$A$3:$A$34,0),MATCH(B$3,'jiliarena_日报_底稿'!$A$3:$N$3,0))</f>
        <v/>
      </c>
      <c r="C41" s="163" t="str">
        <f t="array" ref="C41">INDEX('jiliarena_日报_底稿'!$A$3:$N$34,MATCH($A41,'jiliarena_日报_底稿'!$A$3:$A$34,0),MATCH(C$3,'jiliarena_日报_底稿'!$A$3:$N$3,0))</f>
        <v/>
      </c>
      <c r="D41" s="163" t="str">
        <f t="array" ref="D41">INDEX('jiliarena_日报_底稿'!$A$3:$N$34,MATCH($A41,'jiliarena_日报_底稿'!$A$3:$A$34,0),MATCH(D$3,'jiliarena_日报_底稿'!$A$3:$N$3,0))</f>
        <v/>
      </c>
      <c r="E41" s="163"/>
      <c r="F41" s="163" t="str">
        <f t="array" ref="F41">INDEX('jiliarena_日报_底稿'!$A$3:$N$34,MATCH($A41,'jiliarena_日报_底稿'!$A$3:$A$34,0),MATCH(F$3,'jiliarena_日报_底稿'!$A$3:$N$3,0))</f>
        <v/>
      </c>
      <c r="G41" s="164">
        <f>SUMIFS('渠道充值成功率_底稿'!$F:$F,'渠道充值成功率_底稿'!$A:$A,A41)</f>
        <v>0</v>
      </c>
      <c r="H41" s="163" t="str">
        <f t="array" ref="H41">INDEX('jiliarena_日报_底稿'!$A$3:$N$34,MATCH($A41,'jiliarena_日报_底稿'!$A$3:$A$34,0),MATCH(H$3,'jiliarena_日报_底稿'!$A$3:$N$3,0))</f>
        <v/>
      </c>
      <c r="I41" s="163"/>
      <c r="J41" s="163" t="str">
        <f t="array" ref="J41">INDEX('jiliarena_日报_底稿'!$A$3:$N$34,MATCH($A41,'jiliarena_日报_底稿'!$A$3:$A$34,0),MATCH(J$3,'jiliarena_日报_底稿'!$A$3:$N$3,0))</f>
        <v/>
      </c>
      <c r="K41" s="165">
        <f>SUMIFS('渠道充值成功率_底稿'!$J:$J,'渠道充值成功率_底稿'!$A:$A,$A41)</f>
        <v>0</v>
      </c>
      <c r="L41" s="166" t="str">
        <f t="array" ref="L41">INDEX('jiliarena_日报_底稿'!$A$3:$N$34,MATCH($A41,'jiliarena_日报_底稿'!$A$3:$A$34,0),MATCH(L$3,'jiliarena_日报_底稿'!$A$3:$N$3,0))</f>
        <v/>
      </c>
      <c r="M41" s="166" t="str">
        <f t="array" ref="M41">INDEX('jiliarena_日报_底稿'!$P$2:$DS$34,MATCH($A41,'jiliarena_日报_底稿'!$P$2:$P$34,0),MATCH($M$3,'jiliarena_日报_底稿'!$P$3:$DS$3,0))</f>
        <v/>
      </c>
      <c r="N41" s="167" t="str">
        <f t="shared" si="2"/>
        <v/>
      </c>
      <c r="O41" s="168" t="str">
        <f t="shared" si="3"/>
        <v>#DIV/0!</v>
      </c>
      <c r="P41" s="167" t="str">
        <f t="shared" si="4"/>
        <v/>
      </c>
      <c r="Q41" s="168" t="str">
        <f t="shared" si="5"/>
        <v>#DIV/0!</v>
      </c>
      <c r="R41" s="169" t="str">
        <f t="shared" si="6"/>
        <v/>
      </c>
      <c r="S41" s="170" t="str">
        <f t="shared" si="7"/>
        <v/>
      </c>
      <c r="T41" s="170" t="str">
        <f t="shared" si="8"/>
        <v/>
      </c>
      <c r="U41" s="169" t="str">
        <f t="shared" si="9"/>
        <v/>
      </c>
      <c r="V41" s="171" t="str">
        <f t="shared" si="10"/>
        <v/>
      </c>
      <c r="W41" s="172">
        <f t="shared" si="91"/>
        <v>0</v>
      </c>
      <c r="X41" s="172">
        <f t="array" ref="X41">index('jiliarena_日报_底稿'!$P$2:$DS$34,match($A41,'jiliarena_日报_底稿'!$P$2:$P$34,0),match("电子有效投注",'jiliarena_日报_底稿'!$P$3:$DS$3,0))+index('jiliarena_日报_底稿'!$P$2:$DS$34,match($A41,'jiliarena_日报_底稿'!$P$2:$P$34,0),match("真人有效投注",'jiliarena_日报_底稿'!$P$3:$DS$3,0))+index('jiliarena_日报_底稿'!$P$2:$DS$34,match($A41,'jiliarena_日报_底稿'!$P$2:$P$34,0),match("彩票有效投注",'jiliarena_日报_底稿'!$P$3:$DS$3,0))+index('jiliarena_日报_底稿'!$P$2:$DS$34,match($A41,'jiliarena_日报_底稿'!$P$2:$P$34,0),match("棋牌有效投注",'jiliarena_日报_底稿'!$P$3:$DS$3,0))+index('jiliarena_日报_底稿'!$P$2:$DS$34,match($A41,'jiliarena_日报_底稿'!$P$2:$P$34,0),match("捕鱼有效投注",'jiliarena_日报_底稿'!$P$3:$DS$3,0))+index('jiliarena_日报_底稿'!$P$2:$DS$34,match($A41,'jiliarena_日报_底稿'!$P$2:$P$34,0),match("体育有效投注",'jiliarena_日报_底稿'!$P$3:$DS$3,0))+index('jiliarena_日报_底稿'!$P$2:$DS$34,match($A41,'jiliarena_日报_底稿'!$P$2:$P$34,0),match("盘口彩票有效投注",'jiliarena_日报_底稿'!$P$3:$DS$3,0))</f>
        <v>0</v>
      </c>
      <c r="Y41" s="138">
        <f t="shared" si="92"/>
        <v>0</v>
      </c>
      <c r="Z41" s="172">
        <f t="shared" si="93"/>
        <v>0</v>
      </c>
      <c r="AA41" s="167" t="str">
        <f t="shared" si="12"/>
        <v/>
      </c>
      <c r="AB41" s="173" t="str">
        <f t="array" ref="AB41">INDEX('jiliarena_日报_底稿'!$P$2:$DS$34,MATCH($A41,'jiliarena_日报_底稿'!$P$2:$P$34,0),MATCH(AB$3,'jiliarena_日报_底稿'!$P$3:$DS$3,0))</f>
        <v/>
      </c>
      <c r="AC41" s="173" t="str">
        <f t="array" ref="AC41">INDEX('jiliarena_日报_底稿'!$P$2:$DS$34,MATCH($A41,'jiliarena_日报_底稿'!$P$2:$P$34,0),MATCH(AC$3,'jiliarena_日报_底稿'!$P$3:$DS$3,0))</f>
        <v/>
      </c>
      <c r="AD41" s="167" t="str">
        <f t="shared" si="14"/>
        <v/>
      </c>
      <c r="AE41" s="173" t="str">
        <f t="array" ref="AE41">INDEX('jiliarena_日报_底稿'!$P$2:$DS$34,MATCH($A41,'jiliarena_日报_底稿'!$P$2:$P$34,0),MATCH(AE$3,'jiliarena_日报_底稿'!$P$3:$DS$3,0))</f>
        <v/>
      </c>
      <c r="AF41" s="173" t="str">
        <f t="array" ref="AF41">INDEX('jiliarena_日报_底稿'!$P$2:$DS$34,MATCH($A41,'jiliarena_日报_底稿'!$P$2:$P$34,0),MATCH(AF$3,'jiliarena_日报_底稿'!$P$3:$DS$3,0))</f>
        <v/>
      </c>
      <c r="AG41" s="167" t="str">
        <f t="shared" si="16"/>
        <v/>
      </c>
      <c r="AH41" s="173" t="str">
        <f t="array" ref="AH41">INDEX('jiliarena_日报_底稿'!$P$2:$DS$34,MATCH($A41,'jiliarena_日报_底稿'!$P$2:$P$34,0),MATCH(AH$3,'jiliarena_日报_底稿'!$P$3:$DS$3,0))</f>
        <v/>
      </c>
      <c r="AI41" s="173" t="str">
        <f t="array" ref="AI41">INDEX('jiliarena_日报_底稿'!$P$2:$DS$34,MATCH($A41,'jiliarena_日报_底稿'!$P$2:$P$34,0),MATCH(AI$3,'jiliarena_日报_底稿'!$P$3:$DS$3,0))</f>
        <v/>
      </c>
      <c r="AJ41" s="167" t="str">
        <f t="shared" si="18"/>
        <v/>
      </c>
      <c r="AK41" s="173" t="str">
        <f t="array" ref="AK41">INDEX('jiliarena_日报_底稿'!$P$2:$DS$34,MATCH($A41,'jiliarena_日报_底稿'!$P$2:$P$34,0),MATCH(AK$3,'jiliarena_日报_底稿'!$P$3:$DS$3,0))</f>
        <v/>
      </c>
      <c r="AL41" s="173" t="str">
        <f t="array" ref="AL41">INDEX('jiliarena_日报_底稿'!$P$2:$DS$34,MATCH($A41,'jiliarena_日报_底稿'!$P$2:$P$34,0),MATCH(AL$3,'jiliarena_日报_底稿'!$P$3:$DS$3,0))</f>
        <v/>
      </c>
      <c r="AM41" s="167" t="str">
        <f t="shared" si="20"/>
        <v/>
      </c>
      <c r="AN41" s="173" t="str">
        <f t="array" ref="AN41">INDEX('jiliarena_日报_底稿'!$P$2:$DS$34,MATCH($A41,'jiliarena_日报_底稿'!$P$2:$P$34,0),MATCH(AN$3,'jiliarena_日报_底稿'!$P$3:$DS$3,0))</f>
        <v/>
      </c>
      <c r="AO41" s="173" t="str">
        <f t="array" ref="AO41">INDEX('jiliarena_日报_底稿'!$P$2:$DS$34,MATCH($A41,'jiliarena_日报_底稿'!$P$2:$P$34,0),MATCH(AO$3,'jiliarena_日报_底稿'!$P$3:$DS$3,0))</f>
        <v/>
      </c>
      <c r="AP41" s="167" t="str">
        <f t="shared" si="22"/>
        <v/>
      </c>
      <c r="AQ41" s="173" t="str">
        <f t="array" ref="AQ41">INDEX('jiliarena_日报_底稿'!$P$2:$DS$34,MATCH($A41,'jiliarena_日报_底稿'!$P$2:$P$34,0),MATCH(AQ$3,'jiliarena_日报_底稿'!$P$3:$DS$3,0))</f>
        <v/>
      </c>
      <c r="AR41" s="173" t="str">
        <f t="array" ref="AR41">INDEX('jiliarena_日报_底稿'!$P$2:$DS$34,MATCH($A41,'jiliarena_日报_底稿'!$P$2:$P$34,0),MATCH(AR$3,'jiliarena_日报_底稿'!$P$3:$DS$3,0))</f>
        <v/>
      </c>
      <c r="AS41" s="167" t="str">
        <f t="shared" si="24"/>
        <v/>
      </c>
      <c r="AT41" s="174">
        <f>SUMIFS('jiliarena_活动分析数据_底稿'!$K:$K,'jiliarena_活动分析数据_底稿'!$B:$B,$A41,'jiliarena_活动分析数据_底稿'!$L:$L,AT$3)</f>
        <v>0</v>
      </c>
      <c r="AU41" s="174">
        <f>SUMIFS('jiliarena_活动分析数据_底稿'!$K:$K,'jiliarena_活动分析数据_底稿'!$B:$B,$A41,'jiliarena_活动分析数据_底稿'!$L:$L,AU$3)</f>
        <v>0</v>
      </c>
      <c r="AV41" s="174">
        <f>SUMIFS('jiliarena_活动分析数据_底稿'!$K:$K,'jiliarena_活动分析数据_底稿'!$B:$B,$A41,'jiliarena_活动分析数据_底稿'!$L:$L,AV$3)</f>
        <v>0</v>
      </c>
      <c r="AW41" s="174">
        <f>SUMIFS('jiliarena_活动分析数据_底稿'!$K:$K,'jiliarena_活动分析数据_底稿'!$B:$B,$A41,'jiliarena_活动分析数据_底稿'!$L:$L,AW$3)</f>
        <v>0</v>
      </c>
      <c r="AX41" s="174">
        <f>SUMIFS('jiliarena_活动分析数据_底稿'!$K:$K,'jiliarena_活动分析数据_底稿'!$B:$B,$A41,'jiliarena_活动分析数据_底稿'!$L:$L,AX$3)</f>
        <v>0</v>
      </c>
      <c r="AY41" s="174">
        <f>SUMIFS('jiliarena_活动分析数据_底稿'!$K:$K,'jiliarena_活动分析数据_底稿'!$B:$B,$A41,'jiliarena_活动分析数据_底稿'!$L:$L,AY$3)</f>
        <v>0</v>
      </c>
      <c r="AZ41" s="174">
        <f>SUMIFS('jiliarena_活动分析数据_底稿'!$K:$K,'jiliarena_活动分析数据_底稿'!$B:$B,$A41,'jiliarena_活动分析数据_底稿'!$L:$L,AZ$3)</f>
        <v>0</v>
      </c>
      <c r="BA41" s="174">
        <f>SUMIFS('jiliarena_活动分析数据_底稿'!$K:$K,'jiliarena_活动分析数据_底稿'!$B:$B,$A41,'jiliarena_活动分析数据_底稿'!$L:$L,BA$3)</f>
        <v>0</v>
      </c>
      <c r="BB41" s="174">
        <f>SUMIFS('jiliarena_活动分析数据_底稿'!$K:$K,'jiliarena_活动分析数据_底稿'!$B:$B,$A41,'jiliarena_活动分析数据_底稿'!$L:$L,BB$3)</f>
        <v>0</v>
      </c>
      <c r="BC41" s="174">
        <f>SUMIFS('jiliarena_活动分析数据_底稿'!$K:$K,'jiliarena_活动分析数据_底稿'!$B:$B,$A41,'jiliarena_活动分析数据_底稿'!$L:$L,BC$3)</f>
        <v>0</v>
      </c>
      <c r="BD41" s="174">
        <f>SUMIFS('jiliarena_活动分析数据_底稿'!$K:$K,'jiliarena_活动分析数据_底稿'!$B:$B,$A41,'jiliarena_活动分析数据_底稿'!$L:$L,BD$3)</f>
        <v>0</v>
      </c>
      <c r="BE41" s="174">
        <f>SUMIFS('jiliarena_活动分析数据_底稿'!$K:$K,'jiliarena_活动分析数据_底稿'!$B:$B,$A41,'jiliarena_活动分析数据_底稿'!$L:$L,BE$3)</f>
        <v>0</v>
      </c>
      <c r="BF41" s="174">
        <f>SUMIFS('jiliarena_活动分析数据_底稿'!$K:$K,'jiliarena_活动分析数据_底稿'!$B:$B,$A41,'jiliarena_活动分析数据_底稿'!$L:$L,BF$3)</f>
        <v>0</v>
      </c>
      <c r="BG41" s="174">
        <f>SUMIFS('jiliarena_活动分析数据_底稿'!$K:$K,'jiliarena_活动分析数据_底稿'!$B:$B,$A41,'jiliarena_活动分析数据_底稿'!$L:$L,BG$3)</f>
        <v>0</v>
      </c>
      <c r="BH41" s="174">
        <f>SUMIFS('jiliarena_活动分析数据_底稿'!$K:$K,'jiliarena_活动分析数据_底稿'!$B:$B,$A41,'jiliarena_活动分析数据_底稿'!$L:$L,BH$3)</f>
        <v>0</v>
      </c>
      <c r="BI41" s="174">
        <f>SUMIFS('jiliarena_活动分析数据_底稿'!$K:$K,'jiliarena_活动分析数据_底稿'!$B:$B,$A41,'jiliarena_活动分析数据_底稿'!$L:$L,BI$3)</f>
        <v>0</v>
      </c>
      <c r="BJ41" s="174">
        <f>SUMIFS('jiliarena_活动分析数据_底稿'!$K:$K,'jiliarena_活动分析数据_底稿'!$B:$B,$A41,'jiliarena_活动分析数据_底稿'!$L:$L,BJ$3)</f>
        <v>0</v>
      </c>
      <c r="BK41" s="174">
        <f>SUMIFS('jiliarena_活动分析数据_底稿'!$K:$K,'jiliarena_活动分析数据_底稿'!$B:$B,$A41,'jiliarena_活动分析数据_底稿'!$L:$L,BK$3)</f>
        <v>0</v>
      </c>
      <c r="BL41" s="174">
        <f>SUMIFS('jiliarena_活动分析数据_底稿'!$K:$K,'jiliarena_活动分析数据_底稿'!$B:$B,$A41,'jiliarena_活动分析数据_底稿'!$L:$L,BL$3)</f>
        <v>0</v>
      </c>
      <c r="BM41" s="174">
        <f>SUMIFS('jiliarena_活动分析数据_底稿'!$K:$K,'jiliarena_活动分析数据_底稿'!$B:$B,$A41,'jiliarena_活动分析数据_底稿'!$L:$L,BM$3)</f>
        <v>0</v>
      </c>
      <c r="BN41" s="174">
        <f>SUMIFS('jiliarena_活动分析数据_底稿'!$K:$K,'jiliarena_活动分析数据_底稿'!$B:$B,$A41,'jiliarena_活动分析数据_底稿'!$L:$L,BN$3)</f>
        <v>0</v>
      </c>
      <c r="BO41" s="174">
        <f>SUMIFS('jiliarena_活动分析数据_底稿'!$K:$K,'jiliarena_活动分析数据_底稿'!$B:$B,$A41,'jiliarena_活动分析数据_底稿'!$L:$L,BO$3)</f>
        <v>0</v>
      </c>
      <c r="BP41" s="174">
        <f>SUMIFS('jiliarena_活动分析数据_底稿'!$K:$K,'jiliarena_活动分析数据_底稿'!$B:$B,$A41,'jiliarena_活动分析数据_底稿'!$L:$L,BP$3)</f>
        <v>0</v>
      </c>
      <c r="BQ41" s="172">
        <f t="shared" si="94"/>
        <v>0</v>
      </c>
      <c r="BR41" s="172">
        <f t="shared" si="95"/>
        <v>0</v>
      </c>
      <c r="BS41" s="172">
        <f t="shared" si="96"/>
        <v>0</v>
      </c>
      <c r="BT41" s="167" t="str">
        <f t="shared" si="26"/>
        <v/>
      </c>
      <c r="BU41" s="167" t="str">
        <f t="shared" si="27"/>
        <v/>
      </c>
      <c r="BV41" s="167" t="str">
        <f t="shared" si="28"/>
        <v/>
      </c>
      <c r="BW41" s="175">
        <f t="shared" si="29"/>
        <v>0</v>
      </c>
      <c r="BX41" s="176" t="str">
        <f t="shared" si="30"/>
        <v/>
      </c>
      <c r="BY41" s="177">
        <f t="shared" si="31"/>
        <v>0</v>
      </c>
      <c r="BZ41" s="178">
        <f t="shared" si="32"/>
        <v>0</v>
      </c>
      <c r="CA41" s="179">
        <f t="shared" si="33"/>
        <v>0</v>
      </c>
      <c r="CB41" s="180">
        <f t="shared" si="34"/>
        <v>0</v>
      </c>
      <c r="CC41" s="176" t="str">
        <f t="shared" si="35"/>
        <v/>
      </c>
      <c r="CD41" s="181" t="str">
        <f t="array" ref="CD41">index('jiliarena_日报_底稿'!$P$3:$DS$34,match(A41,'jiliarena_日报_底稿'!$P$3:$P$34,0),match("综合性分红",'jiliarena_日报_底稿'!$P$3:$DS$3,0))</f>
        <v/>
      </c>
      <c r="CE41" s="127"/>
      <c r="CF41" s="181" t="str">
        <f t="array" ref="CF41">INDEX('jiliarena_日报_底稿'!$P$2:$DS$34,MATCH($A41,'jiliarena_日报_底稿'!$P$2:$P$34,0),MATCH(CF$3,'jiliarena_日报_底稿'!$P$3:$DS$3,0))</f>
        <v/>
      </c>
      <c r="CG41" s="172">
        <f t="array" ref="CG41">-INDEX('jiliarena_日报_底稿'!$P$2:$DS$34,MATCH($A41,'jiliarena_日报_底稿'!$P$2:$P$34,0),MATCH(CG$3,'jiliarena_日报_底稿'!$P$3:$DS$3,0))</f>
        <v>0</v>
      </c>
      <c r="CH41" s="181" t="str">
        <f t="array" ref="CH41">INDEX('jiliarena_日报_底稿'!$P$2:$DS$34,MATCH($A41,'jiliarena_日报_底稿'!$P$2:$P$34,0),MATCH(CH$3,'jiliarena_日报_底稿'!$P$3:$DS$3,0))</f>
        <v/>
      </c>
      <c r="CI41" s="175">
        <f t="shared" si="37"/>
        <v>0</v>
      </c>
      <c r="CJ41" s="182">
        <f t="shared" si="38"/>
        <v>3</v>
      </c>
      <c r="CK41" s="182">
        <f t="shared" si="39"/>
        <v>27</v>
      </c>
    </row>
    <row r="42">
      <c r="A42" s="162">
        <f t="shared" si="97"/>
        <v>46109</v>
      </c>
      <c r="B42" s="163" t="str">
        <f t="array" ref="B42">INDEX('jiliarena_日报_底稿'!$A$3:$N$34,MATCH($A42,'jiliarena_日报_底稿'!$A$3:$A$34,0),MATCH(B$3,'jiliarena_日报_底稿'!$A$3:$N$3,0))</f>
        <v/>
      </c>
      <c r="C42" s="163" t="str">
        <f t="array" ref="C42">INDEX('jiliarena_日报_底稿'!$A$3:$N$34,MATCH($A42,'jiliarena_日报_底稿'!$A$3:$A$34,0),MATCH(C$3,'jiliarena_日报_底稿'!$A$3:$N$3,0))</f>
        <v/>
      </c>
      <c r="D42" s="163" t="str">
        <f t="array" ref="D42">INDEX('jiliarena_日报_底稿'!$A$3:$N$34,MATCH($A42,'jiliarena_日报_底稿'!$A$3:$A$34,0),MATCH(D$3,'jiliarena_日报_底稿'!$A$3:$N$3,0))</f>
        <v/>
      </c>
      <c r="E42" s="163"/>
      <c r="F42" s="163" t="str">
        <f t="array" ref="F42">INDEX('jiliarena_日报_底稿'!$A$3:$N$34,MATCH($A42,'jiliarena_日报_底稿'!$A$3:$A$34,0),MATCH(F$3,'jiliarena_日报_底稿'!$A$3:$N$3,0))</f>
        <v/>
      </c>
      <c r="G42" s="164">
        <f>SUMIFS('渠道充值成功率_底稿'!$F:$F,'渠道充值成功率_底稿'!$A:$A,A42)</f>
        <v>0</v>
      </c>
      <c r="H42" s="163" t="str">
        <f t="array" ref="H42">INDEX('jiliarena_日报_底稿'!$A$3:$N$34,MATCH($A42,'jiliarena_日报_底稿'!$A$3:$A$34,0),MATCH(H$3,'jiliarena_日报_底稿'!$A$3:$N$3,0))</f>
        <v/>
      </c>
      <c r="I42" s="163"/>
      <c r="J42" s="163" t="str">
        <f t="array" ref="J42">INDEX('jiliarena_日报_底稿'!$A$3:$N$34,MATCH($A42,'jiliarena_日报_底稿'!$A$3:$A$34,0),MATCH(J$3,'jiliarena_日报_底稿'!$A$3:$N$3,0))</f>
        <v/>
      </c>
      <c r="K42" s="165">
        <f>SUMIFS('渠道充值成功率_底稿'!$J:$J,'渠道充值成功率_底稿'!$A:$A,$A42)</f>
        <v>0</v>
      </c>
      <c r="L42" s="166" t="str">
        <f t="array" ref="L42">INDEX('jiliarena_日报_底稿'!$A$3:$N$34,MATCH($A42,'jiliarena_日报_底稿'!$A$3:$A$34,0),MATCH(L$3,'jiliarena_日报_底稿'!$A$3:$N$3,0))</f>
        <v/>
      </c>
      <c r="M42" s="166" t="str">
        <f t="array" ref="M42">INDEX('jiliarena_日报_底稿'!$P$2:$DS$34,MATCH($A42,'jiliarena_日报_底稿'!$P$2:$P$34,0),MATCH($M$3,'jiliarena_日报_底稿'!$P$3:$DS$3,0))</f>
        <v/>
      </c>
      <c r="N42" s="167" t="str">
        <f t="shared" si="2"/>
        <v/>
      </c>
      <c r="O42" s="168" t="str">
        <f t="shared" si="3"/>
        <v>#DIV/0!</v>
      </c>
      <c r="P42" s="167" t="str">
        <f t="shared" si="4"/>
        <v/>
      </c>
      <c r="Q42" s="168" t="str">
        <f t="shared" si="5"/>
        <v>#DIV/0!</v>
      </c>
      <c r="R42" s="169" t="str">
        <f t="shared" si="6"/>
        <v/>
      </c>
      <c r="S42" s="170" t="str">
        <f t="shared" si="7"/>
        <v/>
      </c>
      <c r="T42" s="170" t="str">
        <f t="shared" si="8"/>
        <v/>
      </c>
      <c r="U42" s="169" t="str">
        <f t="shared" si="9"/>
        <v/>
      </c>
      <c r="V42" s="171" t="str">
        <f t="shared" si="10"/>
        <v/>
      </c>
      <c r="W42" s="172">
        <f t="shared" si="91"/>
        <v>0</v>
      </c>
      <c r="X42" s="172">
        <f t="array" ref="X42">index('jiliarena_日报_底稿'!$P$2:$DS$34,match($A42,'jiliarena_日报_底稿'!$P$2:$P$34,0),match("电子有效投注",'jiliarena_日报_底稿'!$P$3:$DS$3,0))+index('jiliarena_日报_底稿'!$P$2:$DS$34,match($A42,'jiliarena_日报_底稿'!$P$2:$P$34,0),match("真人有效投注",'jiliarena_日报_底稿'!$P$3:$DS$3,0))+index('jiliarena_日报_底稿'!$P$2:$DS$34,match($A42,'jiliarena_日报_底稿'!$P$2:$P$34,0),match("彩票有效投注",'jiliarena_日报_底稿'!$P$3:$DS$3,0))+index('jiliarena_日报_底稿'!$P$2:$DS$34,match($A42,'jiliarena_日报_底稿'!$P$2:$P$34,0),match("棋牌有效投注",'jiliarena_日报_底稿'!$P$3:$DS$3,0))+index('jiliarena_日报_底稿'!$P$2:$DS$34,match($A42,'jiliarena_日报_底稿'!$P$2:$P$34,0),match("捕鱼有效投注",'jiliarena_日报_底稿'!$P$3:$DS$3,0))+index('jiliarena_日报_底稿'!$P$2:$DS$34,match($A42,'jiliarena_日报_底稿'!$P$2:$P$34,0),match("体育有效投注",'jiliarena_日报_底稿'!$P$3:$DS$3,0))+index('jiliarena_日报_底稿'!$P$2:$DS$34,match($A42,'jiliarena_日报_底稿'!$P$2:$P$34,0),match("盘口彩票有效投注",'jiliarena_日报_底稿'!$P$3:$DS$3,0))</f>
        <v>0</v>
      </c>
      <c r="Y42" s="138">
        <f t="shared" si="92"/>
        <v>0</v>
      </c>
      <c r="Z42" s="172">
        <f t="shared" si="93"/>
        <v>0</v>
      </c>
      <c r="AA42" s="167" t="str">
        <f t="shared" si="12"/>
        <v/>
      </c>
      <c r="AB42" s="173" t="str">
        <f t="array" ref="AB42">INDEX('jiliarena_日报_底稿'!$P$2:$DS$34,MATCH($A42,'jiliarena_日报_底稿'!$P$2:$P$34,0),MATCH(AB$3,'jiliarena_日报_底稿'!$P$3:$DS$3,0))</f>
        <v/>
      </c>
      <c r="AC42" s="173" t="str">
        <f t="array" ref="AC42">INDEX('jiliarena_日报_底稿'!$P$2:$DS$34,MATCH($A42,'jiliarena_日报_底稿'!$P$2:$P$34,0),MATCH(AC$3,'jiliarena_日报_底稿'!$P$3:$DS$3,0))</f>
        <v/>
      </c>
      <c r="AD42" s="167" t="str">
        <f t="shared" si="14"/>
        <v/>
      </c>
      <c r="AE42" s="173" t="str">
        <f t="array" ref="AE42">INDEX('jiliarena_日报_底稿'!$P$2:$DS$34,MATCH($A42,'jiliarena_日报_底稿'!$P$2:$P$34,0),MATCH(AE$3,'jiliarena_日报_底稿'!$P$3:$DS$3,0))</f>
        <v/>
      </c>
      <c r="AF42" s="173" t="str">
        <f t="array" ref="AF42">INDEX('jiliarena_日报_底稿'!$P$2:$DS$34,MATCH($A42,'jiliarena_日报_底稿'!$P$2:$P$34,0),MATCH(AF$3,'jiliarena_日报_底稿'!$P$3:$DS$3,0))</f>
        <v/>
      </c>
      <c r="AG42" s="167" t="str">
        <f t="shared" si="16"/>
        <v/>
      </c>
      <c r="AH42" s="173" t="str">
        <f t="array" ref="AH42">INDEX('jiliarena_日报_底稿'!$P$2:$DS$34,MATCH($A42,'jiliarena_日报_底稿'!$P$2:$P$34,0),MATCH(AH$3,'jiliarena_日报_底稿'!$P$3:$DS$3,0))</f>
        <v/>
      </c>
      <c r="AI42" s="173" t="str">
        <f t="array" ref="AI42">INDEX('jiliarena_日报_底稿'!$P$2:$DS$34,MATCH($A42,'jiliarena_日报_底稿'!$P$2:$P$34,0),MATCH(AI$3,'jiliarena_日报_底稿'!$P$3:$DS$3,0))</f>
        <v/>
      </c>
      <c r="AJ42" s="167" t="str">
        <f t="shared" si="18"/>
        <v/>
      </c>
      <c r="AK42" s="173" t="str">
        <f t="array" ref="AK42">INDEX('jiliarena_日报_底稿'!$P$2:$DS$34,MATCH($A42,'jiliarena_日报_底稿'!$P$2:$P$34,0),MATCH(AK$3,'jiliarena_日报_底稿'!$P$3:$DS$3,0))</f>
        <v/>
      </c>
      <c r="AL42" s="173" t="str">
        <f t="array" ref="AL42">INDEX('jiliarena_日报_底稿'!$P$2:$DS$34,MATCH($A42,'jiliarena_日报_底稿'!$P$2:$P$34,0),MATCH(AL$3,'jiliarena_日报_底稿'!$P$3:$DS$3,0))</f>
        <v/>
      </c>
      <c r="AM42" s="167" t="str">
        <f t="shared" si="20"/>
        <v/>
      </c>
      <c r="AN42" s="173" t="str">
        <f t="array" ref="AN42">INDEX('jiliarena_日报_底稿'!$P$2:$DS$34,MATCH($A42,'jiliarena_日报_底稿'!$P$2:$P$34,0),MATCH(AN$3,'jiliarena_日报_底稿'!$P$3:$DS$3,0))</f>
        <v/>
      </c>
      <c r="AO42" s="173" t="str">
        <f t="array" ref="AO42">INDEX('jiliarena_日报_底稿'!$P$2:$DS$34,MATCH($A42,'jiliarena_日报_底稿'!$P$2:$P$34,0),MATCH(AO$3,'jiliarena_日报_底稿'!$P$3:$DS$3,0))</f>
        <v/>
      </c>
      <c r="AP42" s="167" t="str">
        <f t="shared" si="22"/>
        <v/>
      </c>
      <c r="AQ42" s="173" t="str">
        <f t="array" ref="AQ42">INDEX('jiliarena_日报_底稿'!$P$2:$DS$34,MATCH($A42,'jiliarena_日报_底稿'!$P$2:$P$34,0),MATCH(AQ$3,'jiliarena_日报_底稿'!$P$3:$DS$3,0))</f>
        <v/>
      </c>
      <c r="AR42" s="173" t="str">
        <f t="array" ref="AR42">INDEX('jiliarena_日报_底稿'!$P$2:$DS$34,MATCH($A42,'jiliarena_日报_底稿'!$P$2:$P$34,0),MATCH(AR$3,'jiliarena_日报_底稿'!$P$3:$DS$3,0))</f>
        <v/>
      </c>
      <c r="AS42" s="167" t="str">
        <f t="shared" si="24"/>
        <v/>
      </c>
      <c r="AT42" s="174">
        <f>SUMIFS('jiliarena_活动分析数据_底稿'!$K:$K,'jiliarena_活动分析数据_底稿'!$B:$B,$A42,'jiliarena_活动分析数据_底稿'!$L:$L,AT$3)</f>
        <v>0</v>
      </c>
      <c r="AU42" s="174">
        <f>SUMIFS('jiliarena_活动分析数据_底稿'!$K:$K,'jiliarena_活动分析数据_底稿'!$B:$B,$A42,'jiliarena_活动分析数据_底稿'!$L:$L,AU$3)</f>
        <v>0</v>
      </c>
      <c r="AV42" s="174">
        <f>SUMIFS('jiliarena_活动分析数据_底稿'!$K:$K,'jiliarena_活动分析数据_底稿'!$B:$B,$A42,'jiliarena_活动分析数据_底稿'!$L:$L,AV$3)</f>
        <v>0</v>
      </c>
      <c r="AW42" s="174">
        <f>SUMIFS('jiliarena_活动分析数据_底稿'!$K:$K,'jiliarena_活动分析数据_底稿'!$B:$B,$A42,'jiliarena_活动分析数据_底稿'!$L:$L,AW$3)</f>
        <v>0</v>
      </c>
      <c r="AX42" s="174">
        <f>SUMIFS('jiliarena_活动分析数据_底稿'!$K:$K,'jiliarena_活动分析数据_底稿'!$B:$B,$A42,'jiliarena_活动分析数据_底稿'!$L:$L,AX$3)</f>
        <v>0</v>
      </c>
      <c r="AY42" s="174">
        <f>SUMIFS('jiliarena_活动分析数据_底稿'!$K:$K,'jiliarena_活动分析数据_底稿'!$B:$B,$A42,'jiliarena_活动分析数据_底稿'!$L:$L,AY$3)</f>
        <v>0</v>
      </c>
      <c r="AZ42" s="174">
        <f>SUMIFS('jiliarena_活动分析数据_底稿'!$K:$K,'jiliarena_活动分析数据_底稿'!$B:$B,$A42,'jiliarena_活动分析数据_底稿'!$L:$L,AZ$3)</f>
        <v>0</v>
      </c>
      <c r="BA42" s="174">
        <f>SUMIFS('jiliarena_活动分析数据_底稿'!$K:$K,'jiliarena_活动分析数据_底稿'!$B:$B,$A42,'jiliarena_活动分析数据_底稿'!$L:$L,BA$3)</f>
        <v>0</v>
      </c>
      <c r="BB42" s="174">
        <f>SUMIFS('jiliarena_活动分析数据_底稿'!$K:$K,'jiliarena_活动分析数据_底稿'!$B:$B,$A42,'jiliarena_活动分析数据_底稿'!$L:$L,BB$3)</f>
        <v>0</v>
      </c>
      <c r="BC42" s="174">
        <f>SUMIFS('jiliarena_活动分析数据_底稿'!$K:$K,'jiliarena_活动分析数据_底稿'!$B:$B,$A42,'jiliarena_活动分析数据_底稿'!$L:$L,BC$3)</f>
        <v>0</v>
      </c>
      <c r="BD42" s="174">
        <f>SUMIFS('jiliarena_活动分析数据_底稿'!$K:$K,'jiliarena_活动分析数据_底稿'!$B:$B,$A42,'jiliarena_活动分析数据_底稿'!$L:$L,BD$3)</f>
        <v>0</v>
      </c>
      <c r="BE42" s="174">
        <f>SUMIFS('jiliarena_活动分析数据_底稿'!$K:$K,'jiliarena_活动分析数据_底稿'!$B:$B,$A42,'jiliarena_活动分析数据_底稿'!$L:$L,BE$3)</f>
        <v>0</v>
      </c>
      <c r="BF42" s="174">
        <f>SUMIFS('jiliarena_活动分析数据_底稿'!$K:$K,'jiliarena_活动分析数据_底稿'!$B:$B,$A42,'jiliarena_活动分析数据_底稿'!$L:$L,BF$3)</f>
        <v>0</v>
      </c>
      <c r="BG42" s="174">
        <f>SUMIFS('jiliarena_活动分析数据_底稿'!$K:$K,'jiliarena_活动分析数据_底稿'!$B:$B,$A42,'jiliarena_活动分析数据_底稿'!$L:$L,BG$3)</f>
        <v>0</v>
      </c>
      <c r="BH42" s="174">
        <f>SUMIFS('jiliarena_活动分析数据_底稿'!$K:$K,'jiliarena_活动分析数据_底稿'!$B:$B,$A42,'jiliarena_活动分析数据_底稿'!$L:$L,BH$3)</f>
        <v>0</v>
      </c>
      <c r="BI42" s="174">
        <f>SUMIFS('jiliarena_活动分析数据_底稿'!$K:$K,'jiliarena_活动分析数据_底稿'!$B:$B,$A42,'jiliarena_活动分析数据_底稿'!$L:$L,BI$3)</f>
        <v>0</v>
      </c>
      <c r="BJ42" s="174">
        <f>SUMIFS('jiliarena_活动分析数据_底稿'!$K:$K,'jiliarena_活动分析数据_底稿'!$B:$B,$A42,'jiliarena_活动分析数据_底稿'!$L:$L,BJ$3)</f>
        <v>0</v>
      </c>
      <c r="BK42" s="174">
        <f>SUMIFS('jiliarena_活动分析数据_底稿'!$K:$K,'jiliarena_活动分析数据_底稿'!$B:$B,$A42,'jiliarena_活动分析数据_底稿'!$L:$L,BK$3)</f>
        <v>0</v>
      </c>
      <c r="BL42" s="174">
        <f>SUMIFS('jiliarena_活动分析数据_底稿'!$K:$K,'jiliarena_活动分析数据_底稿'!$B:$B,$A42,'jiliarena_活动分析数据_底稿'!$L:$L,BL$3)</f>
        <v>0</v>
      </c>
      <c r="BM42" s="174">
        <f>SUMIFS('jiliarena_活动分析数据_底稿'!$K:$K,'jiliarena_活动分析数据_底稿'!$B:$B,$A42,'jiliarena_活动分析数据_底稿'!$L:$L,BM$3)</f>
        <v>0</v>
      </c>
      <c r="BN42" s="174">
        <f>SUMIFS('jiliarena_活动分析数据_底稿'!$K:$K,'jiliarena_活动分析数据_底稿'!$B:$B,$A42,'jiliarena_活动分析数据_底稿'!$L:$L,BN$3)</f>
        <v>0</v>
      </c>
      <c r="BO42" s="174">
        <f>SUMIFS('jiliarena_活动分析数据_底稿'!$K:$K,'jiliarena_活动分析数据_底稿'!$B:$B,$A42,'jiliarena_活动分析数据_底稿'!$L:$L,BO$3)</f>
        <v>0</v>
      </c>
      <c r="BP42" s="174">
        <f>SUMIFS('jiliarena_活动分析数据_底稿'!$K:$K,'jiliarena_活动分析数据_底稿'!$B:$B,$A42,'jiliarena_活动分析数据_底稿'!$L:$L,BP$3)</f>
        <v>0</v>
      </c>
      <c r="BQ42" s="172">
        <f t="shared" si="94"/>
        <v>0</v>
      </c>
      <c r="BR42" s="172">
        <f t="shared" si="95"/>
        <v>0</v>
      </c>
      <c r="BS42" s="172">
        <f t="shared" si="96"/>
        <v>0</v>
      </c>
      <c r="BT42" s="167" t="str">
        <f t="shared" si="26"/>
        <v/>
      </c>
      <c r="BU42" s="167" t="str">
        <f t="shared" si="27"/>
        <v/>
      </c>
      <c r="BV42" s="167" t="str">
        <f t="shared" si="28"/>
        <v/>
      </c>
      <c r="BW42" s="175">
        <f t="shared" si="29"/>
        <v>0</v>
      </c>
      <c r="BX42" s="176" t="str">
        <f t="shared" si="30"/>
        <v/>
      </c>
      <c r="BY42" s="177">
        <f t="shared" si="31"/>
        <v>0</v>
      </c>
      <c r="BZ42" s="178">
        <f t="shared" si="32"/>
        <v>0</v>
      </c>
      <c r="CA42" s="179">
        <f t="shared" si="33"/>
        <v>0</v>
      </c>
      <c r="CB42" s="180">
        <f t="shared" si="34"/>
        <v>0</v>
      </c>
      <c r="CC42" s="176" t="str">
        <f t="shared" si="35"/>
        <v/>
      </c>
      <c r="CD42" s="181" t="str">
        <f t="array" ref="CD42">index('jiliarena_日报_底稿'!$P$3:$DS$34,match(A42,'jiliarena_日报_底稿'!$P$3:$P$34,0),match("综合性分红",'jiliarena_日报_底稿'!$P$3:$DS$3,0))</f>
        <v/>
      </c>
      <c r="CE42" s="127"/>
      <c r="CF42" s="181" t="str">
        <f t="array" ref="CF42">INDEX('jiliarena_日报_底稿'!$P$2:$DS$34,MATCH($A42,'jiliarena_日报_底稿'!$P$2:$P$34,0),MATCH(CF$3,'jiliarena_日报_底稿'!$P$3:$DS$3,0))</f>
        <v/>
      </c>
      <c r="CG42" s="172">
        <f t="array" ref="CG42">-INDEX('jiliarena_日报_底稿'!$P$2:$DS$34,MATCH($A42,'jiliarena_日报_底稿'!$P$2:$P$34,0),MATCH(CG$3,'jiliarena_日报_底稿'!$P$3:$DS$3,0))</f>
        <v>0</v>
      </c>
      <c r="CH42" s="181" t="str">
        <f t="array" ref="CH42">INDEX('jiliarena_日报_底稿'!$P$2:$DS$34,MATCH($A42,'jiliarena_日报_底稿'!$P$2:$P$34,0),MATCH(CH$3,'jiliarena_日报_底稿'!$P$3:$DS$3,0))</f>
        <v/>
      </c>
      <c r="CI42" s="175">
        <f t="shared" si="37"/>
        <v>0</v>
      </c>
      <c r="CJ42" s="182">
        <f t="shared" si="38"/>
        <v>3</v>
      </c>
      <c r="CK42" s="182">
        <f t="shared" si="39"/>
        <v>28</v>
      </c>
    </row>
    <row r="43">
      <c r="A43" s="162">
        <f t="shared" si="97"/>
        <v>46110</v>
      </c>
      <c r="B43" s="163" t="str">
        <f t="array" ref="B43">INDEX('jiliarena_日报_底稿'!$A$3:$N$34,MATCH($A43,'jiliarena_日报_底稿'!$A$3:$A$34,0),MATCH(B$3,'jiliarena_日报_底稿'!$A$3:$N$3,0))</f>
        <v/>
      </c>
      <c r="C43" s="163" t="str">
        <f t="array" ref="C43">INDEX('jiliarena_日报_底稿'!$A$3:$N$34,MATCH($A43,'jiliarena_日报_底稿'!$A$3:$A$34,0),MATCH(C$3,'jiliarena_日报_底稿'!$A$3:$N$3,0))</f>
        <v/>
      </c>
      <c r="D43" s="163" t="str">
        <f t="array" ref="D43">INDEX('jiliarena_日报_底稿'!$A$3:$N$34,MATCH($A43,'jiliarena_日报_底稿'!$A$3:$A$34,0),MATCH(D$3,'jiliarena_日报_底稿'!$A$3:$N$3,0))</f>
        <v/>
      </c>
      <c r="E43" s="163"/>
      <c r="F43" s="163" t="str">
        <f t="array" ref="F43">INDEX('jiliarena_日报_底稿'!$A$3:$N$34,MATCH($A43,'jiliarena_日报_底稿'!$A$3:$A$34,0),MATCH(F$3,'jiliarena_日报_底稿'!$A$3:$N$3,0))</f>
        <v/>
      </c>
      <c r="G43" s="164">
        <f>SUMIFS('渠道充值成功率_底稿'!$F:$F,'渠道充值成功率_底稿'!$A:$A,A43)</f>
        <v>0</v>
      </c>
      <c r="H43" s="163" t="str">
        <f t="array" ref="H43">INDEX('jiliarena_日报_底稿'!$A$3:$N$34,MATCH($A43,'jiliarena_日报_底稿'!$A$3:$A$34,0),MATCH(H$3,'jiliarena_日报_底稿'!$A$3:$N$3,0))</f>
        <v/>
      </c>
      <c r="I43" s="163"/>
      <c r="J43" s="163" t="str">
        <f t="array" ref="J43">INDEX('jiliarena_日报_底稿'!$A$3:$N$34,MATCH($A43,'jiliarena_日报_底稿'!$A$3:$A$34,0),MATCH(J$3,'jiliarena_日报_底稿'!$A$3:$N$3,0))</f>
        <v/>
      </c>
      <c r="K43" s="165">
        <f>SUMIFS('渠道充值成功率_底稿'!$J:$J,'渠道充值成功率_底稿'!$A:$A,$A43)</f>
        <v>0</v>
      </c>
      <c r="L43" s="166" t="str">
        <f t="array" ref="L43">INDEX('jiliarena_日报_底稿'!$A$3:$N$34,MATCH($A43,'jiliarena_日报_底稿'!$A$3:$A$34,0),MATCH(L$3,'jiliarena_日报_底稿'!$A$3:$N$3,0))</f>
        <v/>
      </c>
      <c r="M43" s="166" t="str">
        <f t="array" ref="M43">INDEX('jiliarena_日报_底稿'!$P$2:$DS$34,MATCH($A43,'jiliarena_日报_底稿'!$P$2:$P$34,0),MATCH($M$3,'jiliarena_日报_底稿'!$P$3:$DS$3,0))</f>
        <v/>
      </c>
      <c r="N43" s="167" t="str">
        <f t="shared" si="2"/>
        <v/>
      </c>
      <c r="O43" s="168" t="str">
        <f t="shared" si="3"/>
        <v>#DIV/0!</v>
      </c>
      <c r="P43" s="167" t="str">
        <f t="shared" si="4"/>
        <v/>
      </c>
      <c r="Q43" s="168" t="str">
        <f t="shared" si="5"/>
        <v>#DIV/0!</v>
      </c>
      <c r="R43" s="169" t="str">
        <f t="shared" si="6"/>
        <v/>
      </c>
      <c r="S43" s="170" t="str">
        <f t="shared" si="7"/>
        <v/>
      </c>
      <c r="T43" s="170" t="str">
        <f t="shared" si="8"/>
        <v/>
      </c>
      <c r="U43" s="169" t="str">
        <f t="shared" si="9"/>
        <v/>
      </c>
      <c r="V43" s="171" t="str">
        <f t="shared" si="10"/>
        <v/>
      </c>
      <c r="W43" s="172">
        <f t="shared" si="91"/>
        <v>0</v>
      </c>
      <c r="X43" s="172">
        <f t="array" ref="X43">index('jiliarena_日报_底稿'!$P$2:$DS$34,match($A43,'jiliarena_日报_底稿'!$P$2:$P$34,0),match("电子有效投注",'jiliarena_日报_底稿'!$P$3:$DS$3,0))+index('jiliarena_日报_底稿'!$P$2:$DS$34,match($A43,'jiliarena_日报_底稿'!$P$2:$P$34,0),match("真人有效投注",'jiliarena_日报_底稿'!$P$3:$DS$3,0))+index('jiliarena_日报_底稿'!$P$2:$DS$34,match($A43,'jiliarena_日报_底稿'!$P$2:$P$34,0),match("彩票有效投注",'jiliarena_日报_底稿'!$P$3:$DS$3,0))+index('jiliarena_日报_底稿'!$P$2:$DS$34,match($A43,'jiliarena_日报_底稿'!$P$2:$P$34,0),match("棋牌有效投注",'jiliarena_日报_底稿'!$P$3:$DS$3,0))+index('jiliarena_日报_底稿'!$P$2:$DS$34,match($A43,'jiliarena_日报_底稿'!$P$2:$P$34,0),match("捕鱼有效投注",'jiliarena_日报_底稿'!$P$3:$DS$3,0))+index('jiliarena_日报_底稿'!$P$2:$DS$34,match($A43,'jiliarena_日报_底稿'!$P$2:$P$34,0),match("体育有效投注",'jiliarena_日报_底稿'!$P$3:$DS$3,0))+index('jiliarena_日报_底稿'!$P$2:$DS$34,match($A43,'jiliarena_日报_底稿'!$P$2:$P$34,0),match("盘口彩票有效投注",'jiliarena_日报_底稿'!$P$3:$DS$3,0))</f>
        <v>0</v>
      </c>
      <c r="Y43" s="138">
        <f t="shared" si="92"/>
        <v>0</v>
      </c>
      <c r="Z43" s="172">
        <f t="shared" si="93"/>
        <v>0</v>
      </c>
      <c r="AA43" s="167" t="str">
        <f t="shared" si="12"/>
        <v/>
      </c>
      <c r="AB43" s="173" t="str">
        <f t="array" ref="AB43">INDEX('jiliarena_日报_底稿'!$P$2:$DS$34,MATCH($A43,'jiliarena_日报_底稿'!$P$2:$P$34,0),MATCH(AB$3,'jiliarena_日报_底稿'!$P$3:$DS$3,0))</f>
        <v/>
      </c>
      <c r="AC43" s="173" t="str">
        <f t="array" ref="AC43">INDEX('jiliarena_日报_底稿'!$P$2:$DS$34,MATCH($A43,'jiliarena_日报_底稿'!$P$2:$P$34,0),MATCH(AC$3,'jiliarena_日报_底稿'!$P$3:$DS$3,0))</f>
        <v/>
      </c>
      <c r="AD43" s="167" t="str">
        <f t="shared" si="14"/>
        <v/>
      </c>
      <c r="AE43" s="173" t="str">
        <f t="array" ref="AE43">INDEX('jiliarena_日报_底稿'!$P$2:$DS$34,MATCH($A43,'jiliarena_日报_底稿'!$P$2:$P$34,0),MATCH(AE$3,'jiliarena_日报_底稿'!$P$3:$DS$3,0))</f>
        <v/>
      </c>
      <c r="AF43" s="173" t="str">
        <f t="array" ref="AF43">INDEX('jiliarena_日报_底稿'!$P$2:$DS$34,MATCH($A43,'jiliarena_日报_底稿'!$P$2:$P$34,0),MATCH(AF$3,'jiliarena_日报_底稿'!$P$3:$DS$3,0))</f>
        <v/>
      </c>
      <c r="AG43" s="167" t="str">
        <f t="shared" si="16"/>
        <v/>
      </c>
      <c r="AH43" s="173" t="str">
        <f t="array" ref="AH43">INDEX('jiliarena_日报_底稿'!$P$2:$DS$34,MATCH($A43,'jiliarena_日报_底稿'!$P$2:$P$34,0),MATCH(AH$3,'jiliarena_日报_底稿'!$P$3:$DS$3,0))</f>
        <v/>
      </c>
      <c r="AI43" s="173" t="str">
        <f t="array" ref="AI43">INDEX('jiliarena_日报_底稿'!$P$2:$DS$34,MATCH($A43,'jiliarena_日报_底稿'!$P$2:$P$34,0),MATCH(AI$3,'jiliarena_日报_底稿'!$P$3:$DS$3,0))</f>
        <v/>
      </c>
      <c r="AJ43" s="167" t="str">
        <f t="shared" si="18"/>
        <v/>
      </c>
      <c r="AK43" s="173" t="str">
        <f t="array" ref="AK43">INDEX('jiliarena_日报_底稿'!$P$2:$DS$34,MATCH($A43,'jiliarena_日报_底稿'!$P$2:$P$34,0),MATCH(AK$3,'jiliarena_日报_底稿'!$P$3:$DS$3,0))</f>
        <v/>
      </c>
      <c r="AL43" s="173" t="str">
        <f t="array" ref="AL43">INDEX('jiliarena_日报_底稿'!$P$2:$DS$34,MATCH($A43,'jiliarena_日报_底稿'!$P$2:$P$34,0),MATCH(AL$3,'jiliarena_日报_底稿'!$P$3:$DS$3,0))</f>
        <v/>
      </c>
      <c r="AM43" s="167" t="str">
        <f t="shared" si="20"/>
        <v/>
      </c>
      <c r="AN43" s="173" t="str">
        <f t="array" ref="AN43">INDEX('jiliarena_日报_底稿'!$P$2:$DS$34,MATCH($A43,'jiliarena_日报_底稿'!$P$2:$P$34,0),MATCH(AN$3,'jiliarena_日报_底稿'!$P$3:$DS$3,0))</f>
        <v/>
      </c>
      <c r="AO43" s="173" t="str">
        <f t="array" ref="AO43">INDEX('jiliarena_日报_底稿'!$P$2:$DS$34,MATCH($A43,'jiliarena_日报_底稿'!$P$2:$P$34,0),MATCH(AO$3,'jiliarena_日报_底稿'!$P$3:$DS$3,0))</f>
        <v/>
      </c>
      <c r="AP43" s="167" t="str">
        <f t="shared" si="22"/>
        <v/>
      </c>
      <c r="AQ43" s="173" t="str">
        <f t="array" ref="AQ43">INDEX('jiliarena_日报_底稿'!$P$2:$DS$34,MATCH($A43,'jiliarena_日报_底稿'!$P$2:$P$34,0),MATCH(AQ$3,'jiliarena_日报_底稿'!$P$3:$DS$3,0))</f>
        <v/>
      </c>
      <c r="AR43" s="173" t="str">
        <f t="array" ref="AR43">INDEX('jiliarena_日报_底稿'!$P$2:$DS$34,MATCH($A43,'jiliarena_日报_底稿'!$P$2:$P$34,0),MATCH(AR$3,'jiliarena_日报_底稿'!$P$3:$DS$3,0))</f>
        <v/>
      </c>
      <c r="AS43" s="167" t="str">
        <f t="shared" si="24"/>
        <v/>
      </c>
      <c r="AT43" s="174">
        <f>SUMIFS('jiliarena_活动分析数据_底稿'!$K:$K,'jiliarena_活动分析数据_底稿'!$B:$B,$A43,'jiliarena_活动分析数据_底稿'!$L:$L,AT$3)</f>
        <v>0</v>
      </c>
      <c r="AU43" s="174">
        <f>SUMIFS('jiliarena_活动分析数据_底稿'!$K:$K,'jiliarena_活动分析数据_底稿'!$B:$B,$A43,'jiliarena_活动分析数据_底稿'!$L:$L,AU$3)</f>
        <v>0</v>
      </c>
      <c r="AV43" s="174">
        <f>SUMIFS('jiliarena_活动分析数据_底稿'!$K:$K,'jiliarena_活动分析数据_底稿'!$B:$B,$A43,'jiliarena_活动分析数据_底稿'!$L:$L,AV$3)</f>
        <v>0</v>
      </c>
      <c r="AW43" s="174">
        <f>SUMIFS('jiliarena_活动分析数据_底稿'!$K:$K,'jiliarena_活动分析数据_底稿'!$B:$B,$A43,'jiliarena_活动分析数据_底稿'!$L:$L,AW$3)</f>
        <v>0</v>
      </c>
      <c r="AX43" s="174">
        <f>SUMIFS('jiliarena_活动分析数据_底稿'!$K:$K,'jiliarena_活动分析数据_底稿'!$B:$B,$A43,'jiliarena_活动分析数据_底稿'!$L:$L,AX$3)</f>
        <v>0</v>
      </c>
      <c r="AY43" s="174">
        <f>SUMIFS('jiliarena_活动分析数据_底稿'!$K:$K,'jiliarena_活动分析数据_底稿'!$B:$B,$A43,'jiliarena_活动分析数据_底稿'!$L:$L,AY$3)</f>
        <v>0</v>
      </c>
      <c r="AZ43" s="174">
        <f>SUMIFS('jiliarena_活动分析数据_底稿'!$K:$K,'jiliarena_活动分析数据_底稿'!$B:$B,$A43,'jiliarena_活动分析数据_底稿'!$L:$L,AZ$3)</f>
        <v>0</v>
      </c>
      <c r="BA43" s="174">
        <f>SUMIFS('jiliarena_活动分析数据_底稿'!$K:$K,'jiliarena_活动分析数据_底稿'!$B:$B,$A43,'jiliarena_活动分析数据_底稿'!$L:$L,BA$3)</f>
        <v>0</v>
      </c>
      <c r="BB43" s="174">
        <f>SUMIFS('jiliarena_活动分析数据_底稿'!$K:$K,'jiliarena_活动分析数据_底稿'!$B:$B,$A43,'jiliarena_活动分析数据_底稿'!$L:$L,BB$3)</f>
        <v>0</v>
      </c>
      <c r="BC43" s="174">
        <f>SUMIFS('jiliarena_活动分析数据_底稿'!$K:$K,'jiliarena_活动分析数据_底稿'!$B:$B,$A43,'jiliarena_活动分析数据_底稿'!$L:$L,BC$3)</f>
        <v>0</v>
      </c>
      <c r="BD43" s="174">
        <f>SUMIFS('jiliarena_活动分析数据_底稿'!$K:$K,'jiliarena_活动分析数据_底稿'!$B:$B,$A43,'jiliarena_活动分析数据_底稿'!$L:$L,BD$3)</f>
        <v>0</v>
      </c>
      <c r="BE43" s="174">
        <f>SUMIFS('jiliarena_活动分析数据_底稿'!$K:$K,'jiliarena_活动分析数据_底稿'!$B:$B,$A43,'jiliarena_活动分析数据_底稿'!$L:$L,BE$3)</f>
        <v>0</v>
      </c>
      <c r="BF43" s="174">
        <f>SUMIFS('jiliarena_活动分析数据_底稿'!$K:$K,'jiliarena_活动分析数据_底稿'!$B:$B,$A43,'jiliarena_活动分析数据_底稿'!$L:$L,BF$3)</f>
        <v>0</v>
      </c>
      <c r="BG43" s="174">
        <f>SUMIFS('jiliarena_活动分析数据_底稿'!$K:$K,'jiliarena_活动分析数据_底稿'!$B:$B,$A43,'jiliarena_活动分析数据_底稿'!$L:$L,BG$3)</f>
        <v>0</v>
      </c>
      <c r="BH43" s="174">
        <f>SUMIFS('jiliarena_活动分析数据_底稿'!$K:$K,'jiliarena_活动分析数据_底稿'!$B:$B,$A43,'jiliarena_活动分析数据_底稿'!$L:$L,BH$3)</f>
        <v>0</v>
      </c>
      <c r="BI43" s="174">
        <f>SUMIFS('jiliarena_活动分析数据_底稿'!$K:$K,'jiliarena_活动分析数据_底稿'!$B:$B,$A43,'jiliarena_活动分析数据_底稿'!$L:$L,BI$3)</f>
        <v>0</v>
      </c>
      <c r="BJ43" s="174">
        <f>SUMIFS('jiliarena_活动分析数据_底稿'!$K:$K,'jiliarena_活动分析数据_底稿'!$B:$B,$A43,'jiliarena_活动分析数据_底稿'!$L:$L,BJ$3)</f>
        <v>0</v>
      </c>
      <c r="BK43" s="174">
        <f>SUMIFS('jiliarena_活动分析数据_底稿'!$K:$K,'jiliarena_活动分析数据_底稿'!$B:$B,$A43,'jiliarena_活动分析数据_底稿'!$L:$L,BK$3)</f>
        <v>0</v>
      </c>
      <c r="BL43" s="174">
        <f>SUMIFS('jiliarena_活动分析数据_底稿'!$K:$K,'jiliarena_活动分析数据_底稿'!$B:$B,$A43,'jiliarena_活动分析数据_底稿'!$L:$L,BL$3)</f>
        <v>0</v>
      </c>
      <c r="BM43" s="174">
        <f>SUMIFS('jiliarena_活动分析数据_底稿'!$K:$K,'jiliarena_活动分析数据_底稿'!$B:$B,$A43,'jiliarena_活动分析数据_底稿'!$L:$L,BM$3)</f>
        <v>0</v>
      </c>
      <c r="BN43" s="174">
        <f>SUMIFS('jiliarena_活动分析数据_底稿'!$K:$K,'jiliarena_活动分析数据_底稿'!$B:$B,$A43,'jiliarena_活动分析数据_底稿'!$L:$L,BN$3)</f>
        <v>0</v>
      </c>
      <c r="BO43" s="174">
        <f>SUMIFS('jiliarena_活动分析数据_底稿'!$K:$K,'jiliarena_活动分析数据_底稿'!$B:$B,$A43,'jiliarena_活动分析数据_底稿'!$L:$L,BO$3)</f>
        <v>0</v>
      </c>
      <c r="BP43" s="174">
        <f>SUMIFS('jiliarena_活动分析数据_底稿'!$K:$K,'jiliarena_活动分析数据_底稿'!$B:$B,$A43,'jiliarena_活动分析数据_底稿'!$L:$L,BP$3)</f>
        <v>0</v>
      </c>
      <c r="BQ43" s="172">
        <f t="shared" si="94"/>
        <v>0</v>
      </c>
      <c r="BR43" s="172">
        <f t="shared" si="95"/>
        <v>0</v>
      </c>
      <c r="BS43" s="172">
        <f t="shared" si="96"/>
        <v>0</v>
      </c>
      <c r="BT43" s="167" t="str">
        <f t="shared" si="26"/>
        <v/>
      </c>
      <c r="BU43" s="167" t="str">
        <f t="shared" si="27"/>
        <v/>
      </c>
      <c r="BV43" s="167" t="str">
        <f t="shared" si="28"/>
        <v/>
      </c>
      <c r="BW43" s="175">
        <f t="shared" si="29"/>
        <v>0</v>
      </c>
      <c r="BX43" s="176" t="str">
        <f t="shared" si="30"/>
        <v/>
      </c>
      <c r="BY43" s="177">
        <f t="shared" si="31"/>
        <v>0</v>
      </c>
      <c r="BZ43" s="178">
        <f t="shared" si="32"/>
        <v>0</v>
      </c>
      <c r="CA43" s="179">
        <f t="shared" si="33"/>
        <v>0</v>
      </c>
      <c r="CB43" s="180">
        <f t="shared" si="34"/>
        <v>0</v>
      </c>
      <c r="CC43" s="176" t="str">
        <f t="shared" si="35"/>
        <v/>
      </c>
      <c r="CD43" s="181" t="str">
        <f t="array" ref="CD43">index('jiliarena_日报_底稿'!$P$3:$DS$34,match(A43,'jiliarena_日报_底稿'!$P$3:$P$34,0),match("综合性分红",'jiliarena_日报_底稿'!$P$3:$DS$3,0))</f>
        <v/>
      </c>
      <c r="CE43" s="181"/>
      <c r="CF43" s="181" t="str">
        <f t="array" ref="CF43">INDEX('jiliarena_日报_底稿'!$P$2:$DS$34,MATCH($A43,'jiliarena_日报_底稿'!$P$2:$P$34,0),MATCH(CF$3,'jiliarena_日报_底稿'!$P$3:$DS$3,0))</f>
        <v/>
      </c>
      <c r="CG43" s="172">
        <f t="array" ref="CG43">-INDEX('jiliarena_日报_底稿'!$P$2:$DS$34,MATCH($A43,'jiliarena_日报_底稿'!$P$2:$P$34,0),MATCH(CG$3,'jiliarena_日报_底稿'!$P$3:$DS$3,0))</f>
        <v>0</v>
      </c>
      <c r="CH43" s="181" t="str">
        <f t="array" ref="CH43">INDEX('jiliarena_日报_底稿'!$P$2:$DS$34,MATCH($A43,'jiliarena_日报_底稿'!$P$2:$P$34,0),MATCH(CH$3,'jiliarena_日报_底稿'!$P$3:$DS$3,0))</f>
        <v/>
      </c>
      <c r="CI43" s="175">
        <f t="shared" si="37"/>
        <v>0</v>
      </c>
      <c r="CJ43" s="182">
        <f t="shared" si="38"/>
        <v>3</v>
      </c>
      <c r="CK43" s="182">
        <f t="shared" si="39"/>
        <v>29</v>
      </c>
    </row>
    <row r="44">
      <c r="A44" s="183" t="s">
        <v>269</v>
      </c>
      <c r="B44" s="184">
        <f t="shared" ref="B44:M44" si="98">SUM(B37:B43)</f>
        <v>0</v>
      </c>
      <c r="C44" s="184">
        <f t="shared" si="98"/>
        <v>0</v>
      </c>
      <c r="D44" s="184">
        <f t="shared" si="98"/>
        <v>0</v>
      </c>
      <c r="E44" s="184">
        <f t="shared" si="98"/>
        <v>0</v>
      </c>
      <c r="F44" s="184">
        <f t="shared" si="98"/>
        <v>0</v>
      </c>
      <c r="G44" s="184">
        <f t="shared" si="98"/>
        <v>0</v>
      </c>
      <c r="H44" s="184">
        <f t="shared" si="98"/>
        <v>0</v>
      </c>
      <c r="I44" s="184">
        <f t="shared" si="98"/>
        <v>0</v>
      </c>
      <c r="J44" s="184">
        <f t="shared" si="98"/>
        <v>0</v>
      </c>
      <c r="K44" s="185">
        <f t="shared" si="98"/>
        <v>0</v>
      </c>
      <c r="L44" s="185">
        <f t="shared" si="98"/>
        <v>0</v>
      </c>
      <c r="M44" s="185">
        <f t="shared" si="98"/>
        <v>0</v>
      </c>
      <c r="N44" s="186" t="str">
        <f t="shared" si="2"/>
        <v>#DIV/0!</v>
      </c>
      <c r="O44" s="187" t="str">
        <f t="shared" si="3"/>
        <v>#DIV/0!</v>
      </c>
      <c r="P44" s="186" t="str">
        <f t="shared" si="4"/>
        <v>#DIV/0!</v>
      </c>
      <c r="Q44" s="187" t="str">
        <f t="shared" si="5"/>
        <v>#DIV/0!</v>
      </c>
      <c r="R44" s="188" t="str">
        <f t="shared" si="6"/>
        <v>#DIV/0!</v>
      </c>
      <c r="S44" s="187" t="str">
        <f t="shared" si="7"/>
        <v>#DIV/0!</v>
      </c>
      <c r="T44" s="187" t="str">
        <f t="shared" si="8"/>
        <v>#DIV/0!</v>
      </c>
      <c r="U44" s="188" t="str">
        <f t="shared" si="9"/>
        <v>#DIV/0!</v>
      </c>
      <c r="V44" s="189">
        <f t="shared" si="10"/>
        <v>0</v>
      </c>
      <c r="W44" s="190">
        <f t="shared" ref="W44:Z44" si="99">SUM(W37:W43)</f>
        <v>0</v>
      </c>
      <c r="X44" s="190">
        <f t="shared" si="99"/>
        <v>0</v>
      </c>
      <c r="Y44" s="190">
        <f t="shared" si="99"/>
        <v>0</v>
      </c>
      <c r="Z44" s="190">
        <f t="shared" si="99"/>
        <v>0</v>
      </c>
      <c r="AA44" s="191" t="str">
        <f t="shared" si="12"/>
        <v/>
      </c>
      <c r="AB44" s="190">
        <f t="shared" ref="AB44:AC44" si="100">SUM(AB37:AB43)</f>
        <v>0</v>
      </c>
      <c r="AC44" s="190">
        <f t="shared" si="100"/>
        <v>0</v>
      </c>
      <c r="AD44" s="192" t="str">
        <f t="shared" si="14"/>
        <v>#DIV/0!</v>
      </c>
      <c r="AE44" s="190">
        <f t="shared" ref="AE44:AF44" si="101">SUM(AE37:AE43)</f>
        <v>0</v>
      </c>
      <c r="AF44" s="190">
        <f t="shared" si="101"/>
        <v>0</v>
      </c>
      <c r="AG44" s="192" t="str">
        <f t="shared" si="16"/>
        <v>#DIV/0!</v>
      </c>
      <c r="AH44" s="190">
        <f t="shared" ref="AH44:AI44" si="102">SUM(AH37:AH43)</f>
        <v>0</v>
      </c>
      <c r="AI44" s="190">
        <f t="shared" si="102"/>
        <v>0</v>
      </c>
      <c r="AJ44" s="193" t="str">
        <f t="shared" si="18"/>
        <v>#DIV/0!</v>
      </c>
      <c r="AK44" s="190">
        <f t="shared" ref="AK44:AL44" si="103">SUM(AK37:AK43)</f>
        <v>0</v>
      </c>
      <c r="AL44" s="190">
        <f t="shared" si="103"/>
        <v>0</v>
      </c>
      <c r="AM44" s="192" t="str">
        <f t="shared" si="20"/>
        <v>#DIV/0!</v>
      </c>
      <c r="AN44" s="190">
        <f t="shared" ref="AN44:AO44" si="104">SUM(AN37:AN43)</f>
        <v>0</v>
      </c>
      <c r="AO44" s="190">
        <f t="shared" si="104"/>
        <v>0</v>
      </c>
      <c r="AP44" s="192" t="str">
        <f t="shared" si="22"/>
        <v>#DIV/0!</v>
      </c>
      <c r="AQ44" s="190">
        <f t="shared" ref="AQ44:AR44" si="105">SUM(AQ37:AQ43)</f>
        <v>0</v>
      </c>
      <c r="AR44" s="190">
        <f t="shared" si="105"/>
        <v>0</v>
      </c>
      <c r="AS44" s="192" t="str">
        <f t="shared" si="24"/>
        <v>#DIV/0!</v>
      </c>
      <c r="AT44" s="189">
        <f t="shared" ref="AT44:BS44" si="106">SUM(AT37:AT43)</f>
        <v>0</v>
      </c>
      <c r="AU44" s="189">
        <f t="shared" si="106"/>
        <v>0</v>
      </c>
      <c r="AV44" s="189">
        <f t="shared" si="106"/>
        <v>0</v>
      </c>
      <c r="AW44" s="189">
        <f t="shared" si="106"/>
        <v>0</v>
      </c>
      <c r="AX44" s="189">
        <f t="shared" si="106"/>
        <v>0</v>
      </c>
      <c r="AY44" s="189">
        <f t="shared" si="106"/>
        <v>0</v>
      </c>
      <c r="AZ44" s="189">
        <f t="shared" si="106"/>
        <v>0</v>
      </c>
      <c r="BA44" s="189">
        <f t="shared" si="106"/>
        <v>0</v>
      </c>
      <c r="BB44" s="189">
        <f t="shared" si="106"/>
        <v>0</v>
      </c>
      <c r="BC44" s="189">
        <f t="shared" si="106"/>
        <v>0</v>
      </c>
      <c r="BD44" s="189">
        <f t="shared" si="106"/>
        <v>0</v>
      </c>
      <c r="BE44" s="189">
        <f t="shared" si="106"/>
        <v>0</v>
      </c>
      <c r="BF44" s="189">
        <f t="shared" si="106"/>
        <v>0</v>
      </c>
      <c r="BG44" s="189">
        <f t="shared" si="106"/>
        <v>0</v>
      </c>
      <c r="BH44" s="189">
        <f t="shared" si="106"/>
        <v>0</v>
      </c>
      <c r="BI44" s="189">
        <f t="shared" si="106"/>
        <v>0</v>
      </c>
      <c r="BJ44" s="189">
        <f t="shared" si="106"/>
        <v>0</v>
      </c>
      <c r="BK44" s="189">
        <f t="shared" si="106"/>
        <v>0</v>
      </c>
      <c r="BL44" s="189">
        <f t="shared" si="106"/>
        <v>0</v>
      </c>
      <c r="BM44" s="189">
        <f t="shared" si="106"/>
        <v>0</v>
      </c>
      <c r="BN44" s="189">
        <f t="shared" si="106"/>
        <v>0</v>
      </c>
      <c r="BO44" s="189">
        <f t="shared" si="106"/>
        <v>0</v>
      </c>
      <c r="BP44" s="189">
        <f t="shared" si="106"/>
        <v>0</v>
      </c>
      <c r="BQ44" s="189">
        <f t="shared" si="106"/>
        <v>0</v>
      </c>
      <c r="BR44" s="189">
        <f t="shared" si="106"/>
        <v>0</v>
      </c>
      <c r="BS44" s="189">
        <f t="shared" si="106"/>
        <v>0</v>
      </c>
      <c r="BT44" s="194" t="str">
        <f t="shared" si="26"/>
        <v/>
      </c>
      <c r="BU44" s="194" t="str">
        <f t="shared" si="27"/>
        <v/>
      </c>
      <c r="BV44" s="194" t="str">
        <f t="shared" si="28"/>
        <v/>
      </c>
      <c r="BW44" s="188">
        <f t="shared" si="29"/>
        <v>0</v>
      </c>
      <c r="BX44" s="194" t="str">
        <f t="shared" si="30"/>
        <v/>
      </c>
      <c r="BY44" s="188">
        <f t="shared" si="31"/>
        <v>0</v>
      </c>
      <c r="BZ44" s="188">
        <f t="shared" si="32"/>
        <v>0</v>
      </c>
      <c r="CA44" s="188">
        <f t="shared" si="33"/>
        <v>0</v>
      </c>
      <c r="CB44" s="188">
        <f t="shared" si="34"/>
        <v>0</v>
      </c>
      <c r="CC44" s="191" t="str">
        <f t="shared" si="35"/>
        <v/>
      </c>
      <c r="CD44" s="189">
        <f t="shared" ref="CD44:CH44" si="107">SUM(CD37:CD43)</f>
        <v>0</v>
      </c>
      <c r="CE44" s="189">
        <f t="shared" si="107"/>
        <v>0</v>
      </c>
      <c r="CF44" s="189">
        <f t="shared" si="107"/>
        <v>0</v>
      </c>
      <c r="CG44" s="189">
        <f t="shared" si="107"/>
        <v>0</v>
      </c>
      <c r="CH44" s="189">
        <f t="shared" si="107"/>
        <v>0</v>
      </c>
      <c r="CI44" s="188">
        <f t="shared" si="37"/>
        <v>0</v>
      </c>
      <c r="CJ44" s="195" t="str">
        <f t="shared" si="38"/>
        <v/>
      </c>
      <c r="CK44" s="195" t="str">
        <f t="shared" si="39"/>
        <v/>
      </c>
    </row>
    <row r="45">
      <c r="A45" s="162">
        <f>A43+1</f>
        <v>46111</v>
      </c>
      <c r="B45" s="163" t="str">
        <f t="array" ref="B45">INDEX('jiliarena_日报_底稿'!$A$3:$N$34,MATCH($A45,'jiliarena_日报_底稿'!$A$3:$A$34,0),MATCH(B$3,'jiliarena_日报_底稿'!$A$3:$N$3,0))</f>
        <v/>
      </c>
      <c r="C45" s="163" t="str">
        <f t="array" ref="C45">INDEX('jiliarena_日报_底稿'!$A$3:$N$34,MATCH($A45,'jiliarena_日报_底稿'!$A$3:$A$34,0),MATCH(C$3,'jiliarena_日报_底稿'!$A$3:$N$3,0))</f>
        <v/>
      </c>
      <c r="D45" s="163" t="str">
        <f t="array" ref="D45">INDEX('jiliarena_日报_底稿'!$A$3:$N$34,MATCH($A45,'jiliarena_日报_底稿'!$A$3:$A$34,0),MATCH(D$3,'jiliarena_日报_底稿'!$A$3:$N$3,0))</f>
        <v/>
      </c>
      <c r="E45" s="163"/>
      <c r="F45" s="163" t="str">
        <f t="array" ref="F45">INDEX('jiliarena_日报_底稿'!$A$3:$N$34,MATCH($A45,'jiliarena_日报_底稿'!$A$3:$A$34,0),MATCH(F$3,'jiliarena_日报_底稿'!$A$3:$N$3,0))</f>
        <v/>
      </c>
      <c r="G45" s="164">
        <f>SUMIFS('渠道充值成功率_底稿'!$F:$F,'渠道充值成功率_底稿'!$A:$A,A45)</f>
        <v>0</v>
      </c>
      <c r="H45" s="163" t="str">
        <f t="array" ref="H45">INDEX('jiliarena_日报_底稿'!$A$3:$N$34,MATCH($A45,'jiliarena_日报_底稿'!$A$3:$A$34,0),MATCH(H$3,'jiliarena_日报_底稿'!$A$3:$N$3,0))</f>
        <v/>
      </c>
      <c r="I45" s="163"/>
      <c r="J45" s="163" t="str">
        <f t="array" ref="J45">INDEX('jiliarena_日报_底稿'!$A$3:$N$34,MATCH($A45,'jiliarena_日报_底稿'!$A$3:$A$34,0),MATCH(J$3,'jiliarena_日报_底稿'!$A$3:$N$3,0))</f>
        <v/>
      </c>
      <c r="K45" s="165">
        <f>SUMIFS('渠道充值成功率_底稿'!$J:$J,'渠道充值成功率_底稿'!$A:$A,$A45)</f>
        <v>0</v>
      </c>
      <c r="L45" s="166" t="str">
        <f t="array" ref="L45">INDEX('jiliarena_日报_底稿'!$A$3:$N$34,MATCH($A45,'jiliarena_日报_底稿'!$A$3:$A$34,0),MATCH(L$3,'jiliarena_日报_底稿'!$A$3:$N$3,0))</f>
        <v/>
      </c>
      <c r="M45" s="166" t="str">
        <f t="array" ref="M45">INDEX('jiliarena_日报_底稿'!$P$2:$DS$34,MATCH($A45,'jiliarena_日报_底稿'!$P$2:$P$34,0),MATCH($M$3,'jiliarena_日报_底稿'!$P$3:$DS$3,0))</f>
        <v/>
      </c>
      <c r="N45" s="167" t="str">
        <f t="shared" si="2"/>
        <v/>
      </c>
      <c r="O45" s="168" t="str">
        <f t="shared" si="3"/>
        <v>#DIV/0!</v>
      </c>
      <c r="P45" s="167" t="str">
        <f t="shared" si="4"/>
        <v/>
      </c>
      <c r="Q45" s="168" t="str">
        <f t="shared" si="5"/>
        <v>#DIV/0!</v>
      </c>
      <c r="R45" s="169" t="str">
        <f t="shared" si="6"/>
        <v/>
      </c>
      <c r="S45" s="170" t="str">
        <f t="shared" si="7"/>
        <v/>
      </c>
      <c r="T45" s="170" t="str">
        <f t="shared" si="8"/>
        <v/>
      </c>
      <c r="U45" s="169" t="str">
        <f t="shared" si="9"/>
        <v/>
      </c>
      <c r="V45" s="171" t="str">
        <f t="shared" si="10"/>
        <v/>
      </c>
      <c r="W45" s="172">
        <f t="shared" ref="W45:W46" si="108">AB45+AE45+AH45+AK45+AN45+AQ45</f>
        <v>0</v>
      </c>
      <c r="X45" s="172">
        <f t="array" ref="X45">index('jiliarena_日报_底稿'!$P$2:$DS$34,match($A45,'jiliarena_日报_底稿'!$P$2:$P$34,0),match("电子有效投注",'jiliarena_日报_底稿'!$P$3:$DS$3,0))+index('jiliarena_日报_底稿'!$P$2:$DS$34,match($A45,'jiliarena_日报_底稿'!$P$2:$P$34,0),match("真人有效投注",'jiliarena_日报_底稿'!$P$3:$DS$3,0))+index('jiliarena_日报_底稿'!$P$2:$DS$34,match($A45,'jiliarena_日报_底稿'!$P$2:$P$34,0),match("彩票有效投注",'jiliarena_日报_底稿'!$P$3:$DS$3,0))+index('jiliarena_日报_底稿'!$P$2:$DS$34,match($A45,'jiliarena_日报_底稿'!$P$2:$P$34,0),match("棋牌有效投注",'jiliarena_日报_底稿'!$P$3:$DS$3,0))+index('jiliarena_日报_底稿'!$P$2:$DS$34,match($A45,'jiliarena_日报_底稿'!$P$2:$P$34,0),match("捕鱼有效投注",'jiliarena_日报_底稿'!$P$3:$DS$3,0))+index('jiliarena_日报_底稿'!$P$2:$DS$34,match($A45,'jiliarena_日报_底稿'!$P$2:$P$34,0),match("体育有效投注",'jiliarena_日报_底稿'!$P$3:$DS$3,0))+index('jiliarena_日报_底稿'!$P$2:$DS$34,match($A45,'jiliarena_日报_底稿'!$P$2:$P$34,0),match("盘口彩票有效投注",'jiliarena_日报_底稿'!$P$3:$DS$3,0))</f>
        <v>0</v>
      </c>
      <c r="Y45" s="138">
        <f t="shared" ref="Y45:Y46" si="109">AB45+AE45+AH45+AK45+AN45+AQ45-AR45-AO45-AL45-AI45-AF45-AC45</f>
        <v>0</v>
      </c>
      <c r="Z45" s="172">
        <f t="shared" ref="Z45:Z46" si="110">AC45+AF45+AI45+AL45+AO45+AR45</f>
        <v>0</v>
      </c>
      <c r="AA45" s="167" t="str">
        <f t="shared" si="12"/>
        <v/>
      </c>
      <c r="AB45" s="173" t="str">
        <f t="array" ref="AB45">INDEX('jiliarena_日报_底稿'!$P$2:$DS$34,MATCH($A45,'jiliarena_日报_底稿'!$P$2:$P$34,0),MATCH(AB$3,'jiliarena_日报_底稿'!$P$3:$DS$3,0))</f>
        <v/>
      </c>
      <c r="AC45" s="173" t="str">
        <f t="array" ref="AC45">INDEX('jiliarena_日报_底稿'!$P$2:$DS$34,MATCH($A45,'jiliarena_日报_底稿'!$P$2:$P$34,0),MATCH(AC$3,'jiliarena_日报_底稿'!$P$3:$DS$3,0))</f>
        <v/>
      </c>
      <c r="AD45" s="167" t="str">
        <f t="shared" si="14"/>
        <v/>
      </c>
      <c r="AE45" s="173" t="str">
        <f t="array" ref="AE45">INDEX('jiliarena_日报_底稿'!$P$2:$DS$34,MATCH($A45,'jiliarena_日报_底稿'!$P$2:$P$34,0),MATCH(AE$3,'jiliarena_日报_底稿'!$P$3:$DS$3,0))</f>
        <v/>
      </c>
      <c r="AF45" s="173" t="str">
        <f t="array" ref="AF45">INDEX('jiliarena_日报_底稿'!$P$2:$DS$34,MATCH($A45,'jiliarena_日报_底稿'!$P$2:$P$34,0),MATCH(AF$3,'jiliarena_日报_底稿'!$P$3:$DS$3,0))</f>
        <v/>
      </c>
      <c r="AG45" s="167" t="str">
        <f t="shared" si="16"/>
        <v/>
      </c>
      <c r="AH45" s="173" t="str">
        <f t="array" ref="AH45">INDEX('jiliarena_日报_底稿'!$P$2:$DS$34,MATCH($A45,'jiliarena_日报_底稿'!$P$2:$P$34,0),MATCH(AH$3,'jiliarena_日报_底稿'!$P$3:$DS$3,0))</f>
        <v/>
      </c>
      <c r="AI45" s="173" t="str">
        <f t="array" ref="AI45">INDEX('jiliarena_日报_底稿'!$P$2:$DS$34,MATCH($A45,'jiliarena_日报_底稿'!$P$2:$P$34,0),MATCH(AI$3,'jiliarena_日报_底稿'!$P$3:$DS$3,0))</f>
        <v/>
      </c>
      <c r="AJ45" s="167" t="str">
        <f t="shared" si="18"/>
        <v/>
      </c>
      <c r="AK45" s="173" t="str">
        <f t="array" ref="AK45">INDEX('jiliarena_日报_底稿'!$P$2:$DS$34,MATCH($A45,'jiliarena_日报_底稿'!$P$2:$P$34,0),MATCH(AK$3,'jiliarena_日报_底稿'!$P$3:$DS$3,0))</f>
        <v/>
      </c>
      <c r="AL45" s="173" t="str">
        <f t="array" ref="AL45">INDEX('jiliarena_日报_底稿'!$P$2:$DS$34,MATCH($A45,'jiliarena_日报_底稿'!$P$2:$P$34,0),MATCH(AL$3,'jiliarena_日报_底稿'!$P$3:$DS$3,0))</f>
        <v/>
      </c>
      <c r="AM45" s="167" t="str">
        <f t="shared" si="20"/>
        <v/>
      </c>
      <c r="AN45" s="173" t="str">
        <f t="array" ref="AN45">INDEX('jiliarena_日报_底稿'!$P$2:$DS$34,MATCH($A45,'jiliarena_日报_底稿'!$P$2:$P$34,0),MATCH(AN$3,'jiliarena_日报_底稿'!$P$3:$DS$3,0))</f>
        <v/>
      </c>
      <c r="AO45" s="173" t="str">
        <f t="array" ref="AO45">INDEX('jiliarena_日报_底稿'!$P$2:$DS$34,MATCH($A45,'jiliarena_日报_底稿'!$P$2:$P$34,0),MATCH(AO$3,'jiliarena_日报_底稿'!$P$3:$DS$3,0))</f>
        <v/>
      </c>
      <c r="AP45" s="167" t="str">
        <f t="shared" si="22"/>
        <v/>
      </c>
      <c r="AQ45" s="173" t="str">
        <f t="array" ref="AQ45">INDEX('jiliarena_日报_底稿'!$P$2:$DS$34,MATCH($A45,'jiliarena_日报_底稿'!$P$2:$P$34,0),MATCH(AQ$3,'jiliarena_日报_底稿'!$P$3:$DS$3,0))</f>
        <v/>
      </c>
      <c r="AR45" s="173" t="str">
        <f t="array" ref="AR45">INDEX('jiliarena_日报_底稿'!$P$2:$DS$34,MATCH($A45,'jiliarena_日报_底稿'!$P$2:$P$34,0),MATCH(AR$3,'jiliarena_日报_底稿'!$P$3:$DS$3,0))</f>
        <v/>
      </c>
      <c r="AS45" s="167" t="str">
        <f t="shared" si="24"/>
        <v/>
      </c>
      <c r="AT45" s="174">
        <f>SUMIFS('jiliarena_活动分析数据_底稿'!$K:$K,'jiliarena_活动分析数据_底稿'!$B:$B,$A45,'jiliarena_活动分析数据_底稿'!$L:$L,AT$3)</f>
        <v>0</v>
      </c>
      <c r="AU45" s="174">
        <f>SUMIFS('jiliarena_活动分析数据_底稿'!$K:$K,'jiliarena_活动分析数据_底稿'!$B:$B,$A45,'jiliarena_活动分析数据_底稿'!$L:$L,AU$3)</f>
        <v>0</v>
      </c>
      <c r="AV45" s="174">
        <f>SUMIFS('jiliarena_活动分析数据_底稿'!$K:$K,'jiliarena_活动分析数据_底稿'!$B:$B,$A45,'jiliarena_活动分析数据_底稿'!$L:$L,AV$3)</f>
        <v>0</v>
      </c>
      <c r="AW45" s="174">
        <f>SUMIFS('jiliarena_活动分析数据_底稿'!$K:$K,'jiliarena_活动分析数据_底稿'!$B:$B,$A45,'jiliarena_活动分析数据_底稿'!$L:$L,AW$3)</f>
        <v>0</v>
      </c>
      <c r="AX45" s="174">
        <f>SUMIFS('jiliarena_活动分析数据_底稿'!$K:$K,'jiliarena_活动分析数据_底稿'!$B:$B,$A45,'jiliarena_活动分析数据_底稿'!$L:$L,AX$3)</f>
        <v>0</v>
      </c>
      <c r="AY45" s="174">
        <f>SUMIFS('jiliarena_活动分析数据_底稿'!$K:$K,'jiliarena_活动分析数据_底稿'!$B:$B,$A45,'jiliarena_活动分析数据_底稿'!$L:$L,AY$3)</f>
        <v>0</v>
      </c>
      <c r="AZ45" s="174">
        <f>SUMIFS('jiliarena_活动分析数据_底稿'!$K:$K,'jiliarena_活动分析数据_底稿'!$B:$B,$A45,'jiliarena_活动分析数据_底稿'!$L:$L,AZ$3)</f>
        <v>0</v>
      </c>
      <c r="BA45" s="174">
        <f>SUMIFS('jiliarena_活动分析数据_底稿'!$K:$K,'jiliarena_活动分析数据_底稿'!$B:$B,$A45,'jiliarena_活动分析数据_底稿'!$L:$L,BA$3)</f>
        <v>0</v>
      </c>
      <c r="BB45" s="174">
        <f>SUMIFS('jiliarena_活动分析数据_底稿'!$K:$K,'jiliarena_活动分析数据_底稿'!$B:$B,$A45,'jiliarena_活动分析数据_底稿'!$L:$L,BB$3)</f>
        <v>0</v>
      </c>
      <c r="BC45" s="174">
        <f>SUMIFS('jiliarena_活动分析数据_底稿'!$K:$K,'jiliarena_活动分析数据_底稿'!$B:$B,$A45,'jiliarena_活动分析数据_底稿'!$L:$L,BC$3)</f>
        <v>0</v>
      </c>
      <c r="BD45" s="174">
        <f>SUMIFS('jiliarena_活动分析数据_底稿'!$K:$K,'jiliarena_活动分析数据_底稿'!$B:$B,$A45,'jiliarena_活动分析数据_底稿'!$L:$L,BD$3)</f>
        <v>0</v>
      </c>
      <c r="BE45" s="174">
        <f>SUMIFS('jiliarena_活动分析数据_底稿'!$K:$K,'jiliarena_活动分析数据_底稿'!$B:$B,$A45,'jiliarena_活动分析数据_底稿'!$L:$L,BE$3)</f>
        <v>0</v>
      </c>
      <c r="BF45" s="174">
        <f>SUMIFS('jiliarena_活动分析数据_底稿'!$K:$K,'jiliarena_活动分析数据_底稿'!$B:$B,$A45,'jiliarena_活动分析数据_底稿'!$L:$L,BF$3)</f>
        <v>0</v>
      </c>
      <c r="BG45" s="174">
        <f>SUMIFS('jiliarena_活动分析数据_底稿'!$K:$K,'jiliarena_活动分析数据_底稿'!$B:$B,$A45,'jiliarena_活动分析数据_底稿'!$L:$L,BG$3)</f>
        <v>0</v>
      </c>
      <c r="BH45" s="174">
        <f>SUMIFS('jiliarena_活动分析数据_底稿'!$K:$K,'jiliarena_活动分析数据_底稿'!$B:$B,$A45,'jiliarena_活动分析数据_底稿'!$L:$L,BH$3)</f>
        <v>0</v>
      </c>
      <c r="BI45" s="174">
        <f>SUMIFS('jiliarena_活动分析数据_底稿'!$K:$K,'jiliarena_活动分析数据_底稿'!$B:$B,$A45,'jiliarena_活动分析数据_底稿'!$L:$L,BI$3)</f>
        <v>0</v>
      </c>
      <c r="BJ45" s="174">
        <f>SUMIFS('jiliarena_活动分析数据_底稿'!$K:$K,'jiliarena_活动分析数据_底稿'!$B:$B,$A45,'jiliarena_活动分析数据_底稿'!$L:$L,BJ$3)</f>
        <v>0</v>
      </c>
      <c r="BK45" s="174">
        <f>SUMIFS('jiliarena_活动分析数据_底稿'!$K:$K,'jiliarena_活动分析数据_底稿'!$B:$B,$A45,'jiliarena_活动分析数据_底稿'!$L:$L,BK$3)</f>
        <v>0</v>
      </c>
      <c r="BL45" s="174">
        <f>SUMIFS('jiliarena_活动分析数据_底稿'!$K:$K,'jiliarena_活动分析数据_底稿'!$B:$B,$A45,'jiliarena_活动分析数据_底稿'!$L:$L,BL$3)</f>
        <v>0</v>
      </c>
      <c r="BM45" s="174">
        <f>SUMIFS('jiliarena_活动分析数据_底稿'!$K:$K,'jiliarena_活动分析数据_底稿'!$B:$B,$A45,'jiliarena_活动分析数据_底稿'!$L:$L,BM$3)</f>
        <v>0</v>
      </c>
      <c r="BN45" s="174">
        <f>SUMIFS('jiliarena_活动分析数据_底稿'!$K:$K,'jiliarena_活动分析数据_底稿'!$B:$B,$A45,'jiliarena_活动分析数据_底稿'!$L:$L,BN$3)</f>
        <v>0</v>
      </c>
      <c r="BO45" s="174">
        <f>SUMIFS('jiliarena_活动分析数据_底稿'!$K:$K,'jiliarena_活动分析数据_底稿'!$B:$B,$A45,'jiliarena_活动分析数据_底稿'!$L:$L,BO$3)</f>
        <v>0</v>
      </c>
      <c r="BP45" s="174">
        <f>SUMIFS('jiliarena_活动分析数据_底稿'!$K:$K,'jiliarena_活动分析数据_底稿'!$B:$B,$A45,'jiliarena_活动分析数据_底稿'!$L:$L,BP$3)</f>
        <v>0</v>
      </c>
      <c r="BQ45" s="172">
        <f t="shared" ref="BQ45:BQ46" si="111">SUM(AT45:BP45)</f>
        <v>0</v>
      </c>
      <c r="BR45" s="172">
        <f t="shared" ref="BR45:BR46" si="112">AT45</f>
        <v>0</v>
      </c>
      <c r="BS45" s="172">
        <f t="shared" ref="BS45:BS46" si="113">BB45</f>
        <v>0</v>
      </c>
      <c r="BT45" s="167" t="str">
        <f t="shared" si="26"/>
        <v/>
      </c>
      <c r="BU45" s="167" t="str">
        <f t="shared" si="27"/>
        <v/>
      </c>
      <c r="BV45" s="167" t="str">
        <f t="shared" si="28"/>
        <v/>
      </c>
      <c r="BW45" s="175">
        <f t="shared" si="29"/>
        <v>0</v>
      </c>
      <c r="BX45" s="176" t="str">
        <f t="shared" si="30"/>
        <v/>
      </c>
      <c r="BY45" s="177">
        <f t="shared" si="31"/>
        <v>0</v>
      </c>
      <c r="BZ45" s="178">
        <f t="shared" si="32"/>
        <v>0</v>
      </c>
      <c r="CA45" s="179">
        <f t="shared" si="33"/>
        <v>0</v>
      </c>
      <c r="CB45" s="180">
        <f t="shared" si="34"/>
        <v>0</v>
      </c>
      <c r="CC45" s="176" t="str">
        <f t="shared" si="35"/>
        <v/>
      </c>
      <c r="CD45" s="181" t="str">
        <f t="array" ref="CD45">index('jiliarena_日报_底稿'!$P$3:$DS$34,match(A45,'jiliarena_日报_底稿'!$P$3:$P$34,0),match("综合性分红",'jiliarena_日报_底稿'!$P$3:$DS$3,0))</f>
        <v/>
      </c>
      <c r="CE45" s="127"/>
      <c r="CF45" s="181" t="str">
        <f t="array" ref="CF45">INDEX('jiliarena_日报_底稿'!$P$2:$DS$34,MATCH($A45,'jiliarena_日报_底稿'!$P$2:$P$34,0),MATCH(CF$3,'jiliarena_日报_底稿'!$P$3:$DS$3,0))</f>
        <v/>
      </c>
      <c r="CG45" s="172">
        <f t="array" ref="CG45">-INDEX('jiliarena_日报_底稿'!$P$2:$DS$34,MATCH($A45,'jiliarena_日报_底稿'!$P$2:$P$34,0),MATCH(CG$3,'jiliarena_日报_底稿'!$P$3:$DS$3,0))</f>
        <v>0</v>
      </c>
      <c r="CH45" s="181" t="str">
        <f t="array" ref="CH45">INDEX('jiliarena_日报_底稿'!$P$2:$DS$34,MATCH($A45,'jiliarena_日报_底稿'!$P$2:$P$34,0),MATCH(CH$3,'jiliarena_日报_底稿'!$P$3:$DS$3,0))</f>
        <v/>
      </c>
      <c r="CI45" s="175">
        <f t="shared" si="37"/>
        <v>0</v>
      </c>
      <c r="CJ45" s="182">
        <f t="shared" si="38"/>
        <v>3</v>
      </c>
      <c r="CK45" s="182">
        <f t="shared" si="39"/>
        <v>30</v>
      </c>
    </row>
    <row r="46">
      <c r="A46" s="162">
        <f>A45+1</f>
        <v>46112</v>
      </c>
      <c r="B46" s="163" t="str">
        <f t="array" ref="B46">INDEX('jiliarena_日报_底稿'!$A$3:$N$34,MATCH($A46,'jiliarena_日报_底稿'!$A$3:$A$34,0),MATCH(B$3,'jiliarena_日报_底稿'!$A$3:$N$3,0))</f>
        <v/>
      </c>
      <c r="C46" s="163" t="str">
        <f t="array" ref="C46">INDEX('jiliarena_日报_底稿'!$A$3:$N$34,MATCH($A46,'jiliarena_日报_底稿'!$A$3:$A$34,0),MATCH(C$3,'jiliarena_日报_底稿'!$A$3:$N$3,0))</f>
        <v/>
      </c>
      <c r="D46" s="163" t="str">
        <f t="array" ref="D46">INDEX('jiliarena_日报_底稿'!$A$3:$N$34,MATCH($A46,'jiliarena_日报_底稿'!$A$3:$A$34,0),MATCH(D$3,'jiliarena_日报_底稿'!$A$3:$N$3,0))</f>
        <v/>
      </c>
      <c r="E46" s="163"/>
      <c r="F46" s="163" t="str">
        <f t="array" ref="F46">INDEX('jiliarena_日报_底稿'!$A$3:$N$34,MATCH($A46,'jiliarena_日报_底稿'!$A$3:$A$34,0),MATCH(F$3,'jiliarena_日报_底稿'!$A$3:$N$3,0))</f>
        <v/>
      </c>
      <c r="G46" s="164">
        <f>SUMIFS('渠道充值成功率_底稿'!$F:$F,'渠道充值成功率_底稿'!$A:$A,A46)</f>
        <v>0</v>
      </c>
      <c r="H46" s="163" t="str">
        <f t="array" ref="H46">INDEX('jiliarena_日报_底稿'!$A$3:$N$34,MATCH($A46,'jiliarena_日报_底稿'!$A$3:$A$34,0),MATCH(H$3,'jiliarena_日报_底稿'!$A$3:$N$3,0))</f>
        <v/>
      </c>
      <c r="I46" s="163"/>
      <c r="J46" s="163" t="str">
        <f t="array" ref="J46">INDEX('jiliarena_日报_底稿'!$A$3:$N$34,MATCH($A46,'jiliarena_日报_底稿'!$A$3:$A$34,0),MATCH(J$3,'jiliarena_日报_底稿'!$A$3:$N$3,0))</f>
        <v/>
      </c>
      <c r="K46" s="165">
        <f>SUMIFS('渠道充值成功率_底稿'!$J:$J,'渠道充值成功率_底稿'!$A:$A,$A46)</f>
        <v>0</v>
      </c>
      <c r="L46" s="166" t="str">
        <f t="array" ref="L46">INDEX('jiliarena_日报_底稿'!$A$3:$N$34,MATCH($A46,'jiliarena_日报_底稿'!$A$3:$A$34,0),MATCH(L$3,'jiliarena_日报_底稿'!$A$3:$N$3,0))</f>
        <v/>
      </c>
      <c r="M46" s="166" t="str">
        <f t="array" ref="M46">INDEX('jiliarena_日报_底稿'!$P$2:$DS$34,MATCH($A46,'jiliarena_日报_底稿'!$P$2:$P$34,0),MATCH($M$3,'jiliarena_日报_底稿'!$P$3:$DS$3,0))</f>
        <v/>
      </c>
      <c r="N46" s="167" t="str">
        <f t="shared" si="2"/>
        <v/>
      </c>
      <c r="O46" s="168" t="str">
        <f t="shared" si="3"/>
        <v>#DIV/0!</v>
      </c>
      <c r="P46" s="167" t="str">
        <f t="shared" si="4"/>
        <v/>
      </c>
      <c r="Q46" s="168" t="str">
        <f t="shared" si="5"/>
        <v>#DIV/0!</v>
      </c>
      <c r="R46" s="169" t="str">
        <f t="shared" si="6"/>
        <v/>
      </c>
      <c r="S46" s="170" t="str">
        <f t="shared" si="7"/>
        <v/>
      </c>
      <c r="T46" s="170" t="str">
        <f t="shared" si="8"/>
        <v/>
      </c>
      <c r="U46" s="169" t="str">
        <f t="shared" si="9"/>
        <v/>
      </c>
      <c r="V46" s="171" t="str">
        <f t="shared" si="10"/>
        <v/>
      </c>
      <c r="W46" s="172">
        <f t="shared" si="108"/>
        <v>0</v>
      </c>
      <c r="X46" s="172">
        <f t="array" ref="X46">index('jiliarena_日报_底稿'!$P$2:$DS$34,match($A46,'jiliarena_日报_底稿'!$P$2:$P$34,0),match("电子有效投注",'jiliarena_日报_底稿'!$P$3:$DS$3,0))+index('jiliarena_日报_底稿'!$P$2:$DS$34,match($A46,'jiliarena_日报_底稿'!$P$2:$P$34,0),match("真人有效投注",'jiliarena_日报_底稿'!$P$3:$DS$3,0))+index('jiliarena_日报_底稿'!$P$2:$DS$34,match($A46,'jiliarena_日报_底稿'!$P$2:$P$34,0),match("彩票有效投注",'jiliarena_日报_底稿'!$P$3:$DS$3,0))+index('jiliarena_日报_底稿'!$P$2:$DS$34,match($A46,'jiliarena_日报_底稿'!$P$2:$P$34,0),match("棋牌有效投注",'jiliarena_日报_底稿'!$P$3:$DS$3,0))+index('jiliarena_日报_底稿'!$P$2:$DS$34,match($A46,'jiliarena_日报_底稿'!$P$2:$P$34,0),match("捕鱼有效投注",'jiliarena_日报_底稿'!$P$3:$DS$3,0))+index('jiliarena_日报_底稿'!$P$2:$DS$34,match($A46,'jiliarena_日报_底稿'!$P$2:$P$34,0),match("体育有效投注",'jiliarena_日报_底稿'!$P$3:$DS$3,0))+index('jiliarena_日报_底稿'!$P$2:$DS$34,match($A46,'jiliarena_日报_底稿'!$P$2:$P$34,0),match("盘口彩票有效投注",'jiliarena_日报_底稿'!$P$3:$DS$3,0))</f>
        <v>0</v>
      </c>
      <c r="Y46" s="138">
        <f t="shared" si="109"/>
        <v>0</v>
      </c>
      <c r="Z46" s="172">
        <f t="shared" si="110"/>
        <v>0</v>
      </c>
      <c r="AA46" s="167" t="str">
        <f t="shared" si="12"/>
        <v/>
      </c>
      <c r="AB46" s="173" t="str">
        <f t="array" ref="AB46">INDEX('jiliarena_日报_底稿'!$P$2:$DS$34,MATCH($A46,'jiliarena_日报_底稿'!$P$2:$P$34,0),MATCH(AB$3,'jiliarena_日报_底稿'!$P$3:$DS$3,0))</f>
        <v/>
      </c>
      <c r="AC46" s="173" t="str">
        <f t="array" ref="AC46">INDEX('jiliarena_日报_底稿'!$P$2:$DS$34,MATCH($A46,'jiliarena_日报_底稿'!$P$2:$P$34,0),MATCH(AC$3,'jiliarena_日报_底稿'!$P$3:$DS$3,0))</f>
        <v/>
      </c>
      <c r="AD46" s="167" t="str">
        <f t="shared" si="14"/>
        <v/>
      </c>
      <c r="AE46" s="173" t="str">
        <f t="array" ref="AE46">INDEX('jiliarena_日报_底稿'!$P$2:$DS$34,MATCH($A46,'jiliarena_日报_底稿'!$P$2:$P$34,0),MATCH(AE$3,'jiliarena_日报_底稿'!$P$3:$DS$3,0))</f>
        <v/>
      </c>
      <c r="AF46" s="173" t="str">
        <f t="array" ref="AF46">INDEX('jiliarena_日报_底稿'!$P$2:$DS$34,MATCH($A46,'jiliarena_日报_底稿'!$P$2:$P$34,0),MATCH(AF$3,'jiliarena_日报_底稿'!$P$3:$DS$3,0))</f>
        <v/>
      </c>
      <c r="AG46" s="167" t="str">
        <f t="shared" si="16"/>
        <v/>
      </c>
      <c r="AH46" s="173" t="str">
        <f t="array" ref="AH46">INDEX('jiliarena_日报_底稿'!$P$2:$DS$34,MATCH($A46,'jiliarena_日报_底稿'!$P$2:$P$34,0),MATCH(AH$3,'jiliarena_日报_底稿'!$P$3:$DS$3,0))</f>
        <v/>
      </c>
      <c r="AI46" s="173" t="str">
        <f t="array" ref="AI46">INDEX('jiliarena_日报_底稿'!$P$2:$DS$34,MATCH($A46,'jiliarena_日报_底稿'!$P$2:$P$34,0),MATCH(AI$3,'jiliarena_日报_底稿'!$P$3:$DS$3,0))</f>
        <v/>
      </c>
      <c r="AJ46" s="167" t="str">
        <f t="shared" si="18"/>
        <v/>
      </c>
      <c r="AK46" s="173" t="str">
        <f t="array" ref="AK46">INDEX('jiliarena_日报_底稿'!$P$2:$DS$34,MATCH($A46,'jiliarena_日报_底稿'!$P$2:$P$34,0),MATCH(AK$3,'jiliarena_日报_底稿'!$P$3:$DS$3,0))</f>
        <v/>
      </c>
      <c r="AL46" s="173" t="str">
        <f t="array" ref="AL46">INDEX('jiliarena_日报_底稿'!$P$2:$DS$34,MATCH($A46,'jiliarena_日报_底稿'!$P$2:$P$34,0),MATCH(AL$3,'jiliarena_日报_底稿'!$P$3:$DS$3,0))</f>
        <v/>
      </c>
      <c r="AM46" s="167" t="str">
        <f t="shared" si="20"/>
        <v/>
      </c>
      <c r="AN46" s="173" t="str">
        <f t="array" ref="AN46">INDEX('jiliarena_日报_底稿'!$P$2:$DS$34,MATCH($A46,'jiliarena_日报_底稿'!$P$2:$P$34,0),MATCH(AN$3,'jiliarena_日报_底稿'!$P$3:$DS$3,0))</f>
        <v/>
      </c>
      <c r="AO46" s="173" t="str">
        <f t="array" ref="AO46">INDEX('jiliarena_日报_底稿'!$P$2:$DS$34,MATCH($A46,'jiliarena_日报_底稿'!$P$2:$P$34,0),MATCH(AO$3,'jiliarena_日报_底稿'!$P$3:$DS$3,0))</f>
        <v/>
      </c>
      <c r="AP46" s="167" t="str">
        <f t="shared" si="22"/>
        <v/>
      </c>
      <c r="AQ46" s="173" t="str">
        <f t="array" ref="AQ46">INDEX('jiliarena_日报_底稿'!$P$2:$DS$34,MATCH($A46,'jiliarena_日报_底稿'!$P$2:$P$34,0),MATCH(AQ$3,'jiliarena_日报_底稿'!$P$3:$DS$3,0))</f>
        <v/>
      </c>
      <c r="AR46" s="173" t="str">
        <f t="array" ref="AR46">INDEX('jiliarena_日报_底稿'!$P$2:$DS$34,MATCH($A46,'jiliarena_日报_底稿'!$P$2:$P$34,0),MATCH(AR$3,'jiliarena_日报_底稿'!$P$3:$DS$3,0))</f>
        <v/>
      </c>
      <c r="AS46" s="167" t="str">
        <f t="shared" si="24"/>
        <v/>
      </c>
      <c r="AT46" s="174">
        <f>SUMIFS('jiliarena_活动分析数据_底稿'!$K:$K,'jiliarena_活动分析数据_底稿'!$B:$B,$A46,'jiliarena_活动分析数据_底稿'!$L:$L,AT$3)</f>
        <v>0</v>
      </c>
      <c r="AU46" s="174">
        <f>SUMIFS('jiliarena_活动分析数据_底稿'!$K:$K,'jiliarena_活动分析数据_底稿'!$B:$B,$A46,'jiliarena_活动分析数据_底稿'!$L:$L,AU$3)</f>
        <v>0</v>
      </c>
      <c r="AV46" s="174">
        <f>SUMIFS('jiliarena_活动分析数据_底稿'!$K:$K,'jiliarena_活动分析数据_底稿'!$B:$B,$A46,'jiliarena_活动分析数据_底稿'!$L:$L,AV$3)</f>
        <v>0</v>
      </c>
      <c r="AW46" s="174">
        <f>SUMIFS('jiliarena_活动分析数据_底稿'!$K:$K,'jiliarena_活动分析数据_底稿'!$B:$B,$A46,'jiliarena_活动分析数据_底稿'!$L:$L,AW$3)</f>
        <v>0</v>
      </c>
      <c r="AX46" s="174">
        <f>SUMIFS('jiliarena_活动分析数据_底稿'!$K:$K,'jiliarena_活动分析数据_底稿'!$B:$B,$A46,'jiliarena_活动分析数据_底稿'!$L:$L,AX$3)</f>
        <v>0</v>
      </c>
      <c r="AY46" s="174">
        <f>SUMIFS('jiliarena_活动分析数据_底稿'!$K:$K,'jiliarena_活动分析数据_底稿'!$B:$B,$A46,'jiliarena_活动分析数据_底稿'!$L:$L,AY$3)</f>
        <v>0</v>
      </c>
      <c r="AZ46" s="174">
        <f>SUMIFS('jiliarena_活动分析数据_底稿'!$K:$K,'jiliarena_活动分析数据_底稿'!$B:$B,$A46,'jiliarena_活动分析数据_底稿'!$L:$L,AZ$3)</f>
        <v>0</v>
      </c>
      <c r="BA46" s="174">
        <f>SUMIFS('jiliarena_活动分析数据_底稿'!$K:$K,'jiliarena_活动分析数据_底稿'!$B:$B,$A46,'jiliarena_活动分析数据_底稿'!$L:$L,BA$3)</f>
        <v>0</v>
      </c>
      <c r="BB46" s="174">
        <f>SUMIFS('jiliarena_活动分析数据_底稿'!$K:$K,'jiliarena_活动分析数据_底稿'!$B:$B,$A46,'jiliarena_活动分析数据_底稿'!$L:$L,BB$3)</f>
        <v>0</v>
      </c>
      <c r="BC46" s="174">
        <f>SUMIFS('jiliarena_活动分析数据_底稿'!$K:$K,'jiliarena_活动分析数据_底稿'!$B:$B,$A46,'jiliarena_活动分析数据_底稿'!$L:$L,BC$3)</f>
        <v>0</v>
      </c>
      <c r="BD46" s="174">
        <f>SUMIFS('jiliarena_活动分析数据_底稿'!$K:$K,'jiliarena_活动分析数据_底稿'!$B:$B,$A46,'jiliarena_活动分析数据_底稿'!$L:$L,BD$3)</f>
        <v>0</v>
      </c>
      <c r="BE46" s="174">
        <f>SUMIFS('jiliarena_活动分析数据_底稿'!$K:$K,'jiliarena_活动分析数据_底稿'!$B:$B,$A46,'jiliarena_活动分析数据_底稿'!$L:$L,BE$3)</f>
        <v>0</v>
      </c>
      <c r="BF46" s="174">
        <f>SUMIFS('jiliarena_活动分析数据_底稿'!$K:$K,'jiliarena_活动分析数据_底稿'!$B:$B,$A46,'jiliarena_活动分析数据_底稿'!$L:$L,BF$3)</f>
        <v>0</v>
      </c>
      <c r="BG46" s="174">
        <f>SUMIFS('jiliarena_活动分析数据_底稿'!$K:$K,'jiliarena_活动分析数据_底稿'!$B:$B,$A46,'jiliarena_活动分析数据_底稿'!$L:$L,BG$3)</f>
        <v>0</v>
      </c>
      <c r="BH46" s="174">
        <f>SUMIFS('jiliarena_活动分析数据_底稿'!$K:$K,'jiliarena_活动分析数据_底稿'!$B:$B,$A46,'jiliarena_活动分析数据_底稿'!$L:$L,BH$3)</f>
        <v>0</v>
      </c>
      <c r="BI46" s="174">
        <f>SUMIFS('jiliarena_活动分析数据_底稿'!$K:$K,'jiliarena_活动分析数据_底稿'!$B:$B,$A46,'jiliarena_活动分析数据_底稿'!$L:$L,BI$3)</f>
        <v>0</v>
      </c>
      <c r="BJ46" s="174">
        <f>SUMIFS('jiliarena_活动分析数据_底稿'!$K:$K,'jiliarena_活动分析数据_底稿'!$B:$B,$A46,'jiliarena_活动分析数据_底稿'!$L:$L,BJ$3)</f>
        <v>0</v>
      </c>
      <c r="BK46" s="174">
        <f>SUMIFS('jiliarena_活动分析数据_底稿'!$K:$K,'jiliarena_活动分析数据_底稿'!$B:$B,$A46,'jiliarena_活动分析数据_底稿'!$L:$L,BK$3)</f>
        <v>0</v>
      </c>
      <c r="BL46" s="174">
        <f>SUMIFS('jiliarena_活动分析数据_底稿'!$K:$K,'jiliarena_活动分析数据_底稿'!$B:$B,$A46,'jiliarena_活动分析数据_底稿'!$L:$L,BL$3)</f>
        <v>0</v>
      </c>
      <c r="BM46" s="174">
        <f>SUMIFS('jiliarena_活动分析数据_底稿'!$K:$K,'jiliarena_活动分析数据_底稿'!$B:$B,$A46,'jiliarena_活动分析数据_底稿'!$L:$L,BM$3)</f>
        <v>0</v>
      </c>
      <c r="BN46" s="174">
        <f>SUMIFS('jiliarena_活动分析数据_底稿'!$K:$K,'jiliarena_活动分析数据_底稿'!$B:$B,$A46,'jiliarena_活动分析数据_底稿'!$L:$L,BN$3)</f>
        <v>0</v>
      </c>
      <c r="BO46" s="174">
        <f>SUMIFS('jiliarena_活动分析数据_底稿'!$K:$K,'jiliarena_活动分析数据_底稿'!$B:$B,$A46,'jiliarena_活动分析数据_底稿'!$L:$L,BO$3)</f>
        <v>0</v>
      </c>
      <c r="BP46" s="174">
        <f>SUMIFS('jiliarena_活动分析数据_底稿'!$K:$K,'jiliarena_活动分析数据_底稿'!$B:$B,$A46,'jiliarena_活动分析数据_底稿'!$L:$L,BP$3)</f>
        <v>0</v>
      </c>
      <c r="BQ46" s="172">
        <f t="shared" si="111"/>
        <v>0</v>
      </c>
      <c r="BR46" s="172">
        <f t="shared" si="112"/>
        <v>0</v>
      </c>
      <c r="BS46" s="172">
        <f t="shared" si="113"/>
        <v>0</v>
      </c>
      <c r="BT46" s="167" t="str">
        <f t="shared" si="26"/>
        <v/>
      </c>
      <c r="BU46" s="167" t="str">
        <f t="shared" si="27"/>
        <v/>
      </c>
      <c r="BV46" s="167" t="str">
        <f t="shared" si="28"/>
        <v/>
      </c>
      <c r="BW46" s="175">
        <f t="shared" si="29"/>
        <v>0</v>
      </c>
      <c r="BX46" s="176" t="str">
        <f t="shared" si="30"/>
        <v/>
      </c>
      <c r="BY46" s="177">
        <f t="shared" si="31"/>
        <v>0</v>
      </c>
      <c r="BZ46" s="178">
        <f t="shared" si="32"/>
        <v>0</v>
      </c>
      <c r="CA46" s="179">
        <f t="shared" si="33"/>
        <v>0</v>
      </c>
      <c r="CB46" s="180">
        <f t="shared" si="34"/>
        <v>0</v>
      </c>
      <c r="CC46" s="176" t="str">
        <f t="shared" si="35"/>
        <v/>
      </c>
      <c r="CD46" s="181" t="str">
        <f t="array" ref="CD46">index('jiliarena_日报_底稿'!$P$3:$DS$34,match(A46,'jiliarena_日报_底稿'!$P$3:$P$34,0),match("综合性分红",'jiliarena_日报_底稿'!$P$3:$DS$3,0))</f>
        <v/>
      </c>
      <c r="CE46" s="127"/>
      <c r="CF46" s="181" t="str">
        <f t="array" ref="CF46">INDEX('jiliarena_日报_底稿'!$P$2:$DS$34,MATCH($A46,'jiliarena_日报_底稿'!$P$2:$P$34,0),MATCH(CF$3,'jiliarena_日报_底稿'!$P$3:$DS$3,0))</f>
        <v/>
      </c>
      <c r="CG46" s="172">
        <f t="array" ref="CG46">-INDEX('jiliarena_日报_底稿'!$P$2:$DS$34,MATCH($A46,'jiliarena_日报_底稿'!$P$2:$P$34,0),MATCH(CG$3,'jiliarena_日报_底稿'!$P$3:$DS$3,0))</f>
        <v>0</v>
      </c>
      <c r="CH46" s="181" t="str">
        <f t="array" ref="CH46">INDEX('jiliarena_日报_底稿'!$P$2:$DS$34,MATCH($A46,'jiliarena_日报_底稿'!$P$2:$P$34,0),MATCH(CH$3,'jiliarena_日报_底稿'!$P$3:$DS$3,0))</f>
        <v/>
      </c>
      <c r="CI46" s="175">
        <f t="shared" si="37"/>
        <v>0</v>
      </c>
      <c r="CJ46" s="182">
        <f t="shared" si="38"/>
        <v>3</v>
      </c>
      <c r="CK46" s="182">
        <f t="shared" si="39"/>
        <v>31</v>
      </c>
    </row>
    <row r="47">
      <c r="A47" s="183" t="s">
        <v>269</v>
      </c>
      <c r="B47" s="184">
        <f t="shared" ref="B47:M47" si="114">SUM(B45:B46)</f>
        <v>0</v>
      </c>
      <c r="C47" s="184">
        <f t="shared" si="114"/>
        <v>0</v>
      </c>
      <c r="D47" s="184">
        <f t="shared" si="114"/>
        <v>0</v>
      </c>
      <c r="E47" s="184">
        <f t="shared" si="114"/>
        <v>0</v>
      </c>
      <c r="F47" s="184">
        <f t="shared" si="114"/>
        <v>0</v>
      </c>
      <c r="G47" s="184">
        <f t="shared" si="114"/>
        <v>0</v>
      </c>
      <c r="H47" s="184">
        <f t="shared" si="114"/>
        <v>0</v>
      </c>
      <c r="I47" s="184">
        <f t="shared" si="114"/>
        <v>0</v>
      </c>
      <c r="J47" s="184">
        <f t="shared" si="114"/>
        <v>0</v>
      </c>
      <c r="K47" s="185">
        <f t="shared" si="114"/>
        <v>0</v>
      </c>
      <c r="L47" s="185">
        <f t="shared" si="114"/>
        <v>0</v>
      </c>
      <c r="M47" s="185">
        <f t="shared" si="114"/>
        <v>0</v>
      </c>
      <c r="N47" s="186" t="str">
        <f t="shared" si="2"/>
        <v>#DIV/0!</v>
      </c>
      <c r="O47" s="187" t="str">
        <f t="shared" si="3"/>
        <v>#DIV/0!</v>
      </c>
      <c r="P47" s="186" t="str">
        <f t="shared" si="4"/>
        <v>#DIV/0!</v>
      </c>
      <c r="Q47" s="187" t="str">
        <f t="shared" si="5"/>
        <v>#DIV/0!</v>
      </c>
      <c r="R47" s="188" t="str">
        <f t="shared" si="6"/>
        <v>#DIV/0!</v>
      </c>
      <c r="S47" s="187" t="str">
        <f t="shared" si="7"/>
        <v>#DIV/0!</v>
      </c>
      <c r="T47" s="187" t="str">
        <f t="shared" si="8"/>
        <v>#DIV/0!</v>
      </c>
      <c r="U47" s="188" t="str">
        <f t="shared" si="9"/>
        <v>#DIV/0!</v>
      </c>
      <c r="V47" s="189">
        <f t="shared" si="10"/>
        <v>0</v>
      </c>
      <c r="W47" s="190">
        <f t="shared" ref="W47:Z47" si="115">SUM(W45:W46)</f>
        <v>0</v>
      </c>
      <c r="X47" s="190">
        <f t="shared" si="115"/>
        <v>0</v>
      </c>
      <c r="Y47" s="190">
        <f t="shared" si="115"/>
        <v>0</v>
      </c>
      <c r="Z47" s="190">
        <f t="shared" si="115"/>
        <v>0</v>
      </c>
      <c r="AA47" s="191" t="str">
        <f t="shared" si="12"/>
        <v/>
      </c>
      <c r="AB47" s="190">
        <f t="shared" ref="AB47:AC47" si="116">SUM(AB45:AB46)</f>
        <v>0</v>
      </c>
      <c r="AC47" s="190">
        <f t="shared" si="116"/>
        <v>0</v>
      </c>
      <c r="AD47" s="192" t="str">
        <f t="shared" si="14"/>
        <v>#DIV/0!</v>
      </c>
      <c r="AE47" s="190">
        <f t="shared" ref="AE47:AF47" si="117">SUM(AE45:AE46)</f>
        <v>0</v>
      </c>
      <c r="AF47" s="190">
        <f t="shared" si="117"/>
        <v>0</v>
      </c>
      <c r="AG47" s="192" t="str">
        <f t="shared" si="16"/>
        <v>#DIV/0!</v>
      </c>
      <c r="AH47" s="190">
        <f t="shared" ref="AH47:AI47" si="118">SUM(AH45:AH46)</f>
        <v>0</v>
      </c>
      <c r="AI47" s="190">
        <f t="shared" si="118"/>
        <v>0</v>
      </c>
      <c r="AJ47" s="193" t="str">
        <f t="shared" si="18"/>
        <v>#DIV/0!</v>
      </c>
      <c r="AK47" s="190">
        <f t="shared" ref="AK47:AL47" si="119">SUM(AK45:AK46)</f>
        <v>0</v>
      </c>
      <c r="AL47" s="190">
        <f t="shared" si="119"/>
        <v>0</v>
      </c>
      <c r="AM47" s="192" t="str">
        <f t="shared" si="20"/>
        <v>#DIV/0!</v>
      </c>
      <c r="AN47" s="190">
        <f t="shared" ref="AN47:AO47" si="120">SUM(AN45:AN46)</f>
        <v>0</v>
      </c>
      <c r="AO47" s="190">
        <f t="shared" si="120"/>
        <v>0</v>
      </c>
      <c r="AP47" s="192" t="str">
        <f t="shared" si="22"/>
        <v>#DIV/0!</v>
      </c>
      <c r="AQ47" s="190">
        <f t="shared" ref="AQ47:AR47" si="121">SUM(AQ45:AQ46)</f>
        <v>0</v>
      </c>
      <c r="AR47" s="190">
        <f t="shared" si="121"/>
        <v>0</v>
      </c>
      <c r="AS47" s="192" t="str">
        <f t="shared" si="24"/>
        <v>#DIV/0!</v>
      </c>
      <c r="AT47" s="189">
        <f t="shared" ref="AT47:BS47" si="122">SUM(AT45:AT46)</f>
        <v>0</v>
      </c>
      <c r="AU47" s="189">
        <f t="shared" si="122"/>
        <v>0</v>
      </c>
      <c r="AV47" s="189">
        <f t="shared" si="122"/>
        <v>0</v>
      </c>
      <c r="AW47" s="189">
        <f t="shared" si="122"/>
        <v>0</v>
      </c>
      <c r="AX47" s="189">
        <f t="shared" si="122"/>
        <v>0</v>
      </c>
      <c r="AY47" s="189">
        <f t="shared" si="122"/>
        <v>0</v>
      </c>
      <c r="AZ47" s="189">
        <f t="shared" si="122"/>
        <v>0</v>
      </c>
      <c r="BA47" s="189">
        <f t="shared" si="122"/>
        <v>0</v>
      </c>
      <c r="BB47" s="189">
        <f t="shared" si="122"/>
        <v>0</v>
      </c>
      <c r="BC47" s="189">
        <f t="shared" si="122"/>
        <v>0</v>
      </c>
      <c r="BD47" s="189">
        <f t="shared" si="122"/>
        <v>0</v>
      </c>
      <c r="BE47" s="189">
        <f t="shared" si="122"/>
        <v>0</v>
      </c>
      <c r="BF47" s="189">
        <f t="shared" si="122"/>
        <v>0</v>
      </c>
      <c r="BG47" s="189">
        <f t="shared" si="122"/>
        <v>0</v>
      </c>
      <c r="BH47" s="189">
        <f t="shared" si="122"/>
        <v>0</v>
      </c>
      <c r="BI47" s="189">
        <f t="shared" si="122"/>
        <v>0</v>
      </c>
      <c r="BJ47" s="189">
        <f t="shared" si="122"/>
        <v>0</v>
      </c>
      <c r="BK47" s="189">
        <f t="shared" si="122"/>
        <v>0</v>
      </c>
      <c r="BL47" s="189">
        <f t="shared" si="122"/>
        <v>0</v>
      </c>
      <c r="BM47" s="189">
        <f t="shared" si="122"/>
        <v>0</v>
      </c>
      <c r="BN47" s="189">
        <f t="shared" si="122"/>
        <v>0</v>
      </c>
      <c r="BO47" s="189">
        <f t="shared" si="122"/>
        <v>0</v>
      </c>
      <c r="BP47" s="189">
        <f t="shared" si="122"/>
        <v>0</v>
      </c>
      <c r="BQ47" s="189">
        <f t="shared" si="122"/>
        <v>0</v>
      </c>
      <c r="BR47" s="189">
        <f t="shared" si="122"/>
        <v>0</v>
      </c>
      <c r="BS47" s="189">
        <f t="shared" si="122"/>
        <v>0</v>
      </c>
      <c r="BT47" s="194" t="str">
        <f t="shared" si="26"/>
        <v/>
      </c>
      <c r="BU47" s="194" t="str">
        <f t="shared" si="27"/>
        <v/>
      </c>
      <c r="BV47" s="194" t="str">
        <f t="shared" si="28"/>
        <v/>
      </c>
      <c r="BW47" s="188">
        <f t="shared" si="29"/>
        <v>0</v>
      </c>
      <c r="BX47" s="194" t="str">
        <f t="shared" si="30"/>
        <v/>
      </c>
      <c r="BY47" s="188">
        <f t="shared" si="31"/>
        <v>0</v>
      </c>
      <c r="BZ47" s="188">
        <f t="shared" si="32"/>
        <v>0</v>
      </c>
      <c r="CA47" s="188">
        <f t="shared" si="33"/>
        <v>0</v>
      </c>
      <c r="CB47" s="188">
        <f t="shared" si="34"/>
        <v>0</v>
      </c>
      <c r="CC47" s="191" t="str">
        <f t="shared" si="35"/>
        <v/>
      </c>
      <c r="CD47" s="189">
        <f t="shared" ref="CD47:CH47" si="123">SUM(CD45:CD46)</f>
        <v>0</v>
      </c>
      <c r="CE47" s="189">
        <f t="shared" si="123"/>
        <v>0</v>
      </c>
      <c r="CF47" s="189">
        <f t="shared" si="123"/>
        <v>0</v>
      </c>
      <c r="CG47" s="189">
        <f t="shared" si="123"/>
        <v>0</v>
      </c>
      <c r="CH47" s="189">
        <f t="shared" si="123"/>
        <v>0</v>
      </c>
      <c r="CI47" s="188">
        <f t="shared" si="37"/>
        <v>0</v>
      </c>
      <c r="CJ47" s="195" t="str">
        <f t="shared" si="38"/>
        <v/>
      </c>
      <c r="CK47" s="195" t="str">
        <f t="shared" si="39"/>
        <v/>
      </c>
    </row>
    <row r="48">
      <c r="A48" s="196" t="s">
        <v>270</v>
      </c>
      <c r="B48" s="197">
        <f t="shared" ref="B48:M48" si="124">SUMIFS(B$4:B$48,$CJ$4:$CJ$48,"3")</f>
        <v>2899</v>
      </c>
      <c r="C48" s="197">
        <f t="shared" si="124"/>
        <v>1660</v>
      </c>
      <c r="D48" s="197">
        <f t="shared" si="124"/>
        <v>38538</v>
      </c>
      <c r="E48" s="197">
        <f t="shared" si="124"/>
        <v>325</v>
      </c>
      <c r="F48" s="197">
        <f t="shared" si="124"/>
        <v>4280</v>
      </c>
      <c r="G48" s="197">
        <f t="shared" si="124"/>
        <v>6005</v>
      </c>
      <c r="H48" s="197">
        <f t="shared" si="124"/>
        <v>1013</v>
      </c>
      <c r="I48" s="197">
        <f t="shared" si="124"/>
        <v>1275</v>
      </c>
      <c r="J48" s="197">
        <f t="shared" si="124"/>
        <v>28142</v>
      </c>
      <c r="K48" s="198">
        <f t="shared" si="124"/>
        <v>233189</v>
      </c>
      <c r="L48" s="198">
        <f t="shared" si="124"/>
        <v>956056</v>
      </c>
      <c r="M48" s="198">
        <f t="shared" si="124"/>
        <v>745912</v>
      </c>
      <c r="N48" s="199">
        <f t="shared" si="2"/>
        <v>0.5726</v>
      </c>
      <c r="O48" s="200">
        <f t="shared" si="3"/>
        <v>140</v>
      </c>
      <c r="P48" s="199">
        <f t="shared" si="4"/>
        <v>0.243907</v>
      </c>
      <c r="Q48" s="200">
        <f t="shared" si="5"/>
        <v>1.4</v>
      </c>
      <c r="R48" s="200">
        <f t="shared" si="6"/>
        <v>223</v>
      </c>
      <c r="S48" s="200">
        <f t="shared" si="7"/>
        <v>159</v>
      </c>
      <c r="T48" s="200">
        <f t="shared" si="8"/>
        <v>1.1</v>
      </c>
      <c r="U48" s="201">
        <f t="shared" si="9"/>
        <v>736</v>
      </c>
      <c r="V48" s="202">
        <f t="shared" si="10"/>
        <v>210144</v>
      </c>
      <c r="W48" s="203">
        <f t="shared" ref="W48:Z48" si="125">SUMIFS(W$4:W$48,$CJ$4:$CJ$48,"3")</f>
        <v>8781271.82</v>
      </c>
      <c r="X48" s="203">
        <f t="shared" si="125"/>
        <v>8201116.595</v>
      </c>
      <c r="Y48" s="203">
        <f t="shared" si="125"/>
        <v>332289.829</v>
      </c>
      <c r="Z48" s="203">
        <f t="shared" si="125"/>
        <v>8448981.991</v>
      </c>
      <c r="AA48" s="204">
        <f t="shared" si="12"/>
        <v>0.037841</v>
      </c>
      <c r="AB48" s="203">
        <f t="shared" ref="AB48:AC48" si="126">SUMIFS(AB$4:AB$48,$CJ$4:$CJ$48,"3")</f>
        <v>476</v>
      </c>
      <c r="AC48" s="203">
        <f t="shared" si="126"/>
        <v>390.15</v>
      </c>
      <c r="AD48" s="204">
        <f t="shared" si="14"/>
        <v>0.180357</v>
      </c>
      <c r="AE48" s="203">
        <f t="shared" ref="AE48:AF48" si="127">SUMIFS(AE$4:AE$48,$CJ$4:$CJ$48,"3")</f>
        <v>8616022.88</v>
      </c>
      <c r="AF48" s="203">
        <f t="shared" si="127"/>
        <v>8284726.181</v>
      </c>
      <c r="AG48" s="204">
        <f t="shared" si="16"/>
        <v>0.038451</v>
      </c>
      <c r="AH48" s="203">
        <f t="shared" ref="AH48:AI48" si="128">SUMIFS(AH$4:AH$48,$CJ$4:$CJ$48,"3")</f>
        <v>42501.44</v>
      </c>
      <c r="AI48" s="203">
        <f t="shared" si="128"/>
        <v>39176.07</v>
      </c>
      <c r="AJ48" s="199">
        <f t="shared" si="18"/>
        <v>0.078241</v>
      </c>
      <c r="AK48" s="203">
        <f t="shared" ref="AK48:AL48" si="129">SUMIFS(AK$4:AK$48,$CJ$4:$CJ$48,"3")</f>
        <v>120137.5</v>
      </c>
      <c r="AL48" s="203">
        <f t="shared" si="129"/>
        <v>123321.32</v>
      </c>
      <c r="AM48" s="204">
        <f t="shared" si="20"/>
        <v>-0.026501</v>
      </c>
      <c r="AN48" s="203">
        <f t="shared" ref="AN48:AO48" si="130">SUMIFS(AN$4:AN$48,$CJ$4:$CJ$48,"3")</f>
        <v>2078</v>
      </c>
      <c r="AO48" s="203">
        <f t="shared" si="130"/>
        <v>1368.27</v>
      </c>
      <c r="AP48" s="204">
        <f t="shared" si="22"/>
        <v>0.341545</v>
      </c>
      <c r="AQ48" s="203">
        <f t="shared" ref="AQ48:AR48" si="131">SUMIFS(AQ$4:AQ$48,$CJ$4:$CJ$48,"3")</f>
        <v>56</v>
      </c>
      <c r="AR48" s="203">
        <f t="shared" si="131"/>
        <v>0</v>
      </c>
      <c r="AS48" s="204">
        <f t="shared" si="24"/>
        <v>1</v>
      </c>
      <c r="AT48" s="203">
        <f t="shared" ref="AT48:BS48" si="132">SUMIFS(AT$4:AT$48,$CJ$4:$CJ$48,"3")</f>
        <v>25308.55</v>
      </c>
      <c r="AU48" s="203">
        <f t="shared" si="132"/>
        <v>0</v>
      </c>
      <c r="AV48" s="203">
        <f t="shared" si="132"/>
        <v>6146.58</v>
      </c>
      <c r="AW48" s="203">
        <f t="shared" si="132"/>
        <v>48662</v>
      </c>
      <c r="AX48" s="203">
        <f t="shared" si="132"/>
        <v>3519</v>
      </c>
      <c r="AY48" s="203">
        <f t="shared" si="132"/>
        <v>0</v>
      </c>
      <c r="AZ48" s="203">
        <f t="shared" si="132"/>
        <v>0</v>
      </c>
      <c r="BA48" s="203">
        <f t="shared" si="132"/>
        <v>0</v>
      </c>
      <c r="BB48" s="203">
        <f t="shared" si="132"/>
        <v>3146.03</v>
      </c>
      <c r="BC48" s="203">
        <f t="shared" si="132"/>
        <v>3121</v>
      </c>
      <c r="BD48" s="203">
        <f t="shared" si="132"/>
        <v>0</v>
      </c>
      <c r="BE48" s="203">
        <f t="shared" si="132"/>
        <v>0</v>
      </c>
      <c r="BF48" s="203">
        <f t="shared" si="132"/>
        <v>1050</v>
      </c>
      <c r="BG48" s="203">
        <f t="shared" si="132"/>
        <v>0</v>
      </c>
      <c r="BH48" s="203">
        <f t="shared" si="132"/>
        <v>0</v>
      </c>
      <c r="BI48" s="203">
        <f t="shared" si="132"/>
        <v>0</v>
      </c>
      <c r="BJ48" s="203">
        <f t="shared" si="132"/>
        <v>54463</v>
      </c>
      <c r="BK48" s="203">
        <f t="shared" si="132"/>
        <v>0</v>
      </c>
      <c r="BL48" s="203">
        <f t="shared" si="132"/>
        <v>0</v>
      </c>
      <c r="BM48" s="203">
        <f t="shared" si="132"/>
        <v>0</v>
      </c>
      <c r="BN48" s="203">
        <f t="shared" si="132"/>
        <v>0</v>
      </c>
      <c r="BO48" s="203">
        <f t="shared" si="132"/>
        <v>0</v>
      </c>
      <c r="BP48" s="203">
        <f t="shared" si="132"/>
        <v>0</v>
      </c>
      <c r="BQ48" s="203">
        <f t="shared" si="132"/>
        <v>145416.16</v>
      </c>
      <c r="BR48" s="203">
        <f t="shared" si="132"/>
        <v>25308.55</v>
      </c>
      <c r="BS48" s="203">
        <f t="shared" si="132"/>
        <v>3146.03</v>
      </c>
      <c r="BT48" s="199">
        <f t="shared" si="26"/>
        <v>0.017731</v>
      </c>
      <c r="BU48" s="199">
        <f t="shared" si="27"/>
        <v>0.1521000443</v>
      </c>
      <c r="BV48" s="205">
        <f t="shared" si="28"/>
        <v>0.4376184502</v>
      </c>
      <c r="BW48" s="201">
        <f t="shared" si="29"/>
        <v>186873.669</v>
      </c>
      <c r="BX48" s="199">
        <f t="shared" si="30"/>
        <v>0.7781522179</v>
      </c>
      <c r="BY48" s="201">
        <f t="shared" si="31"/>
        <v>23040.9496</v>
      </c>
      <c r="BZ48" s="201">
        <f t="shared" si="32"/>
        <v>1491.824</v>
      </c>
      <c r="CA48" s="201">
        <f t="shared" ref="CA48:CB48" si="133">SUMIFS(CA$4:CA$48,$CJ$4:$CJ$48,"3")</f>
        <v>24532.7736</v>
      </c>
      <c r="CB48" s="201">
        <f t="shared" si="133"/>
        <v>29905</v>
      </c>
      <c r="CC48" s="206">
        <f t="shared" si="35"/>
        <v>0.1312799911</v>
      </c>
      <c r="CD48" s="203">
        <f t="shared" ref="CD48:CH48" si="134">SUMIFS(CD$4:CD$48,$CJ$4:$CJ$48,"3")</f>
        <v>0</v>
      </c>
      <c r="CE48" s="203">
        <f t="shared" si="134"/>
        <v>0</v>
      </c>
      <c r="CF48" s="203">
        <f t="shared" si="134"/>
        <v>0</v>
      </c>
      <c r="CG48" s="203">
        <f t="shared" si="134"/>
        <v>0</v>
      </c>
      <c r="CH48" s="203">
        <f t="shared" si="134"/>
        <v>1464267.444</v>
      </c>
      <c r="CI48" s="201">
        <f t="shared" si="37"/>
        <v>132435.8954</v>
      </c>
      <c r="CJ48" s="65" t="str">
        <f t="shared" si="38"/>
        <v/>
      </c>
      <c r="CK48" s="65" t="str">
        <f t="shared" si="39"/>
        <v/>
      </c>
    </row>
    <row r="49">
      <c r="A49" s="207" t="s">
        <v>271</v>
      </c>
      <c r="B49" s="208">
        <f t="shared" ref="B49:M49" si="135">AVERAGEIFS(B$4:B$48,$CJ$4:$CJ$48,"3")</f>
        <v>263.5454545</v>
      </c>
      <c r="C49" s="208">
        <f t="shared" si="135"/>
        <v>150.9090909</v>
      </c>
      <c r="D49" s="208">
        <f t="shared" si="135"/>
        <v>3503.454545</v>
      </c>
      <c r="E49" s="208">
        <f t="shared" si="135"/>
        <v>29.54545455</v>
      </c>
      <c r="F49" s="208">
        <f t="shared" si="135"/>
        <v>389.0909091</v>
      </c>
      <c r="G49" s="208">
        <f t="shared" si="135"/>
        <v>193.7096774</v>
      </c>
      <c r="H49" s="208">
        <f t="shared" si="135"/>
        <v>92.09090909</v>
      </c>
      <c r="I49" s="208">
        <f t="shared" si="135"/>
        <v>115.9090909</v>
      </c>
      <c r="J49" s="208">
        <f t="shared" si="135"/>
        <v>2558.363636</v>
      </c>
      <c r="K49" s="209">
        <f t="shared" si="135"/>
        <v>7522.225806</v>
      </c>
      <c r="L49" s="209">
        <f t="shared" si="135"/>
        <v>86914.18182</v>
      </c>
      <c r="M49" s="209">
        <f t="shared" si="135"/>
        <v>67810.18182</v>
      </c>
      <c r="N49" s="210">
        <f t="shared" si="2"/>
        <v>0.5726</v>
      </c>
      <c r="O49" s="211">
        <f t="shared" si="3"/>
        <v>50</v>
      </c>
      <c r="P49" s="210">
        <f t="shared" si="4"/>
        <v>0.086548</v>
      </c>
      <c r="Q49" s="211">
        <f t="shared" si="5"/>
        <v>0.5</v>
      </c>
      <c r="R49" s="212">
        <f t="shared" si="6"/>
        <v>223</v>
      </c>
      <c r="S49" s="211">
        <f t="shared" si="7"/>
        <v>449</v>
      </c>
      <c r="T49" s="211">
        <f t="shared" si="8"/>
        <v>9</v>
      </c>
      <c r="U49" s="212">
        <f t="shared" si="9"/>
        <v>736</v>
      </c>
      <c r="V49" s="213">
        <f t="shared" si="10"/>
        <v>19104</v>
      </c>
      <c r="W49" s="214">
        <f t="shared" ref="W49:Z49" si="136">AVERAGEIFS(W$4:W$48,$CJ$4:$CJ$48,"3")</f>
        <v>283266.8329</v>
      </c>
      <c r="X49" s="214">
        <f t="shared" si="136"/>
        <v>264552.1482</v>
      </c>
      <c r="Y49" s="214">
        <f t="shared" si="136"/>
        <v>10719.02674</v>
      </c>
      <c r="Z49" s="214">
        <f t="shared" si="136"/>
        <v>272547.8062</v>
      </c>
      <c r="AA49" s="215">
        <f t="shared" si="12"/>
        <v>0.037841</v>
      </c>
      <c r="AB49" s="214">
        <f t="shared" ref="AB49:AC49" si="137">AVERAGEIFS(AB$4:AB$48,$CJ$4:$CJ$48,"3")</f>
        <v>43.27272727</v>
      </c>
      <c r="AC49" s="214">
        <f t="shared" si="137"/>
        <v>35.46818182</v>
      </c>
      <c r="AD49" s="215">
        <f t="shared" si="14"/>
        <v>0.180357</v>
      </c>
      <c r="AE49" s="214">
        <f t="shared" ref="AE49:AF49" si="138">AVERAGEIFS(AE$4:AE$48,$CJ$4:$CJ$48,"3")</f>
        <v>783274.8073</v>
      </c>
      <c r="AF49" s="214">
        <f t="shared" si="138"/>
        <v>753156.9255</v>
      </c>
      <c r="AG49" s="215">
        <f t="shared" si="16"/>
        <v>0.038451</v>
      </c>
      <c r="AH49" s="214">
        <f t="shared" ref="AH49:AI49" si="139">AVERAGEIFS(AH$4:AH$48,$CJ$4:$CJ$48,"3")</f>
        <v>3863.767273</v>
      </c>
      <c r="AI49" s="214">
        <f t="shared" si="139"/>
        <v>3561.460909</v>
      </c>
      <c r="AJ49" s="210">
        <f t="shared" si="18"/>
        <v>0.078241</v>
      </c>
      <c r="AK49" s="214">
        <f t="shared" ref="AK49:AL49" si="140">AVERAGEIFS(AK$4:AK$48,$CJ$4:$CJ$48,"3")</f>
        <v>10921.59091</v>
      </c>
      <c r="AL49" s="214">
        <f t="shared" si="140"/>
        <v>11211.02909</v>
      </c>
      <c r="AM49" s="215">
        <f t="shared" si="20"/>
        <v>-0.026501</v>
      </c>
      <c r="AN49" s="214">
        <f t="shared" ref="AN49:AO49" si="141">AVERAGEIFS(AN$4:AN$48,$CJ$4:$CJ$48,"3")</f>
        <v>188.9090909</v>
      </c>
      <c r="AO49" s="214">
        <f t="shared" si="141"/>
        <v>124.3881818</v>
      </c>
      <c r="AP49" s="215">
        <f t="shared" si="22"/>
        <v>0.341545</v>
      </c>
      <c r="AQ49" s="214">
        <f t="shared" ref="AQ49:AR49" si="142">AVERAGEIFS(AQ$4:AQ$48,$CJ$4:$CJ$48,"3")</f>
        <v>5.090909091</v>
      </c>
      <c r="AR49" s="214">
        <f t="shared" si="142"/>
        <v>0</v>
      </c>
      <c r="AS49" s="215">
        <f t="shared" si="24"/>
        <v>1</v>
      </c>
      <c r="AT49" s="214">
        <f t="shared" ref="AT49:BS49" si="143">AVERAGEIFS(AT$4:AT$48,$CJ$4:$CJ$48,"3")</f>
        <v>816.4048387</v>
      </c>
      <c r="AU49" s="214">
        <f t="shared" si="143"/>
        <v>0</v>
      </c>
      <c r="AV49" s="214">
        <f t="shared" si="143"/>
        <v>198.2767742</v>
      </c>
      <c r="AW49" s="214">
        <f t="shared" si="143"/>
        <v>1569.741935</v>
      </c>
      <c r="AX49" s="214">
        <f t="shared" si="143"/>
        <v>113.516129</v>
      </c>
      <c r="AY49" s="214">
        <f t="shared" si="143"/>
        <v>0</v>
      </c>
      <c r="AZ49" s="214">
        <f t="shared" si="143"/>
        <v>0</v>
      </c>
      <c r="BA49" s="214">
        <f t="shared" si="143"/>
        <v>0</v>
      </c>
      <c r="BB49" s="214">
        <f t="shared" si="143"/>
        <v>101.4848387</v>
      </c>
      <c r="BC49" s="214">
        <f t="shared" si="143"/>
        <v>100.6774194</v>
      </c>
      <c r="BD49" s="214">
        <f t="shared" si="143"/>
        <v>0</v>
      </c>
      <c r="BE49" s="214">
        <f t="shared" si="143"/>
        <v>0</v>
      </c>
      <c r="BF49" s="214">
        <f t="shared" si="143"/>
        <v>33.87096774</v>
      </c>
      <c r="BG49" s="214">
        <f t="shared" si="143"/>
        <v>0</v>
      </c>
      <c r="BH49" s="214">
        <f t="shared" si="143"/>
        <v>0</v>
      </c>
      <c r="BI49" s="214">
        <f t="shared" si="143"/>
        <v>0</v>
      </c>
      <c r="BJ49" s="214">
        <f t="shared" si="143"/>
        <v>1756.870968</v>
      </c>
      <c r="BK49" s="214">
        <f t="shared" si="143"/>
        <v>0</v>
      </c>
      <c r="BL49" s="214">
        <f t="shared" si="143"/>
        <v>0</v>
      </c>
      <c r="BM49" s="214">
        <f t="shared" si="143"/>
        <v>0</v>
      </c>
      <c r="BN49" s="214">
        <f t="shared" si="143"/>
        <v>0</v>
      </c>
      <c r="BO49" s="214">
        <f t="shared" si="143"/>
        <v>0</v>
      </c>
      <c r="BP49" s="214">
        <f t="shared" si="143"/>
        <v>0</v>
      </c>
      <c r="BQ49" s="214">
        <f t="shared" si="143"/>
        <v>4690.843871</v>
      </c>
      <c r="BR49" s="214">
        <f t="shared" si="143"/>
        <v>816.4048387</v>
      </c>
      <c r="BS49" s="214">
        <f t="shared" si="143"/>
        <v>101.4848387</v>
      </c>
      <c r="BT49" s="210">
        <f t="shared" si="26"/>
        <v>0.017731</v>
      </c>
      <c r="BU49" s="210">
        <f t="shared" si="27"/>
        <v>0.05397098348</v>
      </c>
      <c r="BV49" s="210">
        <f t="shared" si="28"/>
        <v>0.4376184502</v>
      </c>
      <c r="BW49" s="212">
        <f t="shared" si="29"/>
        <v>6028.182871</v>
      </c>
      <c r="BX49" s="210">
        <f t="shared" si="30"/>
        <v>0.7781522179</v>
      </c>
      <c r="BY49" s="212">
        <f t="shared" si="31"/>
        <v>2094.631782</v>
      </c>
      <c r="BZ49" s="212">
        <f t="shared" si="32"/>
        <v>135.6203636</v>
      </c>
      <c r="CA49" s="212">
        <f t="shared" ref="CA49:CB49" si="144">AVERAGEIFS(CA$4:CA$48,$CJ$4:$CJ$48,"3")</f>
        <v>791.3797935</v>
      </c>
      <c r="CB49" s="212">
        <f t="shared" si="144"/>
        <v>964.6774194</v>
      </c>
      <c r="CC49" s="210">
        <f t="shared" si="35"/>
        <v>0.1312799911</v>
      </c>
      <c r="CD49" s="214">
        <f t="shared" ref="CD49:CH49" si="145">AVERAGEIFS(CD$4:CD$48,$CJ$4:$CJ$48,"3")</f>
        <v>0</v>
      </c>
      <c r="CE49" s="214" t="str">
        <f t="shared" si="145"/>
        <v>#DIV/0!</v>
      </c>
      <c r="CF49" s="214">
        <f t="shared" si="145"/>
        <v>0</v>
      </c>
      <c r="CG49" s="214">
        <f t="shared" si="145"/>
        <v>0</v>
      </c>
      <c r="CH49" s="214">
        <f t="shared" si="145"/>
        <v>133115.2221</v>
      </c>
      <c r="CI49" s="212">
        <f t="shared" si="37"/>
        <v>4272.125658</v>
      </c>
      <c r="CJ49" s="216" t="str">
        <f t="shared" si="38"/>
        <v/>
      </c>
      <c r="CK49" s="65" t="str">
        <f t="shared" si="39"/>
        <v/>
      </c>
    </row>
    <row r="50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217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218"/>
      <c r="W50" s="61"/>
      <c r="X50" s="61"/>
      <c r="Y50" s="64"/>
      <c r="Z50" s="61"/>
      <c r="AA50" s="219"/>
      <c r="AB50" s="61"/>
      <c r="AC50" s="61"/>
      <c r="AD50" s="219"/>
      <c r="AE50" s="61"/>
      <c r="AF50" s="61"/>
      <c r="AG50" s="219"/>
      <c r="AH50" s="61"/>
      <c r="AI50" s="61"/>
      <c r="AJ50" s="220"/>
      <c r="AK50" s="61"/>
      <c r="AL50" s="61"/>
      <c r="AM50" s="219"/>
      <c r="AN50" s="61"/>
      <c r="AO50" s="61"/>
      <c r="AP50" s="219"/>
      <c r="AQ50" s="61"/>
      <c r="AR50" s="61"/>
      <c r="AS50" s="219"/>
      <c r="AT50" s="221"/>
      <c r="AU50" s="221"/>
      <c r="AV50" s="221"/>
      <c r="AW50" s="221"/>
      <c r="AX50" s="221"/>
      <c r="AY50" s="221"/>
      <c r="AZ50" s="221"/>
      <c r="BA50" s="222"/>
      <c r="BB50" s="221"/>
      <c r="BC50" s="221"/>
      <c r="BD50" s="221"/>
      <c r="BE50" s="221"/>
      <c r="BF50" s="221"/>
      <c r="BG50" s="221"/>
      <c r="BH50" s="221"/>
      <c r="BI50" s="221"/>
      <c r="BJ50" s="221"/>
      <c r="BK50" s="221"/>
      <c r="BL50" s="221"/>
      <c r="BM50" s="221"/>
      <c r="BN50" s="221"/>
      <c r="BO50" s="221"/>
      <c r="BP50" s="221"/>
      <c r="BQ50" s="61"/>
      <c r="BR50" s="61"/>
      <c r="BS50" s="61"/>
      <c r="BT50" s="61"/>
      <c r="BU50" s="61"/>
      <c r="BV50" s="61"/>
      <c r="BW50" s="61"/>
      <c r="BX50" s="61"/>
      <c r="BY50" s="64" t="s">
        <v>272</v>
      </c>
      <c r="BZ50" s="61"/>
      <c r="CA50" s="61"/>
      <c r="CB50" s="61"/>
      <c r="CC50" s="61"/>
      <c r="CD50" s="218"/>
      <c r="CE50" s="61"/>
      <c r="CF50" s="61"/>
      <c r="CG50" s="61"/>
      <c r="CH50" s="61"/>
      <c r="CI50" s="61"/>
      <c r="CJ50" s="216"/>
      <c r="CK50" s="65"/>
    </row>
  </sheetData>
  <conditionalFormatting sqref="V1:V50">
    <cfRule type="cellIs" dxfId="0" priority="1" operator="lessThan">
      <formula>0</formula>
    </cfRule>
  </conditionalFormatting>
  <conditionalFormatting sqref="Y1:Y50">
    <cfRule type="cellIs" dxfId="1" priority="2" operator="lessThan">
      <formula>0</formula>
    </cfRule>
  </conditionalFormatting>
  <conditionalFormatting sqref="AA1:AA50 AD1:AD50 AG1:AG50 AM1:AM50 AP1:AP50 AS1:AS50">
    <cfRule type="cellIs" dxfId="1" priority="3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9.88"/>
    <col customWidth="1" min="15" max="15" width="4.63"/>
    <col customWidth="1" min="103" max="104" width="14.38"/>
    <col customWidth="1" min="119" max="119" width="14.38"/>
    <col customWidth="1" min="122" max="122" width="14.38"/>
  </cols>
  <sheetData>
    <row r="1">
      <c r="A1" s="223" t="s">
        <v>273</v>
      </c>
      <c r="B1" s="224"/>
    </row>
    <row r="2">
      <c r="A2" s="225" t="s">
        <v>274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P2" s="227" t="s">
        <v>275</v>
      </c>
    </row>
    <row r="3">
      <c r="A3" s="228" t="s">
        <v>268</v>
      </c>
      <c r="B3" s="229" t="s">
        <v>276</v>
      </c>
      <c r="C3" s="230" t="s">
        <v>146</v>
      </c>
      <c r="D3" s="228" t="s">
        <v>151</v>
      </c>
      <c r="E3" s="231" t="s">
        <v>147</v>
      </c>
      <c r="F3" s="228" t="s">
        <v>149</v>
      </c>
      <c r="G3" s="228" t="s">
        <v>144</v>
      </c>
      <c r="H3" s="228" t="s">
        <v>277</v>
      </c>
      <c r="I3" s="228" t="s">
        <v>145</v>
      </c>
      <c r="J3" s="228" t="s">
        <v>278</v>
      </c>
      <c r="K3" s="228" t="s">
        <v>279</v>
      </c>
      <c r="L3" s="228" t="s">
        <v>280</v>
      </c>
      <c r="M3" s="231" t="s">
        <v>153</v>
      </c>
      <c r="N3" s="228" t="s">
        <v>281</v>
      </c>
      <c r="P3" s="232" t="s">
        <v>268</v>
      </c>
      <c r="Q3" s="232" t="s">
        <v>282</v>
      </c>
      <c r="R3" s="232" t="s">
        <v>283</v>
      </c>
      <c r="S3" s="232" t="s">
        <v>154</v>
      </c>
      <c r="T3" s="232" t="s">
        <v>284</v>
      </c>
      <c r="U3" s="232" t="s">
        <v>285</v>
      </c>
      <c r="V3" s="232" t="s">
        <v>280</v>
      </c>
      <c r="W3" s="232" t="s">
        <v>286</v>
      </c>
      <c r="X3" s="232" t="s">
        <v>287</v>
      </c>
      <c r="Y3" s="232" t="s">
        <v>195</v>
      </c>
      <c r="Z3" s="232" t="s">
        <v>288</v>
      </c>
      <c r="AA3" s="232" t="s">
        <v>162</v>
      </c>
      <c r="AB3" s="232" t="s">
        <v>289</v>
      </c>
      <c r="AC3" s="232" t="s">
        <v>163</v>
      </c>
      <c r="AD3" s="232" t="s">
        <v>290</v>
      </c>
      <c r="AE3" s="232" t="s">
        <v>291</v>
      </c>
      <c r="AF3" s="232" t="s">
        <v>292</v>
      </c>
      <c r="AG3" s="232" t="s">
        <v>293</v>
      </c>
      <c r="AH3" s="232" t="s">
        <v>294</v>
      </c>
      <c r="AI3" s="232" t="s">
        <v>295</v>
      </c>
      <c r="AJ3" s="232" t="s">
        <v>296</v>
      </c>
      <c r="AK3" s="232" t="s">
        <v>297</v>
      </c>
      <c r="AL3" s="232" t="s">
        <v>164</v>
      </c>
      <c r="AM3" s="232" t="s">
        <v>298</v>
      </c>
      <c r="AN3" s="232" t="s">
        <v>165</v>
      </c>
      <c r="AO3" s="232" t="s">
        <v>299</v>
      </c>
      <c r="AP3" s="232" t="s">
        <v>300</v>
      </c>
      <c r="AQ3" s="232" t="s">
        <v>301</v>
      </c>
      <c r="AR3" s="232" t="s">
        <v>302</v>
      </c>
      <c r="AS3" s="232" t="s">
        <v>303</v>
      </c>
      <c r="AT3" s="232" t="s">
        <v>304</v>
      </c>
      <c r="AU3" s="232" t="s">
        <v>305</v>
      </c>
      <c r="AV3" s="232" t="s">
        <v>306</v>
      </c>
      <c r="AW3" s="232" t="s">
        <v>307</v>
      </c>
      <c r="AX3" s="232" t="s">
        <v>308</v>
      </c>
      <c r="AY3" s="232" t="s">
        <v>309</v>
      </c>
      <c r="AZ3" s="232" t="s">
        <v>310</v>
      </c>
      <c r="BA3" s="232" t="s">
        <v>311</v>
      </c>
      <c r="BB3" s="232" t="s">
        <v>312</v>
      </c>
      <c r="BC3" s="232" t="s">
        <v>313</v>
      </c>
      <c r="BD3" s="232" t="s">
        <v>314</v>
      </c>
      <c r="BE3" s="232" t="s">
        <v>315</v>
      </c>
      <c r="BF3" s="232" t="s">
        <v>316</v>
      </c>
      <c r="BG3" s="232" t="s">
        <v>317</v>
      </c>
      <c r="BH3" s="232" t="s">
        <v>318</v>
      </c>
      <c r="BI3" s="232" t="s">
        <v>160</v>
      </c>
      <c r="BJ3" s="232" t="s">
        <v>319</v>
      </c>
      <c r="BK3" s="232" t="s">
        <v>161</v>
      </c>
      <c r="BL3" s="232" t="s">
        <v>320</v>
      </c>
      <c r="BM3" s="232" t="s">
        <v>321</v>
      </c>
      <c r="BN3" s="232" t="s">
        <v>322</v>
      </c>
      <c r="BO3" s="232" t="s">
        <v>323</v>
      </c>
      <c r="BP3" s="232" t="s">
        <v>324</v>
      </c>
      <c r="BQ3" s="232" t="s">
        <v>325</v>
      </c>
      <c r="BR3" s="232" t="s">
        <v>326</v>
      </c>
      <c r="BS3" s="232" t="s">
        <v>327</v>
      </c>
      <c r="BT3" s="232" t="s">
        <v>166</v>
      </c>
      <c r="BU3" s="232" t="s">
        <v>328</v>
      </c>
      <c r="BV3" s="232" t="s">
        <v>167</v>
      </c>
      <c r="BW3" s="232" t="s">
        <v>329</v>
      </c>
      <c r="BX3" s="232" t="s">
        <v>330</v>
      </c>
      <c r="BY3" s="232" t="s">
        <v>331</v>
      </c>
      <c r="BZ3" s="232" t="s">
        <v>332</v>
      </c>
      <c r="CA3" s="232" t="s">
        <v>333</v>
      </c>
      <c r="CB3" s="232" t="s">
        <v>334</v>
      </c>
      <c r="CC3" s="232" t="s">
        <v>335</v>
      </c>
      <c r="CD3" s="232" t="s">
        <v>336</v>
      </c>
      <c r="CE3" s="232" t="s">
        <v>168</v>
      </c>
      <c r="CF3" s="232" t="s">
        <v>337</v>
      </c>
      <c r="CG3" s="232" t="s">
        <v>169</v>
      </c>
      <c r="CH3" s="232" t="s">
        <v>338</v>
      </c>
      <c r="CI3" s="232" t="s">
        <v>339</v>
      </c>
      <c r="CJ3" s="232" t="s">
        <v>340</v>
      </c>
      <c r="CK3" s="232" t="s">
        <v>341</v>
      </c>
      <c r="CL3" s="232" t="s">
        <v>342</v>
      </c>
      <c r="CM3" s="232" t="s">
        <v>343</v>
      </c>
      <c r="CN3" s="232" t="s">
        <v>344</v>
      </c>
      <c r="CO3" s="232" t="s">
        <v>345</v>
      </c>
      <c r="CP3" s="232" t="s">
        <v>170</v>
      </c>
      <c r="CQ3" s="232" t="s">
        <v>346</v>
      </c>
      <c r="CR3" s="232" t="s">
        <v>171</v>
      </c>
      <c r="CS3" s="232" t="s">
        <v>347</v>
      </c>
      <c r="CT3" s="232" t="s">
        <v>348</v>
      </c>
      <c r="CU3" s="232" t="s">
        <v>349</v>
      </c>
      <c r="CV3" s="232" t="s">
        <v>350</v>
      </c>
      <c r="CW3" s="232" t="s">
        <v>314</v>
      </c>
      <c r="CX3" s="232" t="s">
        <v>351</v>
      </c>
      <c r="CY3" s="232" t="s">
        <v>352</v>
      </c>
      <c r="CZ3" s="232" t="s">
        <v>353</v>
      </c>
      <c r="DA3" s="232" t="s">
        <v>354</v>
      </c>
      <c r="DB3" s="232" t="s">
        <v>199</v>
      </c>
      <c r="DC3" s="232" t="s">
        <v>200</v>
      </c>
      <c r="DD3" s="232" t="s">
        <v>355</v>
      </c>
      <c r="DE3" s="232" t="s">
        <v>356</v>
      </c>
      <c r="DF3" s="232" t="s">
        <v>357</v>
      </c>
      <c r="DG3" s="232" t="s">
        <v>358</v>
      </c>
      <c r="DH3" s="232" t="s">
        <v>359</v>
      </c>
      <c r="DI3" s="232" t="s">
        <v>360</v>
      </c>
      <c r="DJ3" s="232" t="s">
        <v>361</v>
      </c>
      <c r="DK3" s="232" t="s">
        <v>362</v>
      </c>
      <c r="DL3" s="232" t="s">
        <v>363</v>
      </c>
      <c r="DM3" s="232" t="s">
        <v>364</v>
      </c>
      <c r="DN3" s="232" t="s">
        <v>365</v>
      </c>
      <c r="DO3" s="232" t="s">
        <v>366</v>
      </c>
      <c r="DP3" s="232" t="s">
        <v>367</v>
      </c>
      <c r="DQ3" s="232" t="s">
        <v>368</v>
      </c>
      <c r="DR3" s="232" t="s">
        <v>369</v>
      </c>
      <c r="DS3" s="232" t="s">
        <v>201</v>
      </c>
    </row>
    <row r="4">
      <c r="A4" s="233">
        <f t="shared" ref="A4:A33" si="1">A5+1</f>
        <v>46112</v>
      </c>
      <c r="B4" s="234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P4" s="233">
        <f t="shared" ref="P4:P33" si="2">P5+1</f>
        <v>46112</v>
      </c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6"/>
      <c r="AP4" s="236"/>
      <c r="AQ4" s="236"/>
      <c r="AR4" s="236"/>
      <c r="AS4" s="236"/>
      <c r="AT4" s="236"/>
      <c r="AU4" s="236"/>
      <c r="AV4" s="236"/>
      <c r="AW4" s="236"/>
      <c r="AX4" s="236"/>
      <c r="AY4" s="236"/>
      <c r="AZ4" s="236"/>
      <c r="BA4" s="236"/>
      <c r="BB4" s="236"/>
      <c r="BC4" s="236"/>
      <c r="BD4" s="236"/>
      <c r="BE4" s="236"/>
      <c r="BF4" s="236"/>
      <c r="BG4" s="236"/>
      <c r="BH4" s="236"/>
      <c r="BI4" s="236"/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6"/>
      <c r="BV4" s="236"/>
      <c r="BW4" s="236"/>
      <c r="BX4" s="236"/>
      <c r="BY4" s="236"/>
      <c r="BZ4" s="236"/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6"/>
      <c r="CL4" s="236"/>
      <c r="CM4" s="236"/>
      <c r="CN4" s="236"/>
      <c r="CO4" s="236"/>
      <c r="CP4" s="236"/>
      <c r="CQ4" s="236"/>
      <c r="CR4" s="236"/>
      <c r="CS4" s="236"/>
      <c r="CT4" s="236"/>
      <c r="CU4" s="236"/>
      <c r="CV4" s="236"/>
      <c r="CW4" s="236"/>
      <c r="CX4" s="236"/>
      <c r="CY4" s="236"/>
      <c r="CZ4" s="236"/>
      <c r="DA4" s="236"/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6"/>
      <c r="DN4" s="236"/>
      <c r="DO4" s="236"/>
      <c r="DP4" s="236"/>
      <c r="DQ4" s="236"/>
      <c r="DR4" s="236"/>
      <c r="DS4" s="236"/>
    </row>
    <row r="5">
      <c r="A5" s="233">
        <f t="shared" si="1"/>
        <v>46111</v>
      </c>
      <c r="B5" s="234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P5" s="233">
        <f t="shared" si="2"/>
        <v>46111</v>
      </c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  <c r="AE5" s="236"/>
      <c r="AF5" s="236"/>
      <c r="AG5" s="236"/>
      <c r="AH5" s="236"/>
      <c r="AI5" s="236"/>
      <c r="AJ5" s="236"/>
      <c r="AK5" s="236"/>
      <c r="AL5" s="236"/>
      <c r="AM5" s="236"/>
      <c r="AN5" s="236"/>
      <c r="AO5" s="236"/>
      <c r="AP5" s="236"/>
      <c r="AQ5" s="236"/>
      <c r="AR5" s="236"/>
      <c r="AS5" s="236"/>
      <c r="AT5" s="236"/>
      <c r="AU5" s="236"/>
      <c r="AV5" s="236"/>
      <c r="AW5" s="236"/>
      <c r="AX5" s="236"/>
      <c r="AY5" s="236"/>
      <c r="AZ5" s="236"/>
      <c r="BA5" s="236"/>
      <c r="BB5" s="236"/>
      <c r="BC5" s="236"/>
      <c r="BD5" s="236"/>
      <c r="BE5" s="236"/>
      <c r="BF5" s="236"/>
      <c r="BG5" s="236"/>
      <c r="BH5" s="236"/>
      <c r="BI5" s="236"/>
      <c r="BJ5" s="236"/>
      <c r="BK5" s="236"/>
      <c r="BL5" s="236"/>
      <c r="BM5" s="236"/>
      <c r="BN5" s="236"/>
      <c r="BO5" s="236"/>
      <c r="BP5" s="236"/>
      <c r="BQ5" s="236"/>
      <c r="BR5" s="236"/>
      <c r="BS5" s="236"/>
      <c r="BT5" s="236"/>
      <c r="BU5" s="236"/>
      <c r="BV5" s="236"/>
      <c r="BW5" s="236"/>
      <c r="BX5" s="236"/>
      <c r="BY5" s="236"/>
      <c r="BZ5" s="236"/>
      <c r="CA5" s="236"/>
      <c r="CB5" s="236"/>
      <c r="CC5" s="236"/>
      <c r="CD5" s="236"/>
      <c r="CE5" s="236"/>
      <c r="CF5" s="236"/>
      <c r="CG5" s="236"/>
      <c r="CH5" s="236"/>
      <c r="CI5" s="236"/>
      <c r="CJ5" s="236"/>
      <c r="CK5" s="236"/>
      <c r="CL5" s="236"/>
      <c r="CM5" s="236"/>
      <c r="CN5" s="236"/>
      <c r="CO5" s="236"/>
      <c r="CP5" s="236"/>
      <c r="CQ5" s="236"/>
      <c r="CR5" s="236"/>
      <c r="CS5" s="236"/>
      <c r="CT5" s="236"/>
      <c r="CU5" s="236"/>
      <c r="CV5" s="236"/>
      <c r="CW5" s="236"/>
      <c r="CX5" s="236"/>
      <c r="CY5" s="236"/>
      <c r="CZ5" s="236"/>
      <c r="DA5" s="236"/>
      <c r="DB5" s="236"/>
      <c r="DC5" s="236"/>
      <c r="DD5" s="236"/>
      <c r="DE5" s="236"/>
      <c r="DF5" s="236"/>
      <c r="DG5" s="236"/>
      <c r="DH5" s="236"/>
      <c r="DI5" s="236"/>
      <c r="DJ5" s="236"/>
      <c r="DK5" s="236"/>
      <c r="DL5" s="236"/>
      <c r="DM5" s="236"/>
      <c r="DN5" s="236"/>
      <c r="DO5" s="236"/>
      <c r="DP5" s="236"/>
      <c r="DQ5" s="236"/>
      <c r="DR5" s="236"/>
      <c r="DS5" s="236"/>
    </row>
    <row r="6">
      <c r="A6" s="233">
        <f t="shared" si="1"/>
        <v>46110</v>
      </c>
      <c r="B6" s="234"/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P6" s="233">
        <f t="shared" si="2"/>
        <v>46110</v>
      </c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6"/>
      <c r="AU6" s="236"/>
      <c r="AV6" s="236"/>
      <c r="AW6" s="236"/>
      <c r="AX6" s="236"/>
      <c r="AY6" s="236"/>
      <c r="AZ6" s="236"/>
      <c r="BA6" s="236"/>
      <c r="BB6" s="236"/>
      <c r="BC6" s="236"/>
      <c r="BD6" s="236"/>
      <c r="BE6" s="236"/>
      <c r="BF6" s="236"/>
      <c r="BG6" s="236"/>
      <c r="BH6" s="236"/>
      <c r="BI6" s="236"/>
      <c r="BJ6" s="236"/>
      <c r="BK6" s="236"/>
      <c r="BL6" s="236"/>
      <c r="BM6" s="236"/>
      <c r="BN6" s="236"/>
      <c r="BO6" s="236"/>
      <c r="BP6" s="236"/>
      <c r="BQ6" s="236"/>
      <c r="BR6" s="236"/>
      <c r="BS6" s="236"/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  <c r="CH6" s="236"/>
      <c r="CI6" s="236"/>
      <c r="CJ6" s="236"/>
      <c r="CK6" s="236"/>
      <c r="CL6" s="236"/>
      <c r="CM6" s="236"/>
      <c r="CN6" s="236"/>
      <c r="CO6" s="236"/>
      <c r="CP6" s="236"/>
      <c r="CQ6" s="236"/>
      <c r="CR6" s="236"/>
      <c r="CS6" s="236"/>
      <c r="CT6" s="236"/>
      <c r="CU6" s="236"/>
      <c r="CV6" s="236"/>
      <c r="CW6" s="236"/>
      <c r="CX6" s="236"/>
      <c r="CY6" s="236"/>
      <c r="CZ6" s="236"/>
      <c r="DA6" s="236"/>
      <c r="DB6" s="236"/>
      <c r="DC6" s="236"/>
      <c r="DD6" s="236"/>
      <c r="DE6" s="236"/>
      <c r="DF6" s="236"/>
      <c r="DG6" s="236"/>
      <c r="DH6" s="236"/>
      <c r="DI6" s="236"/>
      <c r="DJ6" s="236"/>
      <c r="DK6" s="236"/>
      <c r="DL6" s="236"/>
      <c r="DM6" s="236"/>
      <c r="DN6" s="236"/>
      <c r="DO6" s="236"/>
      <c r="DP6" s="236"/>
      <c r="DQ6" s="236"/>
      <c r="DR6" s="236"/>
      <c r="DS6" s="236"/>
    </row>
    <row r="7">
      <c r="A7" s="233">
        <f t="shared" si="1"/>
        <v>46109</v>
      </c>
      <c r="B7" s="234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P7" s="233">
        <f t="shared" si="2"/>
        <v>46109</v>
      </c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/>
      <c r="AE7" s="236"/>
      <c r="AF7" s="236"/>
      <c r="AG7" s="236"/>
      <c r="AH7" s="236"/>
      <c r="AI7" s="236"/>
      <c r="AJ7" s="236"/>
      <c r="AK7" s="236"/>
      <c r="AL7" s="236"/>
      <c r="AM7" s="236"/>
      <c r="AN7" s="236"/>
      <c r="AO7" s="236"/>
      <c r="AP7" s="236"/>
      <c r="AQ7" s="236"/>
      <c r="AR7" s="236"/>
      <c r="AS7" s="236"/>
      <c r="AT7" s="236"/>
      <c r="AU7" s="236"/>
      <c r="AV7" s="236"/>
      <c r="AW7" s="236"/>
      <c r="AX7" s="236"/>
      <c r="AY7" s="236"/>
      <c r="AZ7" s="236"/>
      <c r="BA7" s="236"/>
      <c r="BB7" s="236"/>
      <c r="BC7" s="236"/>
      <c r="BD7" s="236"/>
      <c r="BE7" s="236"/>
      <c r="BF7" s="236"/>
      <c r="BG7" s="236"/>
      <c r="BH7" s="236"/>
      <c r="BI7" s="236"/>
      <c r="BJ7" s="236"/>
      <c r="BK7" s="236"/>
      <c r="BL7" s="236"/>
      <c r="BM7" s="236"/>
      <c r="BN7" s="236"/>
      <c r="BO7" s="236"/>
      <c r="BP7" s="236"/>
      <c r="BQ7" s="236"/>
      <c r="BR7" s="236"/>
      <c r="BS7" s="236"/>
      <c r="BT7" s="236"/>
      <c r="BU7" s="236"/>
      <c r="BV7" s="236"/>
      <c r="BW7" s="236"/>
      <c r="BX7" s="236"/>
      <c r="BY7" s="236"/>
      <c r="BZ7" s="236"/>
      <c r="CA7" s="236"/>
      <c r="CB7" s="236"/>
      <c r="CC7" s="236"/>
      <c r="CD7" s="236"/>
      <c r="CE7" s="236"/>
      <c r="CF7" s="236"/>
      <c r="CG7" s="236"/>
      <c r="CH7" s="236"/>
      <c r="CI7" s="236"/>
      <c r="CJ7" s="236"/>
      <c r="CK7" s="236"/>
      <c r="CL7" s="236"/>
      <c r="CM7" s="236"/>
      <c r="CN7" s="236"/>
      <c r="CO7" s="236"/>
      <c r="CP7" s="236"/>
      <c r="CQ7" s="236"/>
      <c r="CR7" s="236"/>
      <c r="CS7" s="236"/>
      <c r="CT7" s="236"/>
      <c r="CU7" s="236"/>
      <c r="CV7" s="236"/>
      <c r="CW7" s="236"/>
      <c r="CX7" s="236"/>
      <c r="CY7" s="236"/>
      <c r="CZ7" s="236"/>
      <c r="DA7" s="236"/>
      <c r="DB7" s="236"/>
      <c r="DC7" s="236"/>
      <c r="DD7" s="236"/>
      <c r="DE7" s="236"/>
      <c r="DF7" s="236"/>
      <c r="DG7" s="236"/>
      <c r="DH7" s="236"/>
      <c r="DI7" s="236"/>
      <c r="DJ7" s="236"/>
      <c r="DK7" s="236"/>
      <c r="DL7" s="236"/>
      <c r="DM7" s="236"/>
      <c r="DN7" s="236"/>
      <c r="DO7" s="236"/>
      <c r="DP7" s="236"/>
      <c r="DQ7" s="236"/>
      <c r="DR7" s="236"/>
      <c r="DS7" s="236"/>
    </row>
    <row r="8">
      <c r="A8" s="233">
        <f t="shared" si="1"/>
        <v>46108</v>
      </c>
      <c r="B8" s="234"/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P8" s="233">
        <f t="shared" si="2"/>
        <v>46108</v>
      </c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  <c r="AD8" s="236"/>
      <c r="AE8" s="236"/>
      <c r="AF8" s="236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  <c r="AV8" s="236"/>
      <c r="AW8" s="236"/>
      <c r="AX8" s="236"/>
      <c r="AY8" s="236"/>
      <c r="AZ8" s="236"/>
      <c r="BA8" s="236"/>
      <c r="BB8" s="236"/>
      <c r="BC8" s="236"/>
      <c r="BD8" s="236"/>
      <c r="BE8" s="236"/>
      <c r="BF8" s="236"/>
      <c r="BG8" s="236"/>
      <c r="BH8" s="236"/>
      <c r="BI8" s="236"/>
      <c r="BJ8" s="236"/>
      <c r="BK8" s="236"/>
      <c r="BL8" s="236"/>
      <c r="BM8" s="236"/>
      <c r="BN8" s="236"/>
      <c r="BO8" s="236"/>
      <c r="BP8" s="236"/>
      <c r="BQ8" s="236"/>
      <c r="BR8" s="236"/>
      <c r="BS8" s="236"/>
      <c r="BT8" s="236"/>
      <c r="BU8" s="236"/>
      <c r="BV8" s="236"/>
      <c r="BW8" s="236"/>
      <c r="BX8" s="236"/>
      <c r="BY8" s="236"/>
      <c r="BZ8" s="236"/>
      <c r="CA8" s="236"/>
      <c r="CB8" s="236"/>
      <c r="CC8" s="236"/>
      <c r="CD8" s="236"/>
      <c r="CE8" s="236"/>
      <c r="CF8" s="236"/>
      <c r="CG8" s="236"/>
      <c r="CH8" s="236"/>
      <c r="CI8" s="236"/>
      <c r="CJ8" s="236"/>
      <c r="CK8" s="236"/>
      <c r="CL8" s="236"/>
      <c r="CM8" s="236"/>
      <c r="CN8" s="236"/>
      <c r="CO8" s="236"/>
      <c r="CP8" s="236"/>
      <c r="CQ8" s="236"/>
      <c r="CR8" s="236"/>
      <c r="CS8" s="236"/>
      <c r="CT8" s="236"/>
      <c r="CU8" s="236"/>
      <c r="CV8" s="236"/>
      <c r="CW8" s="236"/>
      <c r="CX8" s="236"/>
      <c r="CY8" s="236"/>
      <c r="CZ8" s="236"/>
      <c r="DA8" s="236"/>
      <c r="DB8" s="236"/>
      <c r="DC8" s="236"/>
      <c r="DD8" s="236"/>
      <c r="DE8" s="236"/>
      <c r="DF8" s="236"/>
      <c r="DG8" s="236"/>
      <c r="DH8" s="236"/>
      <c r="DI8" s="236"/>
      <c r="DJ8" s="236"/>
      <c r="DK8" s="236"/>
      <c r="DL8" s="236"/>
      <c r="DM8" s="236"/>
      <c r="DN8" s="236"/>
      <c r="DO8" s="236"/>
      <c r="DP8" s="236"/>
      <c r="DQ8" s="236"/>
      <c r="DR8" s="236"/>
      <c r="DS8" s="236"/>
    </row>
    <row r="9">
      <c r="A9" s="233">
        <f t="shared" si="1"/>
        <v>46107</v>
      </c>
      <c r="B9" s="237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P9" s="233">
        <f t="shared" si="2"/>
        <v>46107</v>
      </c>
      <c r="Q9" s="238"/>
      <c r="R9" s="238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8"/>
      <c r="AD9" s="238"/>
      <c r="AE9" s="238"/>
      <c r="AF9" s="238"/>
      <c r="AG9" s="238"/>
      <c r="AH9" s="238"/>
      <c r="AI9" s="238"/>
      <c r="AJ9" s="238"/>
      <c r="AK9" s="238"/>
      <c r="AL9" s="238"/>
      <c r="AM9" s="238"/>
      <c r="AN9" s="238"/>
      <c r="AO9" s="238"/>
      <c r="AP9" s="238"/>
      <c r="AQ9" s="238"/>
      <c r="AR9" s="238"/>
      <c r="AS9" s="238"/>
      <c r="AT9" s="238"/>
      <c r="AU9" s="238"/>
      <c r="AV9" s="238"/>
      <c r="AW9" s="238"/>
      <c r="AX9" s="238"/>
      <c r="AY9" s="238"/>
      <c r="AZ9" s="238"/>
      <c r="BA9" s="238"/>
      <c r="BB9" s="238"/>
      <c r="BC9" s="238"/>
      <c r="BD9" s="238"/>
      <c r="BE9" s="238"/>
      <c r="BF9" s="238"/>
      <c r="BG9" s="238"/>
      <c r="BH9" s="238"/>
      <c r="BI9" s="238"/>
      <c r="BJ9" s="238"/>
      <c r="BK9" s="238"/>
      <c r="BL9" s="238"/>
      <c r="BM9" s="238"/>
      <c r="BN9" s="238"/>
      <c r="BO9" s="238"/>
      <c r="BP9" s="238"/>
      <c r="BQ9" s="238"/>
      <c r="BR9" s="238"/>
      <c r="BS9" s="238"/>
      <c r="BT9" s="238"/>
      <c r="BU9" s="238"/>
      <c r="BV9" s="238"/>
      <c r="BW9" s="238"/>
      <c r="BX9" s="238"/>
      <c r="BY9" s="238"/>
      <c r="BZ9" s="238"/>
      <c r="CA9" s="238"/>
      <c r="CB9" s="238"/>
      <c r="CC9" s="238"/>
      <c r="CD9" s="238"/>
      <c r="CE9" s="238"/>
      <c r="CF9" s="238"/>
      <c r="CG9" s="238"/>
      <c r="CH9" s="238"/>
      <c r="CI9" s="238"/>
      <c r="CJ9" s="238"/>
      <c r="CK9" s="238"/>
      <c r="CL9" s="238"/>
      <c r="CM9" s="238"/>
      <c r="CN9" s="238"/>
      <c r="CO9" s="238"/>
      <c r="CP9" s="238"/>
      <c r="CQ9" s="238"/>
      <c r="CR9" s="238"/>
      <c r="CS9" s="238"/>
      <c r="CT9" s="238"/>
      <c r="CU9" s="238"/>
      <c r="CV9" s="238"/>
      <c r="CW9" s="238"/>
      <c r="CX9" s="238"/>
      <c r="CY9" s="238"/>
      <c r="CZ9" s="238"/>
      <c r="DA9" s="238"/>
      <c r="DB9" s="238"/>
      <c r="DC9" s="238"/>
      <c r="DD9" s="238"/>
      <c r="DE9" s="238"/>
      <c r="DF9" s="238"/>
      <c r="DG9" s="238"/>
      <c r="DH9" s="238"/>
      <c r="DI9" s="238"/>
      <c r="DJ9" s="238"/>
      <c r="DK9" s="238"/>
      <c r="DL9" s="238"/>
      <c r="DM9" s="238"/>
      <c r="DN9" s="238"/>
      <c r="DO9" s="238"/>
      <c r="DP9" s="238"/>
      <c r="DQ9" s="238"/>
      <c r="DR9" s="238"/>
      <c r="DS9" s="238"/>
    </row>
    <row r="10">
      <c r="A10" s="233">
        <f t="shared" si="1"/>
        <v>46106</v>
      </c>
      <c r="B10" s="237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P10" s="233">
        <f t="shared" si="2"/>
        <v>46106</v>
      </c>
      <c r="Q10" s="238"/>
      <c r="R10" s="238"/>
      <c r="S10" s="238"/>
      <c r="T10" s="238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  <c r="BX10" s="238"/>
      <c r="BY10" s="238"/>
      <c r="BZ10" s="238"/>
      <c r="CA10" s="238"/>
      <c r="CB10" s="238"/>
      <c r="CC10" s="238"/>
      <c r="CD10" s="238"/>
      <c r="CE10" s="238"/>
      <c r="CF10" s="238"/>
      <c r="CG10" s="238"/>
      <c r="CH10" s="238"/>
      <c r="CI10" s="238"/>
      <c r="CJ10" s="238"/>
      <c r="CK10" s="238"/>
      <c r="CL10" s="238"/>
      <c r="CM10" s="238"/>
      <c r="CN10" s="238"/>
      <c r="CO10" s="238"/>
      <c r="CP10" s="238"/>
      <c r="CQ10" s="238"/>
      <c r="CR10" s="238"/>
      <c r="CS10" s="238"/>
      <c r="CT10" s="238"/>
      <c r="CU10" s="238"/>
      <c r="CV10" s="238"/>
      <c r="CW10" s="238"/>
      <c r="CX10" s="238"/>
      <c r="CY10" s="238"/>
      <c r="CZ10" s="238"/>
      <c r="DA10" s="238"/>
      <c r="DB10" s="238"/>
      <c r="DC10" s="238"/>
      <c r="DD10" s="238"/>
      <c r="DE10" s="238"/>
      <c r="DF10" s="238"/>
      <c r="DG10" s="238"/>
      <c r="DH10" s="238"/>
      <c r="DI10" s="238"/>
      <c r="DJ10" s="238"/>
      <c r="DK10" s="238"/>
      <c r="DL10" s="238"/>
      <c r="DM10" s="238"/>
      <c r="DN10" s="238"/>
      <c r="DO10" s="238"/>
      <c r="DP10" s="238"/>
      <c r="DQ10" s="238"/>
      <c r="DR10" s="238"/>
      <c r="DS10" s="238"/>
    </row>
    <row r="11">
      <c r="A11" s="233">
        <f t="shared" si="1"/>
        <v>46105</v>
      </c>
      <c r="B11" s="237"/>
      <c r="C11" s="235"/>
      <c r="D11" s="235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P11" s="233">
        <f t="shared" si="2"/>
        <v>46105</v>
      </c>
      <c r="Q11" s="238"/>
      <c r="R11" s="238"/>
      <c r="S11" s="238"/>
      <c r="T11" s="238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  <c r="BX11" s="238"/>
      <c r="BY11" s="238"/>
      <c r="BZ11" s="238"/>
      <c r="CA11" s="238"/>
      <c r="CB11" s="238"/>
      <c r="CC11" s="238"/>
      <c r="CD11" s="238"/>
      <c r="CE11" s="238"/>
      <c r="CF11" s="238"/>
      <c r="CG11" s="238"/>
      <c r="CH11" s="238"/>
      <c r="CI11" s="238"/>
      <c r="CJ11" s="238"/>
      <c r="CK11" s="238"/>
      <c r="CL11" s="238"/>
      <c r="CM11" s="238"/>
      <c r="CN11" s="238"/>
      <c r="CO11" s="238"/>
      <c r="CP11" s="238"/>
      <c r="CQ11" s="238"/>
      <c r="CR11" s="238"/>
      <c r="CS11" s="238"/>
      <c r="CT11" s="238"/>
      <c r="CU11" s="238"/>
      <c r="CV11" s="238"/>
      <c r="CW11" s="238"/>
      <c r="CX11" s="238"/>
      <c r="CY11" s="238"/>
      <c r="CZ11" s="238"/>
      <c r="DA11" s="238"/>
      <c r="DB11" s="238"/>
      <c r="DC11" s="238"/>
      <c r="DD11" s="238"/>
      <c r="DE11" s="238"/>
      <c r="DF11" s="238"/>
      <c r="DG11" s="238"/>
      <c r="DH11" s="238"/>
      <c r="DI11" s="238"/>
      <c r="DJ11" s="238"/>
      <c r="DK11" s="238"/>
      <c r="DL11" s="238"/>
      <c r="DM11" s="238"/>
      <c r="DN11" s="238"/>
      <c r="DO11" s="238"/>
      <c r="DP11" s="238"/>
      <c r="DQ11" s="238"/>
      <c r="DR11" s="238"/>
      <c r="DS11" s="238"/>
    </row>
    <row r="12">
      <c r="A12" s="233">
        <f t="shared" si="1"/>
        <v>46104</v>
      </c>
      <c r="B12" s="237"/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P12" s="233">
        <f t="shared" si="2"/>
        <v>46104</v>
      </c>
      <c r="Q12" s="238"/>
      <c r="R12" s="238"/>
      <c r="S12" s="238"/>
      <c r="T12" s="238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  <c r="BX12" s="238"/>
      <c r="BY12" s="238"/>
      <c r="BZ12" s="238"/>
      <c r="CA12" s="238"/>
      <c r="CB12" s="238"/>
      <c r="CC12" s="238"/>
      <c r="CD12" s="238"/>
      <c r="CE12" s="238"/>
      <c r="CF12" s="238"/>
      <c r="CG12" s="238"/>
      <c r="CH12" s="238"/>
      <c r="CI12" s="238"/>
      <c r="CJ12" s="238"/>
      <c r="CK12" s="238"/>
      <c r="CL12" s="238"/>
      <c r="CM12" s="238"/>
      <c r="CN12" s="238"/>
      <c r="CO12" s="238"/>
      <c r="CP12" s="238"/>
      <c r="CQ12" s="238"/>
      <c r="CR12" s="238"/>
      <c r="CS12" s="238"/>
      <c r="CT12" s="238"/>
      <c r="CU12" s="238"/>
      <c r="CV12" s="238"/>
      <c r="CW12" s="238"/>
      <c r="CX12" s="238"/>
      <c r="CY12" s="238"/>
      <c r="CZ12" s="238"/>
      <c r="DA12" s="238"/>
      <c r="DB12" s="238"/>
      <c r="DC12" s="238"/>
      <c r="DD12" s="238"/>
      <c r="DE12" s="238"/>
      <c r="DF12" s="238"/>
      <c r="DG12" s="238"/>
      <c r="DH12" s="238"/>
      <c r="DI12" s="238"/>
      <c r="DJ12" s="238"/>
      <c r="DK12" s="238"/>
      <c r="DL12" s="238"/>
      <c r="DM12" s="238"/>
      <c r="DN12" s="238"/>
      <c r="DO12" s="238"/>
      <c r="DP12" s="238"/>
      <c r="DQ12" s="238"/>
      <c r="DR12" s="238"/>
      <c r="DS12" s="238"/>
    </row>
    <row r="13">
      <c r="A13" s="233">
        <f t="shared" si="1"/>
        <v>46103</v>
      </c>
      <c r="B13" s="237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P13" s="233">
        <f t="shared" si="2"/>
        <v>46103</v>
      </c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  <c r="BX13" s="238"/>
      <c r="BY13" s="238"/>
      <c r="BZ13" s="238"/>
      <c r="CA13" s="238"/>
      <c r="CB13" s="238"/>
      <c r="CC13" s="238"/>
      <c r="CD13" s="238"/>
      <c r="CE13" s="238"/>
      <c r="CF13" s="238"/>
      <c r="CG13" s="238"/>
      <c r="CH13" s="238"/>
      <c r="CI13" s="238"/>
      <c r="CJ13" s="238"/>
      <c r="CK13" s="238"/>
      <c r="CL13" s="238"/>
      <c r="CM13" s="238"/>
      <c r="CN13" s="238"/>
      <c r="CO13" s="238"/>
      <c r="CP13" s="238"/>
      <c r="CQ13" s="238"/>
      <c r="CR13" s="238"/>
      <c r="CS13" s="238"/>
      <c r="CT13" s="238"/>
      <c r="CU13" s="238"/>
      <c r="CV13" s="238"/>
      <c r="CW13" s="238"/>
      <c r="CX13" s="238"/>
      <c r="CY13" s="238"/>
      <c r="CZ13" s="238"/>
      <c r="DA13" s="238"/>
      <c r="DB13" s="238"/>
      <c r="DC13" s="238"/>
      <c r="DD13" s="238"/>
      <c r="DE13" s="238"/>
      <c r="DF13" s="238"/>
      <c r="DG13" s="238"/>
      <c r="DH13" s="238"/>
      <c r="DI13" s="238"/>
      <c r="DJ13" s="238"/>
      <c r="DK13" s="238"/>
      <c r="DL13" s="238"/>
      <c r="DM13" s="238"/>
      <c r="DN13" s="238"/>
      <c r="DO13" s="238"/>
      <c r="DP13" s="238"/>
      <c r="DQ13" s="238"/>
      <c r="DR13" s="238"/>
      <c r="DS13" s="238"/>
    </row>
    <row r="14">
      <c r="A14" s="233">
        <f t="shared" si="1"/>
        <v>46102</v>
      </c>
      <c r="B14" s="237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P14" s="233">
        <f t="shared" si="2"/>
        <v>46102</v>
      </c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  <c r="BX14" s="238"/>
      <c r="BY14" s="238"/>
      <c r="BZ14" s="238"/>
      <c r="CA14" s="238"/>
      <c r="CB14" s="238"/>
      <c r="CC14" s="238"/>
      <c r="CD14" s="238"/>
      <c r="CE14" s="238"/>
      <c r="CF14" s="238"/>
      <c r="CG14" s="238"/>
      <c r="CH14" s="238"/>
      <c r="CI14" s="238"/>
      <c r="CJ14" s="238"/>
      <c r="CK14" s="238"/>
      <c r="CL14" s="238"/>
      <c r="CM14" s="238"/>
      <c r="CN14" s="238"/>
      <c r="CO14" s="238"/>
      <c r="CP14" s="238"/>
      <c r="CQ14" s="238"/>
      <c r="CR14" s="238"/>
      <c r="CS14" s="238"/>
      <c r="CT14" s="238"/>
      <c r="CU14" s="238"/>
      <c r="CV14" s="238"/>
      <c r="CW14" s="238"/>
      <c r="CX14" s="238"/>
      <c r="CY14" s="238"/>
      <c r="CZ14" s="238"/>
      <c r="DA14" s="238"/>
      <c r="DB14" s="238"/>
      <c r="DC14" s="238"/>
      <c r="DD14" s="238"/>
      <c r="DE14" s="238"/>
      <c r="DF14" s="238"/>
      <c r="DG14" s="238"/>
      <c r="DH14" s="238"/>
      <c r="DI14" s="238"/>
      <c r="DJ14" s="238"/>
      <c r="DK14" s="238"/>
      <c r="DL14" s="238"/>
      <c r="DM14" s="238"/>
      <c r="DN14" s="238"/>
      <c r="DO14" s="238"/>
      <c r="DP14" s="238"/>
      <c r="DQ14" s="238"/>
      <c r="DR14" s="238"/>
      <c r="DS14" s="238"/>
    </row>
    <row r="15">
      <c r="A15" s="233">
        <f t="shared" si="1"/>
        <v>46101</v>
      </c>
      <c r="B15" s="237"/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P15" s="233">
        <f t="shared" si="2"/>
        <v>46101</v>
      </c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  <c r="BX15" s="238"/>
      <c r="BY15" s="238"/>
      <c r="BZ15" s="238"/>
      <c r="CA15" s="238"/>
      <c r="CB15" s="238"/>
      <c r="CC15" s="238"/>
      <c r="CD15" s="238"/>
      <c r="CE15" s="238"/>
      <c r="CF15" s="238"/>
      <c r="CG15" s="238"/>
      <c r="CH15" s="238"/>
      <c r="CI15" s="238"/>
      <c r="CJ15" s="238"/>
      <c r="CK15" s="238"/>
      <c r="CL15" s="238"/>
      <c r="CM15" s="238"/>
      <c r="CN15" s="238"/>
      <c r="CO15" s="238"/>
      <c r="CP15" s="238"/>
      <c r="CQ15" s="238"/>
      <c r="CR15" s="238"/>
      <c r="CS15" s="238"/>
      <c r="CT15" s="238"/>
      <c r="CU15" s="238"/>
      <c r="CV15" s="238"/>
      <c r="CW15" s="238"/>
      <c r="CX15" s="238"/>
      <c r="CY15" s="238"/>
      <c r="CZ15" s="238"/>
      <c r="DA15" s="238"/>
      <c r="DB15" s="238"/>
      <c r="DC15" s="238"/>
      <c r="DD15" s="238"/>
      <c r="DE15" s="238"/>
      <c r="DF15" s="238"/>
      <c r="DG15" s="238"/>
      <c r="DH15" s="238"/>
      <c r="DI15" s="238"/>
      <c r="DJ15" s="238"/>
      <c r="DK15" s="238"/>
      <c r="DL15" s="238"/>
      <c r="DM15" s="238"/>
      <c r="DN15" s="238"/>
      <c r="DO15" s="238"/>
      <c r="DP15" s="238"/>
      <c r="DQ15" s="238"/>
      <c r="DR15" s="238"/>
      <c r="DS15" s="238"/>
    </row>
    <row r="16">
      <c r="A16" s="233">
        <f t="shared" si="1"/>
        <v>46100</v>
      </c>
      <c r="B16" s="237"/>
      <c r="C16" s="235"/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P16" s="233">
        <f t="shared" si="2"/>
        <v>46100</v>
      </c>
      <c r="Q16" s="238"/>
      <c r="R16" s="238"/>
      <c r="S16" s="238"/>
      <c r="T16" s="238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  <c r="AK16" s="238"/>
      <c r="AL16" s="238"/>
      <c r="AM16" s="238"/>
      <c r="AN16" s="238"/>
      <c r="AO16" s="238"/>
      <c r="AP16" s="238"/>
      <c r="AQ16" s="238"/>
      <c r="AR16" s="238"/>
      <c r="AS16" s="238"/>
      <c r="AT16" s="238"/>
      <c r="AU16" s="238"/>
      <c r="AV16" s="238"/>
      <c r="AW16" s="238"/>
      <c r="AX16" s="238"/>
      <c r="AY16" s="238"/>
      <c r="AZ16" s="238"/>
      <c r="BA16" s="238"/>
      <c r="BB16" s="238"/>
      <c r="BC16" s="238"/>
      <c r="BD16" s="238"/>
      <c r="BE16" s="238"/>
      <c r="BF16" s="238"/>
      <c r="BG16" s="238"/>
      <c r="BH16" s="238"/>
      <c r="BI16" s="238"/>
      <c r="BJ16" s="238"/>
      <c r="BK16" s="238"/>
      <c r="BL16" s="238"/>
      <c r="BM16" s="238"/>
      <c r="BN16" s="238"/>
      <c r="BO16" s="238"/>
      <c r="BP16" s="238"/>
      <c r="BQ16" s="238"/>
      <c r="BR16" s="238"/>
      <c r="BS16" s="238"/>
      <c r="BT16" s="238"/>
      <c r="BU16" s="238"/>
      <c r="BV16" s="238"/>
      <c r="BW16" s="238"/>
      <c r="BX16" s="238"/>
      <c r="BY16" s="238"/>
      <c r="BZ16" s="238"/>
      <c r="CA16" s="238"/>
      <c r="CB16" s="238"/>
      <c r="CC16" s="238"/>
      <c r="CD16" s="238"/>
      <c r="CE16" s="238"/>
      <c r="CF16" s="238"/>
      <c r="CG16" s="238"/>
      <c r="CH16" s="238"/>
      <c r="CI16" s="238"/>
      <c r="CJ16" s="238"/>
      <c r="CK16" s="238"/>
      <c r="CL16" s="238"/>
      <c r="CM16" s="238"/>
      <c r="CN16" s="238"/>
      <c r="CO16" s="238"/>
      <c r="CP16" s="238"/>
      <c r="CQ16" s="238"/>
      <c r="CR16" s="238"/>
      <c r="CS16" s="238"/>
      <c r="CT16" s="238"/>
      <c r="CU16" s="238"/>
      <c r="CV16" s="238"/>
      <c r="CW16" s="238"/>
      <c r="CX16" s="238"/>
      <c r="CY16" s="238"/>
      <c r="CZ16" s="238"/>
      <c r="DA16" s="238"/>
      <c r="DB16" s="238"/>
      <c r="DC16" s="238"/>
      <c r="DD16" s="238"/>
      <c r="DE16" s="238"/>
      <c r="DF16" s="238"/>
      <c r="DG16" s="238"/>
      <c r="DH16" s="238"/>
      <c r="DI16" s="238"/>
      <c r="DJ16" s="238"/>
      <c r="DK16" s="238"/>
      <c r="DL16" s="238"/>
      <c r="DM16" s="238"/>
      <c r="DN16" s="238"/>
      <c r="DO16" s="238"/>
      <c r="DP16" s="238"/>
      <c r="DQ16" s="238"/>
      <c r="DR16" s="238"/>
      <c r="DS16" s="238"/>
    </row>
    <row r="17">
      <c r="A17" s="233">
        <f t="shared" si="1"/>
        <v>46099</v>
      </c>
      <c r="B17" s="237"/>
      <c r="C17" s="235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P17" s="233">
        <f t="shared" si="2"/>
        <v>46099</v>
      </c>
      <c r="Q17" s="238"/>
      <c r="R17" s="238"/>
      <c r="S17" s="238"/>
      <c r="T17" s="23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  <c r="AK17" s="238"/>
      <c r="AL17" s="238"/>
      <c r="AM17" s="238"/>
      <c r="AN17" s="238"/>
      <c r="AO17" s="238"/>
      <c r="AP17" s="238"/>
      <c r="AQ17" s="238"/>
      <c r="AR17" s="238"/>
      <c r="AS17" s="238"/>
      <c r="AT17" s="238"/>
      <c r="AU17" s="238"/>
      <c r="AV17" s="238"/>
      <c r="AW17" s="238"/>
      <c r="AX17" s="238"/>
      <c r="AY17" s="238"/>
      <c r="AZ17" s="238"/>
      <c r="BA17" s="238"/>
      <c r="BB17" s="238"/>
      <c r="BC17" s="238"/>
      <c r="BD17" s="238"/>
      <c r="BE17" s="238"/>
      <c r="BF17" s="238"/>
      <c r="BG17" s="238"/>
      <c r="BH17" s="238"/>
      <c r="BI17" s="238"/>
      <c r="BJ17" s="238"/>
      <c r="BK17" s="238"/>
      <c r="BL17" s="238"/>
      <c r="BM17" s="238"/>
      <c r="BN17" s="238"/>
      <c r="BO17" s="238"/>
      <c r="BP17" s="238"/>
      <c r="BQ17" s="238"/>
      <c r="BR17" s="238"/>
      <c r="BS17" s="238"/>
      <c r="BT17" s="238"/>
      <c r="BU17" s="238"/>
      <c r="BV17" s="238"/>
      <c r="BW17" s="238"/>
      <c r="BX17" s="238"/>
      <c r="BY17" s="238"/>
      <c r="BZ17" s="238"/>
      <c r="CA17" s="238"/>
      <c r="CB17" s="238"/>
      <c r="CC17" s="238"/>
      <c r="CD17" s="238"/>
      <c r="CE17" s="238"/>
      <c r="CF17" s="238"/>
      <c r="CG17" s="238"/>
      <c r="CH17" s="238"/>
      <c r="CI17" s="238"/>
      <c r="CJ17" s="238"/>
      <c r="CK17" s="238"/>
      <c r="CL17" s="238"/>
      <c r="CM17" s="238"/>
      <c r="CN17" s="238"/>
      <c r="CO17" s="238"/>
      <c r="CP17" s="238"/>
      <c r="CQ17" s="238"/>
      <c r="CR17" s="238"/>
      <c r="CS17" s="238"/>
      <c r="CT17" s="238"/>
      <c r="CU17" s="238"/>
      <c r="CV17" s="238"/>
      <c r="CW17" s="238"/>
      <c r="CX17" s="238"/>
      <c r="CY17" s="238"/>
      <c r="CZ17" s="238"/>
      <c r="DA17" s="238"/>
      <c r="DB17" s="238"/>
      <c r="DC17" s="238"/>
      <c r="DD17" s="238"/>
      <c r="DE17" s="238"/>
      <c r="DF17" s="238"/>
      <c r="DG17" s="238"/>
      <c r="DH17" s="238"/>
      <c r="DI17" s="238"/>
      <c r="DJ17" s="238"/>
      <c r="DK17" s="238"/>
      <c r="DL17" s="238"/>
      <c r="DM17" s="238"/>
      <c r="DN17" s="238"/>
      <c r="DO17" s="238"/>
      <c r="DP17" s="238"/>
      <c r="DQ17" s="238"/>
      <c r="DR17" s="238"/>
      <c r="DS17" s="238"/>
    </row>
    <row r="18">
      <c r="A18" s="233">
        <f t="shared" si="1"/>
        <v>46098</v>
      </c>
      <c r="B18" s="237"/>
      <c r="C18" s="235"/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P18" s="233">
        <f t="shared" si="2"/>
        <v>46098</v>
      </c>
      <c r="Q18" s="238"/>
      <c r="R18" s="238"/>
      <c r="S18" s="238"/>
      <c r="T18" s="238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  <c r="AK18" s="238"/>
      <c r="AL18" s="238"/>
      <c r="AM18" s="238"/>
      <c r="AN18" s="238"/>
      <c r="AO18" s="238"/>
      <c r="AP18" s="238"/>
      <c r="AQ18" s="238"/>
      <c r="AR18" s="238"/>
      <c r="AS18" s="238"/>
      <c r="AT18" s="238"/>
      <c r="AU18" s="238"/>
      <c r="AV18" s="238"/>
      <c r="AW18" s="238"/>
      <c r="AX18" s="238"/>
      <c r="AY18" s="238"/>
      <c r="AZ18" s="238"/>
      <c r="BA18" s="238"/>
      <c r="BB18" s="238"/>
      <c r="BC18" s="238"/>
      <c r="BD18" s="238"/>
      <c r="BE18" s="238"/>
      <c r="BF18" s="238"/>
      <c r="BG18" s="238"/>
      <c r="BH18" s="238"/>
      <c r="BI18" s="238"/>
      <c r="BJ18" s="238"/>
      <c r="BK18" s="238"/>
      <c r="BL18" s="238"/>
      <c r="BM18" s="238"/>
      <c r="BN18" s="238"/>
      <c r="BO18" s="238"/>
      <c r="BP18" s="238"/>
      <c r="BQ18" s="238"/>
      <c r="BR18" s="238"/>
      <c r="BS18" s="238"/>
      <c r="BT18" s="238"/>
      <c r="BU18" s="238"/>
      <c r="BV18" s="238"/>
      <c r="BW18" s="238"/>
      <c r="BX18" s="238"/>
      <c r="BY18" s="238"/>
      <c r="BZ18" s="238"/>
      <c r="CA18" s="238"/>
      <c r="CB18" s="238"/>
      <c r="CC18" s="238"/>
      <c r="CD18" s="238"/>
      <c r="CE18" s="238"/>
      <c r="CF18" s="238"/>
      <c r="CG18" s="238"/>
      <c r="CH18" s="238"/>
      <c r="CI18" s="238"/>
      <c r="CJ18" s="238"/>
      <c r="CK18" s="238"/>
      <c r="CL18" s="238"/>
      <c r="CM18" s="238"/>
      <c r="CN18" s="238"/>
      <c r="CO18" s="238"/>
      <c r="CP18" s="238"/>
      <c r="CQ18" s="238"/>
      <c r="CR18" s="238"/>
      <c r="CS18" s="238"/>
      <c r="CT18" s="238"/>
      <c r="CU18" s="238"/>
      <c r="CV18" s="238"/>
      <c r="CW18" s="238"/>
      <c r="CX18" s="238"/>
      <c r="CY18" s="238"/>
      <c r="CZ18" s="238"/>
      <c r="DA18" s="238"/>
      <c r="DB18" s="238"/>
      <c r="DC18" s="238"/>
      <c r="DD18" s="238"/>
      <c r="DE18" s="238"/>
      <c r="DF18" s="238"/>
      <c r="DG18" s="238"/>
      <c r="DH18" s="238"/>
      <c r="DI18" s="238"/>
      <c r="DJ18" s="238"/>
      <c r="DK18" s="238"/>
      <c r="DL18" s="238"/>
      <c r="DM18" s="238"/>
      <c r="DN18" s="238"/>
      <c r="DO18" s="238"/>
      <c r="DP18" s="238"/>
      <c r="DQ18" s="238"/>
      <c r="DR18" s="238"/>
      <c r="DS18" s="238"/>
    </row>
    <row r="19">
      <c r="A19" s="233">
        <f t="shared" si="1"/>
        <v>46097</v>
      </c>
      <c r="B19" s="237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P19" s="233">
        <f t="shared" si="2"/>
        <v>46097</v>
      </c>
      <c r="Q19" s="238"/>
      <c r="R19" s="238"/>
      <c r="S19" s="238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  <c r="AI19" s="238"/>
      <c r="AJ19" s="238"/>
      <c r="AK19" s="238"/>
      <c r="AL19" s="238"/>
      <c r="AM19" s="238"/>
      <c r="AN19" s="238"/>
      <c r="AO19" s="238"/>
      <c r="AP19" s="238"/>
      <c r="AQ19" s="238"/>
      <c r="AR19" s="238"/>
      <c r="AS19" s="238"/>
      <c r="AT19" s="238"/>
      <c r="AU19" s="238"/>
      <c r="AV19" s="238"/>
      <c r="AW19" s="238"/>
      <c r="AX19" s="238"/>
      <c r="AY19" s="238"/>
      <c r="AZ19" s="238"/>
      <c r="BA19" s="238"/>
      <c r="BB19" s="238"/>
      <c r="BC19" s="238"/>
      <c r="BD19" s="238"/>
      <c r="BE19" s="238"/>
      <c r="BF19" s="238"/>
      <c r="BG19" s="238"/>
      <c r="BH19" s="238"/>
      <c r="BI19" s="238"/>
      <c r="BJ19" s="238"/>
      <c r="BK19" s="238"/>
      <c r="BL19" s="238"/>
      <c r="BM19" s="238"/>
      <c r="BN19" s="238"/>
      <c r="BO19" s="238"/>
      <c r="BP19" s="238"/>
      <c r="BQ19" s="238"/>
      <c r="BR19" s="238"/>
      <c r="BS19" s="238"/>
      <c r="BT19" s="238"/>
      <c r="BU19" s="238"/>
      <c r="BV19" s="238"/>
      <c r="BW19" s="238"/>
      <c r="BX19" s="238"/>
      <c r="BY19" s="238"/>
      <c r="BZ19" s="238"/>
      <c r="CA19" s="238"/>
      <c r="CB19" s="238"/>
      <c r="CC19" s="238"/>
      <c r="CD19" s="238"/>
      <c r="CE19" s="238"/>
      <c r="CF19" s="238"/>
      <c r="CG19" s="238"/>
      <c r="CH19" s="238"/>
      <c r="CI19" s="238"/>
      <c r="CJ19" s="238"/>
      <c r="CK19" s="238"/>
      <c r="CL19" s="238"/>
      <c r="CM19" s="238"/>
      <c r="CN19" s="238"/>
      <c r="CO19" s="238"/>
      <c r="CP19" s="238"/>
      <c r="CQ19" s="238"/>
      <c r="CR19" s="238"/>
      <c r="CS19" s="238"/>
      <c r="CT19" s="238"/>
      <c r="CU19" s="238"/>
      <c r="CV19" s="238"/>
      <c r="CW19" s="238"/>
      <c r="CX19" s="238"/>
      <c r="CY19" s="238"/>
      <c r="CZ19" s="238"/>
      <c r="DA19" s="238"/>
      <c r="DB19" s="238"/>
      <c r="DC19" s="238"/>
      <c r="DD19" s="238"/>
      <c r="DE19" s="238"/>
      <c r="DF19" s="238"/>
      <c r="DG19" s="238"/>
      <c r="DH19" s="238"/>
      <c r="DI19" s="238"/>
      <c r="DJ19" s="238"/>
      <c r="DK19" s="238"/>
      <c r="DL19" s="238"/>
      <c r="DM19" s="238"/>
      <c r="DN19" s="238"/>
      <c r="DO19" s="238"/>
      <c r="DP19" s="238"/>
      <c r="DQ19" s="238"/>
      <c r="DR19" s="238"/>
      <c r="DS19" s="238"/>
    </row>
    <row r="20">
      <c r="A20" s="233">
        <f t="shared" si="1"/>
        <v>46096</v>
      </c>
      <c r="B20" s="237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P20" s="233">
        <f t="shared" si="2"/>
        <v>46096</v>
      </c>
      <c r="Q20" s="238"/>
      <c r="R20" s="238"/>
      <c r="S20" s="238"/>
      <c r="T20" s="238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  <c r="AI20" s="238"/>
      <c r="AJ20" s="238"/>
      <c r="AK20" s="238"/>
      <c r="AL20" s="238"/>
      <c r="AM20" s="238"/>
      <c r="AN20" s="238"/>
      <c r="AO20" s="238"/>
      <c r="AP20" s="238"/>
      <c r="AQ20" s="238"/>
      <c r="AR20" s="238"/>
      <c r="AS20" s="238"/>
      <c r="AT20" s="238"/>
      <c r="AU20" s="238"/>
      <c r="AV20" s="238"/>
      <c r="AW20" s="238"/>
      <c r="AX20" s="238"/>
      <c r="AY20" s="238"/>
      <c r="AZ20" s="238"/>
      <c r="BA20" s="238"/>
      <c r="BB20" s="238"/>
      <c r="BC20" s="238"/>
      <c r="BD20" s="238"/>
      <c r="BE20" s="238"/>
      <c r="BF20" s="238"/>
      <c r="BG20" s="238"/>
      <c r="BH20" s="238"/>
      <c r="BI20" s="238"/>
      <c r="BJ20" s="238"/>
      <c r="BK20" s="238"/>
      <c r="BL20" s="238"/>
      <c r="BM20" s="238"/>
      <c r="BN20" s="238"/>
      <c r="BO20" s="238"/>
      <c r="BP20" s="238"/>
      <c r="BQ20" s="238"/>
      <c r="BR20" s="238"/>
      <c r="BS20" s="238"/>
      <c r="BT20" s="238"/>
      <c r="BU20" s="238"/>
      <c r="BV20" s="238"/>
      <c r="BW20" s="238"/>
      <c r="BX20" s="238"/>
      <c r="BY20" s="238"/>
      <c r="BZ20" s="238"/>
      <c r="CA20" s="238"/>
      <c r="CB20" s="238"/>
      <c r="CC20" s="238"/>
      <c r="CD20" s="238"/>
      <c r="CE20" s="238"/>
      <c r="CF20" s="238"/>
      <c r="CG20" s="238"/>
      <c r="CH20" s="238"/>
      <c r="CI20" s="238"/>
      <c r="CJ20" s="238"/>
      <c r="CK20" s="238"/>
      <c r="CL20" s="238"/>
      <c r="CM20" s="238"/>
      <c r="CN20" s="238"/>
      <c r="CO20" s="238"/>
      <c r="CP20" s="238"/>
      <c r="CQ20" s="238"/>
      <c r="CR20" s="238"/>
      <c r="CS20" s="238"/>
      <c r="CT20" s="238"/>
      <c r="CU20" s="238"/>
      <c r="CV20" s="238"/>
      <c r="CW20" s="238"/>
      <c r="CX20" s="238"/>
      <c r="CY20" s="238"/>
      <c r="CZ20" s="238"/>
      <c r="DA20" s="238"/>
      <c r="DB20" s="238"/>
      <c r="DC20" s="238"/>
      <c r="DD20" s="238"/>
      <c r="DE20" s="238"/>
      <c r="DF20" s="238"/>
      <c r="DG20" s="238"/>
      <c r="DH20" s="238"/>
      <c r="DI20" s="238"/>
      <c r="DJ20" s="238"/>
      <c r="DK20" s="238"/>
      <c r="DL20" s="238"/>
      <c r="DM20" s="238"/>
      <c r="DN20" s="238"/>
      <c r="DO20" s="238"/>
      <c r="DP20" s="238"/>
      <c r="DQ20" s="238"/>
      <c r="DR20" s="238"/>
      <c r="DS20" s="238"/>
    </row>
    <row r="21">
      <c r="A21" s="233">
        <f t="shared" si="1"/>
        <v>46095</v>
      </c>
      <c r="B21" s="237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P21" s="233">
        <f t="shared" si="2"/>
        <v>46095</v>
      </c>
      <c r="Q21" s="238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  <c r="AI21" s="238"/>
      <c r="AJ21" s="238"/>
      <c r="AK21" s="238"/>
      <c r="AL21" s="238"/>
      <c r="AM21" s="238"/>
      <c r="AN21" s="238"/>
      <c r="AO21" s="238"/>
      <c r="AP21" s="238"/>
      <c r="AQ21" s="238"/>
      <c r="AR21" s="238"/>
      <c r="AS21" s="238"/>
      <c r="AT21" s="238"/>
      <c r="AU21" s="238"/>
      <c r="AV21" s="238"/>
      <c r="AW21" s="238"/>
      <c r="AX21" s="238"/>
      <c r="AY21" s="238"/>
      <c r="AZ21" s="238"/>
      <c r="BA21" s="238"/>
      <c r="BB21" s="238"/>
      <c r="BC21" s="238"/>
      <c r="BD21" s="238"/>
      <c r="BE21" s="238"/>
      <c r="BF21" s="238"/>
      <c r="BG21" s="238"/>
      <c r="BH21" s="238"/>
      <c r="BI21" s="238"/>
      <c r="BJ21" s="238"/>
      <c r="BK21" s="238"/>
      <c r="BL21" s="238"/>
      <c r="BM21" s="238"/>
      <c r="BN21" s="238"/>
      <c r="BO21" s="238"/>
      <c r="BP21" s="238"/>
      <c r="BQ21" s="238"/>
      <c r="BR21" s="238"/>
      <c r="BS21" s="238"/>
      <c r="BT21" s="238"/>
      <c r="BU21" s="238"/>
      <c r="BV21" s="238"/>
      <c r="BW21" s="238"/>
      <c r="BX21" s="238"/>
      <c r="BY21" s="238"/>
      <c r="BZ21" s="238"/>
      <c r="CA21" s="238"/>
      <c r="CB21" s="238"/>
      <c r="CC21" s="238"/>
      <c r="CD21" s="238"/>
      <c r="CE21" s="238"/>
      <c r="CF21" s="238"/>
      <c r="CG21" s="238"/>
      <c r="CH21" s="238"/>
      <c r="CI21" s="238"/>
      <c r="CJ21" s="238"/>
      <c r="CK21" s="238"/>
      <c r="CL21" s="238"/>
      <c r="CM21" s="238"/>
      <c r="CN21" s="238"/>
      <c r="CO21" s="238"/>
      <c r="CP21" s="238"/>
      <c r="CQ21" s="238"/>
      <c r="CR21" s="238"/>
      <c r="CS21" s="238"/>
      <c r="CT21" s="238"/>
      <c r="CU21" s="238"/>
      <c r="CV21" s="238"/>
      <c r="CW21" s="238"/>
      <c r="CX21" s="238"/>
      <c r="CY21" s="238"/>
      <c r="CZ21" s="238"/>
      <c r="DA21" s="238"/>
      <c r="DB21" s="238"/>
      <c r="DC21" s="238"/>
      <c r="DD21" s="238"/>
      <c r="DE21" s="238"/>
      <c r="DF21" s="238"/>
      <c r="DG21" s="238"/>
      <c r="DH21" s="238"/>
      <c r="DI21" s="238"/>
      <c r="DJ21" s="238"/>
      <c r="DK21" s="238"/>
      <c r="DL21" s="238"/>
      <c r="DM21" s="238"/>
      <c r="DN21" s="238"/>
      <c r="DO21" s="238"/>
      <c r="DP21" s="238"/>
      <c r="DQ21" s="238"/>
      <c r="DR21" s="238"/>
      <c r="DS21" s="238"/>
    </row>
    <row r="22">
      <c r="A22" s="233">
        <f t="shared" si="1"/>
        <v>46094</v>
      </c>
      <c r="B22" s="237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P22" s="233">
        <f t="shared" si="2"/>
        <v>46094</v>
      </c>
      <c r="Q22" s="238"/>
      <c r="R22" s="238"/>
      <c r="S22" s="238"/>
      <c r="T22" s="238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  <c r="AI22" s="238"/>
      <c r="AJ22" s="238"/>
      <c r="AK22" s="238"/>
      <c r="AL22" s="238"/>
      <c r="AM22" s="238"/>
      <c r="AN22" s="238"/>
      <c r="AO22" s="238"/>
      <c r="AP22" s="238"/>
      <c r="AQ22" s="238"/>
      <c r="AR22" s="238"/>
      <c r="AS22" s="238"/>
      <c r="AT22" s="238"/>
      <c r="AU22" s="238"/>
      <c r="AV22" s="238"/>
      <c r="AW22" s="238"/>
      <c r="AX22" s="238"/>
      <c r="AY22" s="238"/>
      <c r="AZ22" s="238"/>
      <c r="BA22" s="238"/>
      <c r="BB22" s="238"/>
      <c r="BC22" s="238"/>
      <c r="BD22" s="238"/>
      <c r="BE22" s="238"/>
      <c r="BF22" s="238"/>
      <c r="BG22" s="238"/>
      <c r="BH22" s="238"/>
      <c r="BI22" s="238"/>
      <c r="BJ22" s="238"/>
      <c r="BK22" s="238"/>
      <c r="BL22" s="238"/>
      <c r="BM22" s="238"/>
      <c r="BN22" s="238"/>
      <c r="BO22" s="238"/>
      <c r="BP22" s="238"/>
      <c r="BQ22" s="238"/>
      <c r="BR22" s="238"/>
      <c r="BS22" s="238"/>
      <c r="BT22" s="238"/>
      <c r="BU22" s="238"/>
      <c r="BV22" s="238"/>
      <c r="BW22" s="238"/>
      <c r="BX22" s="238"/>
      <c r="BY22" s="238"/>
      <c r="BZ22" s="238"/>
      <c r="CA22" s="238"/>
      <c r="CB22" s="238"/>
      <c r="CC22" s="238"/>
      <c r="CD22" s="238"/>
      <c r="CE22" s="238"/>
      <c r="CF22" s="238"/>
      <c r="CG22" s="238"/>
      <c r="CH22" s="238"/>
      <c r="CI22" s="238"/>
      <c r="CJ22" s="238"/>
      <c r="CK22" s="238"/>
      <c r="CL22" s="238"/>
      <c r="CM22" s="238"/>
      <c r="CN22" s="238"/>
      <c r="CO22" s="238"/>
      <c r="CP22" s="238"/>
      <c r="CQ22" s="238"/>
      <c r="CR22" s="238"/>
      <c r="CS22" s="238"/>
      <c r="CT22" s="238"/>
      <c r="CU22" s="238"/>
      <c r="CV22" s="238"/>
      <c r="CW22" s="238"/>
      <c r="CX22" s="238"/>
      <c r="CY22" s="238"/>
      <c r="CZ22" s="238"/>
      <c r="DA22" s="238"/>
      <c r="DB22" s="238"/>
      <c r="DC22" s="238"/>
      <c r="DD22" s="238"/>
      <c r="DE22" s="238"/>
      <c r="DF22" s="238"/>
      <c r="DG22" s="238"/>
      <c r="DH22" s="238"/>
      <c r="DI22" s="238"/>
      <c r="DJ22" s="238"/>
      <c r="DK22" s="238"/>
      <c r="DL22" s="238"/>
      <c r="DM22" s="238"/>
      <c r="DN22" s="238"/>
      <c r="DO22" s="238"/>
      <c r="DP22" s="238"/>
      <c r="DQ22" s="238"/>
      <c r="DR22" s="238"/>
      <c r="DS22" s="238"/>
    </row>
    <row r="23">
      <c r="A23" s="233">
        <f t="shared" si="1"/>
        <v>46093</v>
      </c>
      <c r="B23" s="237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P23" s="233">
        <f t="shared" si="2"/>
        <v>46093</v>
      </c>
      <c r="Q23" s="238"/>
      <c r="R23" s="238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  <c r="AI23" s="238"/>
      <c r="AJ23" s="238"/>
      <c r="AK23" s="238"/>
      <c r="AL23" s="238"/>
      <c r="AM23" s="238"/>
      <c r="AN23" s="238"/>
      <c r="AO23" s="238"/>
      <c r="AP23" s="238"/>
      <c r="AQ23" s="238"/>
      <c r="AR23" s="238"/>
      <c r="AS23" s="238"/>
      <c r="AT23" s="238"/>
      <c r="AU23" s="238"/>
      <c r="AV23" s="238"/>
      <c r="AW23" s="238"/>
      <c r="AX23" s="238"/>
      <c r="AY23" s="238"/>
      <c r="AZ23" s="238"/>
      <c r="BA23" s="238"/>
      <c r="BB23" s="238"/>
      <c r="BC23" s="238"/>
      <c r="BD23" s="238"/>
      <c r="BE23" s="238"/>
      <c r="BF23" s="238"/>
      <c r="BG23" s="238"/>
      <c r="BH23" s="238"/>
      <c r="BI23" s="238"/>
      <c r="BJ23" s="238"/>
      <c r="BK23" s="238"/>
      <c r="BL23" s="238"/>
      <c r="BM23" s="238"/>
      <c r="BN23" s="238"/>
      <c r="BO23" s="238"/>
      <c r="BP23" s="238"/>
      <c r="BQ23" s="238"/>
      <c r="BR23" s="238"/>
      <c r="BS23" s="238"/>
      <c r="BT23" s="238"/>
      <c r="BU23" s="238"/>
      <c r="BV23" s="238"/>
      <c r="BW23" s="238"/>
      <c r="BX23" s="238"/>
      <c r="BY23" s="238"/>
      <c r="BZ23" s="238"/>
      <c r="CA23" s="238"/>
      <c r="CB23" s="238"/>
      <c r="CC23" s="238"/>
      <c r="CD23" s="238"/>
      <c r="CE23" s="238"/>
      <c r="CF23" s="238"/>
      <c r="CG23" s="238"/>
      <c r="CH23" s="238"/>
      <c r="CI23" s="238"/>
      <c r="CJ23" s="238"/>
      <c r="CK23" s="238"/>
      <c r="CL23" s="238"/>
      <c r="CM23" s="238"/>
      <c r="CN23" s="238"/>
      <c r="CO23" s="238"/>
      <c r="CP23" s="238"/>
      <c r="CQ23" s="238"/>
      <c r="CR23" s="238"/>
      <c r="CS23" s="238"/>
      <c r="CT23" s="238"/>
      <c r="CU23" s="238"/>
      <c r="CV23" s="238"/>
      <c r="CW23" s="238"/>
      <c r="CX23" s="238"/>
      <c r="CY23" s="238"/>
      <c r="CZ23" s="238"/>
      <c r="DA23" s="238"/>
      <c r="DB23" s="238"/>
      <c r="DC23" s="238"/>
      <c r="DD23" s="238"/>
      <c r="DE23" s="238"/>
      <c r="DF23" s="238"/>
      <c r="DG23" s="238"/>
      <c r="DH23" s="238"/>
      <c r="DI23" s="238"/>
      <c r="DJ23" s="238"/>
      <c r="DK23" s="238"/>
      <c r="DL23" s="238"/>
      <c r="DM23" s="238"/>
      <c r="DN23" s="238"/>
      <c r="DO23" s="238"/>
      <c r="DP23" s="238"/>
      <c r="DQ23" s="238"/>
      <c r="DR23" s="238"/>
      <c r="DS23" s="238"/>
    </row>
    <row r="24">
      <c r="A24" s="233">
        <f t="shared" si="1"/>
        <v>46092</v>
      </c>
      <c r="B24" s="234">
        <v>47786.0</v>
      </c>
      <c r="C24" s="235">
        <v>6025.0</v>
      </c>
      <c r="D24" s="235">
        <v>4665.0</v>
      </c>
      <c r="E24" s="235">
        <v>327.0</v>
      </c>
      <c r="F24" s="235">
        <v>107.0</v>
      </c>
      <c r="G24" s="235">
        <v>281.0</v>
      </c>
      <c r="H24" s="235">
        <v>503.0</v>
      </c>
      <c r="I24" s="235">
        <v>119.0</v>
      </c>
      <c r="J24" s="235">
        <v>64.0</v>
      </c>
      <c r="K24" s="235">
        <v>5125.0</v>
      </c>
      <c r="L24" s="235">
        <v>1497.0</v>
      </c>
      <c r="M24" s="235">
        <v>53268.0</v>
      </c>
      <c r="N24" s="235">
        <v>162.89</v>
      </c>
      <c r="P24" s="233">
        <f t="shared" si="2"/>
        <v>46092</v>
      </c>
      <c r="Q24" s="238">
        <v>-14570.2369</v>
      </c>
      <c r="R24" s="238">
        <v>53268.0</v>
      </c>
      <c r="S24" s="238">
        <v>51771.0</v>
      </c>
      <c r="T24" s="238">
        <v>327.0</v>
      </c>
      <c r="U24" s="238">
        <v>107.0</v>
      </c>
      <c r="V24" s="238">
        <v>1497.0</v>
      </c>
      <c r="W24" s="238">
        <v>0.0</v>
      </c>
      <c r="X24" s="238">
        <v>0.0</v>
      </c>
      <c r="Y24" s="238">
        <v>855.41</v>
      </c>
      <c r="Z24" s="238">
        <v>-855.41</v>
      </c>
      <c r="AA24" s="238">
        <v>770071.48</v>
      </c>
      <c r="AB24" s="238">
        <v>700214.695</v>
      </c>
      <c r="AC24" s="238">
        <v>743488.78</v>
      </c>
      <c r="AD24" s="238">
        <v>30776.0</v>
      </c>
      <c r="AE24" s="238">
        <v>1549.49</v>
      </c>
      <c r="AF24" s="238">
        <v>37.4069</v>
      </c>
      <c r="AG24" s="238">
        <v>0.0</v>
      </c>
      <c r="AH24" s="238">
        <v>0.0</v>
      </c>
      <c r="AI24" s="238">
        <v>0.0</v>
      </c>
      <c r="AJ24" s="238">
        <v>0.0</v>
      </c>
      <c r="AK24" s="238">
        <v>-5780.1969</v>
      </c>
      <c r="AL24" s="238">
        <v>4791.5</v>
      </c>
      <c r="AM24" s="238">
        <v>4365.5</v>
      </c>
      <c r="AN24" s="238">
        <v>5894.0</v>
      </c>
      <c r="AO24" s="238">
        <v>0.0</v>
      </c>
      <c r="AP24" s="238">
        <v>7.2</v>
      </c>
      <c r="AQ24" s="238">
        <v>0.0</v>
      </c>
      <c r="AR24" s="238">
        <v>0.0</v>
      </c>
      <c r="AS24" s="238">
        <v>0.0</v>
      </c>
      <c r="AT24" s="238">
        <v>0.0</v>
      </c>
      <c r="AU24" s="238">
        <v>0.0</v>
      </c>
      <c r="AV24" s="238">
        <v>-1109.7</v>
      </c>
      <c r="AW24" s="238">
        <v>0.0</v>
      </c>
      <c r="AX24" s="238">
        <v>0.0</v>
      </c>
      <c r="AY24" s="238">
        <v>0.0</v>
      </c>
      <c r="AZ24" s="238">
        <v>0.0</v>
      </c>
      <c r="BA24" s="238">
        <v>0.0</v>
      </c>
      <c r="BB24" s="238">
        <v>0.0</v>
      </c>
      <c r="BC24" s="238">
        <v>0.0</v>
      </c>
      <c r="BD24" s="238">
        <v>0.0</v>
      </c>
      <c r="BE24" s="238">
        <v>0.0</v>
      </c>
      <c r="BF24" s="238">
        <v>0.0</v>
      </c>
      <c r="BG24" s="238">
        <v>0.0</v>
      </c>
      <c r="BH24" s="238">
        <v>0.0</v>
      </c>
      <c r="BI24" s="238">
        <v>0.0</v>
      </c>
      <c r="BJ24" s="238">
        <v>0.0</v>
      </c>
      <c r="BK24" s="238">
        <v>0.0</v>
      </c>
      <c r="BL24" s="238">
        <v>0.0</v>
      </c>
      <c r="BM24" s="238">
        <v>0.0</v>
      </c>
      <c r="BN24" s="238">
        <v>0.0</v>
      </c>
      <c r="BO24" s="238">
        <v>0.0</v>
      </c>
      <c r="BP24" s="238">
        <v>0.0</v>
      </c>
      <c r="BQ24" s="238">
        <v>0.0</v>
      </c>
      <c r="BR24" s="238">
        <v>0.0</v>
      </c>
      <c r="BS24" s="238">
        <v>0.0</v>
      </c>
      <c r="BT24" s="238">
        <v>705.4</v>
      </c>
      <c r="BU24" s="238">
        <v>705.4</v>
      </c>
      <c r="BV24" s="238">
        <v>519.46</v>
      </c>
      <c r="BW24" s="238">
        <v>0.0</v>
      </c>
      <c r="BX24" s="238">
        <v>0.0</v>
      </c>
      <c r="BY24" s="238">
        <v>0.0</v>
      </c>
      <c r="BZ24" s="238">
        <v>0.0</v>
      </c>
      <c r="CA24" s="238">
        <v>0.0</v>
      </c>
      <c r="CB24" s="238">
        <v>0.0</v>
      </c>
      <c r="CC24" s="238">
        <v>0.0</v>
      </c>
      <c r="CD24" s="238">
        <v>185.94</v>
      </c>
      <c r="CE24" s="238">
        <v>0.0</v>
      </c>
      <c r="CF24" s="238">
        <v>0.0</v>
      </c>
      <c r="CG24" s="238">
        <v>0.0</v>
      </c>
      <c r="CH24" s="238">
        <v>0.0</v>
      </c>
      <c r="CI24" s="238">
        <v>0.0</v>
      </c>
      <c r="CJ24" s="238">
        <v>0.0</v>
      </c>
      <c r="CK24" s="238">
        <v>0.0</v>
      </c>
      <c r="CL24" s="238">
        <v>0.0</v>
      </c>
      <c r="CM24" s="238">
        <v>0.0</v>
      </c>
      <c r="CN24" s="238">
        <v>0.0</v>
      </c>
      <c r="CO24" s="238">
        <v>0.0</v>
      </c>
      <c r="CP24" s="238">
        <v>26.0</v>
      </c>
      <c r="CQ24" s="238">
        <v>26.0</v>
      </c>
      <c r="CR24" s="238">
        <v>0.0</v>
      </c>
      <c r="CS24" s="238">
        <v>0.0</v>
      </c>
      <c r="CT24" s="238">
        <v>0.0</v>
      </c>
      <c r="CU24" s="238">
        <v>0.0</v>
      </c>
      <c r="CV24" s="238">
        <v>0.0</v>
      </c>
      <c r="CW24" s="238">
        <v>0.0</v>
      </c>
      <c r="CX24" s="238">
        <v>0.0</v>
      </c>
      <c r="CY24" s="238">
        <v>0.0</v>
      </c>
      <c r="CZ24" s="238">
        <v>0.0</v>
      </c>
      <c r="DA24" s="238">
        <v>26.0</v>
      </c>
      <c r="DB24" s="238">
        <v>0.0</v>
      </c>
      <c r="DC24" s="238">
        <v>0.0</v>
      </c>
      <c r="DD24" s="238">
        <v>6831.88</v>
      </c>
      <c r="DE24" s="238">
        <v>0.0</v>
      </c>
      <c r="DF24" s="238">
        <v>0.0</v>
      </c>
      <c r="DG24" s="238">
        <v>0.0</v>
      </c>
      <c r="DH24" s="238">
        <v>180.0</v>
      </c>
      <c r="DI24" s="238">
        <v>20.0</v>
      </c>
      <c r="DJ24" s="238">
        <v>4.99</v>
      </c>
      <c r="DK24" s="238">
        <v>0.0</v>
      </c>
      <c r="DL24" s="238">
        <v>0.0</v>
      </c>
      <c r="DM24" s="238">
        <v>-7036.87</v>
      </c>
      <c r="DN24" s="238">
        <v>139051.8841</v>
      </c>
      <c r="DO24" s="238">
        <v>486966.2055</v>
      </c>
      <c r="DP24" s="238">
        <v>139051.8841</v>
      </c>
      <c r="DQ24" s="238">
        <v>143518.501</v>
      </c>
      <c r="DR24" s="238">
        <v>490268.2055</v>
      </c>
      <c r="DS24" s="238">
        <v>143518.501</v>
      </c>
    </row>
    <row r="25">
      <c r="A25" s="233">
        <f t="shared" si="1"/>
        <v>46091</v>
      </c>
      <c r="B25" s="234">
        <v>47503.0</v>
      </c>
      <c r="C25" s="235">
        <v>2516.0</v>
      </c>
      <c r="D25" s="235">
        <v>1963.0</v>
      </c>
      <c r="E25" s="235">
        <v>231.0</v>
      </c>
      <c r="F25" s="235">
        <v>67.0</v>
      </c>
      <c r="G25" s="235">
        <v>104.0</v>
      </c>
      <c r="H25" s="235">
        <v>107.0</v>
      </c>
      <c r="I25" s="235">
        <v>66.0</v>
      </c>
      <c r="J25" s="235">
        <v>35.0</v>
      </c>
      <c r="K25" s="235">
        <v>2284.0</v>
      </c>
      <c r="L25" s="235">
        <v>7816.0</v>
      </c>
      <c r="M25" s="235">
        <v>53745.0</v>
      </c>
      <c r="N25" s="235">
        <v>232.66</v>
      </c>
      <c r="P25" s="233">
        <f t="shared" si="2"/>
        <v>46091</v>
      </c>
      <c r="Q25" s="238">
        <v>10871.553</v>
      </c>
      <c r="R25" s="238">
        <v>53745.0</v>
      </c>
      <c r="S25" s="238">
        <v>45929.0</v>
      </c>
      <c r="T25" s="238">
        <v>231.0</v>
      </c>
      <c r="U25" s="238">
        <v>67.0</v>
      </c>
      <c r="V25" s="238">
        <v>7816.0</v>
      </c>
      <c r="W25" s="238">
        <v>0.0</v>
      </c>
      <c r="X25" s="238">
        <v>0.0</v>
      </c>
      <c r="Y25" s="238">
        <v>864.27</v>
      </c>
      <c r="Z25" s="238">
        <v>-864.27</v>
      </c>
      <c r="AA25" s="238">
        <v>512460.42</v>
      </c>
      <c r="AB25" s="238">
        <v>475675.045</v>
      </c>
      <c r="AC25" s="238">
        <v>492843.325</v>
      </c>
      <c r="AD25" s="238">
        <v>2017.5</v>
      </c>
      <c r="AE25" s="238">
        <v>870.92</v>
      </c>
      <c r="AF25" s="238">
        <v>27.6345</v>
      </c>
      <c r="AG25" s="238">
        <v>0.0</v>
      </c>
      <c r="AH25" s="238">
        <v>0.0</v>
      </c>
      <c r="AI25" s="238">
        <v>0.0</v>
      </c>
      <c r="AJ25" s="238">
        <v>0.0</v>
      </c>
      <c r="AK25" s="238">
        <v>16701.0405</v>
      </c>
      <c r="AL25" s="238">
        <v>2660.0</v>
      </c>
      <c r="AM25" s="238">
        <v>2560.0</v>
      </c>
      <c r="AN25" s="238">
        <v>3065.0</v>
      </c>
      <c r="AO25" s="238">
        <v>0.0</v>
      </c>
      <c r="AP25" s="238">
        <v>1.35</v>
      </c>
      <c r="AQ25" s="238">
        <v>0.4475</v>
      </c>
      <c r="AR25" s="238">
        <v>0.0</v>
      </c>
      <c r="AS25" s="238">
        <v>0.0</v>
      </c>
      <c r="AT25" s="238">
        <v>0.0</v>
      </c>
      <c r="AU25" s="238">
        <v>0.0</v>
      </c>
      <c r="AV25" s="238">
        <v>-406.7975</v>
      </c>
      <c r="AW25" s="238">
        <v>0.0</v>
      </c>
      <c r="AX25" s="238">
        <v>0.0</v>
      </c>
      <c r="AY25" s="238">
        <v>0.0</v>
      </c>
      <c r="AZ25" s="238">
        <v>0.0</v>
      </c>
      <c r="BA25" s="238">
        <v>0.0</v>
      </c>
      <c r="BB25" s="238">
        <v>0.0</v>
      </c>
      <c r="BC25" s="238">
        <v>0.0</v>
      </c>
      <c r="BD25" s="238">
        <v>0.0</v>
      </c>
      <c r="BE25" s="238">
        <v>0.0</v>
      </c>
      <c r="BF25" s="238">
        <v>0.0</v>
      </c>
      <c r="BG25" s="238">
        <v>0.0</v>
      </c>
      <c r="BH25" s="238">
        <v>0.0</v>
      </c>
      <c r="BI25" s="238">
        <v>0.0</v>
      </c>
      <c r="BJ25" s="238">
        <v>0.0</v>
      </c>
      <c r="BK25" s="238">
        <v>0.0</v>
      </c>
      <c r="BL25" s="238">
        <v>0.0</v>
      </c>
      <c r="BM25" s="238">
        <v>0.0</v>
      </c>
      <c r="BN25" s="238">
        <v>0.0</v>
      </c>
      <c r="BO25" s="238">
        <v>0.0</v>
      </c>
      <c r="BP25" s="238">
        <v>0.0</v>
      </c>
      <c r="BQ25" s="238">
        <v>0.0</v>
      </c>
      <c r="BR25" s="238">
        <v>0.0</v>
      </c>
      <c r="BS25" s="238">
        <v>0.0</v>
      </c>
      <c r="BT25" s="238">
        <v>8461.4</v>
      </c>
      <c r="BU25" s="238">
        <v>8461.4</v>
      </c>
      <c r="BV25" s="238">
        <v>8464.4</v>
      </c>
      <c r="BW25" s="238">
        <v>0.0</v>
      </c>
      <c r="BX25" s="238">
        <v>0.0</v>
      </c>
      <c r="BY25" s="238">
        <v>0.0</v>
      </c>
      <c r="BZ25" s="238">
        <v>0.0</v>
      </c>
      <c r="CA25" s="238">
        <v>0.0</v>
      </c>
      <c r="CB25" s="238">
        <v>0.0</v>
      </c>
      <c r="CC25" s="238">
        <v>0.0</v>
      </c>
      <c r="CD25" s="238">
        <v>-3.0</v>
      </c>
      <c r="CE25" s="238">
        <v>0.0</v>
      </c>
      <c r="CF25" s="238">
        <v>0.0</v>
      </c>
      <c r="CG25" s="238">
        <v>0.0</v>
      </c>
      <c r="CH25" s="238">
        <v>0.0</v>
      </c>
      <c r="CI25" s="238">
        <v>0.0</v>
      </c>
      <c r="CJ25" s="238">
        <v>0.0</v>
      </c>
      <c r="CK25" s="238">
        <v>0.0</v>
      </c>
      <c r="CL25" s="238">
        <v>0.0</v>
      </c>
      <c r="CM25" s="238">
        <v>0.0</v>
      </c>
      <c r="CN25" s="238">
        <v>0.0</v>
      </c>
      <c r="CO25" s="238">
        <v>0.0</v>
      </c>
      <c r="CP25" s="238">
        <v>3.0</v>
      </c>
      <c r="CQ25" s="238">
        <v>3.0</v>
      </c>
      <c r="CR25" s="238">
        <v>0.0</v>
      </c>
      <c r="CS25" s="238">
        <v>0.0</v>
      </c>
      <c r="CT25" s="238">
        <v>0.0</v>
      </c>
      <c r="CU25" s="238">
        <v>0.0</v>
      </c>
      <c r="CV25" s="238">
        <v>0.0</v>
      </c>
      <c r="CW25" s="238">
        <v>0.0</v>
      </c>
      <c r="CX25" s="238">
        <v>0.0</v>
      </c>
      <c r="CY25" s="238">
        <v>0.0</v>
      </c>
      <c r="CZ25" s="238">
        <v>0.0</v>
      </c>
      <c r="DA25" s="238">
        <v>3.0</v>
      </c>
      <c r="DB25" s="238">
        <v>0.0</v>
      </c>
      <c r="DC25" s="238">
        <v>0.0</v>
      </c>
      <c r="DD25" s="238">
        <v>4245.46</v>
      </c>
      <c r="DE25" s="238">
        <v>0.0</v>
      </c>
      <c r="DF25" s="238">
        <v>0.0</v>
      </c>
      <c r="DG25" s="238">
        <v>0.0</v>
      </c>
      <c r="DH25" s="238">
        <v>300.0</v>
      </c>
      <c r="DI25" s="238">
        <v>10.0</v>
      </c>
      <c r="DJ25" s="238">
        <v>2.96</v>
      </c>
      <c r="DK25" s="238">
        <v>0.0</v>
      </c>
      <c r="DL25" s="238">
        <v>0.0</v>
      </c>
      <c r="DM25" s="238">
        <v>-4558.42</v>
      </c>
      <c r="DN25" s="238">
        <v>140364.9121</v>
      </c>
      <c r="DO25" s="238">
        <v>493666.2055</v>
      </c>
      <c r="DP25" s="238">
        <v>140364.9121</v>
      </c>
      <c r="DQ25" s="238">
        <v>139051.8841</v>
      </c>
      <c r="DR25" s="238">
        <v>486966.2055</v>
      </c>
      <c r="DS25" s="238">
        <v>139051.8841</v>
      </c>
    </row>
    <row r="26">
      <c r="A26" s="233">
        <f t="shared" si="1"/>
        <v>46090</v>
      </c>
      <c r="B26" s="237">
        <v>47397.0</v>
      </c>
      <c r="C26" s="235">
        <v>2668.0</v>
      </c>
      <c r="D26" s="235">
        <v>1866.0</v>
      </c>
      <c r="E26" s="235">
        <v>203.0</v>
      </c>
      <c r="F26" s="235">
        <v>59.0</v>
      </c>
      <c r="G26" s="235">
        <v>115.0</v>
      </c>
      <c r="H26" s="235">
        <v>96.0</v>
      </c>
      <c r="I26" s="235">
        <v>53.0</v>
      </c>
      <c r="J26" s="235">
        <v>30.0</v>
      </c>
      <c r="K26" s="235">
        <v>2417.0</v>
      </c>
      <c r="L26" s="235">
        <v>705.0</v>
      </c>
      <c r="M26" s="235">
        <v>43525.0</v>
      </c>
      <c r="N26" s="235">
        <v>214.4</v>
      </c>
      <c r="P26" s="233">
        <f t="shared" si="2"/>
        <v>46090</v>
      </c>
      <c r="Q26" s="238">
        <v>6606.645</v>
      </c>
      <c r="R26" s="238">
        <v>43525.0</v>
      </c>
      <c r="S26" s="238">
        <v>42820.0</v>
      </c>
      <c r="T26" s="238">
        <v>203.0</v>
      </c>
      <c r="U26" s="238">
        <v>59.0</v>
      </c>
      <c r="V26" s="238">
        <v>705.0</v>
      </c>
      <c r="W26" s="238">
        <v>0.0</v>
      </c>
      <c r="X26" s="238">
        <v>0.0</v>
      </c>
      <c r="Y26" s="238">
        <v>663.67</v>
      </c>
      <c r="Z26" s="238">
        <v>-663.67</v>
      </c>
      <c r="AA26" s="238">
        <v>357631.53</v>
      </c>
      <c r="AB26" s="238">
        <v>334875.55</v>
      </c>
      <c r="AC26" s="238">
        <v>342343.691</v>
      </c>
      <c r="AD26" s="238">
        <v>1838.0</v>
      </c>
      <c r="AE26" s="238">
        <v>2053.59</v>
      </c>
      <c r="AF26" s="238">
        <v>32.241</v>
      </c>
      <c r="AG26" s="238">
        <v>0.0</v>
      </c>
      <c r="AH26" s="238">
        <v>0.0</v>
      </c>
      <c r="AI26" s="238">
        <v>0.0</v>
      </c>
      <c r="AJ26" s="238">
        <v>0.0</v>
      </c>
      <c r="AK26" s="238">
        <v>11364.008</v>
      </c>
      <c r="AL26" s="238">
        <v>1085.0</v>
      </c>
      <c r="AM26" s="238">
        <v>922.5</v>
      </c>
      <c r="AN26" s="238">
        <v>937.5</v>
      </c>
      <c r="AO26" s="238">
        <v>0.0</v>
      </c>
      <c r="AP26" s="238">
        <v>1.97</v>
      </c>
      <c r="AQ26" s="238">
        <v>0.24</v>
      </c>
      <c r="AR26" s="238">
        <v>0.0</v>
      </c>
      <c r="AS26" s="238">
        <v>0.0</v>
      </c>
      <c r="AT26" s="238">
        <v>0.0</v>
      </c>
      <c r="AU26" s="238">
        <v>0.0</v>
      </c>
      <c r="AV26" s="238">
        <v>145.29</v>
      </c>
      <c r="AW26" s="238">
        <v>0.0</v>
      </c>
      <c r="AX26" s="238">
        <v>0.0</v>
      </c>
      <c r="AY26" s="238">
        <v>0.0</v>
      </c>
      <c r="AZ26" s="238">
        <v>0.0</v>
      </c>
      <c r="BA26" s="238">
        <v>0.0</v>
      </c>
      <c r="BB26" s="238">
        <v>0.0</v>
      </c>
      <c r="BC26" s="238">
        <v>0.0</v>
      </c>
      <c r="BD26" s="238">
        <v>0.0</v>
      </c>
      <c r="BE26" s="238">
        <v>0.0</v>
      </c>
      <c r="BF26" s="238">
        <v>0.0</v>
      </c>
      <c r="BG26" s="238">
        <v>0.0</v>
      </c>
      <c r="BH26" s="238">
        <v>0.0</v>
      </c>
      <c r="BI26" s="238">
        <v>0.0</v>
      </c>
      <c r="BJ26" s="238">
        <v>0.0</v>
      </c>
      <c r="BK26" s="238">
        <v>0.0</v>
      </c>
      <c r="BL26" s="238">
        <v>0.0</v>
      </c>
      <c r="BM26" s="238">
        <v>0.0</v>
      </c>
      <c r="BN26" s="238">
        <v>0.0</v>
      </c>
      <c r="BO26" s="238">
        <v>0.0</v>
      </c>
      <c r="BP26" s="238">
        <v>0.0</v>
      </c>
      <c r="BQ26" s="238">
        <v>0.0</v>
      </c>
      <c r="BR26" s="238">
        <v>0.0</v>
      </c>
      <c r="BS26" s="238">
        <v>0.0</v>
      </c>
      <c r="BT26" s="238">
        <v>1953.75</v>
      </c>
      <c r="BU26" s="238">
        <v>1871.95</v>
      </c>
      <c r="BV26" s="238">
        <v>1614.44</v>
      </c>
      <c r="BW26" s="238">
        <v>0.0</v>
      </c>
      <c r="BX26" s="238">
        <v>0.0</v>
      </c>
      <c r="BY26" s="238">
        <v>0.0</v>
      </c>
      <c r="BZ26" s="238">
        <v>0.0</v>
      </c>
      <c r="CA26" s="238">
        <v>0.0</v>
      </c>
      <c r="CB26" s="238">
        <v>0.0</v>
      </c>
      <c r="CC26" s="238">
        <v>0.0</v>
      </c>
      <c r="CD26" s="238">
        <v>339.31</v>
      </c>
      <c r="CE26" s="238">
        <v>0.0</v>
      </c>
      <c r="CF26" s="238">
        <v>0.0</v>
      </c>
      <c r="CG26" s="238">
        <v>0.0</v>
      </c>
      <c r="CH26" s="238">
        <v>0.0</v>
      </c>
      <c r="CI26" s="238">
        <v>0.0</v>
      </c>
      <c r="CJ26" s="238">
        <v>0.0</v>
      </c>
      <c r="CK26" s="238">
        <v>0.0</v>
      </c>
      <c r="CL26" s="238">
        <v>0.0</v>
      </c>
      <c r="CM26" s="238">
        <v>0.0</v>
      </c>
      <c r="CN26" s="238">
        <v>0.0</v>
      </c>
      <c r="CO26" s="238">
        <v>0.0</v>
      </c>
      <c r="CP26" s="238">
        <v>3.0</v>
      </c>
      <c r="CQ26" s="238">
        <v>3.0</v>
      </c>
      <c r="CR26" s="238">
        <v>0.0</v>
      </c>
      <c r="CS26" s="238">
        <v>0.0</v>
      </c>
      <c r="CT26" s="238">
        <v>0.0</v>
      </c>
      <c r="CU26" s="238">
        <v>0.0</v>
      </c>
      <c r="CV26" s="238">
        <v>0.0</v>
      </c>
      <c r="CW26" s="238">
        <v>0.0</v>
      </c>
      <c r="CX26" s="238">
        <v>0.0</v>
      </c>
      <c r="CY26" s="238">
        <v>0.0</v>
      </c>
      <c r="CZ26" s="238">
        <v>0.0</v>
      </c>
      <c r="DA26" s="238">
        <v>3.0</v>
      </c>
      <c r="DB26" s="238">
        <v>0.0</v>
      </c>
      <c r="DC26" s="238">
        <v>0.0</v>
      </c>
      <c r="DD26" s="238">
        <v>4358.34</v>
      </c>
      <c r="DE26" s="238">
        <v>0.0</v>
      </c>
      <c r="DF26" s="238">
        <v>0.0</v>
      </c>
      <c r="DG26" s="238">
        <v>0.0</v>
      </c>
      <c r="DH26" s="238">
        <v>210.0</v>
      </c>
      <c r="DI26" s="238">
        <v>5.0</v>
      </c>
      <c r="DJ26" s="238">
        <v>7.953</v>
      </c>
      <c r="DK26" s="238">
        <v>0.0</v>
      </c>
      <c r="DL26" s="238">
        <v>0.0</v>
      </c>
      <c r="DM26" s="238">
        <v>-4581.293</v>
      </c>
      <c r="DN26" s="238">
        <v>141243.5781</v>
      </c>
      <c r="DO26" s="238">
        <v>495967.2055</v>
      </c>
      <c r="DP26" s="238">
        <v>141243.5781</v>
      </c>
      <c r="DQ26" s="238">
        <v>140364.9121</v>
      </c>
      <c r="DR26" s="238">
        <v>493666.2055</v>
      </c>
      <c r="DS26" s="238">
        <v>140364.9121</v>
      </c>
    </row>
    <row r="27">
      <c r="A27" s="233">
        <f t="shared" si="1"/>
        <v>46089</v>
      </c>
      <c r="B27" s="234">
        <v>47289.0</v>
      </c>
      <c r="C27" s="235">
        <v>2944.0</v>
      </c>
      <c r="D27" s="235">
        <v>2192.0</v>
      </c>
      <c r="E27" s="235">
        <v>293.0</v>
      </c>
      <c r="F27" s="235">
        <v>63.0</v>
      </c>
      <c r="G27" s="235">
        <v>128.0</v>
      </c>
      <c r="H27" s="235">
        <v>147.0</v>
      </c>
      <c r="I27" s="235">
        <v>70.0</v>
      </c>
      <c r="J27" s="235">
        <v>23.0</v>
      </c>
      <c r="K27" s="235">
        <v>2638.0</v>
      </c>
      <c r="L27" s="235">
        <v>10933.0</v>
      </c>
      <c r="M27" s="235">
        <v>74194.0</v>
      </c>
      <c r="N27" s="235">
        <v>253.22</v>
      </c>
      <c r="P27" s="233">
        <f t="shared" si="2"/>
        <v>46089</v>
      </c>
      <c r="Q27" s="238">
        <v>8256.9428</v>
      </c>
      <c r="R27" s="238">
        <v>74194.0</v>
      </c>
      <c r="S27" s="238">
        <v>63261.0</v>
      </c>
      <c r="T27" s="238">
        <v>293.0</v>
      </c>
      <c r="U27" s="238">
        <v>63.0</v>
      </c>
      <c r="V27" s="238">
        <v>10933.0</v>
      </c>
      <c r="W27" s="238">
        <v>0.0</v>
      </c>
      <c r="X27" s="238">
        <v>0.0</v>
      </c>
      <c r="Y27" s="238">
        <v>1225.77</v>
      </c>
      <c r="Z27" s="238">
        <v>-1225.77</v>
      </c>
      <c r="AA27" s="238">
        <v>597649.12</v>
      </c>
      <c r="AB27" s="238">
        <v>562936.07</v>
      </c>
      <c r="AC27" s="238">
        <v>578135.45</v>
      </c>
      <c r="AD27" s="238">
        <v>2729.5</v>
      </c>
      <c r="AE27" s="238">
        <v>1740.3</v>
      </c>
      <c r="AF27" s="238">
        <v>30.6322</v>
      </c>
      <c r="AG27" s="238">
        <v>0.0</v>
      </c>
      <c r="AH27" s="238">
        <v>0.0</v>
      </c>
      <c r="AI27" s="238">
        <v>0.0</v>
      </c>
      <c r="AJ27" s="238">
        <v>0.0</v>
      </c>
      <c r="AK27" s="238">
        <v>15013.2378</v>
      </c>
      <c r="AL27" s="238">
        <v>840.72</v>
      </c>
      <c r="AM27" s="238">
        <v>785.72</v>
      </c>
      <c r="AN27" s="238">
        <v>330.0</v>
      </c>
      <c r="AO27" s="238">
        <v>0.0</v>
      </c>
      <c r="AP27" s="238">
        <v>19.54</v>
      </c>
      <c r="AQ27" s="238">
        <v>0.04</v>
      </c>
      <c r="AR27" s="238">
        <v>0.0</v>
      </c>
      <c r="AS27" s="238">
        <v>0.0</v>
      </c>
      <c r="AT27" s="238">
        <v>0.0</v>
      </c>
      <c r="AU27" s="238">
        <v>0.0</v>
      </c>
      <c r="AV27" s="238">
        <v>491.14</v>
      </c>
      <c r="AW27" s="238">
        <v>0.0</v>
      </c>
      <c r="AX27" s="238">
        <v>0.0</v>
      </c>
      <c r="AY27" s="238">
        <v>0.0</v>
      </c>
      <c r="AZ27" s="238">
        <v>0.0</v>
      </c>
      <c r="BA27" s="238">
        <v>0.0</v>
      </c>
      <c r="BB27" s="238">
        <v>0.0</v>
      </c>
      <c r="BC27" s="238">
        <v>0.0</v>
      </c>
      <c r="BD27" s="238">
        <v>0.0</v>
      </c>
      <c r="BE27" s="238">
        <v>0.0</v>
      </c>
      <c r="BF27" s="238">
        <v>0.0</v>
      </c>
      <c r="BG27" s="238">
        <v>0.0</v>
      </c>
      <c r="BH27" s="238">
        <v>0.0</v>
      </c>
      <c r="BI27" s="238">
        <v>0.0</v>
      </c>
      <c r="BJ27" s="238">
        <v>0.0</v>
      </c>
      <c r="BK27" s="238">
        <v>0.0</v>
      </c>
      <c r="BL27" s="238">
        <v>0.0</v>
      </c>
      <c r="BM27" s="238">
        <v>0.0</v>
      </c>
      <c r="BN27" s="238">
        <v>0.0</v>
      </c>
      <c r="BO27" s="238">
        <v>0.0</v>
      </c>
      <c r="BP27" s="238">
        <v>0.0</v>
      </c>
      <c r="BQ27" s="238">
        <v>0.0</v>
      </c>
      <c r="BR27" s="238">
        <v>0.0</v>
      </c>
      <c r="BS27" s="238">
        <v>0.0</v>
      </c>
      <c r="BT27" s="238">
        <v>2196.1</v>
      </c>
      <c r="BU27" s="238">
        <v>2196.1</v>
      </c>
      <c r="BV27" s="238">
        <v>3196.78</v>
      </c>
      <c r="BW27" s="238">
        <v>0.0</v>
      </c>
      <c r="BX27" s="238">
        <v>0.0</v>
      </c>
      <c r="BY27" s="238">
        <v>0.0</v>
      </c>
      <c r="BZ27" s="238">
        <v>0.0</v>
      </c>
      <c r="CA27" s="238">
        <v>0.0</v>
      </c>
      <c r="CB27" s="238">
        <v>0.0</v>
      </c>
      <c r="CC27" s="238">
        <v>0.0</v>
      </c>
      <c r="CD27" s="238">
        <v>-1000.68</v>
      </c>
      <c r="CE27" s="238">
        <v>0.0</v>
      </c>
      <c r="CF27" s="238">
        <v>0.0</v>
      </c>
      <c r="CG27" s="238">
        <v>0.0</v>
      </c>
      <c r="CH27" s="238">
        <v>0.0</v>
      </c>
      <c r="CI27" s="238">
        <v>0.0</v>
      </c>
      <c r="CJ27" s="238">
        <v>0.0</v>
      </c>
      <c r="CK27" s="238">
        <v>0.0</v>
      </c>
      <c r="CL27" s="238">
        <v>0.0</v>
      </c>
      <c r="CM27" s="238">
        <v>0.0</v>
      </c>
      <c r="CN27" s="238">
        <v>0.0</v>
      </c>
      <c r="CO27" s="238">
        <v>0.0</v>
      </c>
      <c r="CP27" s="238">
        <v>1.0</v>
      </c>
      <c r="CQ27" s="238">
        <v>1.0</v>
      </c>
      <c r="CR27" s="238">
        <v>0.0</v>
      </c>
      <c r="CS27" s="238">
        <v>0.0</v>
      </c>
      <c r="CT27" s="238">
        <v>0.0</v>
      </c>
      <c r="CU27" s="238">
        <v>0.0</v>
      </c>
      <c r="CV27" s="238">
        <v>0.0</v>
      </c>
      <c r="CW27" s="238">
        <v>0.0</v>
      </c>
      <c r="CX27" s="238">
        <v>0.0</v>
      </c>
      <c r="CY27" s="238">
        <v>0.0</v>
      </c>
      <c r="CZ27" s="238">
        <v>0.0</v>
      </c>
      <c r="DA27" s="238">
        <v>1.0</v>
      </c>
      <c r="DB27" s="238">
        <v>0.0</v>
      </c>
      <c r="DC27" s="238">
        <v>0.0</v>
      </c>
      <c r="DD27" s="238">
        <v>4829.44</v>
      </c>
      <c r="DE27" s="238">
        <v>0.0</v>
      </c>
      <c r="DF27" s="238">
        <v>0.0</v>
      </c>
      <c r="DG27" s="238">
        <v>0.0</v>
      </c>
      <c r="DH27" s="238">
        <v>180.0</v>
      </c>
      <c r="DI27" s="238">
        <v>10.0</v>
      </c>
      <c r="DJ27" s="238">
        <v>2.545</v>
      </c>
      <c r="DK27" s="238">
        <v>0.0</v>
      </c>
      <c r="DL27" s="238">
        <v>0.0</v>
      </c>
      <c r="DM27" s="238">
        <v>-5021.985</v>
      </c>
      <c r="DN27" s="238">
        <v>136707.0309</v>
      </c>
      <c r="DO27" s="238">
        <v>498366.2055</v>
      </c>
      <c r="DP27" s="238">
        <v>136707.0309</v>
      </c>
      <c r="DQ27" s="238">
        <v>141243.5781</v>
      </c>
      <c r="DR27" s="238">
        <v>495967.2055</v>
      </c>
      <c r="DS27" s="238">
        <v>141243.5781</v>
      </c>
    </row>
    <row r="28">
      <c r="A28" s="233">
        <f t="shared" si="1"/>
        <v>46088</v>
      </c>
      <c r="B28" s="234">
        <v>47159.0</v>
      </c>
      <c r="C28" s="235">
        <v>2978.0</v>
      </c>
      <c r="D28" s="235">
        <v>2099.0</v>
      </c>
      <c r="E28" s="235">
        <v>311.0</v>
      </c>
      <c r="F28" s="235">
        <v>72.0</v>
      </c>
      <c r="G28" s="235">
        <v>104.0</v>
      </c>
      <c r="H28" s="235">
        <v>106.0</v>
      </c>
      <c r="I28" s="235">
        <v>75.0</v>
      </c>
      <c r="J28" s="235">
        <v>31.0</v>
      </c>
      <c r="K28" s="235">
        <v>2633.0</v>
      </c>
      <c r="L28" s="235">
        <v>22722.0</v>
      </c>
      <c r="M28" s="235">
        <v>78253.0</v>
      </c>
      <c r="N28" s="235">
        <v>251.61</v>
      </c>
      <c r="P28" s="233">
        <f t="shared" si="2"/>
        <v>46088</v>
      </c>
      <c r="Q28" s="238">
        <v>5386.6065</v>
      </c>
      <c r="R28" s="238">
        <v>78253.0</v>
      </c>
      <c r="S28" s="238">
        <v>55531.0</v>
      </c>
      <c r="T28" s="238">
        <v>311.0</v>
      </c>
      <c r="U28" s="238">
        <v>72.0</v>
      </c>
      <c r="V28" s="238">
        <v>22722.0</v>
      </c>
      <c r="W28" s="238">
        <v>0.0</v>
      </c>
      <c r="X28" s="238">
        <v>0.0</v>
      </c>
      <c r="Y28" s="238">
        <v>1291.66</v>
      </c>
      <c r="Z28" s="238">
        <v>-1291.66</v>
      </c>
      <c r="AA28" s="238">
        <v>586052.88</v>
      </c>
      <c r="AB28" s="238">
        <v>556074.895</v>
      </c>
      <c r="AC28" s="238">
        <v>571806.765</v>
      </c>
      <c r="AD28" s="238">
        <v>2880.0</v>
      </c>
      <c r="AE28" s="238">
        <v>1782.6</v>
      </c>
      <c r="AF28" s="238">
        <v>43.0445</v>
      </c>
      <c r="AG28" s="238">
        <v>0.0</v>
      </c>
      <c r="AH28" s="238">
        <v>0.0</v>
      </c>
      <c r="AI28" s="238">
        <v>0.0</v>
      </c>
      <c r="AJ28" s="238">
        <v>0.0</v>
      </c>
      <c r="AK28" s="238">
        <v>9540.4705</v>
      </c>
      <c r="AL28" s="238">
        <v>6927.45</v>
      </c>
      <c r="AM28" s="238">
        <v>6597.45</v>
      </c>
      <c r="AN28" s="238">
        <v>5238.3</v>
      </c>
      <c r="AO28" s="238">
        <v>0.0</v>
      </c>
      <c r="AP28" s="238">
        <v>2.38</v>
      </c>
      <c r="AQ28" s="238">
        <v>0.5</v>
      </c>
      <c r="AR28" s="238">
        <v>0.0</v>
      </c>
      <c r="AS28" s="238">
        <v>0.0</v>
      </c>
      <c r="AT28" s="238">
        <v>0.0</v>
      </c>
      <c r="AU28" s="238">
        <v>0.0</v>
      </c>
      <c r="AV28" s="238">
        <v>1686.27</v>
      </c>
      <c r="AW28" s="238">
        <v>0.0</v>
      </c>
      <c r="AX28" s="238">
        <v>0.0</v>
      </c>
      <c r="AY28" s="238">
        <v>0.0</v>
      </c>
      <c r="AZ28" s="238">
        <v>0.0</v>
      </c>
      <c r="BA28" s="238">
        <v>0.0</v>
      </c>
      <c r="BB28" s="238">
        <v>0.0</v>
      </c>
      <c r="BC28" s="238">
        <v>0.0</v>
      </c>
      <c r="BD28" s="238">
        <v>0.0</v>
      </c>
      <c r="BE28" s="238">
        <v>0.0</v>
      </c>
      <c r="BF28" s="238">
        <v>0.0</v>
      </c>
      <c r="BG28" s="238">
        <v>0.0</v>
      </c>
      <c r="BH28" s="238">
        <v>0.0</v>
      </c>
      <c r="BI28" s="238">
        <v>1.0</v>
      </c>
      <c r="BJ28" s="238">
        <v>0.5</v>
      </c>
      <c r="BK28" s="238">
        <v>0.0</v>
      </c>
      <c r="BL28" s="238">
        <v>0.0</v>
      </c>
      <c r="BM28" s="238">
        <v>0.0</v>
      </c>
      <c r="BN28" s="238">
        <v>0.0</v>
      </c>
      <c r="BO28" s="238">
        <v>0.0</v>
      </c>
      <c r="BP28" s="238">
        <v>0.0</v>
      </c>
      <c r="BQ28" s="238">
        <v>0.0</v>
      </c>
      <c r="BR28" s="238">
        <v>0.0</v>
      </c>
      <c r="BS28" s="238">
        <v>1.0</v>
      </c>
      <c r="BT28" s="238">
        <v>3056.55</v>
      </c>
      <c r="BU28" s="238">
        <v>3056.55</v>
      </c>
      <c r="BV28" s="238">
        <v>2586.08</v>
      </c>
      <c r="BW28" s="238">
        <v>0.0</v>
      </c>
      <c r="BX28" s="238">
        <v>0.0</v>
      </c>
      <c r="BY28" s="238">
        <v>0.0</v>
      </c>
      <c r="BZ28" s="238">
        <v>0.0</v>
      </c>
      <c r="CA28" s="238">
        <v>0.0</v>
      </c>
      <c r="CB28" s="238">
        <v>0.0</v>
      </c>
      <c r="CC28" s="238">
        <v>0.0</v>
      </c>
      <c r="CD28" s="238">
        <v>470.47</v>
      </c>
      <c r="CE28" s="238">
        <v>300.0</v>
      </c>
      <c r="CF28" s="238">
        <v>300.0</v>
      </c>
      <c r="CG28" s="238">
        <v>141.0</v>
      </c>
      <c r="CH28" s="238">
        <v>0.0</v>
      </c>
      <c r="CI28" s="238">
        <v>0.0</v>
      </c>
      <c r="CJ28" s="238">
        <v>0.0</v>
      </c>
      <c r="CK28" s="238">
        <v>0.0</v>
      </c>
      <c r="CL28" s="238">
        <v>0.0</v>
      </c>
      <c r="CM28" s="238">
        <v>0.0</v>
      </c>
      <c r="CN28" s="238">
        <v>0.0</v>
      </c>
      <c r="CO28" s="238">
        <v>159.0</v>
      </c>
      <c r="CP28" s="238">
        <v>1.0</v>
      </c>
      <c r="CQ28" s="238">
        <v>1.0</v>
      </c>
      <c r="CR28" s="238">
        <v>0.0</v>
      </c>
      <c r="CS28" s="238">
        <v>0.0</v>
      </c>
      <c r="CT28" s="238">
        <v>0.0</v>
      </c>
      <c r="CU28" s="238">
        <v>0.0</v>
      </c>
      <c r="CV28" s="238">
        <v>0.0</v>
      </c>
      <c r="CW28" s="238">
        <v>0.0</v>
      </c>
      <c r="CX28" s="238">
        <v>0.0</v>
      </c>
      <c r="CY28" s="238">
        <v>0.0</v>
      </c>
      <c r="CZ28" s="238">
        <v>0.0</v>
      </c>
      <c r="DA28" s="238">
        <v>1.0</v>
      </c>
      <c r="DB28" s="238">
        <v>0.0</v>
      </c>
      <c r="DC28" s="238">
        <v>0.0</v>
      </c>
      <c r="DD28" s="238">
        <v>5104.03</v>
      </c>
      <c r="DE28" s="238">
        <v>0.0</v>
      </c>
      <c r="DF28" s="238">
        <v>0.0</v>
      </c>
      <c r="DG28" s="238">
        <v>0.0</v>
      </c>
      <c r="DH28" s="238">
        <v>60.0</v>
      </c>
      <c r="DI28" s="238">
        <v>10.0</v>
      </c>
      <c r="DJ28" s="238">
        <v>5.914</v>
      </c>
      <c r="DK28" s="238">
        <v>0.0</v>
      </c>
      <c r="DL28" s="238">
        <v>0.0</v>
      </c>
      <c r="DM28" s="238">
        <v>-5179.944</v>
      </c>
      <c r="DN28" s="238">
        <v>136799.2424</v>
      </c>
      <c r="DO28" s="238">
        <v>487370.2055</v>
      </c>
      <c r="DP28" s="238">
        <v>136799.2424</v>
      </c>
      <c r="DQ28" s="238">
        <v>136707.0309</v>
      </c>
      <c r="DR28" s="238">
        <v>498366.2055</v>
      </c>
      <c r="DS28" s="238">
        <v>136707.0309</v>
      </c>
    </row>
    <row r="29">
      <c r="A29" s="233">
        <f t="shared" si="1"/>
        <v>46087</v>
      </c>
      <c r="B29" s="237">
        <v>47051.0</v>
      </c>
      <c r="C29" s="235">
        <v>3924.0</v>
      </c>
      <c r="D29" s="235">
        <v>2777.0</v>
      </c>
      <c r="E29" s="235">
        <v>399.0</v>
      </c>
      <c r="F29" s="235">
        <v>89.0</v>
      </c>
      <c r="G29" s="235">
        <v>231.0</v>
      </c>
      <c r="H29" s="235">
        <v>225.0</v>
      </c>
      <c r="I29" s="235">
        <v>133.0</v>
      </c>
      <c r="J29" s="235">
        <v>50.0</v>
      </c>
      <c r="K29" s="235">
        <v>3364.0</v>
      </c>
      <c r="L29" s="235">
        <v>6119.0</v>
      </c>
      <c r="M29" s="235">
        <v>82445.0</v>
      </c>
      <c r="N29" s="235">
        <v>206.62</v>
      </c>
      <c r="P29" s="233">
        <f t="shared" si="2"/>
        <v>46087</v>
      </c>
      <c r="Q29" s="238">
        <v>30740.4649</v>
      </c>
      <c r="R29" s="238">
        <v>82445.0</v>
      </c>
      <c r="S29" s="238">
        <v>76326.0</v>
      </c>
      <c r="T29" s="238">
        <v>399.0</v>
      </c>
      <c r="U29" s="238">
        <v>89.0</v>
      </c>
      <c r="V29" s="238">
        <v>6119.0</v>
      </c>
      <c r="W29" s="238">
        <v>0.0</v>
      </c>
      <c r="X29" s="238">
        <v>0.0</v>
      </c>
      <c r="Y29" s="238">
        <v>1370.24</v>
      </c>
      <c r="Z29" s="238">
        <v>-1370.24</v>
      </c>
      <c r="AA29" s="238">
        <v>698787.03</v>
      </c>
      <c r="AB29" s="238">
        <v>661738.21</v>
      </c>
      <c r="AC29" s="238">
        <v>654158.465</v>
      </c>
      <c r="AD29" s="238">
        <v>5470.5</v>
      </c>
      <c r="AE29" s="238">
        <v>3683.49</v>
      </c>
      <c r="AF29" s="238">
        <v>46.9966</v>
      </c>
      <c r="AG29" s="238">
        <v>0.0</v>
      </c>
      <c r="AH29" s="238">
        <v>0.0</v>
      </c>
      <c r="AI29" s="238">
        <v>0.0</v>
      </c>
      <c r="AJ29" s="238">
        <v>0.0</v>
      </c>
      <c r="AK29" s="238">
        <v>35427.5784</v>
      </c>
      <c r="AL29" s="238">
        <v>4507.42</v>
      </c>
      <c r="AM29" s="238">
        <v>4264.92</v>
      </c>
      <c r="AN29" s="238">
        <v>3196.82</v>
      </c>
      <c r="AO29" s="238">
        <v>0.0</v>
      </c>
      <c r="AP29" s="238">
        <v>2.61</v>
      </c>
      <c r="AQ29" s="238">
        <v>0.6385</v>
      </c>
      <c r="AR29" s="238">
        <v>0.0</v>
      </c>
      <c r="AS29" s="238">
        <v>0.0</v>
      </c>
      <c r="AT29" s="238">
        <v>0.0</v>
      </c>
      <c r="AU29" s="238">
        <v>0.0</v>
      </c>
      <c r="AV29" s="238">
        <v>1307.3515</v>
      </c>
      <c r="AW29" s="238">
        <v>0.0</v>
      </c>
      <c r="AX29" s="238">
        <v>0.0</v>
      </c>
      <c r="AY29" s="238">
        <v>0.0</v>
      </c>
      <c r="AZ29" s="238">
        <v>0.0</v>
      </c>
      <c r="BA29" s="238">
        <v>0.0</v>
      </c>
      <c r="BB29" s="238">
        <v>0.0</v>
      </c>
      <c r="BC29" s="238">
        <v>0.0</v>
      </c>
      <c r="BD29" s="238">
        <v>0.0</v>
      </c>
      <c r="BE29" s="238">
        <v>0.0</v>
      </c>
      <c r="BF29" s="238">
        <v>0.0</v>
      </c>
      <c r="BG29" s="238">
        <v>0.0</v>
      </c>
      <c r="BH29" s="238">
        <v>0.0</v>
      </c>
      <c r="BI29" s="238">
        <v>0.0</v>
      </c>
      <c r="BJ29" s="238">
        <v>0.0</v>
      </c>
      <c r="BK29" s="238">
        <v>0.0</v>
      </c>
      <c r="BL29" s="238">
        <v>0.0</v>
      </c>
      <c r="BM29" s="238">
        <v>0.0</v>
      </c>
      <c r="BN29" s="238">
        <v>0.0</v>
      </c>
      <c r="BO29" s="238">
        <v>0.0</v>
      </c>
      <c r="BP29" s="238">
        <v>0.0</v>
      </c>
      <c r="BQ29" s="238">
        <v>0.0</v>
      </c>
      <c r="BR29" s="238">
        <v>0.0</v>
      </c>
      <c r="BS29" s="238">
        <v>0.0</v>
      </c>
      <c r="BT29" s="238">
        <v>10892.4</v>
      </c>
      <c r="BU29" s="238">
        <v>10892.4</v>
      </c>
      <c r="BV29" s="238">
        <v>9241.32</v>
      </c>
      <c r="BW29" s="238">
        <v>0.0</v>
      </c>
      <c r="BX29" s="238">
        <v>0.0</v>
      </c>
      <c r="BY29" s="238">
        <v>0.0</v>
      </c>
      <c r="BZ29" s="238">
        <v>0.0</v>
      </c>
      <c r="CA29" s="238">
        <v>0.0</v>
      </c>
      <c r="CB29" s="238">
        <v>0.0</v>
      </c>
      <c r="CC29" s="238">
        <v>0.0</v>
      </c>
      <c r="CD29" s="238">
        <v>1651.08</v>
      </c>
      <c r="CE29" s="238">
        <v>150.0</v>
      </c>
      <c r="CF29" s="238">
        <v>150.0</v>
      </c>
      <c r="CG29" s="238">
        <v>52.0</v>
      </c>
      <c r="CH29" s="238">
        <v>0.0</v>
      </c>
      <c r="CI29" s="238">
        <v>0.0</v>
      </c>
      <c r="CJ29" s="238">
        <v>0.0</v>
      </c>
      <c r="CK29" s="238">
        <v>0.0</v>
      </c>
      <c r="CL29" s="238">
        <v>0.0</v>
      </c>
      <c r="CM29" s="238">
        <v>0.0</v>
      </c>
      <c r="CN29" s="238">
        <v>0.0</v>
      </c>
      <c r="CO29" s="238">
        <v>98.0</v>
      </c>
      <c r="CP29" s="238">
        <v>2.0</v>
      </c>
      <c r="CQ29" s="238">
        <v>2.0</v>
      </c>
      <c r="CR29" s="238">
        <v>0.0</v>
      </c>
      <c r="CS29" s="238">
        <v>0.0</v>
      </c>
      <c r="CT29" s="238">
        <v>0.0</v>
      </c>
      <c r="CU29" s="238">
        <v>0.0</v>
      </c>
      <c r="CV29" s="238">
        <v>0.0</v>
      </c>
      <c r="CW29" s="238">
        <v>0.0</v>
      </c>
      <c r="CX29" s="238">
        <v>0.0</v>
      </c>
      <c r="CY29" s="238">
        <v>0.0</v>
      </c>
      <c r="CZ29" s="238">
        <v>0.0</v>
      </c>
      <c r="DA29" s="238">
        <v>2.0</v>
      </c>
      <c r="DB29" s="238">
        <v>0.0</v>
      </c>
      <c r="DC29" s="238">
        <v>0.0</v>
      </c>
      <c r="DD29" s="238">
        <v>6020.05</v>
      </c>
      <c r="DE29" s="238">
        <v>0.0</v>
      </c>
      <c r="DF29" s="238">
        <v>0.0</v>
      </c>
      <c r="DG29" s="238">
        <v>0.0</v>
      </c>
      <c r="DH29" s="238">
        <v>300.0</v>
      </c>
      <c r="DI29" s="238">
        <v>45.0</v>
      </c>
      <c r="DJ29" s="238">
        <v>10.255</v>
      </c>
      <c r="DK29" s="238">
        <v>0.0</v>
      </c>
      <c r="DL29" s="238">
        <v>0.0</v>
      </c>
      <c r="DM29" s="238">
        <v>-6375.305</v>
      </c>
      <c r="DN29" s="238">
        <v>141233.3223</v>
      </c>
      <c r="DO29" s="238">
        <v>498366.2055</v>
      </c>
      <c r="DP29" s="238">
        <v>141233.3223</v>
      </c>
      <c r="DQ29" s="238">
        <v>136799.2424</v>
      </c>
      <c r="DR29" s="238">
        <v>487370.2055</v>
      </c>
      <c r="DS29" s="238">
        <v>136799.2424</v>
      </c>
    </row>
    <row r="30">
      <c r="A30" s="233">
        <f t="shared" si="1"/>
        <v>46086</v>
      </c>
      <c r="B30" s="237">
        <v>46833.0</v>
      </c>
      <c r="C30" s="235">
        <v>3996.0</v>
      </c>
      <c r="D30" s="235">
        <v>2755.0</v>
      </c>
      <c r="E30" s="235">
        <v>453.0</v>
      </c>
      <c r="F30" s="235">
        <v>103.0</v>
      </c>
      <c r="G30" s="235">
        <v>330.0</v>
      </c>
      <c r="H30" s="235">
        <v>330.0</v>
      </c>
      <c r="I30" s="235">
        <v>171.0</v>
      </c>
      <c r="J30" s="235">
        <v>58.0</v>
      </c>
      <c r="K30" s="235">
        <v>3382.0</v>
      </c>
      <c r="L30" s="235">
        <v>30977.0</v>
      </c>
      <c r="M30" s="235">
        <v>122698.0</v>
      </c>
      <c r="N30" s="235">
        <v>270.85</v>
      </c>
      <c r="P30" s="233">
        <f t="shared" si="2"/>
        <v>46086</v>
      </c>
      <c r="Q30" s="238">
        <v>22575.6412</v>
      </c>
      <c r="R30" s="238">
        <v>122698.0</v>
      </c>
      <c r="S30" s="238">
        <v>91721.0</v>
      </c>
      <c r="T30" s="238">
        <v>453.0</v>
      </c>
      <c r="U30" s="238">
        <v>103.0</v>
      </c>
      <c r="V30" s="238">
        <v>30977.0</v>
      </c>
      <c r="W30" s="238">
        <v>0.0</v>
      </c>
      <c r="X30" s="238">
        <v>0.0</v>
      </c>
      <c r="Y30" s="238">
        <v>1827.75</v>
      </c>
      <c r="Z30" s="238">
        <v>-1827.75</v>
      </c>
      <c r="AA30" s="238">
        <v>1043759.11</v>
      </c>
      <c r="AB30" s="238">
        <v>975478.445</v>
      </c>
      <c r="AC30" s="238">
        <v>1007563.495</v>
      </c>
      <c r="AD30" s="238">
        <v>5267.5</v>
      </c>
      <c r="AE30" s="238">
        <v>1710.12</v>
      </c>
      <c r="AF30" s="238">
        <v>49.7108</v>
      </c>
      <c r="AG30" s="238">
        <v>0.0</v>
      </c>
      <c r="AH30" s="238">
        <v>0.0</v>
      </c>
      <c r="AI30" s="238">
        <v>0.0</v>
      </c>
      <c r="AJ30" s="238">
        <v>0.0</v>
      </c>
      <c r="AK30" s="238">
        <v>29168.2842</v>
      </c>
      <c r="AL30" s="238">
        <v>1378.0</v>
      </c>
      <c r="AM30" s="238">
        <v>1328.55</v>
      </c>
      <c r="AN30" s="238">
        <v>847.05</v>
      </c>
      <c r="AO30" s="238">
        <v>0.0</v>
      </c>
      <c r="AP30" s="238">
        <v>12.11</v>
      </c>
      <c r="AQ30" s="238">
        <v>1.042</v>
      </c>
      <c r="AR30" s="238">
        <v>0.0</v>
      </c>
      <c r="AS30" s="238">
        <v>0.0</v>
      </c>
      <c r="AT30" s="238">
        <v>0.0</v>
      </c>
      <c r="AU30" s="238">
        <v>0.0</v>
      </c>
      <c r="AV30" s="238">
        <v>517.798</v>
      </c>
      <c r="AW30" s="238">
        <v>0.0</v>
      </c>
      <c r="AX30" s="238">
        <v>0.0</v>
      </c>
      <c r="AY30" s="238">
        <v>0.0</v>
      </c>
      <c r="AZ30" s="238">
        <v>0.0</v>
      </c>
      <c r="BA30" s="238">
        <v>0.0</v>
      </c>
      <c r="BB30" s="238">
        <v>0.0</v>
      </c>
      <c r="BC30" s="238">
        <v>0.0</v>
      </c>
      <c r="BD30" s="238">
        <v>0.0</v>
      </c>
      <c r="BE30" s="238">
        <v>0.0</v>
      </c>
      <c r="BF30" s="238">
        <v>0.0</v>
      </c>
      <c r="BG30" s="238">
        <v>0.0</v>
      </c>
      <c r="BH30" s="238">
        <v>0.0</v>
      </c>
      <c r="BI30" s="238">
        <v>1.0</v>
      </c>
      <c r="BJ30" s="238">
        <v>0.5</v>
      </c>
      <c r="BK30" s="238">
        <v>0.0</v>
      </c>
      <c r="BL30" s="238">
        <v>0.0</v>
      </c>
      <c r="BM30" s="238">
        <v>0.0</v>
      </c>
      <c r="BN30" s="238">
        <v>0.0</v>
      </c>
      <c r="BO30" s="238">
        <v>0.0</v>
      </c>
      <c r="BP30" s="238">
        <v>0.0</v>
      </c>
      <c r="BQ30" s="238">
        <v>0.0</v>
      </c>
      <c r="BR30" s="238">
        <v>0.0</v>
      </c>
      <c r="BS30" s="238">
        <v>1.0</v>
      </c>
      <c r="BT30" s="238">
        <v>8110.9</v>
      </c>
      <c r="BU30" s="238">
        <v>8110.9</v>
      </c>
      <c r="BV30" s="238">
        <v>7307.44</v>
      </c>
      <c r="BW30" s="238">
        <v>0.0</v>
      </c>
      <c r="BX30" s="238">
        <v>0.0</v>
      </c>
      <c r="BY30" s="238">
        <v>0.0</v>
      </c>
      <c r="BZ30" s="238">
        <v>0.0</v>
      </c>
      <c r="CA30" s="238">
        <v>0.0</v>
      </c>
      <c r="CB30" s="238">
        <v>0.0</v>
      </c>
      <c r="CC30" s="238">
        <v>0.0</v>
      </c>
      <c r="CD30" s="238">
        <v>803.46</v>
      </c>
      <c r="CE30" s="238">
        <v>633.0</v>
      </c>
      <c r="CF30" s="238">
        <v>610.0</v>
      </c>
      <c r="CG30" s="238">
        <v>578.72</v>
      </c>
      <c r="CH30" s="238">
        <v>0.0</v>
      </c>
      <c r="CI30" s="238">
        <v>0.0</v>
      </c>
      <c r="CJ30" s="238">
        <v>0.0</v>
      </c>
      <c r="CK30" s="238">
        <v>0.0</v>
      </c>
      <c r="CL30" s="238">
        <v>0.0</v>
      </c>
      <c r="CM30" s="238">
        <v>0.0</v>
      </c>
      <c r="CN30" s="238">
        <v>0.0</v>
      </c>
      <c r="CO30" s="238">
        <v>54.28</v>
      </c>
      <c r="CP30" s="238">
        <v>4.0</v>
      </c>
      <c r="CQ30" s="238">
        <v>4.0</v>
      </c>
      <c r="CR30" s="238">
        <v>0.0</v>
      </c>
      <c r="CS30" s="238">
        <v>0.0</v>
      </c>
      <c r="CT30" s="238">
        <v>0.0</v>
      </c>
      <c r="CU30" s="238">
        <v>0.0</v>
      </c>
      <c r="CV30" s="238">
        <v>0.0</v>
      </c>
      <c r="CW30" s="238">
        <v>0.0</v>
      </c>
      <c r="CX30" s="238">
        <v>0.0</v>
      </c>
      <c r="CY30" s="238">
        <v>0.0</v>
      </c>
      <c r="CZ30" s="238">
        <v>0.0</v>
      </c>
      <c r="DA30" s="238">
        <v>4.0</v>
      </c>
      <c r="DB30" s="238">
        <v>0.0</v>
      </c>
      <c r="DC30" s="238">
        <v>0.0</v>
      </c>
      <c r="DD30" s="238">
        <v>5878.41</v>
      </c>
      <c r="DE30" s="238">
        <v>0.0</v>
      </c>
      <c r="DF30" s="238">
        <v>0.0</v>
      </c>
      <c r="DG30" s="238">
        <v>0.0</v>
      </c>
      <c r="DH30" s="238">
        <v>240.0</v>
      </c>
      <c r="DI30" s="238">
        <v>20.0</v>
      </c>
      <c r="DJ30" s="238">
        <v>7.021</v>
      </c>
      <c r="DK30" s="238">
        <v>0.0</v>
      </c>
      <c r="DL30" s="238">
        <v>0.0</v>
      </c>
      <c r="DM30" s="238">
        <v>-6145.431</v>
      </c>
      <c r="DN30" s="238">
        <v>125526.7385</v>
      </c>
      <c r="DO30" s="238">
        <v>512790.2055</v>
      </c>
      <c r="DP30" s="238">
        <v>125526.7385</v>
      </c>
      <c r="DQ30" s="238">
        <v>141233.3223</v>
      </c>
      <c r="DR30" s="238">
        <v>498366.2055</v>
      </c>
      <c r="DS30" s="238">
        <v>141233.3223</v>
      </c>
    </row>
    <row r="31">
      <c r="A31" s="233">
        <f t="shared" si="1"/>
        <v>46085</v>
      </c>
      <c r="B31" s="234">
        <v>46492.0</v>
      </c>
      <c r="C31" s="235">
        <v>2976.0</v>
      </c>
      <c r="D31" s="235">
        <v>2117.0</v>
      </c>
      <c r="E31" s="235">
        <v>349.0</v>
      </c>
      <c r="F31" s="235">
        <v>99.0</v>
      </c>
      <c r="G31" s="235">
        <v>147.0</v>
      </c>
      <c r="H31" s="235">
        <v>157.0</v>
      </c>
      <c r="I31" s="235">
        <v>102.0</v>
      </c>
      <c r="J31" s="235">
        <v>44.0</v>
      </c>
      <c r="K31" s="235">
        <v>2612.0</v>
      </c>
      <c r="L31" s="235">
        <v>12750.0</v>
      </c>
      <c r="M31" s="235">
        <v>83228.0</v>
      </c>
      <c r="N31" s="235">
        <v>238.47</v>
      </c>
      <c r="P31" s="233">
        <f t="shared" si="2"/>
        <v>46085</v>
      </c>
      <c r="Q31" s="238">
        <v>-18508.0115</v>
      </c>
      <c r="R31" s="238">
        <v>83228.0</v>
      </c>
      <c r="S31" s="238">
        <v>70478.0</v>
      </c>
      <c r="T31" s="238">
        <v>349.0</v>
      </c>
      <c r="U31" s="238">
        <v>99.0</v>
      </c>
      <c r="V31" s="238">
        <v>12750.0</v>
      </c>
      <c r="W31" s="238">
        <v>0.0</v>
      </c>
      <c r="X31" s="238">
        <v>0.0</v>
      </c>
      <c r="Y31" s="238">
        <v>1285.11</v>
      </c>
      <c r="Z31" s="238">
        <v>-1285.11</v>
      </c>
      <c r="AA31" s="238">
        <v>754228.52</v>
      </c>
      <c r="AB31" s="238">
        <v>699296.185</v>
      </c>
      <c r="AC31" s="238">
        <v>755109.365</v>
      </c>
      <c r="AD31" s="238">
        <v>3877.0</v>
      </c>
      <c r="AE31" s="238">
        <v>1939.79</v>
      </c>
      <c r="AF31" s="238">
        <v>46.7065</v>
      </c>
      <c r="AG31" s="238">
        <v>0.0</v>
      </c>
      <c r="AH31" s="238">
        <v>0.0</v>
      </c>
      <c r="AI31" s="238">
        <v>0.0</v>
      </c>
      <c r="AJ31" s="238">
        <v>0.0</v>
      </c>
      <c r="AK31" s="238">
        <v>-6744.3415</v>
      </c>
      <c r="AL31" s="238">
        <v>8291.0</v>
      </c>
      <c r="AM31" s="238">
        <v>6786.3</v>
      </c>
      <c r="AN31" s="238">
        <v>11903.3</v>
      </c>
      <c r="AO31" s="238">
        <v>0.0</v>
      </c>
      <c r="AP31" s="238">
        <v>5.85</v>
      </c>
      <c r="AQ31" s="238">
        <v>0.0</v>
      </c>
      <c r="AR31" s="238">
        <v>0.0</v>
      </c>
      <c r="AS31" s="238">
        <v>0.0</v>
      </c>
      <c r="AT31" s="238">
        <v>0.0</v>
      </c>
      <c r="AU31" s="238">
        <v>0.0</v>
      </c>
      <c r="AV31" s="238">
        <v>-3618.15</v>
      </c>
      <c r="AW31" s="238">
        <v>0.0</v>
      </c>
      <c r="AX31" s="238">
        <v>0.0</v>
      </c>
      <c r="AY31" s="238">
        <v>0.0</v>
      </c>
      <c r="AZ31" s="238">
        <v>0.0</v>
      </c>
      <c r="BA31" s="238">
        <v>0.0</v>
      </c>
      <c r="BB31" s="238">
        <v>0.0</v>
      </c>
      <c r="BC31" s="238">
        <v>0.0</v>
      </c>
      <c r="BD31" s="238">
        <v>0.0</v>
      </c>
      <c r="BE31" s="238">
        <v>0.0</v>
      </c>
      <c r="BF31" s="238">
        <v>0.0</v>
      </c>
      <c r="BG31" s="238">
        <v>0.0</v>
      </c>
      <c r="BH31" s="238">
        <v>0.0</v>
      </c>
      <c r="BI31" s="238">
        <v>0.0</v>
      </c>
      <c r="BJ31" s="238">
        <v>0.0</v>
      </c>
      <c r="BK31" s="238">
        <v>0.0</v>
      </c>
      <c r="BL31" s="238">
        <v>0.0</v>
      </c>
      <c r="BM31" s="238">
        <v>0.06</v>
      </c>
      <c r="BN31" s="238">
        <v>0.0</v>
      </c>
      <c r="BO31" s="238">
        <v>0.0</v>
      </c>
      <c r="BP31" s="238">
        <v>0.0</v>
      </c>
      <c r="BQ31" s="238">
        <v>0.0</v>
      </c>
      <c r="BR31" s="238">
        <v>0.0</v>
      </c>
      <c r="BS31" s="238">
        <v>-0.06</v>
      </c>
      <c r="BT31" s="238">
        <v>32039.05</v>
      </c>
      <c r="BU31" s="238">
        <v>32039.05</v>
      </c>
      <c r="BV31" s="238">
        <v>33323.62</v>
      </c>
      <c r="BW31" s="238">
        <v>0.0</v>
      </c>
      <c r="BX31" s="238">
        <v>0.0</v>
      </c>
      <c r="BY31" s="238">
        <v>0.0</v>
      </c>
      <c r="BZ31" s="238">
        <v>0.0</v>
      </c>
      <c r="CA31" s="238">
        <v>0.0</v>
      </c>
      <c r="CB31" s="238">
        <v>0.0</v>
      </c>
      <c r="CC31" s="238">
        <v>0.0</v>
      </c>
      <c r="CD31" s="238">
        <v>-1284.57</v>
      </c>
      <c r="CE31" s="238">
        <v>707.0</v>
      </c>
      <c r="CF31" s="238">
        <v>582.0</v>
      </c>
      <c r="CG31" s="238">
        <v>568.55</v>
      </c>
      <c r="CH31" s="238">
        <v>0.0</v>
      </c>
      <c r="CI31" s="238">
        <v>0.0</v>
      </c>
      <c r="CJ31" s="238">
        <v>0.0</v>
      </c>
      <c r="CK31" s="238">
        <v>0.0</v>
      </c>
      <c r="CL31" s="238">
        <v>0.0</v>
      </c>
      <c r="CM31" s="238">
        <v>0.0</v>
      </c>
      <c r="CN31" s="238">
        <v>0.0</v>
      </c>
      <c r="CO31" s="238">
        <v>138.45</v>
      </c>
      <c r="CP31" s="238">
        <v>5.0</v>
      </c>
      <c r="CQ31" s="238">
        <v>5.0</v>
      </c>
      <c r="CR31" s="238">
        <v>0.0</v>
      </c>
      <c r="CS31" s="238">
        <v>0.0</v>
      </c>
      <c r="CT31" s="238">
        <v>0.0</v>
      </c>
      <c r="CU31" s="238">
        <v>0.0</v>
      </c>
      <c r="CV31" s="238">
        <v>0.0</v>
      </c>
      <c r="CW31" s="238">
        <v>0.0</v>
      </c>
      <c r="CX31" s="238">
        <v>0.0</v>
      </c>
      <c r="CY31" s="238">
        <v>0.0</v>
      </c>
      <c r="CZ31" s="238">
        <v>0.0</v>
      </c>
      <c r="DA31" s="238">
        <v>5.0</v>
      </c>
      <c r="DB31" s="238">
        <v>0.0</v>
      </c>
      <c r="DC31" s="238">
        <v>0.0</v>
      </c>
      <c r="DD31" s="238">
        <v>5334.6</v>
      </c>
      <c r="DE31" s="238">
        <v>0.0</v>
      </c>
      <c r="DF31" s="238">
        <v>0.0</v>
      </c>
      <c r="DG31" s="238">
        <v>0.0</v>
      </c>
      <c r="DH31" s="238">
        <v>300.0</v>
      </c>
      <c r="DI31" s="238">
        <v>80.0</v>
      </c>
      <c r="DJ31" s="238">
        <v>4.63</v>
      </c>
      <c r="DK31" s="238">
        <v>0.0</v>
      </c>
      <c r="DL31" s="238">
        <v>0.0</v>
      </c>
      <c r="DM31" s="238">
        <v>-5719.23</v>
      </c>
      <c r="DN31" s="238">
        <v>120268.592</v>
      </c>
      <c r="DO31" s="238">
        <v>485767.2055</v>
      </c>
      <c r="DP31" s="238">
        <v>120268.592</v>
      </c>
      <c r="DQ31" s="238">
        <v>125526.7385</v>
      </c>
      <c r="DR31" s="238">
        <v>512790.2055</v>
      </c>
      <c r="DS31" s="238">
        <v>125526.7385</v>
      </c>
    </row>
    <row r="32">
      <c r="A32" s="233">
        <f t="shared" si="1"/>
        <v>46084</v>
      </c>
      <c r="B32" s="234">
        <v>46348.0</v>
      </c>
      <c r="C32" s="235">
        <v>3134.0</v>
      </c>
      <c r="D32" s="235">
        <v>2295.0</v>
      </c>
      <c r="E32" s="235">
        <v>363.0</v>
      </c>
      <c r="F32" s="235">
        <v>69.0</v>
      </c>
      <c r="G32" s="235">
        <v>164.0</v>
      </c>
      <c r="H32" s="235">
        <v>173.0</v>
      </c>
      <c r="I32" s="235">
        <v>106.0</v>
      </c>
      <c r="J32" s="235">
        <v>35.0</v>
      </c>
      <c r="K32" s="235">
        <v>2751.0</v>
      </c>
      <c r="L32" s="235">
        <v>37139.0</v>
      </c>
      <c r="M32" s="235">
        <v>87308.0</v>
      </c>
      <c r="N32" s="235">
        <v>240.51</v>
      </c>
      <c r="P32" s="233">
        <f t="shared" si="2"/>
        <v>46084</v>
      </c>
      <c r="Q32" s="238">
        <v>35116.5158</v>
      </c>
      <c r="R32" s="238">
        <v>87308.0</v>
      </c>
      <c r="S32" s="238">
        <v>50169.0</v>
      </c>
      <c r="T32" s="238">
        <v>363.0</v>
      </c>
      <c r="U32" s="238">
        <v>69.0</v>
      </c>
      <c r="V32" s="238">
        <v>37139.0</v>
      </c>
      <c r="W32" s="238">
        <v>0.0</v>
      </c>
      <c r="X32" s="238">
        <v>0.0</v>
      </c>
      <c r="Y32" s="238">
        <v>1378.93</v>
      </c>
      <c r="Z32" s="238">
        <v>-1378.93</v>
      </c>
      <c r="AA32" s="238">
        <v>669470.47</v>
      </c>
      <c r="AB32" s="238">
        <v>627382.31</v>
      </c>
      <c r="AC32" s="238">
        <v>622926.205</v>
      </c>
      <c r="AD32" s="238">
        <v>3010.0</v>
      </c>
      <c r="AE32" s="238">
        <v>2945.62</v>
      </c>
      <c r="AF32" s="238">
        <v>23.7392</v>
      </c>
      <c r="AG32" s="238">
        <v>0.0</v>
      </c>
      <c r="AH32" s="238">
        <v>0.0</v>
      </c>
      <c r="AI32" s="238">
        <v>0.0</v>
      </c>
      <c r="AJ32" s="238">
        <v>0.0</v>
      </c>
      <c r="AK32" s="238">
        <v>40564.9058</v>
      </c>
      <c r="AL32" s="238">
        <v>2632.5</v>
      </c>
      <c r="AM32" s="238">
        <v>2478.5</v>
      </c>
      <c r="AN32" s="238">
        <v>1491.5</v>
      </c>
      <c r="AO32" s="238">
        <v>0.0</v>
      </c>
      <c r="AP32" s="238">
        <v>1.92</v>
      </c>
      <c r="AQ32" s="238">
        <v>0.0</v>
      </c>
      <c r="AR32" s="238">
        <v>0.0</v>
      </c>
      <c r="AS32" s="238">
        <v>0.0</v>
      </c>
      <c r="AT32" s="238">
        <v>0.0</v>
      </c>
      <c r="AU32" s="238">
        <v>0.0</v>
      </c>
      <c r="AV32" s="238">
        <v>1139.08</v>
      </c>
      <c r="AW32" s="238">
        <v>0.0</v>
      </c>
      <c r="AX32" s="238">
        <v>0.0</v>
      </c>
      <c r="AY32" s="238">
        <v>0.0</v>
      </c>
      <c r="AZ32" s="238">
        <v>0.0</v>
      </c>
      <c r="BA32" s="238">
        <v>0.0</v>
      </c>
      <c r="BB32" s="238">
        <v>0.0</v>
      </c>
      <c r="BC32" s="238">
        <v>0.0</v>
      </c>
      <c r="BD32" s="238">
        <v>0.0</v>
      </c>
      <c r="BE32" s="238">
        <v>0.0</v>
      </c>
      <c r="BF32" s="238">
        <v>0.0</v>
      </c>
      <c r="BG32" s="238">
        <v>0.0</v>
      </c>
      <c r="BH32" s="238">
        <v>0.0</v>
      </c>
      <c r="BI32" s="238">
        <v>24.0</v>
      </c>
      <c r="BJ32" s="238">
        <v>23.5</v>
      </c>
      <c r="BK32" s="238">
        <v>4.0</v>
      </c>
      <c r="BL32" s="238">
        <v>0.0</v>
      </c>
      <c r="BM32" s="238">
        <v>0.0</v>
      </c>
      <c r="BN32" s="238">
        <v>0.0</v>
      </c>
      <c r="BO32" s="238">
        <v>0.0</v>
      </c>
      <c r="BP32" s="238">
        <v>0.0</v>
      </c>
      <c r="BQ32" s="238">
        <v>0.0</v>
      </c>
      <c r="BR32" s="238">
        <v>0.0</v>
      </c>
      <c r="BS32" s="238">
        <v>20.0</v>
      </c>
      <c r="BT32" s="238">
        <v>4092.3</v>
      </c>
      <c r="BU32" s="238">
        <v>4027.4</v>
      </c>
      <c r="BV32" s="238">
        <v>4003.8</v>
      </c>
      <c r="BW32" s="238">
        <v>0.0</v>
      </c>
      <c r="BX32" s="238">
        <v>0.0</v>
      </c>
      <c r="BY32" s="238">
        <v>0.0</v>
      </c>
      <c r="BZ32" s="238">
        <v>0.0</v>
      </c>
      <c r="CA32" s="238">
        <v>0.0</v>
      </c>
      <c r="CB32" s="238">
        <v>0.0</v>
      </c>
      <c r="CC32" s="238">
        <v>0.0</v>
      </c>
      <c r="CD32" s="238">
        <v>88.5</v>
      </c>
      <c r="CE32" s="238">
        <v>203.0</v>
      </c>
      <c r="CF32" s="238">
        <v>203.0</v>
      </c>
      <c r="CG32" s="238">
        <v>28.0</v>
      </c>
      <c r="CH32" s="238">
        <v>0.0</v>
      </c>
      <c r="CI32" s="238">
        <v>0.0</v>
      </c>
      <c r="CJ32" s="238">
        <v>0.0</v>
      </c>
      <c r="CK32" s="238">
        <v>0.0</v>
      </c>
      <c r="CL32" s="238">
        <v>0.0</v>
      </c>
      <c r="CM32" s="238">
        <v>0.0</v>
      </c>
      <c r="CN32" s="238">
        <v>0.0</v>
      </c>
      <c r="CO32" s="238">
        <v>175.0</v>
      </c>
      <c r="CP32" s="238">
        <v>3.0</v>
      </c>
      <c r="CQ32" s="238">
        <v>3.0</v>
      </c>
      <c r="CR32" s="238">
        <v>0.0</v>
      </c>
      <c r="CS32" s="238">
        <v>0.0</v>
      </c>
      <c r="CT32" s="238">
        <v>0.0</v>
      </c>
      <c r="CU32" s="238">
        <v>0.0</v>
      </c>
      <c r="CV32" s="238">
        <v>0.0</v>
      </c>
      <c r="CW32" s="238">
        <v>0.0</v>
      </c>
      <c r="CX32" s="238">
        <v>0.0</v>
      </c>
      <c r="CY32" s="238">
        <v>0.0</v>
      </c>
      <c r="CZ32" s="238">
        <v>0.0</v>
      </c>
      <c r="DA32" s="238">
        <v>3.0</v>
      </c>
      <c r="DB32" s="238">
        <v>0.0</v>
      </c>
      <c r="DC32" s="238">
        <v>0.0</v>
      </c>
      <c r="DD32" s="238">
        <v>5266.89</v>
      </c>
      <c r="DE32" s="238">
        <v>0.0</v>
      </c>
      <c r="DF32" s="238">
        <v>0.0</v>
      </c>
      <c r="DG32" s="238">
        <v>0.0</v>
      </c>
      <c r="DH32" s="238">
        <v>210.0</v>
      </c>
      <c r="DI32" s="238">
        <v>15.0</v>
      </c>
      <c r="DJ32" s="238">
        <v>3.15</v>
      </c>
      <c r="DK32" s="238">
        <v>0.0</v>
      </c>
      <c r="DL32" s="238">
        <v>0.0</v>
      </c>
      <c r="DM32" s="238">
        <v>-5495.04</v>
      </c>
      <c r="DN32" s="238">
        <v>120153.8428</v>
      </c>
      <c r="DO32" s="238">
        <v>484235.8655</v>
      </c>
      <c r="DP32" s="238">
        <v>120153.8428</v>
      </c>
      <c r="DQ32" s="238">
        <v>120268.592</v>
      </c>
      <c r="DR32" s="238">
        <v>485767.2055</v>
      </c>
      <c r="DS32" s="238">
        <v>120268.592</v>
      </c>
    </row>
    <row r="33">
      <c r="A33" s="233">
        <f t="shared" si="1"/>
        <v>46083</v>
      </c>
      <c r="B33" s="234">
        <v>46190.0</v>
      </c>
      <c r="C33" s="235">
        <v>3109.0</v>
      </c>
      <c r="D33" s="235">
        <v>2227.0</v>
      </c>
      <c r="E33" s="235">
        <v>423.0</v>
      </c>
      <c r="F33" s="235">
        <v>96.0</v>
      </c>
      <c r="G33" s="235">
        <v>197.0</v>
      </c>
      <c r="H33" s="235">
        <v>222.0</v>
      </c>
      <c r="I33" s="235">
        <v>140.0</v>
      </c>
      <c r="J33" s="235">
        <v>52.0</v>
      </c>
      <c r="K33" s="235">
        <v>2739.0</v>
      </c>
      <c r="L33" s="235">
        <v>23548.0</v>
      </c>
      <c r="M33" s="235">
        <v>90451.0</v>
      </c>
      <c r="N33" s="235">
        <v>213.83</v>
      </c>
      <c r="P33" s="233">
        <f t="shared" si="2"/>
        <v>46083</v>
      </c>
      <c r="Q33" s="238">
        <v>11175.0215</v>
      </c>
      <c r="R33" s="238">
        <v>90451.0</v>
      </c>
      <c r="S33" s="238">
        <v>66903.0</v>
      </c>
      <c r="T33" s="238">
        <v>423.0</v>
      </c>
      <c r="U33" s="238">
        <v>96.0</v>
      </c>
      <c r="V33" s="238">
        <v>23548.0</v>
      </c>
      <c r="W33" s="238">
        <v>0.0</v>
      </c>
      <c r="X33" s="238">
        <v>0.0</v>
      </c>
      <c r="Y33" s="238">
        <v>1473.82</v>
      </c>
      <c r="Z33" s="238">
        <v>-1473.82</v>
      </c>
      <c r="AA33" s="238">
        <v>853219.28</v>
      </c>
      <c r="AB33" s="238">
        <v>793469.615</v>
      </c>
      <c r="AC33" s="238">
        <v>821850.075</v>
      </c>
      <c r="AD33" s="238">
        <v>4305.0</v>
      </c>
      <c r="AE33" s="238">
        <v>4068.24</v>
      </c>
      <c r="AF33" s="238">
        <v>47.3635</v>
      </c>
      <c r="AG33" s="238">
        <v>0.0</v>
      </c>
      <c r="AH33" s="238">
        <v>0.0</v>
      </c>
      <c r="AI33" s="238">
        <v>0.0</v>
      </c>
      <c r="AJ33" s="238">
        <v>0.0</v>
      </c>
      <c r="AK33" s="238">
        <v>22948.6015</v>
      </c>
      <c r="AL33" s="238">
        <v>931.05</v>
      </c>
      <c r="AM33" s="238">
        <v>875.55</v>
      </c>
      <c r="AN33" s="238">
        <v>717.6</v>
      </c>
      <c r="AO33" s="238">
        <v>0.0</v>
      </c>
      <c r="AP33" s="238">
        <v>13.94</v>
      </c>
      <c r="AQ33" s="238">
        <v>0.0</v>
      </c>
      <c r="AR33" s="238">
        <v>0.0</v>
      </c>
      <c r="AS33" s="238">
        <v>0.0</v>
      </c>
      <c r="AT33" s="238">
        <v>0.0</v>
      </c>
      <c r="AU33" s="238">
        <v>0.0</v>
      </c>
      <c r="AV33" s="238">
        <v>199.51</v>
      </c>
      <c r="AW33" s="238">
        <v>0.0</v>
      </c>
      <c r="AX33" s="238">
        <v>0.0</v>
      </c>
      <c r="AY33" s="238">
        <v>0.0</v>
      </c>
      <c r="AZ33" s="238">
        <v>0.0</v>
      </c>
      <c r="BA33" s="238">
        <v>0.0</v>
      </c>
      <c r="BB33" s="238">
        <v>0.0</v>
      </c>
      <c r="BC33" s="238">
        <v>0.0</v>
      </c>
      <c r="BD33" s="238">
        <v>0.0</v>
      </c>
      <c r="BE33" s="238">
        <v>0.0</v>
      </c>
      <c r="BF33" s="238">
        <v>0.0</v>
      </c>
      <c r="BG33" s="238">
        <v>0.0</v>
      </c>
      <c r="BH33" s="238">
        <v>0.0</v>
      </c>
      <c r="BI33" s="238">
        <v>0.0</v>
      </c>
      <c r="BJ33" s="238">
        <v>0.0</v>
      </c>
      <c r="BK33" s="238">
        <v>0.0</v>
      </c>
      <c r="BL33" s="238">
        <v>0.0</v>
      </c>
      <c r="BM33" s="238">
        <v>0.0</v>
      </c>
      <c r="BN33" s="238">
        <v>0.0</v>
      </c>
      <c r="BO33" s="238">
        <v>0.0</v>
      </c>
      <c r="BP33" s="238">
        <v>0.0</v>
      </c>
      <c r="BQ33" s="238">
        <v>0.0</v>
      </c>
      <c r="BR33" s="238">
        <v>0.0</v>
      </c>
      <c r="BS33" s="238">
        <v>0.0</v>
      </c>
      <c r="BT33" s="238">
        <v>35624.75</v>
      </c>
      <c r="BU33" s="238">
        <v>35624.75</v>
      </c>
      <c r="BV33" s="238">
        <v>40761.28</v>
      </c>
      <c r="BW33" s="238">
        <v>0.0</v>
      </c>
      <c r="BX33" s="238">
        <v>0.0</v>
      </c>
      <c r="BY33" s="238">
        <v>0.0</v>
      </c>
      <c r="BZ33" s="238">
        <v>0.0</v>
      </c>
      <c r="CA33" s="238">
        <v>0.0</v>
      </c>
      <c r="CB33" s="238">
        <v>0.0</v>
      </c>
      <c r="CC33" s="238">
        <v>0.0</v>
      </c>
      <c r="CD33" s="238">
        <v>-5136.53</v>
      </c>
      <c r="CE33" s="238">
        <v>85.0</v>
      </c>
      <c r="CF33" s="238">
        <v>85.0</v>
      </c>
      <c r="CG33" s="238">
        <v>0.0</v>
      </c>
      <c r="CH33" s="238">
        <v>0.0</v>
      </c>
      <c r="CI33" s="238">
        <v>0.0</v>
      </c>
      <c r="CJ33" s="238">
        <v>0.0</v>
      </c>
      <c r="CK33" s="238">
        <v>0.0</v>
      </c>
      <c r="CL33" s="238">
        <v>0.0</v>
      </c>
      <c r="CM33" s="238">
        <v>0.0</v>
      </c>
      <c r="CN33" s="238">
        <v>0.0</v>
      </c>
      <c r="CO33" s="238">
        <v>85.0</v>
      </c>
      <c r="CP33" s="238">
        <v>4.0</v>
      </c>
      <c r="CQ33" s="238">
        <v>4.0</v>
      </c>
      <c r="CR33" s="238">
        <v>0.0</v>
      </c>
      <c r="CS33" s="238">
        <v>0.0</v>
      </c>
      <c r="CT33" s="238">
        <v>0.0</v>
      </c>
      <c r="CU33" s="238">
        <v>0.0</v>
      </c>
      <c r="CV33" s="238">
        <v>0.0</v>
      </c>
      <c r="CW33" s="238">
        <v>0.0</v>
      </c>
      <c r="CX33" s="238">
        <v>0.0</v>
      </c>
      <c r="CY33" s="238">
        <v>0.0</v>
      </c>
      <c r="CZ33" s="238">
        <v>0.0</v>
      </c>
      <c r="DA33" s="238">
        <v>4.0</v>
      </c>
      <c r="DB33" s="238">
        <v>0.0</v>
      </c>
      <c r="DC33" s="238">
        <v>0.0</v>
      </c>
      <c r="DD33" s="238">
        <v>5320.26</v>
      </c>
      <c r="DE33" s="238">
        <v>0.0</v>
      </c>
      <c r="DF33" s="238">
        <v>0.0</v>
      </c>
      <c r="DG33" s="238">
        <v>0.0</v>
      </c>
      <c r="DH33" s="238">
        <v>120.0</v>
      </c>
      <c r="DI33" s="238">
        <v>5.0</v>
      </c>
      <c r="DJ33" s="238">
        <v>6.48</v>
      </c>
      <c r="DK33" s="238">
        <v>0.0</v>
      </c>
      <c r="DL33" s="238">
        <v>0.0</v>
      </c>
      <c r="DM33" s="238">
        <v>-5451.74</v>
      </c>
      <c r="DN33" s="238">
        <v>119399.7993</v>
      </c>
      <c r="DO33" s="238">
        <v>473315.8655</v>
      </c>
      <c r="DP33" s="238">
        <v>119399.7993</v>
      </c>
      <c r="DQ33" s="238">
        <v>120153.8428</v>
      </c>
      <c r="DR33" s="238">
        <v>484235.8655</v>
      </c>
      <c r="DS33" s="238">
        <v>120153.8428</v>
      </c>
    </row>
    <row r="34">
      <c r="A34" s="233">
        <v>46082.0</v>
      </c>
      <c r="B34" s="237">
        <v>45988.0</v>
      </c>
      <c r="C34" s="235">
        <v>4268.0</v>
      </c>
      <c r="D34" s="235">
        <v>3186.0</v>
      </c>
      <c r="E34" s="235">
        <v>928.0</v>
      </c>
      <c r="F34" s="235">
        <v>189.0</v>
      </c>
      <c r="G34" s="235">
        <v>1098.0</v>
      </c>
      <c r="H34" s="235">
        <v>992.0</v>
      </c>
      <c r="I34" s="235">
        <v>625.0</v>
      </c>
      <c r="J34" s="235">
        <v>145.0</v>
      </c>
      <c r="K34" s="235">
        <v>3609.0</v>
      </c>
      <c r="L34" s="235">
        <v>55938.0</v>
      </c>
      <c r="M34" s="235">
        <v>186941.0</v>
      </c>
      <c r="N34" s="235">
        <v>201.44</v>
      </c>
      <c r="P34" s="233">
        <f>A34</f>
        <v>46082</v>
      </c>
      <c r="Q34" s="238">
        <v>46828.5395</v>
      </c>
      <c r="R34" s="238">
        <v>186941.0</v>
      </c>
      <c r="S34" s="238">
        <v>131003.0</v>
      </c>
      <c r="T34" s="238">
        <v>928.0</v>
      </c>
      <c r="U34" s="238">
        <v>189.0</v>
      </c>
      <c r="V34" s="238">
        <v>55938.0</v>
      </c>
      <c r="W34" s="238">
        <v>0.0</v>
      </c>
      <c r="X34" s="238">
        <v>0.0</v>
      </c>
      <c r="Y34" s="238">
        <v>3003.36</v>
      </c>
      <c r="Z34" s="238">
        <v>-3003.36</v>
      </c>
      <c r="AA34" s="238">
        <v>1772693.04</v>
      </c>
      <c r="AB34" s="238">
        <v>1652357.985</v>
      </c>
      <c r="AC34" s="238">
        <v>1694500.565</v>
      </c>
      <c r="AD34" s="238">
        <v>21696.0</v>
      </c>
      <c r="AE34" s="238">
        <v>2885.83</v>
      </c>
      <c r="AF34" s="238">
        <v>41.3555</v>
      </c>
      <c r="AG34" s="238">
        <v>0.0</v>
      </c>
      <c r="AH34" s="238">
        <v>0.0</v>
      </c>
      <c r="AI34" s="238">
        <v>0.0</v>
      </c>
      <c r="AJ34" s="238">
        <v>0.0</v>
      </c>
      <c r="AK34" s="238">
        <v>53569.2895</v>
      </c>
      <c r="AL34" s="238">
        <v>8456.8</v>
      </c>
      <c r="AM34" s="238">
        <v>8206.8</v>
      </c>
      <c r="AN34" s="238">
        <v>5555.0</v>
      </c>
      <c r="AO34" s="238">
        <v>0.0</v>
      </c>
      <c r="AP34" s="238">
        <v>9.63</v>
      </c>
      <c r="AQ34" s="238">
        <v>0.0</v>
      </c>
      <c r="AR34" s="238">
        <v>0.0</v>
      </c>
      <c r="AS34" s="238">
        <v>0.0</v>
      </c>
      <c r="AT34" s="238">
        <v>0.0</v>
      </c>
      <c r="AU34" s="238">
        <v>0.0</v>
      </c>
      <c r="AV34" s="238">
        <v>2892.17</v>
      </c>
      <c r="AW34" s="238">
        <v>0.0</v>
      </c>
      <c r="AX34" s="238">
        <v>0.0</v>
      </c>
      <c r="AY34" s="238">
        <v>0.0</v>
      </c>
      <c r="AZ34" s="238">
        <v>0.0</v>
      </c>
      <c r="BA34" s="238">
        <v>0.0</v>
      </c>
      <c r="BB34" s="238">
        <v>0.0</v>
      </c>
      <c r="BC34" s="238">
        <v>0.0</v>
      </c>
      <c r="BD34" s="238">
        <v>0.0</v>
      </c>
      <c r="BE34" s="238">
        <v>0.0</v>
      </c>
      <c r="BF34" s="238">
        <v>0.0</v>
      </c>
      <c r="BG34" s="238">
        <v>0.0</v>
      </c>
      <c r="BH34" s="238">
        <v>0.0</v>
      </c>
      <c r="BI34" s="238">
        <v>450.0</v>
      </c>
      <c r="BJ34" s="238">
        <v>444.5</v>
      </c>
      <c r="BK34" s="238">
        <v>386.15</v>
      </c>
      <c r="BL34" s="238">
        <v>0.0</v>
      </c>
      <c r="BM34" s="238">
        <v>0.0</v>
      </c>
      <c r="BN34" s="238">
        <v>0.0</v>
      </c>
      <c r="BO34" s="238">
        <v>0.0</v>
      </c>
      <c r="BP34" s="238">
        <v>0.0</v>
      </c>
      <c r="BQ34" s="238">
        <v>0.0</v>
      </c>
      <c r="BR34" s="238">
        <v>0.0</v>
      </c>
      <c r="BS34" s="238">
        <v>63.85</v>
      </c>
      <c r="BT34" s="238">
        <v>13004.9</v>
      </c>
      <c r="BU34" s="238">
        <v>13004.9</v>
      </c>
      <c r="BV34" s="238">
        <v>12302.7</v>
      </c>
      <c r="BW34" s="238">
        <v>0.0</v>
      </c>
      <c r="BX34" s="238">
        <v>0.0</v>
      </c>
      <c r="BY34" s="238">
        <v>0.0</v>
      </c>
      <c r="BZ34" s="238">
        <v>0.0</v>
      </c>
      <c r="CA34" s="238">
        <v>0.0</v>
      </c>
      <c r="CB34" s="238">
        <v>0.0</v>
      </c>
      <c r="CC34" s="238">
        <v>0.0</v>
      </c>
      <c r="CD34" s="238">
        <v>702.2</v>
      </c>
      <c r="CE34" s="238">
        <v>0.0</v>
      </c>
      <c r="CF34" s="238">
        <v>0.0</v>
      </c>
      <c r="CG34" s="238">
        <v>0.0</v>
      </c>
      <c r="CH34" s="238">
        <v>0.0</v>
      </c>
      <c r="CI34" s="238">
        <v>0.0</v>
      </c>
      <c r="CJ34" s="238">
        <v>0.0</v>
      </c>
      <c r="CK34" s="238">
        <v>0.0</v>
      </c>
      <c r="CL34" s="238">
        <v>0.0</v>
      </c>
      <c r="CM34" s="238">
        <v>0.0</v>
      </c>
      <c r="CN34" s="238">
        <v>0.0</v>
      </c>
      <c r="CO34" s="238">
        <v>0.0</v>
      </c>
      <c r="CP34" s="238">
        <v>4.0</v>
      </c>
      <c r="CQ34" s="238">
        <v>4.0</v>
      </c>
      <c r="CR34" s="238">
        <v>0.0</v>
      </c>
      <c r="CS34" s="238">
        <v>0.0</v>
      </c>
      <c r="CT34" s="238">
        <v>0.0</v>
      </c>
      <c r="CU34" s="238">
        <v>0.0</v>
      </c>
      <c r="CV34" s="238">
        <v>0.0</v>
      </c>
      <c r="CW34" s="238">
        <v>0.0</v>
      </c>
      <c r="CX34" s="238">
        <v>0.0</v>
      </c>
      <c r="CY34" s="238">
        <v>0.0</v>
      </c>
      <c r="CZ34" s="238">
        <v>0.0</v>
      </c>
      <c r="DA34" s="238">
        <v>4.0</v>
      </c>
      <c r="DB34" s="238">
        <v>0.0</v>
      </c>
      <c r="DC34" s="238">
        <v>0.0</v>
      </c>
      <c r="DD34" s="238">
        <v>7059.22</v>
      </c>
      <c r="DE34" s="238">
        <v>0.0</v>
      </c>
      <c r="DF34" s="238">
        <v>0.0</v>
      </c>
      <c r="DG34" s="238">
        <v>0.0</v>
      </c>
      <c r="DH34" s="238">
        <v>300.0</v>
      </c>
      <c r="DI34" s="238">
        <v>35.0</v>
      </c>
      <c r="DJ34" s="238">
        <v>5.39</v>
      </c>
      <c r="DK34" s="238">
        <v>0.0</v>
      </c>
      <c r="DL34" s="238">
        <v>0.0</v>
      </c>
      <c r="DM34" s="238">
        <v>-7399.61</v>
      </c>
      <c r="DN34" s="238">
        <v>113632.8738</v>
      </c>
      <c r="DO34" s="238">
        <v>460446.1855</v>
      </c>
      <c r="DP34" s="238">
        <v>113632.8738</v>
      </c>
      <c r="DQ34" s="238">
        <v>119399.7993</v>
      </c>
      <c r="DR34" s="238">
        <v>473315.8655</v>
      </c>
      <c r="DS34" s="238">
        <v>119399.7993</v>
      </c>
    </row>
    <row r="35">
      <c r="A35" s="23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13"/>
    <col customWidth="1" min="2" max="2" width="52.0"/>
    <col customWidth="1" min="3" max="3" width="19.0"/>
    <col customWidth="1" min="6" max="6" width="13.88"/>
  </cols>
  <sheetData>
    <row r="1">
      <c r="A1" s="240"/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</row>
    <row r="2">
      <c r="A2" s="241" t="str">
        <f>Q2&amp;" 月"&amp;Q3&amp;" 日 jiliarena 活动红利分析"</f>
        <v>2 月20 日 jiliarena 活动红利分析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3"/>
      <c r="M2" s="240"/>
      <c r="N2" s="240" t="s">
        <v>268</v>
      </c>
      <c r="O2" s="244">
        <v>46073.0</v>
      </c>
      <c r="P2" s="240"/>
      <c r="Q2" s="245">
        <f>MONTH(O2)</f>
        <v>2</v>
      </c>
    </row>
    <row r="3">
      <c r="A3" s="246" t="s">
        <v>370</v>
      </c>
      <c r="B3" s="247" t="s">
        <v>371</v>
      </c>
      <c r="C3" s="247" t="s">
        <v>372</v>
      </c>
      <c r="D3" s="247" t="s">
        <v>373</v>
      </c>
      <c r="E3" s="248" t="s">
        <v>374</v>
      </c>
      <c r="F3" s="247" t="s">
        <v>375</v>
      </c>
      <c r="G3" s="249" t="s">
        <v>376</v>
      </c>
      <c r="H3" s="247" t="s">
        <v>377</v>
      </c>
      <c r="I3" s="247" t="s">
        <v>378</v>
      </c>
      <c r="J3" s="247" t="s">
        <v>379</v>
      </c>
      <c r="K3" s="247" t="s">
        <v>380</v>
      </c>
      <c r="L3" s="247" t="s">
        <v>381</v>
      </c>
      <c r="M3" s="250"/>
      <c r="N3" s="250"/>
      <c r="O3" s="250"/>
      <c r="P3" s="240"/>
      <c r="Q3" s="245">
        <f>DAY(O2)</f>
        <v>20</v>
      </c>
    </row>
    <row r="4">
      <c r="A4" s="251">
        <v>1.0</v>
      </c>
      <c r="B4" s="252" t="s">
        <v>172</v>
      </c>
      <c r="C4" s="253" t="s">
        <v>382</v>
      </c>
      <c r="D4" s="254">
        <f t="shared" ref="D4:E4" si="1">SUM(D5:D10)</f>
        <v>0</v>
      </c>
      <c r="E4" s="254">
        <f t="shared" si="1"/>
        <v>0</v>
      </c>
      <c r="F4" s="255"/>
      <c r="G4" s="256"/>
      <c r="H4" s="255">
        <f>SUM(H5:H10)</f>
        <v>0</v>
      </c>
      <c r="I4" s="257" t="str">
        <f t="shared" ref="I4:I34" si="2">if(H4=0,"",H4/$H$34)</f>
        <v/>
      </c>
      <c r="J4" s="257" t="str">
        <f t="shared" ref="J4:J24" si="3">if(H4=0,"",IFERROR(H4/$J$35,""))</f>
        <v/>
      </c>
      <c r="K4" s="257" t="str">
        <f t="shared" ref="K4:K24" si="4">if(H4=0,"",IFERROR(H4/$F$35,""))</f>
        <v/>
      </c>
      <c r="L4" s="257" t="str">
        <f t="shared" ref="L4:L24" si="5">if(H4=0,"",IFERROR(H4/$L$35,""))</f>
        <v/>
      </c>
      <c r="M4" s="258">
        <f>H4-SUMIFS('jiliarena_活动分析数据_底稿'!$K:$K,'jiliarena_活动分析数据_底稿'!$B:$B,$O$2,'jiliarena_活动分析数据_底稿'!$E:$E,B4)</f>
        <v>0</v>
      </c>
      <c r="N4" s="250"/>
      <c r="O4" s="240"/>
      <c r="P4" s="240"/>
      <c r="Q4" s="240"/>
    </row>
    <row r="5">
      <c r="A5" s="259"/>
      <c r="B5" s="260" t="s">
        <v>383</v>
      </c>
      <c r="C5" s="261" t="s">
        <v>382</v>
      </c>
      <c r="D5" s="262">
        <f>sumifs('jiliarena_活动分析数据_底稿'!F:F,'jiliarena_活动分析数据_底稿'!$C:$C,$B5,'jiliarena_活动分析数据_底稿'!$B:$B,$O$2)</f>
        <v>0</v>
      </c>
      <c r="E5" s="262">
        <f>sumifs('jiliarena_活动分析数据_底稿'!G:G,'jiliarena_活动分析数据_底稿'!$C:$C,$B5,'jiliarena_活动分析数据_底稿'!$B:$B,$O$2)</f>
        <v>0</v>
      </c>
      <c r="F5" s="263"/>
      <c r="G5" s="264"/>
      <c r="H5" s="263">
        <f>sumifs('jiliarena_活动分析数据_底稿'!K:K,'jiliarena_活动分析数据_底稿'!$C:$C,$B5,'jiliarena_活动分析数据_底稿'!$B:$B,$O$2)</f>
        <v>0</v>
      </c>
      <c r="I5" s="265" t="str">
        <f t="shared" si="2"/>
        <v/>
      </c>
      <c r="J5" s="265" t="str">
        <f t="shared" si="3"/>
        <v/>
      </c>
      <c r="K5" s="265" t="str">
        <f t="shared" si="4"/>
        <v/>
      </c>
      <c r="L5" s="265" t="str">
        <f t="shared" si="5"/>
        <v/>
      </c>
      <c r="M5" s="240"/>
      <c r="N5" s="240"/>
      <c r="O5" s="240"/>
      <c r="P5" s="240"/>
      <c r="Q5" s="240"/>
    </row>
    <row r="6">
      <c r="A6" s="11"/>
      <c r="B6" s="260" t="s">
        <v>384</v>
      </c>
      <c r="C6" s="266"/>
      <c r="D6" s="262">
        <f>sumifs('jiliarena_活动分析数据_底稿'!F:F,'jiliarena_活动分析数据_底稿'!$C:$C,$B6,'jiliarena_活动分析数据_底稿'!$B:$B,$O$2)</f>
        <v>0</v>
      </c>
      <c r="E6" s="262">
        <f>sumifs('jiliarena_活动分析数据_底稿'!G:G,'jiliarena_活动分析数据_底稿'!$C:$C,$B6,'jiliarena_活动分析数据_底稿'!$B:$B,$O$2)</f>
        <v>0</v>
      </c>
      <c r="F6" s="263"/>
      <c r="G6" s="264"/>
      <c r="H6" s="263">
        <f>sumifs('jiliarena_活动分析数据_底稿'!K:K,'jiliarena_活动分析数据_底稿'!$C:$C,$B6,'jiliarena_活动分析数据_底稿'!$B:$B,$O$2)</f>
        <v>0</v>
      </c>
      <c r="I6" s="265" t="str">
        <f t="shared" si="2"/>
        <v/>
      </c>
      <c r="J6" s="265" t="str">
        <f t="shared" si="3"/>
        <v/>
      </c>
      <c r="K6" s="265" t="str">
        <f t="shared" si="4"/>
        <v/>
      </c>
      <c r="L6" s="265" t="str">
        <f t="shared" si="5"/>
        <v/>
      </c>
      <c r="M6" s="240"/>
      <c r="N6" s="240"/>
      <c r="O6" s="240"/>
      <c r="P6" s="240"/>
      <c r="Q6" s="240"/>
    </row>
    <row r="7">
      <c r="A7" s="11"/>
      <c r="B7" s="260" t="s">
        <v>385</v>
      </c>
      <c r="C7" s="266"/>
      <c r="D7" s="262">
        <f>sumifs('jiliarena_活动分析数据_底稿'!F:F,'jiliarena_活动分析数据_底稿'!$C:$C,$B7,'jiliarena_活动分析数据_底稿'!$B:$B,$O$2)</f>
        <v>0</v>
      </c>
      <c r="E7" s="262">
        <f>sumifs('jiliarena_活动分析数据_底稿'!G:G,'jiliarena_活动分析数据_底稿'!$C:$C,$B7,'jiliarena_活动分析数据_底稿'!$B:$B,$O$2)</f>
        <v>0</v>
      </c>
      <c r="F7" s="263"/>
      <c r="G7" s="264"/>
      <c r="H7" s="263">
        <f>sumifs('jiliarena_活动分析数据_底稿'!K:K,'jiliarena_活动分析数据_底稿'!$C:$C,$B7,'jiliarena_活动分析数据_底稿'!$B:$B,$O$2)</f>
        <v>0</v>
      </c>
      <c r="I7" s="265" t="str">
        <f t="shared" si="2"/>
        <v/>
      </c>
      <c r="J7" s="265" t="str">
        <f t="shared" si="3"/>
        <v/>
      </c>
      <c r="K7" s="265" t="str">
        <f t="shared" si="4"/>
        <v/>
      </c>
      <c r="L7" s="265" t="str">
        <f t="shared" si="5"/>
        <v/>
      </c>
      <c r="M7" s="240"/>
      <c r="N7" s="240"/>
      <c r="O7" s="240"/>
      <c r="P7" s="240"/>
      <c r="Q7" s="240"/>
    </row>
    <row r="8">
      <c r="A8" s="11"/>
      <c r="B8" s="260" t="s">
        <v>386</v>
      </c>
      <c r="C8" s="266"/>
      <c r="D8" s="262">
        <f>sumifs('jiliarena_活动分析数据_底稿'!F:F,'jiliarena_活动分析数据_底稿'!$C:$C,$B8,'jiliarena_活动分析数据_底稿'!$B:$B,$O$2)</f>
        <v>0</v>
      </c>
      <c r="E8" s="262">
        <f>sumifs('jiliarena_活动分析数据_底稿'!G:G,'jiliarena_活动分析数据_底稿'!$C:$C,$B8,'jiliarena_活动分析数据_底稿'!$B:$B,$O$2)</f>
        <v>0</v>
      </c>
      <c r="F8" s="263"/>
      <c r="G8" s="264"/>
      <c r="H8" s="263">
        <f>sumifs('jiliarena_活动分析数据_底稿'!K:K,'jiliarena_活动分析数据_底稿'!$C:$C,$B8,'jiliarena_活动分析数据_底稿'!$B:$B,$O$2)</f>
        <v>0</v>
      </c>
      <c r="I8" s="265" t="str">
        <f t="shared" si="2"/>
        <v/>
      </c>
      <c r="J8" s="265" t="str">
        <f t="shared" si="3"/>
        <v/>
      </c>
      <c r="K8" s="265" t="str">
        <f t="shared" si="4"/>
        <v/>
      </c>
      <c r="L8" s="265" t="str">
        <f t="shared" si="5"/>
        <v/>
      </c>
      <c r="M8" s="240"/>
      <c r="N8" s="240"/>
      <c r="O8" s="240"/>
      <c r="P8" s="240"/>
      <c r="Q8" s="240"/>
    </row>
    <row r="9">
      <c r="A9" s="11"/>
      <c r="B9" s="260" t="s">
        <v>387</v>
      </c>
      <c r="C9" s="266"/>
      <c r="D9" s="262">
        <f>sumifs('jiliarena_活动分析数据_底稿'!F:F,'jiliarena_活动分析数据_底稿'!$C:$C,$B9,'jiliarena_活动分析数据_底稿'!$B:$B,$O$2)</f>
        <v>0</v>
      </c>
      <c r="E9" s="262">
        <f>sumifs('jiliarena_活动分析数据_底稿'!G:G,'jiliarena_活动分析数据_底稿'!$C:$C,$B9,'jiliarena_活动分析数据_底稿'!$B:$B,$O$2)</f>
        <v>0</v>
      </c>
      <c r="F9" s="263"/>
      <c r="G9" s="264"/>
      <c r="H9" s="263">
        <f>sumifs('jiliarena_活动分析数据_底稿'!K:K,'jiliarena_活动分析数据_底稿'!$C:$C,$B9,'jiliarena_活动分析数据_底稿'!$B:$B,$O$2)</f>
        <v>0</v>
      </c>
      <c r="I9" s="265" t="str">
        <f t="shared" si="2"/>
        <v/>
      </c>
      <c r="J9" s="265" t="str">
        <f t="shared" si="3"/>
        <v/>
      </c>
      <c r="K9" s="265" t="str">
        <f t="shared" si="4"/>
        <v/>
      </c>
      <c r="L9" s="265" t="str">
        <f t="shared" si="5"/>
        <v/>
      </c>
      <c r="M9" s="240"/>
      <c r="N9" s="240"/>
      <c r="O9" s="240"/>
      <c r="P9" s="240"/>
      <c r="Q9" s="240"/>
    </row>
    <row r="10">
      <c r="A10" s="20"/>
      <c r="B10" s="260" t="s">
        <v>388</v>
      </c>
      <c r="C10" s="267"/>
      <c r="D10" s="262">
        <f>sumifs('jiliarena_活动分析数据_底稿'!F:F,'jiliarena_活动分析数据_底稿'!$C:$C,$B10,'jiliarena_活动分析数据_底稿'!$B:$B,$O$2)</f>
        <v>0</v>
      </c>
      <c r="E10" s="262">
        <f>sumifs('jiliarena_活动分析数据_底稿'!G:G,'jiliarena_活动分析数据_底稿'!$C:$C,$B10,'jiliarena_活动分析数据_底稿'!$B:$B,$O$2)</f>
        <v>0</v>
      </c>
      <c r="F10" s="263"/>
      <c r="G10" s="264"/>
      <c r="H10" s="263">
        <f>sumifs('jiliarena_活动分析数据_底稿'!K:K,'jiliarena_活动分析数据_底稿'!$C:$C,$B10,'jiliarena_活动分析数据_底稿'!$B:$B,$O$2)</f>
        <v>0</v>
      </c>
      <c r="I10" s="265" t="str">
        <f t="shared" si="2"/>
        <v/>
      </c>
      <c r="J10" s="265" t="str">
        <f t="shared" si="3"/>
        <v/>
      </c>
      <c r="K10" s="265" t="str">
        <f t="shared" si="4"/>
        <v/>
      </c>
      <c r="L10" s="265" t="str">
        <f t="shared" si="5"/>
        <v/>
      </c>
      <c r="M10" s="240"/>
      <c r="N10" s="240"/>
      <c r="O10" s="240"/>
      <c r="P10" s="240"/>
      <c r="Q10" s="240"/>
    </row>
    <row r="11">
      <c r="A11" s="251">
        <v>2.0</v>
      </c>
      <c r="B11" s="252" t="s">
        <v>173</v>
      </c>
      <c r="C11" s="268" t="s">
        <v>173</v>
      </c>
      <c r="D11" s="254">
        <f>sumifs('jiliarena_活动分析数据_底稿'!F:F,'jiliarena_活动分析数据_底稿'!$C:$C,$B11,'jiliarena_活动分析数据_底稿'!$B:$B,$O$2)</f>
        <v>0</v>
      </c>
      <c r="E11" s="254">
        <f>sumifs('jiliarena_活动分析数据_底稿'!G:G,'jiliarena_活动分析数据_底稿'!$C:$C,$B11,'jiliarena_活动分析数据_底稿'!$B:$B,$O$2)</f>
        <v>0</v>
      </c>
      <c r="F11" s="255"/>
      <c r="G11" s="256"/>
      <c r="H11" s="255">
        <f>sumifs('jiliarena_活动分析数据_底稿'!K:K,'jiliarena_活动分析数据_底稿'!$C:$C,$B11,'jiliarena_活动分析数据_底稿'!$B:$B,$O$2)</f>
        <v>0</v>
      </c>
      <c r="I11" s="257" t="str">
        <f t="shared" si="2"/>
        <v/>
      </c>
      <c r="J11" s="257" t="str">
        <f t="shared" si="3"/>
        <v/>
      </c>
      <c r="K11" s="257" t="str">
        <f t="shared" si="4"/>
        <v/>
      </c>
      <c r="L11" s="257" t="str">
        <f t="shared" si="5"/>
        <v/>
      </c>
      <c r="M11" s="258">
        <f>H11-SUMIFS('jiliarena_活动分析数据_底稿'!$K:$K,'jiliarena_活动分析数据_底稿'!$B:$B,$O$2,'jiliarena_活动分析数据_底稿'!$E:$E,B11)</f>
        <v>0</v>
      </c>
      <c r="N11" s="240"/>
      <c r="O11" s="240"/>
      <c r="P11" s="240"/>
      <c r="Q11" s="240"/>
    </row>
    <row r="12">
      <c r="A12" s="251">
        <v>3.0</v>
      </c>
      <c r="B12" s="252" t="s">
        <v>174</v>
      </c>
      <c r="C12" s="268" t="s">
        <v>174</v>
      </c>
      <c r="D12" s="254">
        <f t="shared" ref="D12:F12" si="6">SUM(D13:D15)</f>
        <v>0</v>
      </c>
      <c r="E12" s="254">
        <f t="shared" si="6"/>
        <v>0</v>
      </c>
      <c r="F12" s="255">
        <f t="shared" si="6"/>
        <v>0</v>
      </c>
      <c r="G12" s="256" t="str">
        <f t="shared" ref="G12:G15" si="7">ROUND(F12/$F$35,6)</f>
        <v>#DIV/0!</v>
      </c>
      <c r="H12" s="255">
        <f>SUM(H13:H15)</f>
        <v>0</v>
      </c>
      <c r="I12" s="257" t="str">
        <f t="shared" si="2"/>
        <v/>
      </c>
      <c r="J12" s="257" t="str">
        <f t="shared" si="3"/>
        <v/>
      </c>
      <c r="K12" s="257" t="str">
        <f t="shared" si="4"/>
        <v/>
      </c>
      <c r="L12" s="257" t="str">
        <f t="shared" si="5"/>
        <v/>
      </c>
      <c r="M12" s="258">
        <f>H12-SUMIFS('jiliarena_活动分析数据_底稿'!$K:$K,'jiliarena_活动分析数据_底稿'!$B:$B,$O$2,'jiliarena_活动分析数据_底稿'!$E:$E,B12)</f>
        <v>0</v>
      </c>
      <c r="N12" s="240"/>
      <c r="O12" s="240"/>
      <c r="P12" s="240"/>
      <c r="Q12" s="240"/>
    </row>
    <row r="13">
      <c r="A13" s="269"/>
      <c r="B13" s="260" t="s">
        <v>389</v>
      </c>
      <c r="C13" s="270" t="s">
        <v>390</v>
      </c>
      <c r="D13" s="262">
        <f>sumifs('jiliarena_活动分析数据_底稿'!F:F,'jiliarena_活动分析数据_底稿'!$C:$C,$B13,'jiliarena_活动分析数据_底稿'!$B:$B,$O$2)</f>
        <v>0</v>
      </c>
      <c r="E13" s="262">
        <f>sumifs('jiliarena_活动分析数据_底稿'!G:G,'jiliarena_活动分析数据_底稿'!$C:$C,$B13,'jiliarena_活动分析数据_底稿'!$B:$B,$O$2)</f>
        <v>0</v>
      </c>
      <c r="F13" s="263">
        <f>sumifs('jiliarena_活动分析数据_底稿'!$V:$V,'jiliarena_活动分析数据_底稿'!$T:$T,$O$2,'jiliarena_活动分析数据_底稿'!$U:$U,B13)</f>
        <v>0</v>
      </c>
      <c r="G13" s="264" t="str">
        <f t="shared" si="7"/>
        <v>#DIV/0!</v>
      </c>
      <c r="H13" s="263">
        <f>sumifs('jiliarena_活动分析数据_底稿'!K:K,'jiliarena_活动分析数据_底稿'!$C:$C,$B13,'jiliarena_活动分析数据_底稿'!$B:$B,$O$2)</f>
        <v>0</v>
      </c>
      <c r="I13" s="265" t="str">
        <f t="shared" si="2"/>
        <v/>
      </c>
      <c r="J13" s="265" t="str">
        <f t="shared" si="3"/>
        <v/>
      </c>
      <c r="K13" s="265" t="str">
        <f t="shared" si="4"/>
        <v/>
      </c>
      <c r="L13" s="265" t="str">
        <f t="shared" si="5"/>
        <v/>
      </c>
      <c r="M13" s="240"/>
      <c r="N13" s="240"/>
      <c r="O13" s="240"/>
      <c r="P13" s="240"/>
      <c r="Q13" s="240"/>
    </row>
    <row r="14">
      <c r="A14" s="11"/>
      <c r="B14" s="260" t="s">
        <v>391</v>
      </c>
      <c r="C14" s="270" t="s">
        <v>392</v>
      </c>
      <c r="D14" s="262">
        <f>sumifs('jiliarena_活动分析数据_底稿'!F:F,'jiliarena_活动分析数据_底稿'!$C:$C,$B14,'jiliarena_活动分析数据_底稿'!$B:$B,$O$2)</f>
        <v>0</v>
      </c>
      <c r="E14" s="262">
        <f>sumifs('jiliarena_活动分析数据_底稿'!G:G,'jiliarena_活动分析数据_底稿'!$C:$C,$B14,'jiliarena_活动分析数据_底稿'!$B:$B,$O$2)</f>
        <v>0</v>
      </c>
      <c r="F14" s="263">
        <f>sumifs('jiliarena_活动分析数据_底稿'!$V:$V,'jiliarena_活动分析数据_底稿'!$T:$T,$O$2,'jiliarena_活动分析数据_底稿'!$U:$U,B14)</f>
        <v>0</v>
      </c>
      <c r="G14" s="264" t="str">
        <f t="shared" si="7"/>
        <v>#DIV/0!</v>
      </c>
      <c r="H14" s="263">
        <f>sumifs('jiliarena_活动分析数据_底稿'!K:K,'jiliarena_活动分析数据_底稿'!$C:$C,$B14,'jiliarena_活动分析数据_底稿'!$B:$B,$O$2)</f>
        <v>0</v>
      </c>
      <c r="I14" s="265" t="str">
        <f t="shared" si="2"/>
        <v/>
      </c>
      <c r="J14" s="265" t="str">
        <f t="shared" si="3"/>
        <v/>
      </c>
      <c r="K14" s="265" t="str">
        <f t="shared" si="4"/>
        <v/>
      </c>
      <c r="L14" s="265" t="str">
        <f t="shared" si="5"/>
        <v/>
      </c>
      <c r="M14" s="240"/>
      <c r="N14" s="240"/>
      <c r="O14" s="240"/>
      <c r="P14" s="240"/>
      <c r="Q14" s="240"/>
    </row>
    <row r="15">
      <c r="A15" s="20"/>
      <c r="B15" s="260"/>
      <c r="C15" s="270"/>
      <c r="D15" s="262">
        <f>sumifs('jiliarena_活动分析数据_底稿'!F:F,'jiliarena_活动分析数据_底稿'!$C:$C,$B15,'jiliarena_活动分析数据_底稿'!$B:$B,$O$2)</f>
        <v>0</v>
      </c>
      <c r="E15" s="262">
        <f>sumifs('jiliarena_活动分析数据_底稿'!G:G,'jiliarena_活动分析数据_底稿'!$C:$C,$B15,'jiliarena_活动分析数据_底稿'!$B:$B,$O$2)</f>
        <v>0</v>
      </c>
      <c r="F15" s="263">
        <f>sumifs('jiliarena_活动分析数据_底稿'!$V:$V,'jiliarena_活动分析数据_底稿'!$T:$T,$O$2,'jiliarena_活动分析数据_底稿'!$U:$U,B15)</f>
        <v>0</v>
      </c>
      <c r="G15" s="264" t="str">
        <f t="shared" si="7"/>
        <v>#DIV/0!</v>
      </c>
      <c r="H15" s="263">
        <f>sumifs('jiliarena_活动分析数据_底稿'!K:K,'jiliarena_活动分析数据_底稿'!$C:$C,$B15,'jiliarena_活动分析数据_底稿'!$B:$B,$O$2)</f>
        <v>0</v>
      </c>
      <c r="I15" s="265" t="str">
        <f t="shared" si="2"/>
        <v/>
      </c>
      <c r="J15" s="265" t="str">
        <f t="shared" si="3"/>
        <v/>
      </c>
      <c r="K15" s="265" t="str">
        <f t="shared" si="4"/>
        <v/>
      </c>
      <c r="L15" s="265" t="str">
        <f t="shared" si="5"/>
        <v/>
      </c>
      <c r="M15" s="240"/>
      <c r="N15" s="240"/>
      <c r="O15" s="240"/>
      <c r="P15" s="240"/>
      <c r="Q15" s="240"/>
    </row>
    <row r="16">
      <c r="A16" s="251">
        <v>4.0</v>
      </c>
      <c r="B16" s="252" t="s">
        <v>175</v>
      </c>
      <c r="C16" s="268"/>
      <c r="D16" s="254">
        <f>sumifs('jiliarena_活动分析数据_底稿'!F:F,'jiliarena_活动分析数据_底稿'!$C:$C,$B16,'jiliarena_活动分析数据_底稿'!$B:$B,$O$2)</f>
        <v>0</v>
      </c>
      <c r="E16" s="254">
        <f>sumifs('jiliarena_活动分析数据_底稿'!G:G,'jiliarena_活动分析数据_底稿'!$C:$C,$B16,'jiliarena_活动分析数据_底稿'!$B:$B,$O$2)</f>
        <v>0</v>
      </c>
      <c r="F16" s="255"/>
      <c r="G16" s="256"/>
      <c r="H16" s="255">
        <f>sumifs('jiliarena_活动分析数据_底稿'!K:K,'jiliarena_活动分析数据_底稿'!$C:$C,$B16,'jiliarena_活动分析数据_底稿'!$B:$B,$O$2)</f>
        <v>0</v>
      </c>
      <c r="I16" s="257" t="str">
        <f t="shared" si="2"/>
        <v/>
      </c>
      <c r="J16" s="257" t="str">
        <f t="shared" si="3"/>
        <v/>
      </c>
      <c r="K16" s="257" t="str">
        <f t="shared" si="4"/>
        <v/>
      </c>
      <c r="L16" s="257" t="str">
        <f t="shared" si="5"/>
        <v/>
      </c>
      <c r="M16" s="258">
        <f>H16-SUMIFS('jiliarena_活动分析数据_底稿'!$K:$K,'jiliarena_活动分析数据_底稿'!$B:$B,$O$2,'jiliarena_活动分析数据_底稿'!$E:$E,B16)</f>
        <v>0</v>
      </c>
      <c r="N16" s="240"/>
      <c r="O16" s="240"/>
      <c r="P16" s="240"/>
      <c r="Q16" s="240"/>
    </row>
    <row r="17">
      <c r="A17" s="251">
        <v>5.0</v>
      </c>
      <c r="B17" s="252" t="s">
        <v>176</v>
      </c>
      <c r="C17" s="268"/>
      <c r="D17" s="254">
        <f>sumifs('jiliarena_活动分析数据_底稿'!F:F,'jiliarena_活动分析数据_底稿'!$C:$C,$B17,'jiliarena_活动分析数据_底稿'!$B:$B,$O$2)</f>
        <v>0</v>
      </c>
      <c r="E17" s="254">
        <f>sumifs('jiliarena_活动分析数据_底稿'!G:G,'jiliarena_活动分析数据_底稿'!$C:$C,$B17,'jiliarena_活动分析数据_底稿'!$B:$B,$O$2)</f>
        <v>0</v>
      </c>
      <c r="F17" s="255"/>
      <c r="G17" s="256"/>
      <c r="H17" s="255">
        <f>sumifs('jiliarena_活动分析数据_底稿'!K:K,'jiliarena_活动分析数据_底稿'!$C:$C,$B17,'jiliarena_活动分析数据_底稿'!$B:$B,$O$2)</f>
        <v>0</v>
      </c>
      <c r="I17" s="257" t="str">
        <f t="shared" si="2"/>
        <v/>
      </c>
      <c r="J17" s="257" t="str">
        <f t="shared" si="3"/>
        <v/>
      </c>
      <c r="K17" s="257" t="str">
        <f t="shared" si="4"/>
        <v/>
      </c>
      <c r="L17" s="257" t="str">
        <f t="shared" si="5"/>
        <v/>
      </c>
      <c r="M17" s="258">
        <f>H17-SUMIFS('jiliarena_活动分析数据_底稿'!$K:$K,'jiliarena_活动分析数据_底稿'!$B:$B,$O$2,'jiliarena_活动分析数据_底稿'!$E:$E,B17)</f>
        <v>0</v>
      </c>
      <c r="N17" s="240"/>
      <c r="O17" s="240"/>
      <c r="P17" s="240"/>
      <c r="Q17" s="240"/>
    </row>
    <row r="18">
      <c r="A18" s="251">
        <v>6.0</v>
      </c>
      <c r="B18" s="271" t="s">
        <v>177</v>
      </c>
      <c r="C18" s="268"/>
      <c r="D18" s="254">
        <f t="shared" ref="D18:E18" si="8">SUM(D19)</f>
        <v>0</v>
      </c>
      <c r="E18" s="254">
        <f t="shared" si="8"/>
        <v>0</v>
      </c>
      <c r="F18" s="255"/>
      <c r="G18" s="256"/>
      <c r="H18" s="255">
        <f>SUM(H19)</f>
        <v>0</v>
      </c>
      <c r="I18" s="257" t="str">
        <f t="shared" si="2"/>
        <v/>
      </c>
      <c r="J18" s="257" t="str">
        <f t="shared" si="3"/>
        <v/>
      </c>
      <c r="K18" s="257" t="str">
        <f t="shared" si="4"/>
        <v/>
      </c>
      <c r="L18" s="257" t="str">
        <f t="shared" si="5"/>
        <v/>
      </c>
      <c r="M18" s="258">
        <f>H18-SUMIFS('jiliarena_活动分析数据_底稿'!$K:$K,'jiliarena_活动分析数据_底稿'!$B:$B,$O$2,'jiliarena_活动分析数据_底稿'!$E:$E,B18)</f>
        <v>0</v>
      </c>
      <c r="N18" s="240"/>
      <c r="O18" s="240"/>
      <c r="P18" s="240"/>
      <c r="Q18" s="240"/>
    </row>
    <row r="19">
      <c r="A19" s="272"/>
      <c r="B19" s="260" t="s">
        <v>393</v>
      </c>
      <c r="C19" s="270" t="s">
        <v>394</v>
      </c>
      <c r="D19" s="262">
        <f>sumifs('jiliarena_活动分析数据_底稿'!F:F,'jiliarena_活动分析数据_底稿'!$E:$E,$B19,'jiliarena_活动分析数据_底稿'!$B:$B,$O$2)</f>
        <v>0</v>
      </c>
      <c r="E19" s="262">
        <f>sumifs('jiliarena_活动分析数据_底稿'!G:G,'jiliarena_活动分析数据_底稿'!$E:$E,$B19,'jiliarena_活动分析数据_底稿'!$B:$B,$O$2)</f>
        <v>0</v>
      </c>
      <c r="F19" s="263">
        <f>sumifs('jiliarena_活动分析数据_底稿'!$V:$V,'jiliarena_活动分析数据_底稿'!$T:$T,$O$2,'jiliarena_活动分析数据_底稿'!$U:$U,B19)</f>
        <v>0</v>
      </c>
      <c r="G19" s="264" t="str">
        <f t="shared" ref="G19:G25" si="9">ROUND(F19/$F$35,6)</f>
        <v>#DIV/0!</v>
      </c>
      <c r="H19" s="263">
        <f>sumifs('jiliarena_活动分析数据_底稿'!K:K,'jiliarena_活动分析数据_底稿'!$C:$C,$B19,'jiliarena_活动分析数据_底稿'!$B:$B,$O$2)</f>
        <v>0</v>
      </c>
      <c r="I19" s="265" t="str">
        <f t="shared" si="2"/>
        <v/>
      </c>
      <c r="J19" s="265" t="str">
        <f t="shared" si="3"/>
        <v/>
      </c>
      <c r="K19" s="265" t="str">
        <f t="shared" si="4"/>
        <v/>
      </c>
      <c r="L19" s="265" t="str">
        <f t="shared" si="5"/>
        <v/>
      </c>
      <c r="M19" s="240"/>
      <c r="N19" s="240"/>
      <c r="O19" s="240"/>
      <c r="P19" s="240"/>
      <c r="Q19" s="240"/>
    </row>
    <row r="20">
      <c r="A20" s="251">
        <v>7.0</v>
      </c>
      <c r="B20" s="271" t="s">
        <v>395</v>
      </c>
      <c r="C20" s="273" t="s">
        <v>187</v>
      </c>
      <c r="D20" s="254">
        <f>sumifs('jiliarena_活动分析数据_底稿'!F:F,'jiliarena_活动分析数据_底稿'!$C:$C,$C20,'jiliarena_活动分析数据_底稿'!$B:$B,$O$2)</f>
        <v>0</v>
      </c>
      <c r="E20" s="254">
        <f>sumifs('jiliarena_活动分析数据_底稿'!G:G,'jiliarena_活动分析数据_底稿'!$C:$C,$C20,'jiliarena_活动分析数据_底稿'!$B:$B,$O$2)</f>
        <v>0</v>
      </c>
      <c r="F20" s="255">
        <f>sumifs('jiliarena_活动分析数据_底稿'!$V:$V,'jiliarena_活动分析数据_底稿'!$T:$T,$O$2,'jiliarena_活动分析数据_底稿'!$U:$U,"120% first deposit bonus")+sumifs('jiliarena_活动分析数据_底稿'!$V:$V,'jiliarena_活动分析数据_底稿'!$T:$T,$O$2,'jiliarena_活动分析数据_底稿'!$U:$U,"50% first deposit bonus")</f>
        <v>0</v>
      </c>
      <c r="G20" s="256" t="str">
        <f t="shared" si="9"/>
        <v>#DIV/0!</v>
      </c>
      <c r="H20" s="255">
        <f>sumifs('jiliarena_活动分析数据_底稿'!K:K,'jiliarena_活动分析数据_底稿'!$C:$C,$C20,'jiliarena_活动分析数据_底稿'!$B:$B,$O$2)</f>
        <v>0</v>
      </c>
      <c r="I20" s="257" t="str">
        <f t="shared" si="2"/>
        <v/>
      </c>
      <c r="J20" s="257" t="str">
        <f t="shared" si="3"/>
        <v/>
      </c>
      <c r="K20" s="257" t="str">
        <f t="shared" si="4"/>
        <v/>
      </c>
      <c r="L20" s="257" t="str">
        <f t="shared" si="5"/>
        <v/>
      </c>
      <c r="M20" s="258">
        <f>H20-SUMIFS('jiliarena_活动分析数据_底稿'!$K:$K,'jiliarena_活动分析数据_底稿'!$B:$B,$O$2,'jiliarena_活动分析数据_底稿'!$E:$E,C20)</f>
        <v>0</v>
      </c>
      <c r="N20" s="240"/>
      <c r="O20" s="240"/>
      <c r="P20" s="240"/>
      <c r="Q20" s="240"/>
    </row>
    <row r="21">
      <c r="A21" s="251">
        <v>8.0</v>
      </c>
      <c r="B21" s="271" t="s">
        <v>396</v>
      </c>
      <c r="C21" s="273" t="s">
        <v>185</v>
      </c>
      <c r="D21" s="254">
        <f>sumifs('jiliarena_活动分析数据_底稿'!F:F,'jiliarena_活动分析数据_底稿'!$C:$C,$C21,'jiliarena_活动分析数据_底稿'!$B:$B,$O$2)</f>
        <v>0</v>
      </c>
      <c r="E21" s="254">
        <f>sumifs('jiliarena_活动分析数据_底稿'!G:G,'jiliarena_活动分析数据_底稿'!$C:$C,$C21,'jiliarena_活动分析数据_底稿'!$B:$B,$O$2)</f>
        <v>0</v>
      </c>
      <c r="F21" s="255">
        <f>sumifs('jiliarena_活动分析数据_底稿'!$V:$V,'jiliarena_活动分析数据_底稿'!$T:$T,$O$2,'jiliarena_活动分析数据_底稿'!$U:$U,"50% second deposit bonus")</f>
        <v>0</v>
      </c>
      <c r="G21" s="256" t="str">
        <f t="shared" si="9"/>
        <v>#DIV/0!</v>
      </c>
      <c r="H21" s="255">
        <f>sumifs('jiliarena_活动分析数据_底稿'!K:K,'jiliarena_活动分析数据_底稿'!$C:$C,$C21,'jiliarena_活动分析数据_底稿'!$B:$B,$O$2)</f>
        <v>0</v>
      </c>
      <c r="I21" s="257" t="str">
        <f t="shared" si="2"/>
        <v/>
      </c>
      <c r="J21" s="257" t="str">
        <f t="shared" si="3"/>
        <v/>
      </c>
      <c r="K21" s="257" t="str">
        <f t="shared" si="4"/>
        <v/>
      </c>
      <c r="L21" s="257" t="str">
        <f t="shared" si="5"/>
        <v/>
      </c>
      <c r="M21" s="258">
        <f>H21-SUMIFS('jiliarena_活动分析数据_底稿'!$K:$K,'jiliarena_活动分析数据_底稿'!$B:$B,$O$2,'jiliarena_活动分析数据_底稿'!$E:$E,C21)</f>
        <v>0</v>
      </c>
      <c r="N21" s="240"/>
      <c r="O21" s="240"/>
      <c r="P21" s="240"/>
      <c r="Q21" s="240"/>
    </row>
    <row r="22">
      <c r="A22" s="251">
        <v>9.0</v>
      </c>
      <c r="B22" s="271" t="s">
        <v>397</v>
      </c>
      <c r="C22" s="273" t="s">
        <v>186</v>
      </c>
      <c r="D22" s="254">
        <f>sumifs('jiliarena_活动分析数据_底稿'!F:F,'jiliarena_活动分析数据_底稿'!$C:$C,$C22,'jiliarena_活动分析数据_底稿'!$B:$B,$O$2)</f>
        <v>0</v>
      </c>
      <c r="E22" s="254">
        <f>sumifs('jiliarena_活动分析数据_底稿'!G:G,'jiliarena_活动分析数据_底稿'!$C:$C,$C22,'jiliarena_活动分析数据_底稿'!$B:$B,$O$2)</f>
        <v>0</v>
      </c>
      <c r="F22" s="255">
        <f>sumifs('jiliarena_活动分析数据_底稿'!$V:$V,'jiliarena_活动分析数据_底稿'!$T:$T,$O$2,'jiliarena_活动分析数据_底稿'!$U:$U,B22)</f>
        <v>0</v>
      </c>
      <c r="G22" s="256" t="str">
        <f t="shared" si="9"/>
        <v>#DIV/0!</v>
      </c>
      <c r="H22" s="255">
        <f>sumifs('jiliarena_活动分析数据_底稿'!K:K,'jiliarena_活动分析数据_底稿'!$C:$C,$C22,'jiliarena_活动分析数据_底稿'!$B:$B,$O$2)</f>
        <v>0</v>
      </c>
      <c r="I22" s="257" t="str">
        <f t="shared" si="2"/>
        <v/>
      </c>
      <c r="J22" s="257" t="str">
        <f t="shared" si="3"/>
        <v/>
      </c>
      <c r="K22" s="257" t="str">
        <f t="shared" si="4"/>
        <v/>
      </c>
      <c r="L22" s="257" t="str">
        <f t="shared" si="5"/>
        <v/>
      </c>
      <c r="M22" s="258">
        <f>H22-SUMIFS('jiliarena_活动分析数据_底稿'!$K:$K,'jiliarena_活动分析数据_底稿'!$B:$B,$O$2,'jiliarena_活动分析数据_底稿'!$E:$E,C22)</f>
        <v>0</v>
      </c>
      <c r="N22" s="240"/>
      <c r="O22" s="240"/>
      <c r="P22" s="240"/>
      <c r="Q22" s="240"/>
    </row>
    <row r="23">
      <c r="A23" s="251">
        <v>9.0</v>
      </c>
      <c r="B23" s="271" t="s">
        <v>398</v>
      </c>
      <c r="C23" s="273" t="s">
        <v>190</v>
      </c>
      <c r="D23" s="254">
        <f>sumifs('jiliarena_活动分析数据_底稿'!F:F,'jiliarena_活动分析数据_底稿'!$D:$D,$C23,'jiliarena_活动分析数据_底稿'!$B:$B,$O$2)</f>
        <v>0</v>
      </c>
      <c r="E23" s="254">
        <f>sumifs('jiliarena_活动分析数据_底稿'!G:G,'jiliarena_活动分析数据_底稿'!$D:$D,$C23,'jiliarena_活动分析数据_底稿'!$B:$B,$O$2)</f>
        <v>0</v>
      </c>
      <c r="F23" s="255">
        <f>sumifs('jiliarena_活动分析数据_底稿'!$V:$V,'jiliarena_活动分析数据_底稿'!$T:$T,$O$2,'jiliarena_活动分析数据_底稿'!$U:$U,B23)</f>
        <v>0</v>
      </c>
      <c r="G23" s="256" t="str">
        <f t="shared" si="9"/>
        <v>#DIV/0!</v>
      </c>
      <c r="H23" s="255">
        <f>sumifs('jiliarena_活动分析数据_底稿'!K:K,'jiliarena_活动分析数据_底稿'!$C:$C,"FOURTH_DEPOSIT",'jiliarena_活动分析数据_底稿'!$B:$B,$O$2)</f>
        <v>0</v>
      </c>
      <c r="I23" s="257" t="str">
        <f t="shared" si="2"/>
        <v/>
      </c>
      <c r="J23" s="257" t="str">
        <f t="shared" si="3"/>
        <v/>
      </c>
      <c r="K23" s="257" t="str">
        <f t="shared" si="4"/>
        <v/>
      </c>
      <c r="L23" s="257" t="str">
        <f t="shared" si="5"/>
        <v/>
      </c>
      <c r="M23" s="240"/>
      <c r="N23" s="240"/>
      <c r="O23" s="240"/>
      <c r="P23" s="240"/>
      <c r="Q23" s="240"/>
    </row>
    <row r="24">
      <c r="A24" s="251">
        <v>9.0</v>
      </c>
      <c r="B24" s="271" t="s">
        <v>399</v>
      </c>
      <c r="C24" s="273" t="s">
        <v>191</v>
      </c>
      <c r="D24" s="254">
        <f>sumifs('jiliarena_活动分析数据_底稿'!F:F,'jiliarena_活动分析数据_底稿'!$C:$C,$C24,'jiliarena_活动分析数据_底稿'!$B:$B,$O$2)</f>
        <v>0</v>
      </c>
      <c r="E24" s="254">
        <f>sumifs('jiliarena_活动分析数据_底稿'!G:G,'jiliarena_活动分析数据_底稿'!$C:$C,$C24,'jiliarena_活动分析数据_底稿'!$B:$B,$O$2)</f>
        <v>0</v>
      </c>
      <c r="F24" s="255">
        <f>sumifs('jiliarena_活动分析数据_底稿'!$V:$V,'jiliarena_活动分析数据_底稿'!$T:$T,$O$2,'jiliarena_活动分析数据_底稿'!$U:$U,B24)</f>
        <v>0</v>
      </c>
      <c r="G24" s="256" t="str">
        <f t="shared" si="9"/>
        <v>#DIV/0!</v>
      </c>
      <c r="H24" s="255">
        <f>sumifs('jiliarena_活动分析数据_底稿'!K:K,'jiliarena_活动分析数据_底稿'!$C:$C,C24,'jiliarena_活动分析数据_底稿'!$B:$B,$O$2)</f>
        <v>0</v>
      </c>
      <c r="I24" s="257" t="str">
        <f t="shared" si="2"/>
        <v/>
      </c>
      <c r="J24" s="257" t="str">
        <f t="shared" si="3"/>
        <v/>
      </c>
      <c r="K24" s="257" t="str">
        <f t="shared" si="4"/>
        <v/>
      </c>
      <c r="L24" s="257" t="str">
        <f t="shared" si="5"/>
        <v/>
      </c>
      <c r="M24" s="240"/>
      <c r="N24" s="240"/>
      <c r="O24" s="240"/>
      <c r="P24" s="240"/>
      <c r="Q24" s="240"/>
    </row>
    <row r="25">
      <c r="A25" s="251">
        <v>10.0</v>
      </c>
      <c r="B25" s="252" t="s">
        <v>179</v>
      </c>
      <c r="C25" s="273" t="s">
        <v>179</v>
      </c>
      <c r="D25" s="254">
        <f>sumifs('jiliarena_活动分析数据_底稿'!F:F,'jiliarena_活动分析数据_底稿'!$E:$E,$C25,'jiliarena_活动分析数据_底稿'!$B:$B,$O$2)</f>
        <v>0</v>
      </c>
      <c r="E25" s="254">
        <f>sumifs('jiliarena_活动分析数据_底稿'!G:G,'jiliarena_活动分析数据_底稿'!$E:$E,$C25,'jiliarena_活动分析数据_底稿'!$B:$B,$O$2)</f>
        <v>0</v>
      </c>
      <c r="F25" s="255">
        <f>sumifs('jiliarena_活动分析数据_底稿'!$V:$V,'jiliarena_活动分析数据_底稿'!$T:$T,$O$2,'jiliarena_活动分析数据_底稿'!$U:$U,B25)</f>
        <v>0</v>
      </c>
      <c r="G25" s="256" t="str">
        <f t="shared" si="9"/>
        <v>#DIV/0!</v>
      </c>
      <c r="H25" s="255">
        <f>sumifs('jiliarena_活动分析数据_底稿'!K:K,'jiliarena_活动分析数据_底稿'!$E:$E,$B25,'jiliarena_活动分析数据_底稿'!$B:$B,$O$2)</f>
        <v>0</v>
      </c>
      <c r="I25" s="257" t="str">
        <f t="shared" si="2"/>
        <v/>
      </c>
      <c r="J25" s="257" t="str">
        <f t="shared" ref="J25:L25" si="10">if(I25=0,"",I25/$H$34)</f>
        <v>#DIV/0!</v>
      </c>
      <c r="K25" s="257" t="str">
        <f t="shared" si="10"/>
        <v>#DIV/0!</v>
      </c>
      <c r="L25" s="257" t="str">
        <f t="shared" si="10"/>
        <v>#DIV/0!</v>
      </c>
      <c r="M25" s="258">
        <f>H25-SUMIFS('jiliarena_活动分析数据_底稿'!$K:$K,'jiliarena_活动分析数据_底稿'!$B:$B,$O$2,'jiliarena_活动分析数据_底稿'!$E:$E,B25)</f>
        <v>0</v>
      </c>
      <c r="N25" s="240"/>
      <c r="O25" s="240"/>
      <c r="P25" s="240"/>
      <c r="Q25" s="240"/>
    </row>
    <row r="26">
      <c r="A26" s="251">
        <v>11.0</v>
      </c>
      <c r="B26" s="252" t="s">
        <v>180</v>
      </c>
      <c r="C26" s="268" t="s">
        <v>180</v>
      </c>
      <c r="D26" s="254">
        <f>sumifs('jiliarena_活动分析数据_底稿'!F:F,'jiliarena_活动分析数据_底稿'!$E:$E,$B26,'jiliarena_活动分析数据_底稿'!$B:$B,$O$2)</f>
        <v>0</v>
      </c>
      <c r="E26" s="254">
        <f>sumifs('jiliarena_活动分析数据_底稿'!G:G,'jiliarena_活动分析数据_底稿'!$E:$E,$B26,'jiliarena_活动分析数据_底稿'!$B:$B,$O$2)</f>
        <v>0</v>
      </c>
      <c r="F26" s="255"/>
      <c r="G26" s="256"/>
      <c r="H26" s="255">
        <f>sumifs('jiliarena_活动分析数据_底稿'!K:K,'jiliarena_活动分析数据_底稿'!$E:$E,$B26,'jiliarena_活动分析数据_底稿'!$B:$B,$O$2)</f>
        <v>0</v>
      </c>
      <c r="I26" s="257" t="str">
        <f t="shared" si="2"/>
        <v/>
      </c>
      <c r="J26" s="257" t="str">
        <f t="shared" ref="J26:J34" si="11">if(H26=0,"",IFERROR(H26/$J$35,""))</f>
        <v/>
      </c>
      <c r="K26" s="257" t="str">
        <f t="shared" ref="K26:K34" si="12">if(H26=0,"",IFERROR(H26/$F$35,""))</f>
        <v/>
      </c>
      <c r="L26" s="257" t="str">
        <f t="shared" ref="L26:L34" si="13">if(H26=0,"",IFERROR(H26/$L$35,""))</f>
        <v/>
      </c>
      <c r="M26" s="258">
        <f>H26-SUMIFS('jiliarena_活动分析数据_底稿'!$K:$K,'jiliarena_活动分析数据_底稿'!$B:$B,$O$2,'jiliarena_活动分析数据_底稿'!$E:$E,B26)</f>
        <v>0</v>
      </c>
      <c r="N26" s="240"/>
      <c r="O26" s="240"/>
      <c r="P26" s="240"/>
      <c r="Q26" s="240"/>
    </row>
    <row r="27">
      <c r="A27" s="251">
        <v>12.0</v>
      </c>
      <c r="B27" s="252" t="s">
        <v>133</v>
      </c>
      <c r="C27" s="268" t="s">
        <v>400</v>
      </c>
      <c r="D27" s="254">
        <f>sumifs('jiliarena_活动分析数据_底稿'!F:F,'jiliarena_活动分析数据_底稿'!$C:$C,$B27,'jiliarena_活动分析数据_底稿'!$B:$B,$O$2)</f>
        <v>0</v>
      </c>
      <c r="E27" s="254">
        <f>sumifs('jiliarena_活动分析数据_底稿'!G:G,'jiliarena_活动分析数据_底稿'!$C:$C,$B27,'jiliarena_活动分析数据_底稿'!$B:$B,$O$2)</f>
        <v>0</v>
      </c>
      <c r="F27" s="255"/>
      <c r="G27" s="256"/>
      <c r="H27" s="255">
        <f>sumifs('jiliarena_活动分析数据_底稿'!K:K,'jiliarena_活动分析数据_底稿'!$C:$C,$B27,'jiliarena_活动分析数据_底稿'!$B:$B,$O$2)</f>
        <v>0</v>
      </c>
      <c r="I27" s="257" t="str">
        <f t="shared" si="2"/>
        <v/>
      </c>
      <c r="J27" s="257" t="str">
        <f t="shared" si="11"/>
        <v/>
      </c>
      <c r="K27" s="257" t="str">
        <f t="shared" si="12"/>
        <v/>
      </c>
      <c r="L27" s="257" t="str">
        <f t="shared" si="13"/>
        <v/>
      </c>
      <c r="M27" s="258">
        <f>H27-SUMIFS('jiliarena_活动分析数据_底稿'!$K:$K,'jiliarena_活动分析数据_底稿'!$B:$B,$O$2,'jiliarena_活动分析数据_底稿'!$E:$E,B27)</f>
        <v>0</v>
      </c>
      <c r="N27" s="240"/>
      <c r="O27" s="240"/>
      <c r="P27" s="240"/>
      <c r="Q27" s="240"/>
    </row>
    <row r="28">
      <c r="A28" s="251">
        <v>13.0</v>
      </c>
      <c r="B28" s="252" t="s">
        <v>181</v>
      </c>
      <c r="C28" s="268" t="s">
        <v>401</v>
      </c>
      <c r="D28" s="254">
        <f>sumifs('jiliarena_活动分析数据_底稿'!F:F,'jiliarena_活动分析数据_底稿'!$E:$E,$B28,'jiliarena_活动分析数据_底稿'!$B:$B,$O$2)</f>
        <v>0</v>
      </c>
      <c r="E28" s="254">
        <f>sumifs('jiliarena_活动分析数据_底稿'!G:G,'jiliarena_活动分析数据_底稿'!$E:$E,$B28,'jiliarena_活动分析数据_底稿'!$B:$B,$O$2)</f>
        <v>0</v>
      </c>
      <c r="F28" s="255"/>
      <c r="G28" s="256"/>
      <c r="H28" s="255">
        <f>sumifs('jiliarena_活动分析数据_底稿'!K:K,'jiliarena_活动分析数据_底稿'!$E:$E,$B28,'jiliarena_活动分析数据_底稿'!$B:$B,$O$2)</f>
        <v>0</v>
      </c>
      <c r="I28" s="257" t="str">
        <f t="shared" si="2"/>
        <v/>
      </c>
      <c r="J28" s="257" t="str">
        <f t="shared" si="11"/>
        <v/>
      </c>
      <c r="K28" s="257" t="str">
        <f t="shared" si="12"/>
        <v/>
      </c>
      <c r="L28" s="257" t="str">
        <f t="shared" si="13"/>
        <v/>
      </c>
      <c r="M28" s="258">
        <f>H28-SUMIFS('jiliarena_活动分析数据_底稿'!$K:$K,'jiliarena_活动分析数据_底稿'!$B:$B,$O$2,'jiliarena_活动分析数据_底稿'!$E:$E,B28)</f>
        <v>0</v>
      </c>
      <c r="N28" s="240"/>
      <c r="O28" s="240"/>
      <c r="P28" s="240"/>
      <c r="Q28" s="240"/>
    </row>
    <row r="29">
      <c r="A29" s="251">
        <v>14.0</v>
      </c>
      <c r="B29" s="252" t="s">
        <v>402</v>
      </c>
      <c r="C29" s="268" t="s">
        <v>182</v>
      </c>
      <c r="D29" s="254">
        <f>sumifs('jiliarena_活动分析数据_底稿'!F:F,'jiliarena_活动分析数据_底稿'!$E:$E,$C29,'jiliarena_活动分析数据_底稿'!$B:$B,$O$2)</f>
        <v>0</v>
      </c>
      <c r="E29" s="254">
        <f>sumifs('jiliarena_活动分析数据_底稿'!G:G,'jiliarena_活动分析数据_底稿'!$E:$E,$C29,'jiliarena_活动分析数据_底稿'!$B:$B,$O$2)</f>
        <v>0</v>
      </c>
      <c r="F29" s="255"/>
      <c r="G29" s="256"/>
      <c r="H29" s="255">
        <f>sumifs('jiliarena_活动分析数据_底稿'!K:K,'jiliarena_活动分析数据_底稿'!$E:$E,$C29,'jiliarena_活动分析数据_底稿'!$B:$B,$O$2)</f>
        <v>0</v>
      </c>
      <c r="I29" s="257" t="str">
        <f t="shared" si="2"/>
        <v/>
      </c>
      <c r="J29" s="257" t="str">
        <f t="shared" si="11"/>
        <v/>
      </c>
      <c r="K29" s="257" t="str">
        <f t="shared" si="12"/>
        <v/>
      </c>
      <c r="L29" s="257" t="str">
        <f t="shared" si="13"/>
        <v/>
      </c>
      <c r="M29" s="258">
        <f>H29-SUMIFS('jiliarena_活动分析数据_底稿'!$K:$K,'jiliarena_活动分析数据_底稿'!$B:$B,$O$2,'jiliarena_活动分析数据_底稿'!$E:$E,C29)</f>
        <v>0</v>
      </c>
      <c r="N29" s="240"/>
      <c r="O29" s="240"/>
      <c r="P29" s="240"/>
      <c r="Q29" s="240"/>
    </row>
    <row r="30">
      <c r="A30" s="274">
        <v>15.0</v>
      </c>
      <c r="B30" s="275" t="s">
        <v>184</v>
      </c>
      <c r="C30" s="268" t="s">
        <v>184</v>
      </c>
      <c r="D30" s="254">
        <f>sumifs('jiliarena_活动分析数据_底稿'!F:F,'jiliarena_活动分析数据_底稿'!$E:$E,$C30,'jiliarena_活动分析数据_底稿'!$B:$B,$O$2)</f>
        <v>0</v>
      </c>
      <c r="E30" s="254">
        <f>sumifs('jiliarena_活动分析数据_底稿'!G:G,'jiliarena_活动分析数据_底稿'!$E:$E,$C30,'jiliarena_活动分析数据_底稿'!$B:$B,$O$2)</f>
        <v>0</v>
      </c>
      <c r="F30" s="255"/>
      <c r="G30" s="256"/>
      <c r="H30" s="255">
        <f>sumifs('jiliarena_活动分析数据_底稿'!K:K,'jiliarena_活动分析数据_底稿'!$E:$E,$C30,'jiliarena_活动分析数据_底稿'!$B:$B,$O$2)</f>
        <v>0</v>
      </c>
      <c r="I30" s="257" t="str">
        <f t="shared" si="2"/>
        <v/>
      </c>
      <c r="J30" s="257" t="str">
        <f t="shared" si="11"/>
        <v/>
      </c>
      <c r="K30" s="257" t="str">
        <f t="shared" si="12"/>
        <v/>
      </c>
      <c r="L30" s="257" t="str">
        <f t="shared" si="13"/>
        <v/>
      </c>
      <c r="M30" s="258"/>
      <c r="N30" s="240"/>
      <c r="O30" s="240"/>
      <c r="P30" s="240"/>
      <c r="Q30" s="240"/>
    </row>
    <row r="31">
      <c r="A31" s="274">
        <v>16.0</v>
      </c>
      <c r="B31" s="271" t="s">
        <v>189</v>
      </c>
      <c r="C31" s="273" t="s">
        <v>189</v>
      </c>
      <c r="D31" s="254">
        <f>sumifs('jiliarena_活动分析数据_底稿'!F:F,'jiliarena_活动分析数据_底稿'!$E:$E,$C31,'jiliarena_活动分析数据_底稿'!$B:$B,$O$2)</f>
        <v>0</v>
      </c>
      <c r="E31" s="254">
        <f>sumifs('jiliarena_活动分析数据_底稿'!G:G,'jiliarena_活动分析数据_底稿'!$E:$E,$C31,'jiliarena_活动分析数据_底稿'!$B:$B,$O$2)</f>
        <v>0</v>
      </c>
      <c r="F31" s="255"/>
      <c r="G31" s="256"/>
      <c r="H31" s="255">
        <f>sumifs('jiliarena_活动分析数据_底稿'!K:K,'jiliarena_活动分析数据_底稿'!$E:$E,$C31,'jiliarena_活动分析数据_底稿'!$B:$B,$O$2)</f>
        <v>0</v>
      </c>
      <c r="I31" s="257" t="str">
        <f t="shared" si="2"/>
        <v/>
      </c>
      <c r="J31" s="257" t="str">
        <f t="shared" si="11"/>
        <v/>
      </c>
      <c r="K31" s="257" t="str">
        <f t="shared" si="12"/>
        <v/>
      </c>
      <c r="L31" s="257" t="str">
        <f t="shared" si="13"/>
        <v/>
      </c>
      <c r="M31" s="258"/>
      <c r="N31" s="240"/>
      <c r="O31" s="240"/>
      <c r="P31" s="240"/>
      <c r="Q31" s="240"/>
    </row>
    <row r="32">
      <c r="A32" s="274">
        <v>17.0</v>
      </c>
      <c r="B32" s="252" t="s">
        <v>183</v>
      </c>
      <c r="C32" s="268" t="s">
        <v>183</v>
      </c>
      <c r="D32" s="254">
        <f>sumifs('jiliarena_活动分析数据_底稿'!F:F,'jiliarena_活动分析数据_底稿'!$E:$E,$C32,'jiliarena_活动分析数据_底稿'!$B:$B,$O$2)</f>
        <v>0</v>
      </c>
      <c r="E32" s="254">
        <f>sumifs('jiliarena_活动分析数据_底稿'!G:G,'jiliarena_活动分析数据_底稿'!$E:$E,$C32,'jiliarena_活动分析数据_底稿'!$B:$B,$O$2)</f>
        <v>0</v>
      </c>
      <c r="F32" s="255"/>
      <c r="G32" s="256"/>
      <c r="H32" s="255">
        <f>sumifs('jiliarena_活动分析数据_底稿'!K:K,'jiliarena_活动分析数据_底稿'!$E:$E,$C32,'jiliarena_活动分析数据_底稿'!$B:$B,$O$2)</f>
        <v>0</v>
      </c>
      <c r="I32" s="257" t="str">
        <f t="shared" si="2"/>
        <v/>
      </c>
      <c r="J32" s="257" t="str">
        <f t="shared" si="11"/>
        <v/>
      </c>
      <c r="K32" s="257" t="str">
        <f t="shared" si="12"/>
        <v/>
      </c>
      <c r="L32" s="257" t="str">
        <f t="shared" si="13"/>
        <v/>
      </c>
      <c r="M32" s="258"/>
      <c r="N32" s="240"/>
      <c r="O32" s="240"/>
      <c r="P32" s="240"/>
      <c r="Q32" s="240"/>
    </row>
    <row r="33">
      <c r="A33" s="274">
        <v>19.0</v>
      </c>
      <c r="B33" s="271" t="s">
        <v>188</v>
      </c>
      <c r="C33" s="273" t="s">
        <v>188</v>
      </c>
      <c r="D33" s="254">
        <f>sumifs('jiliarena_活动分析数据_底稿'!F:F,'jiliarena_活动分析数据_底稿'!$E:$E,$C33,'jiliarena_活动分析数据_底稿'!$B:$B,$O$2)</f>
        <v>0</v>
      </c>
      <c r="E33" s="254">
        <f>sumifs('jiliarena_活动分析数据_底稿'!G:G,'jiliarena_活动分析数据_底稿'!$E:$E,$C33,'jiliarena_活动分析数据_底稿'!$B:$B,$O$2)</f>
        <v>0</v>
      </c>
      <c r="F33" s="255"/>
      <c r="G33" s="256"/>
      <c r="H33" s="255">
        <f>sumifs('jiliarena_活动分析数据_底稿'!K:K,'jiliarena_活动分析数据_底稿'!$E:$E,$B33,'jiliarena_活动分析数据_底稿'!$B:$B,$O$2)</f>
        <v>0</v>
      </c>
      <c r="I33" s="257" t="str">
        <f t="shared" si="2"/>
        <v/>
      </c>
      <c r="J33" s="257" t="str">
        <f t="shared" si="11"/>
        <v/>
      </c>
      <c r="K33" s="257" t="str">
        <f t="shared" si="12"/>
        <v/>
      </c>
      <c r="L33" s="257" t="str">
        <f t="shared" si="13"/>
        <v/>
      </c>
      <c r="M33" s="258"/>
      <c r="N33" s="240"/>
      <c r="O33" s="240"/>
      <c r="P33" s="240"/>
      <c r="Q33" s="240"/>
    </row>
    <row r="34">
      <c r="A34" s="276" t="s">
        <v>403</v>
      </c>
      <c r="B34" s="277"/>
      <c r="C34" s="277"/>
      <c r="D34" s="278">
        <f t="shared" ref="D34:G34" si="14">SUM(D4,D11:D12,D16:D18,D20:D25,D26:D33)</f>
        <v>0</v>
      </c>
      <c r="E34" s="278">
        <f t="shared" si="14"/>
        <v>0</v>
      </c>
      <c r="F34" s="279">
        <f t="shared" si="14"/>
        <v>0</v>
      </c>
      <c r="G34" s="280" t="str">
        <f t="shared" si="14"/>
        <v>#DIV/0!</v>
      </c>
      <c r="H34" s="281">
        <f>SUM(H4,H11,H12,H16:H18,H20:H33)</f>
        <v>0</v>
      </c>
      <c r="I34" s="280" t="str">
        <f t="shared" si="2"/>
        <v/>
      </c>
      <c r="J34" s="280" t="str">
        <f t="shared" si="11"/>
        <v/>
      </c>
      <c r="K34" s="280" t="str">
        <f t="shared" si="12"/>
        <v/>
      </c>
      <c r="L34" s="280" t="str">
        <f t="shared" si="13"/>
        <v/>
      </c>
    </row>
    <row r="35" ht="15.0" customHeight="1">
      <c r="F35" s="282">
        <f>SUMIFS(jiliarena!$L:$L,jiliarena!$A:$A,$O$2)</f>
        <v>0</v>
      </c>
      <c r="H35" s="282" t="str">
        <f t="array" ref="H35">INDEX(jiliarena!3:48,MATCH($O$2,jiliarena!A3:A48,0),MATCH("总优惠",jiliarena!$3:$3,0))</f>
        <v>#N/A</v>
      </c>
      <c r="J35" s="283" t="str">
        <f t="array" ref="J35">index(jiliarena!$A$3:$CI$48,match($O$2,jiliarena!$A$3:$A$48,0),match("有效投注",jiliarena!3:3,0))</f>
        <v>#N/A</v>
      </c>
      <c r="L35" s="283" t="str">
        <f t="array" ref="L35">index(jiliarena!$A$3:$CI$48,match($O$2,jiliarena!$A$3:$A$48,0),match("公司输赢",jiliarena!3:3,0))</f>
        <v>#N/A</v>
      </c>
      <c r="N35" s="239"/>
    </row>
    <row r="36" ht="15.0" customHeight="1">
      <c r="H36" s="283" t="str">
        <f>H34-H35</f>
        <v>#N/A</v>
      </c>
    </row>
  </sheetData>
  <mergeCells count="4">
    <mergeCell ref="A2:L2"/>
    <mergeCell ref="A5:A10"/>
    <mergeCell ref="C5:C10"/>
    <mergeCell ref="A13:A15"/>
  </mergeCells>
  <dataValidations>
    <dataValidation type="list" allowBlank="1" sqref="O2">
      <formula1>'jiliarena_活动分析数据_底稿'!$B$3:$B$1868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63"/>
    <col customWidth="1" min="2" max="2" width="33.0"/>
    <col customWidth="1" min="7" max="7" width="21.25"/>
    <col customWidth="1" min="8" max="8" width="8.75"/>
    <col customWidth="1" min="9" max="9" width="33.0"/>
    <col customWidth="1" min="10" max="10" width="43.25"/>
  </cols>
  <sheetData>
    <row r="1">
      <c r="G1" s="284"/>
      <c r="H1" s="284"/>
      <c r="I1" s="285" t="s">
        <v>405</v>
      </c>
      <c r="J1" s="286" t="s">
        <v>372</v>
      </c>
      <c r="K1" s="285" t="s">
        <v>406</v>
      </c>
      <c r="L1" s="286" t="s">
        <v>373</v>
      </c>
      <c r="M1" s="286" t="s">
        <v>374</v>
      </c>
      <c r="N1" s="287" t="s">
        <v>407</v>
      </c>
      <c r="O1" s="288" t="s">
        <v>377</v>
      </c>
      <c r="P1" s="288" t="s">
        <v>408</v>
      </c>
      <c r="Q1" s="288" t="s">
        <v>409</v>
      </c>
      <c r="R1" s="288" t="s">
        <v>403</v>
      </c>
      <c r="S1" s="288" t="s">
        <v>410</v>
      </c>
      <c r="T1" s="289"/>
    </row>
    <row r="2">
      <c r="I2" s="290" t="s">
        <v>172</v>
      </c>
      <c r="J2" s="290" t="s">
        <v>172</v>
      </c>
      <c r="K2" s="291">
        <f>sum(K3:K8)</f>
        <v>0</v>
      </c>
      <c r="L2" s="291">
        <f>SUMIFS($C:$C,$A:$A,$I2)</f>
        <v>0</v>
      </c>
      <c r="M2" s="291">
        <f>SUM(M3:M8)</f>
        <v>0</v>
      </c>
      <c r="N2" s="292" t="str">
        <f t="shared" ref="N2:N31" si="1">M2/$M$76</f>
        <v>#DIV/0!</v>
      </c>
      <c r="O2" s="293">
        <f>SUMIFS($E:$E,$A:$A,$I2)</f>
        <v>0</v>
      </c>
      <c r="P2" s="293">
        <f>SUMIFS($G:$G,$A:$A,$I2)</f>
        <v>0</v>
      </c>
      <c r="Q2" s="294">
        <f>SUMIFS($F:$F,$A:$A,$I2)</f>
        <v>0</v>
      </c>
      <c r="R2" s="294">
        <f t="shared" ref="R2:R32" si="2">O2+P2</f>
        <v>0</v>
      </c>
      <c r="S2" s="292" t="str">
        <f t="shared" ref="S2:S31" si="3">R2/$R$76</f>
        <v>#DIV/0!</v>
      </c>
      <c r="T2" s="282"/>
    </row>
    <row r="3">
      <c r="I3" s="295" t="s">
        <v>413</v>
      </c>
      <c r="J3" s="236" t="s">
        <v>383</v>
      </c>
      <c r="K3" s="296">
        <f t="shared" ref="K3:K8" si="4">sumifs($J$79:$J$88,$I$79:$I$88,J3)</f>
        <v>0</v>
      </c>
      <c r="L3" s="296">
        <f t="shared" ref="L3:L8" si="5">SUMIFS($C:$C,$B:$B,$J3)</f>
        <v>0</v>
      </c>
      <c r="M3" s="296">
        <f t="shared" ref="M3:M8" si="6">SUMIFS($D:$D,$B:$B,J3)</f>
        <v>0</v>
      </c>
      <c r="N3" s="297" t="str">
        <f t="shared" si="1"/>
        <v>#DIV/0!</v>
      </c>
      <c r="O3" s="298">
        <f t="shared" ref="O3:O8" si="7">SUMIFS($E:$E,$B:$B,J3)</f>
        <v>0</v>
      </c>
      <c r="P3" s="298">
        <f t="shared" ref="P3:P8" si="8">SUMIFS($G:$G,$B:$B,J3)</f>
        <v>0</v>
      </c>
      <c r="Q3" s="299">
        <f t="shared" ref="Q3:Q8" si="9">SUMIFS($F:$F,$B:$B,J3)</f>
        <v>0</v>
      </c>
      <c r="R3" s="299">
        <f t="shared" si="2"/>
        <v>0</v>
      </c>
      <c r="S3" s="297" t="str">
        <f t="shared" si="3"/>
        <v>#DIV/0!</v>
      </c>
      <c r="T3" s="300"/>
    </row>
    <row r="4">
      <c r="I4" s="295" t="s">
        <v>413</v>
      </c>
      <c r="J4" s="236" t="s">
        <v>384</v>
      </c>
      <c r="K4" s="296">
        <f t="shared" si="4"/>
        <v>0</v>
      </c>
      <c r="L4" s="296">
        <f t="shared" si="5"/>
        <v>0</v>
      </c>
      <c r="M4" s="296">
        <f t="shared" si="6"/>
        <v>0</v>
      </c>
      <c r="N4" s="297" t="str">
        <f t="shared" si="1"/>
        <v>#DIV/0!</v>
      </c>
      <c r="O4" s="298">
        <f t="shared" si="7"/>
        <v>0</v>
      </c>
      <c r="P4" s="298">
        <f t="shared" si="8"/>
        <v>0</v>
      </c>
      <c r="Q4" s="299">
        <f t="shared" si="9"/>
        <v>0</v>
      </c>
      <c r="R4" s="299">
        <f t="shared" si="2"/>
        <v>0</v>
      </c>
      <c r="S4" s="297" t="str">
        <f t="shared" si="3"/>
        <v>#DIV/0!</v>
      </c>
      <c r="T4" s="300"/>
    </row>
    <row r="5">
      <c r="I5" s="295" t="s">
        <v>413</v>
      </c>
      <c r="J5" s="236" t="s">
        <v>385</v>
      </c>
      <c r="K5" s="296">
        <f t="shared" si="4"/>
        <v>0</v>
      </c>
      <c r="L5" s="296">
        <f t="shared" si="5"/>
        <v>0</v>
      </c>
      <c r="M5" s="296">
        <f t="shared" si="6"/>
        <v>0</v>
      </c>
      <c r="N5" s="297" t="str">
        <f t="shared" si="1"/>
        <v>#DIV/0!</v>
      </c>
      <c r="O5" s="298">
        <f t="shared" si="7"/>
        <v>0</v>
      </c>
      <c r="P5" s="298">
        <f t="shared" si="8"/>
        <v>0</v>
      </c>
      <c r="Q5" s="299">
        <f t="shared" si="9"/>
        <v>0</v>
      </c>
      <c r="R5" s="299">
        <f t="shared" si="2"/>
        <v>0</v>
      </c>
      <c r="S5" s="297" t="str">
        <f t="shared" si="3"/>
        <v>#DIV/0!</v>
      </c>
      <c r="T5" s="300"/>
    </row>
    <row r="6">
      <c r="I6" s="295" t="s">
        <v>413</v>
      </c>
      <c r="J6" s="236" t="s">
        <v>386</v>
      </c>
      <c r="K6" s="296">
        <f t="shared" si="4"/>
        <v>0</v>
      </c>
      <c r="L6" s="296">
        <f t="shared" si="5"/>
        <v>0</v>
      </c>
      <c r="M6" s="296">
        <f t="shared" si="6"/>
        <v>0</v>
      </c>
      <c r="N6" s="297" t="str">
        <f t="shared" si="1"/>
        <v>#DIV/0!</v>
      </c>
      <c r="O6" s="298">
        <f t="shared" si="7"/>
        <v>0</v>
      </c>
      <c r="P6" s="298">
        <f t="shared" si="8"/>
        <v>0</v>
      </c>
      <c r="Q6" s="299">
        <f t="shared" si="9"/>
        <v>0</v>
      </c>
      <c r="R6" s="299">
        <f t="shared" si="2"/>
        <v>0</v>
      </c>
      <c r="S6" s="297" t="str">
        <f t="shared" si="3"/>
        <v>#DIV/0!</v>
      </c>
      <c r="T6" s="300"/>
    </row>
    <row r="7">
      <c r="I7" s="295" t="s">
        <v>413</v>
      </c>
      <c r="J7" s="236" t="s">
        <v>387</v>
      </c>
      <c r="K7" s="296">
        <f t="shared" si="4"/>
        <v>0</v>
      </c>
      <c r="L7" s="296">
        <f t="shared" si="5"/>
        <v>0</v>
      </c>
      <c r="M7" s="296">
        <f t="shared" si="6"/>
        <v>0</v>
      </c>
      <c r="N7" s="297" t="str">
        <f t="shared" si="1"/>
        <v>#DIV/0!</v>
      </c>
      <c r="O7" s="298">
        <f t="shared" si="7"/>
        <v>0</v>
      </c>
      <c r="P7" s="298">
        <f t="shared" si="8"/>
        <v>0</v>
      </c>
      <c r="Q7" s="299">
        <f t="shared" si="9"/>
        <v>0</v>
      </c>
      <c r="R7" s="299">
        <f t="shared" si="2"/>
        <v>0</v>
      </c>
      <c r="S7" s="297" t="str">
        <f t="shared" si="3"/>
        <v>#DIV/0!</v>
      </c>
      <c r="T7" s="300"/>
    </row>
    <row r="8">
      <c r="I8" s="295"/>
      <c r="J8" s="295" t="s">
        <v>388</v>
      </c>
      <c r="K8" s="296">
        <f t="shared" si="4"/>
        <v>0</v>
      </c>
      <c r="L8" s="296">
        <f t="shared" si="5"/>
        <v>0</v>
      </c>
      <c r="M8" s="296">
        <f t="shared" si="6"/>
        <v>0</v>
      </c>
      <c r="N8" s="297" t="str">
        <f t="shared" si="1"/>
        <v>#DIV/0!</v>
      </c>
      <c r="O8" s="298">
        <f t="shared" si="7"/>
        <v>0</v>
      </c>
      <c r="P8" s="298">
        <f t="shared" si="8"/>
        <v>0</v>
      </c>
      <c r="Q8" s="299">
        <f t="shared" si="9"/>
        <v>0</v>
      </c>
      <c r="R8" s="299">
        <f t="shared" si="2"/>
        <v>0</v>
      </c>
      <c r="S8" s="297" t="str">
        <f t="shared" si="3"/>
        <v>#DIV/0!</v>
      </c>
    </row>
    <row r="9">
      <c r="I9" s="290" t="s">
        <v>174</v>
      </c>
      <c r="J9" s="290" t="s">
        <v>174</v>
      </c>
      <c r="K9" s="291">
        <f>sum(K10:K32)</f>
        <v>0</v>
      </c>
      <c r="L9" s="291">
        <f>SUMIFS($C:$C,$A:$A,$I9)</f>
        <v>0</v>
      </c>
      <c r="M9" s="291">
        <f>SUM(M10:M24)</f>
        <v>0</v>
      </c>
      <c r="N9" s="292" t="str">
        <f t="shared" si="1"/>
        <v>#DIV/0!</v>
      </c>
      <c r="O9" s="293">
        <f>SUMIFS($E:$E,$A:$A,$I9)</f>
        <v>0</v>
      </c>
      <c r="P9" s="293">
        <f>SUMIFS($G:$G,$A:$A,$I9)</f>
        <v>0</v>
      </c>
      <c r="Q9" s="294">
        <f>SUMIFS($F:$F,$A:$A,$I9)</f>
        <v>0</v>
      </c>
      <c r="R9" s="294">
        <f t="shared" si="2"/>
        <v>0</v>
      </c>
      <c r="S9" s="292" t="str">
        <f t="shared" si="3"/>
        <v>#DIV/0!</v>
      </c>
      <c r="T9" s="300"/>
    </row>
    <row r="10">
      <c r="I10" s="295" t="s">
        <v>413</v>
      </c>
      <c r="J10" s="236" t="s">
        <v>389</v>
      </c>
      <c r="K10" s="296">
        <f t="shared" ref="K10:K31" si="10">sumifs($J$79:$J$99,$I$79:$I$99,J10)</f>
        <v>0</v>
      </c>
      <c r="L10" s="296">
        <f t="shared" ref="L10:L31" si="11">SUMIFS($C:$C,$B:$B,$J10)</f>
        <v>0</v>
      </c>
      <c r="M10" s="296">
        <f t="shared" ref="M10:M31" si="12">SUMIFS($D:$D,$B:$B,J10)</f>
        <v>0</v>
      </c>
      <c r="N10" s="297" t="str">
        <f t="shared" si="1"/>
        <v>#DIV/0!</v>
      </c>
      <c r="O10" s="298">
        <f t="shared" ref="O10:O31" si="13">SUMIFS($E:$E,$B:$B,J10)</f>
        <v>0</v>
      </c>
      <c r="P10" s="298">
        <f t="shared" ref="P10:P31" si="14">SUMIFS($G:$G,$B:$B,J10)</f>
        <v>0</v>
      </c>
      <c r="Q10" s="299">
        <f t="shared" ref="Q10:Q31" si="15">SUMIFS($F:$F,$B:$B,J10)</f>
        <v>0</v>
      </c>
      <c r="R10" s="299">
        <f t="shared" si="2"/>
        <v>0</v>
      </c>
      <c r="S10" s="297" t="str">
        <f t="shared" si="3"/>
        <v>#DIV/0!</v>
      </c>
      <c r="T10" s="300"/>
    </row>
    <row r="11">
      <c r="I11" s="295" t="s">
        <v>413</v>
      </c>
      <c r="J11" s="236" t="s">
        <v>391</v>
      </c>
      <c r="K11" s="296">
        <f t="shared" si="10"/>
        <v>0</v>
      </c>
      <c r="L11" s="296">
        <f t="shared" si="11"/>
        <v>0</v>
      </c>
      <c r="M11" s="296">
        <f t="shared" si="12"/>
        <v>0</v>
      </c>
      <c r="N11" s="297" t="str">
        <f t="shared" si="1"/>
        <v>#DIV/0!</v>
      </c>
      <c r="O11" s="298">
        <f t="shared" si="13"/>
        <v>0</v>
      </c>
      <c r="P11" s="298">
        <f t="shared" si="14"/>
        <v>0</v>
      </c>
      <c r="Q11" s="299">
        <f t="shared" si="15"/>
        <v>0</v>
      </c>
      <c r="R11" s="299">
        <f t="shared" si="2"/>
        <v>0</v>
      </c>
      <c r="S11" s="297" t="str">
        <f t="shared" si="3"/>
        <v>#DIV/0!</v>
      </c>
      <c r="T11" s="300"/>
    </row>
    <row r="12">
      <c r="I12" s="295" t="s">
        <v>413</v>
      </c>
      <c r="J12" s="236"/>
      <c r="K12" s="296">
        <f t="shared" si="10"/>
        <v>0</v>
      </c>
      <c r="L12" s="296">
        <f t="shared" si="11"/>
        <v>0</v>
      </c>
      <c r="M12" s="296">
        <f t="shared" si="12"/>
        <v>0</v>
      </c>
      <c r="N12" s="297" t="str">
        <f t="shared" si="1"/>
        <v>#DIV/0!</v>
      </c>
      <c r="O12" s="298">
        <f t="shared" si="13"/>
        <v>0</v>
      </c>
      <c r="P12" s="298">
        <f t="shared" si="14"/>
        <v>0</v>
      </c>
      <c r="Q12" s="299">
        <f t="shared" si="15"/>
        <v>0</v>
      </c>
      <c r="R12" s="299">
        <f t="shared" si="2"/>
        <v>0</v>
      </c>
      <c r="S12" s="297" t="str">
        <f t="shared" si="3"/>
        <v>#DIV/0!</v>
      </c>
      <c r="T12" s="300"/>
    </row>
    <row r="13">
      <c r="I13" s="295" t="s">
        <v>413</v>
      </c>
      <c r="J13" s="236"/>
      <c r="K13" s="296">
        <f t="shared" si="10"/>
        <v>0</v>
      </c>
      <c r="L13" s="296">
        <f t="shared" si="11"/>
        <v>0</v>
      </c>
      <c r="M13" s="296">
        <f t="shared" si="12"/>
        <v>0</v>
      </c>
      <c r="N13" s="297" t="str">
        <f t="shared" si="1"/>
        <v>#DIV/0!</v>
      </c>
      <c r="O13" s="298">
        <f t="shared" si="13"/>
        <v>0</v>
      </c>
      <c r="P13" s="298">
        <f t="shared" si="14"/>
        <v>0</v>
      </c>
      <c r="Q13" s="299">
        <f t="shared" si="15"/>
        <v>0</v>
      </c>
      <c r="R13" s="299">
        <f t="shared" si="2"/>
        <v>0</v>
      </c>
      <c r="S13" s="297" t="str">
        <f t="shared" si="3"/>
        <v>#DIV/0!</v>
      </c>
      <c r="T13" s="300"/>
    </row>
    <row r="14">
      <c r="I14" s="295"/>
      <c r="J14" s="236"/>
      <c r="K14" s="296">
        <f t="shared" si="10"/>
        <v>0</v>
      </c>
      <c r="L14" s="296">
        <f t="shared" si="11"/>
        <v>0</v>
      </c>
      <c r="M14" s="296">
        <f t="shared" si="12"/>
        <v>0</v>
      </c>
      <c r="N14" s="297" t="str">
        <f t="shared" si="1"/>
        <v>#DIV/0!</v>
      </c>
      <c r="O14" s="298">
        <f t="shared" si="13"/>
        <v>0</v>
      </c>
      <c r="P14" s="298">
        <f t="shared" si="14"/>
        <v>0</v>
      </c>
      <c r="Q14" s="299">
        <f t="shared" si="15"/>
        <v>0</v>
      </c>
      <c r="R14" s="299">
        <f t="shared" si="2"/>
        <v>0</v>
      </c>
      <c r="S14" s="297" t="str">
        <f t="shared" si="3"/>
        <v>#DIV/0!</v>
      </c>
      <c r="T14" s="300"/>
    </row>
    <row r="15">
      <c r="I15" s="295"/>
      <c r="J15" s="236"/>
      <c r="K15" s="296">
        <f t="shared" si="10"/>
        <v>0</v>
      </c>
      <c r="L15" s="296">
        <f t="shared" si="11"/>
        <v>0</v>
      </c>
      <c r="M15" s="296">
        <f t="shared" si="12"/>
        <v>0</v>
      </c>
      <c r="N15" s="297" t="str">
        <f t="shared" si="1"/>
        <v>#DIV/0!</v>
      </c>
      <c r="O15" s="298">
        <f t="shared" si="13"/>
        <v>0</v>
      </c>
      <c r="P15" s="298">
        <f t="shared" si="14"/>
        <v>0</v>
      </c>
      <c r="Q15" s="299">
        <f t="shared" si="15"/>
        <v>0</v>
      </c>
      <c r="R15" s="299">
        <f t="shared" si="2"/>
        <v>0</v>
      </c>
      <c r="S15" s="297" t="str">
        <f t="shared" si="3"/>
        <v>#DIV/0!</v>
      </c>
      <c r="T15" s="300"/>
    </row>
    <row r="16">
      <c r="I16" s="295"/>
      <c r="J16" s="236"/>
      <c r="K16" s="296">
        <f t="shared" si="10"/>
        <v>0</v>
      </c>
      <c r="L16" s="296">
        <f t="shared" si="11"/>
        <v>0</v>
      </c>
      <c r="M16" s="296">
        <f t="shared" si="12"/>
        <v>0</v>
      </c>
      <c r="N16" s="297" t="str">
        <f t="shared" si="1"/>
        <v>#DIV/0!</v>
      </c>
      <c r="O16" s="298">
        <f t="shared" si="13"/>
        <v>0</v>
      </c>
      <c r="P16" s="298">
        <f t="shared" si="14"/>
        <v>0</v>
      </c>
      <c r="Q16" s="299">
        <f t="shared" si="15"/>
        <v>0</v>
      </c>
      <c r="R16" s="299">
        <f t="shared" si="2"/>
        <v>0</v>
      </c>
      <c r="S16" s="297" t="str">
        <f t="shared" si="3"/>
        <v>#DIV/0!</v>
      </c>
      <c r="T16" s="300"/>
    </row>
    <row r="17">
      <c r="I17" s="295"/>
      <c r="J17" s="236"/>
      <c r="K17" s="296">
        <f t="shared" si="10"/>
        <v>0</v>
      </c>
      <c r="L17" s="296">
        <f t="shared" si="11"/>
        <v>0</v>
      </c>
      <c r="M17" s="296">
        <f t="shared" si="12"/>
        <v>0</v>
      </c>
      <c r="N17" s="297" t="str">
        <f t="shared" si="1"/>
        <v>#DIV/0!</v>
      </c>
      <c r="O17" s="298">
        <f t="shared" si="13"/>
        <v>0</v>
      </c>
      <c r="P17" s="298">
        <f t="shared" si="14"/>
        <v>0</v>
      </c>
      <c r="Q17" s="299">
        <f t="shared" si="15"/>
        <v>0</v>
      </c>
      <c r="R17" s="299">
        <f t="shared" si="2"/>
        <v>0</v>
      </c>
      <c r="S17" s="297" t="str">
        <f t="shared" si="3"/>
        <v>#DIV/0!</v>
      </c>
      <c r="T17" s="300"/>
    </row>
    <row r="18">
      <c r="I18" s="295"/>
      <c r="J18" s="236"/>
      <c r="K18" s="296">
        <f t="shared" si="10"/>
        <v>0</v>
      </c>
      <c r="L18" s="296">
        <f t="shared" si="11"/>
        <v>0</v>
      </c>
      <c r="M18" s="296">
        <f t="shared" si="12"/>
        <v>0</v>
      </c>
      <c r="N18" s="297" t="str">
        <f t="shared" si="1"/>
        <v>#DIV/0!</v>
      </c>
      <c r="O18" s="298">
        <f t="shared" si="13"/>
        <v>0</v>
      </c>
      <c r="P18" s="298">
        <f t="shared" si="14"/>
        <v>0</v>
      </c>
      <c r="Q18" s="299">
        <f t="shared" si="15"/>
        <v>0</v>
      </c>
      <c r="R18" s="299">
        <f t="shared" si="2"/>
        <v>0</v>
      </c>
      <c r="S18" s="297" t="str">
        <f t="shared" si="3"/>
        <v>#DIV/0!</v>
      </c>
      <c r="T18" s="300"/>
    </row>
    <row r="19">
      <c r="I19" s="295"/>
      <c r="J19" s="236"/>
      <c r="K19" s="296">
        <f t="shared" si="10"/>
        <v>0</v>
      </c>
      <c r="L19" s="296">
        <f t="shared" si="11"/>
        <v>0</v>
      </c>
      <c r="M19" s="296">
        <f t="shared" si="12"/>
        <v>0</v>
      </c>
      <c r="N19" s="297" t="str">
        <f t="shared" si="1"/>
        <v>#DIV/0!</v>
      </c>
      <c r="O19" s="298">
        <f t="shared" si="13"/>
        <v>0</v>
      </c>
      <c r="P19" s="298">
        <f t="shared" si="14"/>
        <v>0</v>
      </c>
      <c r="Q19" s="299">
        <f t="shared" si="15"/>
        <v>0</v>
      </c>
      <c r="R19" s="299">
        <f t="shared" si="2"/>
        <v>0</v>
      </c>
      <c r="S19" s="297" t="str">
        <f t="shared" si="3"/>
        <v>#DIV/0!</v>
      </c>
      <c r="T19" s="300"/>
    </row>
    <row r="20">
      <c r="I20" s="295"/>
      <c r="J20" s="236"/>
      <c r="K20" s="296">
        <f t="shared" si="10"/>
        <v>0</v>
      </c>
      <c r="L20" s="296">
        <f t="shared" si="11"/>
        <v>0</v>
      </c>
      <c r="M20" s="296">
        <f t="shared" si="12"/>
        <v>0</v>
      </c>
      <c r="N20" s="297" t="str">
        <f t="shared" si="1"/>
        <v>#DIV/0!</v>
      </c>
      <c r="O20" s="298">
        <f t="shared" si="13"/>
        <v>0</v>
      </c>
      <c r="P20" s="298">
        <f t="shared" si="14"/>
        <v>0</v>
      </c>
      <c r="Q20" s="299">
        <f t="shared" si="15"/>
        <v>0</v>
      </c>
      <c r="R20" s="299">
        <f t="shared" si="2"/>
        <v>0</v>
      </c>
      <c r="S20" s="297" t="str">
        <f t="shared" si="3"/>
        <v>#DIV/0!</v>
      </c>
      <c r="T20" s="300"/>
    </row>
    <row r="21">
      <c r="I21" s="295"/>
      <c r="J21" s="236"/>
      <c r="K21" s="296">
        <f t="shared" si="10"/>
        <v>0</v>
      </c>
      <c r="L21" s="296">
        <f t="shared" si="11"/>
        <v>0</v>
      </c>
      <c r="M21" s="296">
        <f t="shared" si="12"/>
        <v>0</v>
      </c>
      <c r="N21" s="297" t="str">
        <f t="shared" si="1"/>
        <v>#DIV/0!</v>
      </c>
      <c r="O21" s="298">
        <f t="shared" si="13"/>
        <v>0</v>
      </c>
      <c r="P21" s="298">
        <f t="shared" si="14"/>
        <v>0</v>
      </c>
      <c r="Q21" s="299">
        <f t="shared" si="15"/>
        <v>0</v>
      </c>
      <c r="R21" s="299">
        <f t="shared" si="2"/>
        <v>0</v>
      </c>
      <c r="S21" s="297" t="str">
        <f t="shared" si="3"/>
        <v>#DIV/0!</v>
      </c>
      <c r="T21" s="300"/>
    </row>
    <row r="22">
      <c r="I22" s="295" t="s">
        <v>413</v>
      </c>
      <c r="J22" s="295"/>
      <c r="K22" s="296">
        <f t="shared" si="10"/>
        <v>0</v>
      </c>
      <c r="L22" s="296">
        <f t="shared" si="11"/>
        <v>0</v>
      </c>
      <c r="M22" s="296">
        <f t="shared" si="12"/>
        <v>0</v>
      </c>
      <c r="N22" s="297" t="str">
        <f t="shared" si="1"/>
        <v>#DIV/0!</v>
      </c>
      <c r="O22" s="298">
        <f t="shared" si="13"/>
        <v>0</v>
      </c>
      <c r="P22" s="298">
        <f t="shared" si="14"/>
        <v>0</v>
      </c>
      <c r="Q22" s="299">
        <f t="shared" si="15"/>
        <v>0</v>
      </c>
      <c r="R22" s="299">
        <f t="shared" si="2"/>
        <v>0</v>
      </c>
      <c r="S22" s="297" t="str">
        <f t="shared" si="3"/>
        <v>#DIV/0!</v>
      </c>
      <c r="T22" s="300"/>
    </row>
    <row r="23">
      <c r="I23" s="295" t="s">
        <v>413</v>
      </c>
      <c r="J23" s="236"/>
      <c r="K23" s="296">
        <f t="shared" si="10"/>
        <v>0</v>
      </c>
      <c r="L23" s="296">
        <f t="shared" si="11"/>
        <v>0</v>
      </c>
      <c r="M23" s="296">
        <f t="shared" si="12"/>
        <v>0</v>
      </c>
      <c r="N23" s="297" t="str">
        <f t="shared" si="1"/>
        <v>#DIV/0!</v>
      </c>
      <c r="O23" s="298">
        <f t="shared" si="13"/>
        <v>0</v>
      </c>
      <c r="P23" s="298">
        <f t="shared" si="14"/>
        <v>0</v>
      </c>
      <c r="Q23" s="299">
        <f t="shared" si="15"/>
        <v>0</v>
      </c>
      <c r="R23" s="299">
        <f t="shared" si="2"/>
        <v>0</v>
      </c>
      <c r="S23" s="297" t="str">
        <f t="shared" si="3"/>
        <v>#DIV/0!</v>
      </c>
      <c r="T23" s="300"/>
    </row>
    <row r="24">
      <c r="I24" s="295" t="s">
        <v>413</v>
      </c>
      <c r="J24" s="236"/>
      <c r="K24" s="296">
        <f t="shared" si="10"/>
        <v>0</v>
      </c>
      <c r="L24" s="296">
        <f t="shared" si="11"/>
        <v>0</v>
      </c>
      <c r="M24" s="296">
        <f t="shared" si="12"/>
        <v>0</v>
      </c>
      <c r="N24" s="297" t="str">
        <f t="shared" si="1"/>
        <v>#DIV/0!</v>
      </c>
      <c r="O24" s="298">
        <f t="shared" si="13"/>
        <v>0</v>
      </c>
      <c r="P24" s="298">
        <f t="shared" si="14"/>
        <v>0</v>
      </c>
      <c r="Q24" s="299">
        <f t="shared" si="15"/>
        <v>0</v>
      </c>
      <c r="R24" s="299">
        <f t="shared" si="2"/>
        <v>0</v>
      </c>
      <c r="S24" s="297" t="str">
        <f t="shared" si="3"/>
        <v>#DIV/0!</v>
      </c>
      <c r="T24" s="300"/>
    </row>
    <row r="25">
      <c r="I25" s="295"/>
      <c r="J25" s="236"/>
      <c r="K25" s="296">
        <f t="shared" si="10"/>
        <v>0</v>
      </c>
      <c r="L25" s="296">
        <f t="shared" si="11"/>
        <v>0</v>
      </c>
      <c r="M25" s="296">
        <f t="shared" si="12"/>
        <v>0</v>
      </c>
      <c r="N25" s="297" t="str">
        <f t="shared" si="1"/>
        <v>#DIV/0!</v>
      </c>
      <c r="O25" s="298">
        <f t="shared" si="13"/>
        <v>0</v>
      </c>
      <c r="P25" s="298">
        <f t="shared" si="14"/>
        <v>0</v>
      </c>
      <c r="Q25" s="299">
        <f t="shared" si="15"/>
        <v>0</v>
      </c>
      <c r="R25" s="299">
        <f t="shared" si="2"/>
        <v>0</v>
      </c>
      <c r="S25" s="297" t="str">
        <f t="shared" si="3"/>
        <v>#DIV/0!</v>
      </c>
      <c r="T25" s="300"/>
    </row>
    <row r="26">
      <c r="I26" s="295"/>
      <c r="J26" s="236"/>
      <c r="K26" s="296">
        <f t="shared" si="10"/>
        <v>0</v>
      </c>
      <c r="L26" s="296">
        <f t="shared" si="11"/>
        <v>0</v>
      </c>
      <c r="M26" s="296">
        <f t="shared" si="12"/>
        <v>0</v>
      </c>
      <c r="N26" s="297" t="str">
        <f t="shared" si="1"/>
        <v>#DIV/0!</v>
      </c>
      <c r="O26" s="298">
        <f t="shared" si="13"/>
        <v>0</v>
      </c>
      <c r="P26" s="298">
        <f t="shared" si="14"/>
        <v>0</v>
      </c>
      <c r="Q26" s="299">
        <f t="shared" si="15"/>
        <v>0</v>
      </c>
      <c r="R26" s="299">
        <f t="shared" si="2"/>
        <v>0</v>
      </c>
      <c r="S26" s="297" t="str">
        <f t="shared" si="3"/>
        <v>#DIV/0!</v>
      </c>
      <c r="T26" s="300"/>
    </row>
    <row r="27">
      <c r="I27" s="295"/>
      <c r="J27" s="236"/>
      <c r="K27" s="296">
        <f t="shared" si="10"/>
        <v>0</v>
      </c>
      <c r="L27" s="296">
        <f t="shared" si="11"/>
        <v>0</v>
      </c>
      <c r="M27" s="296">
        <f t="shared" si="12"/>
        <v>0</v>
      </c>
      <c r="N27" s="297" t="str">
        <f t="shared" si="1"/>
        <v>#DIV/0!</v>
      </c>
      <c r="O27" s="298">
        <f t="shared" si="13"/>
        <v>0</v>
      </c>
      <c r="P27" s="298">
        <f t="shared" si="14"/>
        <v>0</v>
      </c>
      <c r="Q27" s="299">
        <f t="shared" si="15"/>
        <v>0</v>
      </c>
      <c r="R27" s="299">
        <f t="shared" si="2"/>
        <v>0</v>
      </c>
      <c r="S27" s="297" t="str">
        <f t="shared" si="3"/>
        <v>#DIV/0!</v>
      </c>
      <c r="T27" s="300"/>
    </row>
    <row r="28">
      <c r="I28" s="295"/>
      <c r="J28" s="236"/>
      <c r="K28" s="296">
        <f t="shared" si="10"/>
        <v>0</v>
      </c>
      <c r="L28" s="296">
        <f t="shared" si="11"/>
        <v>0</v>
      </c>
      <c r="M28" s="296">
        <f t="shared" si="12"/>
        <v>0</v>
      </c>
      <c r="N28" s="297" t="str">
        <f t="shared" si="1"/>
        <v>#DIV/0!</v>
      </c>
      <c r="O28" s="298">
        <f t="shared" si="13"/>
        <v>0</v>
      </c>
      <c r="P28" s="298">
        <f t="shared" si="14"/>
        <v>0</v>
      </c>
      <c r="Q28" s="299">
        <f t="shared" si="15"/>
        <v>0</v>
      </c>
      <c r="R28" s="299">
        <f t="shared" si="2"/>
        <v>0</v>
      </c>
      <c r="S28" s="297" t="str">
        <f t="shared" si="3"/>
        <v>#DIV/0!</v>
      </c>
      <c r="T28" s="300"/>
    </row>
    <row r="29">
      <c r="I29" s="295"/>
      <c r="J29" s="295"/>
      <c r="K29" s="296">
        <f t="shared" si="10"/>
        <v>0</v>
      </c>
      <c r="L29" s="296">
        <f t="shared" si="11"/>
        <v>0</v>
      </c>
      <c r="M29" s="296">
        <f t="shared" si="12"/>
        <v>0</v>
      </c>
      <c r="N29" s="297" t="str">
        <f t="shared" si="1"/>
        <v>#DIV/0!</v>
      </c>
      <c r="O29" s="298">
        <f t="shared" si="13"/>
        <v>0</v>
      </c>
      <c r="P29" s="298">
        <f t="shared" si="14"/>
        <v>0</v>
      </c>
      <c r="Q29" s="299">
        <f t="shared" si="15"/>
        <v>0</v>
      </c>
      <c r="R29" s="299">
        <f t="shared" si="2"/>
        <v>0</v>
      </c>
      <c r="S29" s="297" t="str">
        <f t="shared" si="3"/>
        <v>#DIV/0!</v>
      </c>
      <c r="T29" s="300"/>
    </row>
    <row r="30">
      <c r="I30" s="295"/>
      <c r="J30" s="236"/>
      <c r="K30" s="296">
        <f t="shared" si="10"/>
        <v>0</v>
      </c>
      <c r="L30" s="296">
        <f t="shared" si="11"/>
        <v>0</v>
      </c>
      <c r="M30" s="296">
        <f t="shared" si="12"/>
        <v>0</v>
      </c>
      <c r="N30" s="297" t="str">
        <f t="shared" si="1"/>
        <v>#DIV/0!</v>
      </c>
      <c r="O30" s="298">
        <f t="shared" si="13"/>
        <v>0</v>
      </c>
      <c r="P30" s="298">
        <f t="shared" si="14"/>
        <v>0</v>
      </c>
      <c r="Q30" s="299">
        <f t="shared" si="15"/>
        <v>0</v>
      </c>
      <c r="R30" s="299">
        <f t="shared" si="2"/>
        <v>0</v>
      </c>
      <c r="S30" s="297" t="str">
        <f t="shared" si="3"/>
        <v>#DIV/0!</v>
      </c>
      <c r="T30" s="300"/>
    </row>
    <row r="31">
      <c r="I31" s="295"/>
      <c r="J31" s="236"/>
      <c r="K31" s="296">
        <f t="shared" si="10"/>
        <v>0</v>
      </c>
      <c r="L31" s="296">
        <f t="shared" si="11"/>
        <v>0</v>
      </c>
      <c r="M31" s="296">
        <f t="shared" si="12"/>
        <v>0</v>
      </c>
      <c r="N31" s="297" t="str">
        <f t="shared" si="1"/>
        <v>#DIV/0!</v>
      </c>
      <c r="O31" s="298">
        <f t="shared" si="13"/>
        <v>0</v>
      </c>
      <c r="P31" s="298">
        <f t="shared" si="14"/>
        <v>0</v>
      </c>
      <c r="Q31" s="299">
        <f t="shared" si="15"/>
        <v>0</v>
      </c>
      <c r="R31" s="299">
        <f t="shared" si="2"/>
        <v>0</v>
      </c>
      <c r="S31" s="297" t="str">
        <f t="shared" si="3"/>
        <v>#DIV/0!</v>
      </c>
      <c r="T31" s="300"/>
    </row>
    <row r="32">
      <c r="I32" s="295"/>
      <c r="J32" s="295"/>
      <c r="K32" s="296">
        <f>sumifs($J$79:$J$93,$I$79:$I$93,J32)</f>
        <v>0</v>
      </c>
      <c r="L32" s="295"/>
      <c r="M32" s="295"/>
      <c r="N32" s="295"/>
      <c r="O32" s="295"/>
      <c r="P32" s="295"/>
      <c r="Q32" s="295"/>
      <c r="R32" s="299">
        <f t="shared" si="2"/>
        <v>0</v>
      </c>
      <c r="S32" s="295"/>
    </row>
    <row r="33">
      <c r="I33" s="290" t="s">
        <v>175</v>
      </c>
      <c r="J33" s="290" t="s">
        <v>175</v>
      </c>
      <c r="K33" s="291">
        <f>K34</f>
        <v>0</v>
      </c>
      <c r="L33" s="291">
        <f>SUMIFS($C:$C,$A:$A,$I33)</f>
        <v>0</v>
      </c>
      <c r="M33" s="291">
        <f>SUMIFS($D:$D,$A:$A,$I33)</f>
        <v>0</v>
      </c>
      <c r="N33" s="292" t="str">
        <f t="shared" ref="N33:N74" si="16">M33/$M$76</f>
        <v>#DIV/0!</v>
      </c>
      <c r="O33" s="293">
        <f>SUMIFS($E:$E,$A:$A,$I33)</f>
        <v>0</v>
      </c>
      <c r="P33" s="293">
        <f>SUMIFS($G:$G,$A:$A,$I33)</f>
        <v>0</v>
      </c>
      <c r="Q33" s="294">
        <f>SUMIFS($F:$F,$A:$A,$I33)</f>
        <v>0</v>
      </c>
      <c r="R33" s="294">
        <f>O33+Q33</f>
        <v>0</v>
      </c>
      <c r="S33" s="292" t="str">
        <f>R33/$R$76</f>
        <v>#DIV/0!</v>
      </c>
      <c r="T33" s="300"/>
    </row>
    <row r="34">
      <c r="I34" s="295" t="s">
        <v>413</v>
      </c>
      <c r="J34" s="236"/>
      <c r="K34" s="296">
        <f t="shared" ref="K34:K35" si="17">sumifs($J$79:$J$88,$I$79:$I$88,J34)</f>
        <v>0</v>
      </c>
      <c r="L34" s="296">
        <f t="shared" ref="L34:L35" si="18">SUMIFS($C:$C,$B:$B,$J34)</f>
        <v>0</v>
      </c>
      <c r="M34" s="296">
        <f t="shared" ref="M34:M35" si="19">SUMIFS($D:$D,$B:$B,J34)</f>
        <v>0</v>
      </c>
      <c r="N34" s="297" t="str">
        <f t="shared" si="16"/>
        <v>#DIV/0!</v>
      </c>
      <c r="O34" s="298">
        <f t="shared" ref="O34:O35" si="20">SUMIFS($E:$E,$B:$B,J34)</f>
        <v>0</v>
      </c>
      <c r="P34" s="298">
        <f t="shared" ref="P34:P35" si="21">SUMIFS($G:$G,$B:$B,J34)</f>
        <v>0</v>
      </c>
      <c r="Q34" s="299">
        <f t="shared" ref="Q34:Q35" si="22">SUMIFS($F:$F,$B:$B,J34)</f>
        <v>0</v>
      </c>
      <c r="R34" s="299">
        <f t="shared" ref="R34:R35" si="23">O34+P34+Q34</f>
        <v>0</v>
      </c>
      <c r="S34" s="297">
        <f t="shared" ref="S34:S35" si="24">R34/$R$77</f>
        <v>0</v>
      </c>
      <c r="T34" s="282"/>
    </row>
    <row r="35">
      <c r="I35" s="295"/>
      <c r="J35" s="295"/>
      <c r="K35" s="296">
        <f t="shared" si="17"/>
        <v>0</v>
      </c>
      <c r="L35" s="296">
        <f t="shared" si="18"/>
        <v>0</v>
      </c>
      <c r="M35" s="296">
        <f t="shared" si="19"/>
        <v>0</v>
      </c>
      <c r="N35" s="297" t="str">
        <f t="shared" si="16"/>
        <v>#DIV/0!</v>
      </c>
      <c r="O35" s="298">
        <f t="shared" si="20"/>
        <v>0</v>
      </c>
      <c r="P35" s="298">
        <f t="shared" si="21"/>
        <v>0</v>
      </c>
      <c r="Q35" s="299">
        <f t="shared" si="22"/>
        <v>0</v>
      </c>
      <c r="R35" s="299">
        <f t="shared" si="23"/>
        <v>0</v>
      </c>
      <c r="S35" s="297">
        <f t="shared" si="24"/>
        <v>0</v>
      </c>
      <c r="T35" s="300"/>
    </row>
    <row r="36">
      <c r="I36" s="290" t="s">
        <v>176</v>
      </c>
      <c r="J36" s="290" t="s">
        <v>176</v>
      </c>
      <c r="K36" s="291">
        <f>K37</f>
        <v>0</v>
      </c>
      <c r="L36" s="291">
        <f>SUMIFS($C:$C,$A:$A,$I36)</f>
        <v>0</v>
      </c>
      <c r="M36" s="291">
        <f>SUMIFS($D:$D,$A:$A,$I36)</f>
        <v>0</v>
      </c>
      <c r="N36" s="292" t="str">
        <f t="shared" si="16"/>
        <v>#DIV/0!</v>
      </c>
      <c r="O36" s="293">
        <f>SUMIFS($E:$E,$A:$A,$I36)</f>
        <v>0</v>
      </c>
      <c r="P36" s="293">
        <f>SUMIFS($G:$G,$A:$A,$I36)</f>
        <v>0</v>
      </c>
      <c r="Q36" s="294">
        <f>SUMIFS($F:$F,$A:$A,$I36)</f>
        <v>0</v>
      </c>
      <c r="R36" s="294">
        <f t="shared" ref="R36:R37" si="25">O36+P36</f>
        <v>0</v>
      </c>
      <c r="S36" s="292" t="str">
        <f>R36/$R$76</f>
        <v>#DIV/0!</v>
      </c>
      <c r="T36" s="300"/>
    </row>
    <row r="37">
      <c r="I37" s="295" t="s">
        <v>413</v>
      </c>
      <c r="J37" s="236"/>
      <c r="K37" s="296">
        <f>sumifs($J$79:$J$88,$I$79:$I$88,J37)</f>
        <v>0</v>
      </c>
      <c r="L37" s="296">
        <f>SUMIFS($C:$C,$B:$B,$J37)</f>
        <v>0</v>
      </c>
      <c r="M37" s="296">
        <f>SUMIFS($D:$D,$B:$B,J37)</f>
        <v>0</v>
      </c>
      <c r="N37" s="297" t="str">
        <f t="shared" si="16"/>
        <v>#DIV/0!</v>
      </c>
      <c r="O37" s="298">
        <f>SUMIFS($E:$E,$B:$B,J37)</f>
        <v>0</v>
      </c>
      <c r="P37" s="298">
        <f>SUMIFS($G:$G,$B:$B,J37)</f>
        <v>0</v>
      </c>
      <c r="Q37" s="299">
        <f>SUMIFS($F:$F,$B:$B,J37)</f>
        <v>0</v>
      </c>
      <c r="R37" s="299">
        <f t="shared" si="25"/>
        <v>0</v>
      </c>
      <c r="S37" s="297">
        <f t="shared" ref="S37:S56" si="26">R37/$R$77</f>
        <v>0</v>
      </c>
      <c r="T37" s="282"/>
    </row>
    <row r="38">
      <c r="I38" s="290" t="s">
        <v>177</v>
      </c>
      <c r="J38" s="290" t="s">
        <v>177</v>
      </c>
      <c r="K38" s="291">
        <f>sum(K39:K48)</f>
        <v>0</v>
      </c>
      <c r="L38" s="291">
        <f>SUMIFS($C:$C,$A:$A,$I38)</f>
        <v>0</v>
      </c>
      <c r="M38" s="291">
        <f>SUM(M39:M48)</f>
        <v>0</v>
      </c>
      <c r="N38" s="292" t="str">
        <f t="shared" si="16"/>
        <v>#DIV/0!</v>
      </c>
      <c r="O38" s="293">
        <f>SUMIFS($E:$E,$A:$A,$I38)</f>
        <v>0</v>
      </c>
      <c r="P38" s="293">
        <f>SUMIFS($G:$G,$A:$A,$I38)</f>
        <v>0</v>
      </c>
      <c r="Q38" s="294">
        <f>SUM(Q39:Q53)</f>
        <v>0</v>
      </c>
      <c r="R38" s="294">
        <f>Q38</f>
        <v>0</v>
      </c>
      <c r="S38" s="292">
        <f t="shared" si="26"/>
        <v>0</v>
      </c>
      <c r="T38" s="300"/>
    </row>
    <row r="39">
      <c r="I39" s="295"/>
      <c r="J39" s="236" t="s">
        <v>393</v>
      </c>
      <c r="K39" s="296">
        <f t="shared" ref="K39:K50" si="27">sumifs($J$79:$J$93,$I$79:$I$93,J39)</f>
        <v>0</v>
      </c>
      <c r="L39" s="296">
        <f t="shared" ref="L39:L56" si="28">SUMIFS($C:$C,$B:$B,$J39)</f>
        <v>0</v>
      </c>
      <c r="M39" s="296">
        <f t="shared" ref="M39:M56" si="29">SUMIFS($D:$D,$B:$B,J39)</f>
        <v>0</v>
      </c>
      <c r="N39" s="297" t="str">
        <f t="shared" si="16"/>
        <v>#DIV/0!</v>
      </c>
      <c r="O39" s="298">
        <f t="shared" ref="O39:O56" si="30">SUMIFS($E:$E,$B:$B,J39)</f>
        <v>0</v>
      </c>
      <c r="P39" s="298">
        <f t="shared" ref="P39:P56" si="31">SUMIFS($G:$G,$B:$B,J39)</f>
        <v>0</v>
      </c>
      <c r="Q39" s="299">
        <f t="shared" ref="Q39:Q56" si="32">SUMIFS($F:$F,$B:$B,J39)</f>
        <v>0</v>
      </c>
      <c r="R39" s="299">
        <f t="shared" ref="R39:R56" si="33">O39+P39+Q39</f>
        <v>0</v>
      </c>
      <c r="S39" s="297">
        <f t="shared" si="26"/>
        <v>0</v>
      </c>
      <c r="T39" s="300"/>
    </row>
    <row r="40">
      <c r="I40" s="295"/>
      <c r="J40" s="236"/>
      <c r="K40" s="296">
        <f t="shared" si="27"/>
        <v>0</v>
      </c>
      <c r="L40" s="296">
        <f t="shared" si="28"/>
        <v>0</v>
      </c>
      <c r="M40" s="296">
        <f t="shared" si="29"/>
        <v>0</v>
      </c>
      <c r="N40" s="297" t="str">
        <f t="shared" si="16"/>
        <v>#DIV/0!</v>
      </c>
      <c r="O40" s="298">
        <f t="shared" si="30"/>
        <v>0</v>
      </c>
      <c r="P40" s="298">
        <f t="shared" si="31"/>
        <v>0</v>
      </c>
      <c r="Q40" s="299">
        <f t="shared" si="32"/>
        <v>0</v>
      </c>
      <c r="R40" s="299">
        <f t="shared" si="33"/>
        <v>0</v>
      </c>
      <c r="S40" s="297">
        <f t="shared" si="26"/>
        <v>0</v>
      </c>
      <c r="T40" s="300"/>
    </row>
    <row r="41">
      <c r="I41" s="295"/>
      <c r="J41" s="236"/>
      <c r="K41" s="296">
        <f t="shared" si="27"/>
        <v>0</v>
      </c>
      <c r="L41" s="296">
        <f t="shared" si="28"/>
        <v>0</v>
      </c>
      <c r="M41" s="296">
        <f t="shared" si="29"/>
        <v>0</v>
      </c>
      <c r="N41" s="297" t="str">
        <f t="shared" si="16"/>
        <v>#DIV/0!</v>
      </c>
      <c r="O41" s="298">
        <f t="shared" si="30"/>
        <v>0</v>
      </c>
      <c r="P41" s="298">
        <f t="shared" si="31"/>
        <v>0</v>
      </c>
      <c r="Q41" s="299">
        <f t="shared" si="32"/>
        <v>0</v>
      </c>
      <c r="R41" s="299">
        <f t="shared" si="33"/>
        <v>0</v>
      </c>
      <c r="S41" s="297">
        <f t="shared" si="26"/>
        <v>0</v>
      </c>
      <c r="T41" s="300"/>
    </row>
    <row r="42">
      <c r="I42" s="295"/>
      <c r="J42" s="236"/>
      <c r="K42" s="296">
        <f t="shared" si="27"/>
        <v>0</v>
      </c>
      <c r="L42" s="296">
        <f t="shared" si="28"/>
        <v>0</v>
      </c>
      <c r="M42" s="296">
        <f t="shared" si="29"/>
        <v>0</v>
      </c>
      <c r="N42" s="297" t="str">
        <f t="shared" si="16"/>
        <v>#DIV/0!</v>
      </c>
      <c r="O42" s="298">
        <f t="shared" si="30"/>
        <v>0</v>
      </c>
      <c r="P42" s="298">
        <f t="shared" si="31"/>
        <v>0</v>
      </c>
      <c r="Q42" s="299">
        <f t="shared" si="32"/>
        <v>0</v>
      </c>
      <c r="R42" s="299">
        <f t="shared" si="33"/>
        <v>0</v>
      </c>
      <c r="S42" s="297">
        <f t="shared" si="26"/>
        <v>0</v>
      </c>
      <c r="T42" s="300"/>
    </row>
    <row r="43">
      <c r="I43" s="295"/>
      <c r="J43" s="236"/>
      <c r="K43" s="296">
        <f t="shared" si="27"/>
        <v>0</v>
      </c>
      <c r="L43" s="296">
        <f t="shared" si="28"/>
        <v>0</v>
      </c>
      <c r="M43" s="296">
        <f t="shared" si="29"/>
        <v>0</v>
      </c>
      <c r="N43" s="297" t="str">
        <f t="shared" si="16"/>
        <v>#DIV/0!</v>
      </c>
      <c r="O43" s="298">
        <f t="shared" si="30"/>
        <v>0</v>
      </c>
      <c r="P43" s="298">
        <f t="shared" si="31"/>
        <v>0</v>
      </c>
      <c r="Q43" s="299">
        <f t="shared" si="32"/>
        <v>0</v>
      </c>
      <c r="R43" s="299">
        <f t="shared" si="33"/>
        <v>0</v>
      </c>
      <c r="S43" s="297">
        <f t="shared" si="26"/>
        <v>0</v>
      </c>
      <c r="T43" s="300"/>
    </row>
    <row r="44">
      <c r="I44" s="295"/>
      <c r="J44" s="236"/>
      <c r="K44" s="296">
        <f t="shared" si="27"/>
        <v>0</v>
      </c>
      <c r="L44" s="296">
        <f t="shared" si="28"/>
        <v>0</v>
      </c>
      <c r="M44" s="296">
        <f t="shared" si="29"/>
        <v>0</v>
      </c>
      <c r="N44" s="297" t="str">
        <f t="shared" si="16"/>
        <v>#DIV/0!</v>
      </c>
      <c r="O44" s="298">
        <f t="shared" si="30"/>
        <v>0</v>
      </c>
      <c r="P44" s="298">
        <f t="shared" si="31"/>
        <v>0</v>
      </c>
      <c r="Q44" s="299">
        <f t="shared" si="32"/>
        <v>0</v>
      </c>
      <c r="R44" s="299">
        <f t="shared" si="33"/>
        <v>0</v>
      </c>
      <c r="S44" s="297">
        <f t="shared" si="26"/>
        <v>0</v>
      </c>
      <c r="T44" s="300"/>
    </row>
    <row r="45">
      <c r="I45" s="295"/>
      <c r="J45" s="236"/>
      <c r="K45" s="296">
        <f t="shared" si="27"/>
        <v>0</v>
      </c>
      <c r="L45" s="296">
        <f t="shared" si="28"/>
        <v>0</v>
      </c>
      <c r="M45" s="296">
        <f t="shared" si="29"/>
        <v>0</v>
      </c>
      <c r="N45" s="297" t="str">
        <f t="shared" si="16"/>
        <v>#DIV/0!</v>
      </c>
      <c r="O45" s="298">
        <f t="shared" si="30"/>
        <v>0</v>
      </c>
      <c r="P45" s="298">
        <f t="shared" si="31"/>
        <v>0</v>
      </c>
      <c r="Q45" s="299">
        <f t="shared" si="32"/>
        <v>0</v>
      </c>
      <c r="R45" s="299">
        <f t="shared" si="33"/>
        <v>0</v>
      </c>
      <c r="S45" s="297">
        <f t="shared" si="26"/>
        <v>0</v>
      </c>
      <c r="T45" s="300"/>
    </row>
    <row r="46">
      <c r="I46" s="295" t="s">
        <v>413</v>
      </c>
      <c r="J46" s="236"/>
      <c r="K46" s="296">
        <f t="shared" si="27"/>
        <v>0</v>
      </c>
      <c r="L46" s="296">
        <f t="shared" si="28"/>
        <v>0</v>
      </c>
      <c r="M46" s="296">
        <f t="shared" si="29"/>
        <v>0</v>
      </c>
      <c r="N46" s="297" t="str">
        <f t="shared" si="16"/>
        <v>#DIV/0!</v>
      </c>
      <c r="O46" s="298">
        <f t="shared" si="30"/>
        <v>0</v>
      </c>
      <c r="P46" s="298">
        <f t="shared" si="31"/>
        <v>0</v>
      </c>
      <c r="Q46" s="299">
        <f t="shared" si="32"/>
        <v>0</v>
      </c>
      <c r="R46" s="299">
        <f t="shared" si="33"/>
        <v>0</v>
      </c>
      <c r="S46" s="297">
        <f t="shared" si="26"/>
        <v>0</v>
      </c>
      <c r="T46" s="300"/>
    </row>
    <row r="47">
      <c r="I47" s="295" t="s">
        <v>413</v>
      </c>
      <c r="J47" s="236"/>
      <c r="K47" s="296">
        <f t="shared" si="27"/>
        <v>0</v>
      </c>
      <c r="L47" s="296">
        <f t="shared" si="28"/>
        <v>0</v>
      </c>
      <c r="M47" s="296">
        <f t="shared" si="29"/>
        <v>0</v>
      </c>
      <c r="N47" s="297" t="str">
        <f t="shared" si="16"/>
        <v>#DIV/0!</v>
      </c>
      <c r="O47" s="298">
        <f t="shared" si="30"/>
        <v>0</v>
      </c>
      <c r="P47" s="298">
        <f t="shared" si="31"/>
        <v>0</v>
      </c>
      <c r="Q47" s="299">
        <f t="shared" si="32"/>
        <v>0</v>
      </c>
      <c r="R47" s="299">
        <f t="shared" si="33"/>
        <v>0</v>
      </c>
      <c r="S47" s="297">
        <f t="shared" si="26"/>
        <v>0</v>
      </c>
      <c r="T47" s="300"/>
    </row>
    <row r="48">
      <c r="I48" s="295"/>
      <c r="J48" s="236"/>
      <c r="K48" s="296">
        <f t="shared" si="27"/>
        <v>0</v>
      </c>
      <c r="L48" s="296">
        <f t="shared" si="28"/>
        <v>0</v>
      </c>
      <c r="M48" s="296">
        <f t="shared" si="29"/>
        <v>0</v>
      </c>
      <c r="N48" s="297" t="str">
        <f t="shared" si="16"/>
        <v>#DIV/0!</v>
      </c>
      <c r="O48" s="298">
        <f t="shared" si="30"/>
        <v>0</v>
      </c>
      <c r="P48" s="298">
        <f t="shared" si="31"/>
        <v>0</v>
      </c>
      <c r="Q48" s="299">
        <f t="shared" si="32"/>
        <v>0</v>
      </c>
      <c r="R48" s="299">
        <f t="shared" si="33"/>
        <v>0</v>
      </c>
      <c r="S48" s="297">
        <f t="shared" si="26"/>
        <v>0</v>
      </c>
      <c r="T48" s="300"/>
    </row>
    <row r="49">
      <c r="I49" s="295"/>
      <c r="J49" s="236"/>
      <c r="K49" s="296">
        <f t="shared" si="27"/>
        <v>0</v>
      </c>
      <c r="L49" s="296">
        <f t="shared" si="28"/>
        <v>0</v>
      </c>
      <c r="M49" s="296">
        <f t="shared" si="29"/>
        <v>0</v>
      </c>
      <c r="N49" s="297" t="str">
        <f t="shared" si="16"/>
        <v>#DIV/0!</v>
      </c>
      <c r="O49" s="298">
        <f t="shared" si="30"/>
        <v>0</v>
      </c>
      <c r="P49" s="298">
        <f t="shared" si="31"/>
        <v>0</v>
      </c>
      <c r="Q49" s="299">
        <f t="shared" si="32"/>
        <v>0</v>
      </c>
      <c r="R49" s="299">
        <f t="shared" si="33"/>
        <v>0</v>
      </c>
      <c r="S49" s="297">
        <f t="shared" si="26"/>
        <v>0</v>
      </c>
      <c r="T49" s="300"/>
    </row>
    <row r="50">
      <c r="I50" s="295"/>
      <c r="J50" s="236"/>
      <c r="K50" s="296">
        <f t="shared" si="27"/>
        <v>0</v>
      </c>
      <c r="L50" s="296">
        <f t="shared" si="28"/>
        <v>0</v>
      </c>
      <c r="M50" s="296">
        <f t="shared" si="29"/>
        <v>0</v>
      </c>
      <c r="N50" s="297" t="str">
        <f t="shared" si="16"/>
        <v>#DIV/0!</v>
      </c>
      <c r="O50" s="298">
        <f t="shared" si="30"/>
        <v>0</v>
      </c>
      <c r="P50" s="298">
        <f t="shared" si="31"/>
        <v>0</v>
      </c>
      <c r="Q50" s="299">
        <f t="shared" si="32"/>
        <v>0</v>
      </c>
      <c r="R50" s="299">
        <f t="shared" si="33"/>
        <v>0</v>
      </c>
      <c r="S50" s="297">
        <f t="shared" si="26"/>
        <v>0</v>
      </c>
      <c r="T50" s="300"/>
    </row>
    <row r="51">
      <c r="I51" s="295"/>
      <c r="J51" s="236"/>
      <c r="K51" s="296">
        <f t="shared" ref="K51:K56" si="34">sumifs($J$79:$J$88,$I$79:$I$88,J51)</f>
        <v>0</v>
      </c>
      <c r="L51" s="296">
        <f t="shared" si="28"/>
        <v>0</v>
      </c>
      <c r="M51" s="296">
        <f t="shared" si="29"/>
        <v>0</v>
      </c>
      <c r="N51" s="297" t="str">
        <f t="shared" si="16"/>
        <v>#DIV/0!</v>
      </c>
      <c r="O51" s="298">
        <f t="shared" si="30"/>
        <v>0</v>
      </c>
      <c r="P51" s="298">
        <f t="shared" si="31"/>
        <v>0</v>
      </c>
      <c r="Q51" s="299">
        <f t="shared" si="32"/>
        <v>0</v>
      </c>
      <c r="R51" s="299">
        <f t="shared" si="33"/>
        <v>0</v>
      </c>
      <c r="S51" s="297">
        <f t="shared" si="26"/>
        <v>0</v>
      </c>
      <c r="T51" s="300"/>
    </row>
    <row r="52">
      <c r="I52" s="295"/>
      <c r="J52" s="236"/>
      <c r="K52" s="296">
        <f t="shared" si="34"/>
        <v>0</v>
      </c>
      <c r="L52" s="296">
        <f t="shared" si="28"/>
        <v>0</v>
      </c>
      <c r="M52" s="296">
        <f t="shared" si="29"/>
        <v>0</v>
      </c>
      <c r="N52" s="297" t="str">
        <f t="shared" si="16"/>
        <v>#DIV/0!</v>
      </c>
      <c r="O52" s="298">
        <f t="shared" si="30"/>
        <v>0</v>
      </c>
      <c r="P52" s="298">
        <f t="shared" si="31"/>
        <v>0</v>
      </c>
      <c r="Q52" s="299">
        <f t="shared" si="32"/>
        <v>0</v>
      </c>
      <c r="R52" s="299">
        <f t="shared" si="33"/>
        <v>0</v>
      </c>
      <c r="S52" s="297">
        <f t="shared" si="26"/>
        <v>0</v>
      </c>
      <c r="T52" s="300"/>
    </row>
    <row r="53">
      <c r="I53" s="295"/>
      <c r="J53" s="236"/>
      <c r="K53" s="296">
        <f t="shared" si="34"/>
        <v>0</v>
      </c>
      <c r="L53" s="296">
        <f t="shared" si="28"/>
        <v>0</v>
      </c>
      <c r="M53" s="296">
        <f t="shared" si="29"/>
        <v>0</v>
      </c>
      <c r="N53" s="297" t="str">
        <f t="shared" si="16"/>
        <v>#DIV/0!</v>
      </c>
      <c r="O53" s="298">
        <f t="shared" si="30"/>
        <v>0</v>
      </c>
      <c r="P53" s="298">
        <f t="shared" si="31"/>
        <v>0</v>
      </c>
      <c r="Q53" s="299">
        <f t="shared" si="32"/>
        <v>0</v>
      </c>
      <c r="R53" s="299">
        <f t="shared" si="33"/>
        <v>0</v>
      </c>
      <c r="S53" s="297">
        <f t="shared" si="26"/>
        <v>0</v>
      </c>
      <c r="T53" s="300"/>
    </row>
    <row r="54">
      <c r="I54" s="295"/>
      <c r="J54" s="236"/>
      <c r="K54" s="296">
        <f t="shared" si="34"/>
        <v>0</v>
      </c>
      <c r="L54" s="296">
        <f t="shared" si="28"/>
        <v>0</v>
      </c>
      <c r="M54" s="296">
        <f t="shared" si="29"/>
        <v>0</v>
      </c>
      <c r="N54" s="297" t="str">
        <f t="shared" si="16"/>
        <v>#DIV/0!</v>
      </c>
      <c r="O54" s="298">
        <f t="shared" si="30"/>
        <v>0</v>
      </c>
      <c r="P54" s="298">
        <f t="shared" si="31"/>
        <v>0</v>
      </c>
      <c r="Q54" s="299">
        <f t="shared" si="32"/>
        <v>0</v>
      </c>
      <c r="R54" s="299">
        <f t="shared" si="33"/>
        <v>0</v>
      </c>
      <c r="S54" s="297">
        <f t="shared" si="26"/>
        <v>0</v>
      </c>
      <c r="T54" s="300"/>
    </row>
    <row r="55">
      <c r="I55" s="295"/>
      <c r="J55" s="236"/>
      <c r="K55" s="296">
        <f t="shared" si="34"/>
        <v>0</v>
      </c>
      <c r="L55" s="296">
        <f t="shared" si="28"/>
        <v>0</v>
      </c>
      <c r="M55" s="296">
        <f t="shared" si="29"/>
        <v>0</v>
      </c>
      <c r="N55" s="297" t="str">
        <f t="shared" si="16"/>
        <v>#DIV/0!</v>
      </c>
      <c r="O55" s="298">
        <f t="shared" si="30"/>
        <v>0</v>
      </c>
      <c r="P55" s="298">
        <f t="shared" si="31"/>
        <v>0</v>
      </c>
      <c r="Q55" s="299">
        <f t="shared" si="32"/>
        <v>0</v>
      </c>
      <c r="R55" s="299">
        <f t="shared" si="33"/>
        <v>0</v>
      </c>
      <c r="S55" s="297">
        <f t="shared" si="26"/>
        <v>0</v>
      </c>
      <c r="T55" s="300"/>
    </row>
    <row r="56">
      <c r="I56" s="295"/>
      <c r="J56" s="236"/>
      <c r="K56" s="296">
        <f t="shared" si="34"/>
        <v>0</v>
      </c>
      <c r="L56" s="296">
        <f t="shared" si="28"/>
        <v>0</v>
      </c>
      <c r="M56" s="296">
        <f t="shared" si="29"/>
        <v>0</v>
      </c>
      <c r="N56" s="297" t="str">
        <f t="shared" si="16"/>
        <v>#DIV/0!</v>
      </c>
      <c r="O56" s="298">
        <f t="shared" si="30"/>
        <v>0</v>
      </c>
      <c r="P56" s="298">
        <f t="shared" si="31"/>
        <v>0</v>
      </c>
      <c r="Q56" s="299">
        <f t="shared" si="32"/>
        <v>0</v>
      </c>
      <c r="R56" s="299">
        <f t="shared" si="33"/>
        <v>0</v>
      </c>
      <c r="S56" s="297">
        <f t="shared" si="26"/>
        <v>0</v>
      </c>
      <c r="T56" s="300"/>
    </row>
    <row r="57">
      <c r="I57" s="301" t="s">
        <v>188</v>
      </c>
      <c r="J57" s="290" t="s">
        <v>188</v>
      </c>
      <c r="K57" s="291">
        <f>K58</f>
        <v>0</v>
      </c>
      <c r="L57" s="291">
        <f>SUMIFS($C:$C,$A:$A,$I57)</f>
        <v>0</v>
      </c>
      <c r="M57" s="291">
        <f>SUMIFS($D:$D,$A:$A,$I57)</f>
        <v>0</v>
      </c>
      <c r="N57" s="292" t="str">
        <f t="shared" si="16"/>
        <v>#DIV/0!</v>
      </c>
      <c r="O57" s="293">
        <f>SUMIFS($E:$E,$A:$A,$I57)</f>
        <v>0</v>
      </c>
      <c r="P57" s="293">
        <f>SUMIFS($G:$G,$A:$A,$I57)</f>
        <v>0</v>
      </c>
      <c r="Q57" s="294">
        <f>SUMIFS($F:$F,$A:$A,$I57)</f>
        <v>0</v>
      </c>
      <c r="R57" s="294">
        <f t="shared" ref="R57:R66" si="35">O57+P57</f>
        <v>0</v>
      </c>
      <c r="S57" s="292" t="str">
        <f t="shared" ref="S57:S74" si="36">R57/$R$76</f>
        <v>#DIV/0!</v>
      </c>
      <c r="T57" s="300"/>
    </row>
    <row r="58">
      <c r="I58" s="295" t="s">
        <v>413</v>
      </c>
      <c r="J58" s="236" t="s">
        <v>414</v>
      </c>
      <c r="K58" s="296">
        <f>sumifs($J$79:$J$99,$I$79:$I$99,J58)</f>
        <v>0</v>
      </c>
      <c r="L58" s="296">
        <f>SUMIFS($C:$C,$B:$B,$J58)</f>
        <v>0</v>
      </c>
      <c r="M58" s="296">
        <f>SUMIFS($D:$D,$B:$B,J58)</f>
        <v>0</v>
      </c>
      <c r="N58" s="297" t="str">
        <f t="shared" si="16"/>
        <v>#DIV/0!</v>
      </c>
      <c r="O58" s="298">
        <f>SUMIFS($E:$E,$B:$B,J58)</f>
        <v>0</v>
      </c>
      <c r="P58" s="298">
        <f>SUMIFS($G:$G,$B:$B,J58)</f>
        <v>0</v>
      </c>
      <c r="Q58" s="299">
        <f>SUMIFS($F:$F,$B:$B,J58)</f>
        <v>0</v>
      </c>
      <c r="R58" s="299">
        <f t="shared" si="35"/>
        <v>0</v>
      </c>
      <c r="S58" s="297" t="str">
        <f t="shared" si="36"/>
        <v>#DIV/0!</v>
      </c>
      <c r="T58" s="300"/>
    </row>
    <row r="59">
      <c r="I59" s="290" t="s">
        <v>187</v>
      </c>
      <c r="J59" s="290" t="s">
        <v>187</v>
      </c>
      <c r="K59" s="291">
        <f>sumifs($J$79:$J$95,$I$79:$I$95,"120% first deposit bonus")+sumifs($J$79:$J$95,$I$79:$I$95,"50% first deposit bonus")</f>
        <v>0</v>
      </c>
      <c r="L59" s="291">
        <f t="shared" ref="L59:L60" si="37">SUMIFS($C:$C,$A:$A,$I59)</f>
        <v>0</v>
      </c>
      <c r="M59" s="291">
        <f t="shared" ref="M59:M60" si="38">SUMIFS($D:$D,$A:$A,$I59)</f>
        <v>0</v>
      </c>
      <c r="N59" s="292" t="str">
        <f t="shared" si="16"/>
        <v>#DIV/0!</v>
      </c>
      <c r="O59" s="293">
        <f t="shared" ref="O59:O60" si="39">SUMIFS($E:$E,$A:$A,$I59)</f>
        <v>0</v>
      </c>
      <c r="P59" s="293">
        <f t="shared" ref="P59:P60" si="40">SUMIFS($G:$G,$A:$A,$I59)</f>
        <v>0</v>
      </c>
      <c r="Q59" s="294">
        <f t="shared" ref="Q59:Q60" si="41">SUMIFS($F:$F,$A:$A,$I59)</f>
        <v>0</v>
      </c>
      <c r="R59" s="294">
        <f t="shared" si="35"/>
        <v>0</v>
      </c>
      <c r="S59" s="292" t="str">
        <f t="shared" si="36"/>
        <v>#DIV/0!</v>
      </c>
      <c r="T59" s="300"/>
    </row>
    <row r="60">
      <c r="I60" s="290" t="s">
        <v>185</v>
      </c>
      <c r="J60" s="290" t="s">
        <v>185</v>
      </c>
      <c r="K60" s="291">
        <f>K61</f>
        <v>0</v>
      </c>
      <c r="L60" s="291">
        <f t="shared" si="37"/>
        <v>0</v>
      </c>
      <c r="M60" s="291">
        <f t="shared" si="38"/>
        <v>0</v>
      </c>
      <c r="N60" s="292" t="str">
        <f t="shared" si="16"/>
        <v>#DIV/0!</v>
      </c>
      <c r="O60" s="293">
        <f t="shared" si="39"/>
        <v>0</v>
      </c>
      <c r="P60" s="293">
        <f t="shared" si="40"/>
        <v>0</v>
      </c>
      <c r="Q60" s="294">
        <f t="shared" si="41"/>
        <v>0</v>
      </c>
      <c r="R60" s="294">
        <f t="shared" si="35"/>
        <v>0</v>
      </c>
      <c r="S60" s="292" t="str">
        <f t="shared" si="36"/>
        <v>#DIV/0!</v>
      </c>
      <c r="T60" s="300"/>
    </row>
    <row r="61">
      <c r="I61" s="295" t="s">
        <v>413</v>
      </c>
      <c r="J61" s="236" t="s">
        <v>415</v>
      </c>
      <c r="K61" s="296">
        <f>sumifs($J$79:$J$98,$I$79:$I$98,J61)</f>
        <v>0</v>
      </c>
      <c r="L61" s="296">
        <f>SUMIFS($C:$C,$B:$B,$J61)</f>
        <v>0</v>
      </c>
      <c r="M61" s="296">
        <f>SUMIFS($D:$D,$B:$B,J61)</f>
        <v>0</v>
      </c>
      <c r="N61" s="297" t="str">
        <f t="shared" si="16"/>
        <v>#DIV/0!</v>
      </c>
      <c r="O61" s="298">
        <f>SUMIFS($E:$E,$B:$B,J61)</f>
        <v>0</v>
      </c>
      <c r="P61" s="298">
        <f>SUMIFS($G:$G,$B:$B,J61)</f>
        <v>0</v>
      </c>
      <c r="Q61" s="299">
        <f>SUMIFS($F:$F,$B:$B,J61)</f>
        <v>0</v>
      </c>
      <c r="R61" s="299">
        <f t="shared" si="35"/>
        <v>0</v>
      </c>
      <c r="S61" s="297" t="str">
        <f t="shared" si="36"/>
        <v>#DIV/0!</v>
      </c>
      <c r="T61" s="300"/>
    </row>
    <row r="62">
      <c r="I62" s="290" t="s">
        <v>186</v>
      </c>
      <c r="J62" s="290" t="s">
        <v>186</v>
      </c>
      <c r="K62" s="291">
        <f>K63</f>
        <v>0</v>
      </c>
      <c r="L62" s="291">
        <f>SUMIFS($C:$C,$A:$A,$I62)</f>
        <v>0</v>
      </c>
      <c r="M62" s="291">
        <f>SUMIFS($D:$D,$A:$A,$I62)</f>
        <v>0</v>
      </c>
      <c r="N62" s="292" t="str">
        <f t="shared" si="16"/>
        <v>#DIV/0!</v>
      </c>
      <c r="O62" s="293">
        <f>SUMIFS($E:$E,$A:$A,$I62)</f>
        <v>0</v>
      </c>
      <c r="P62" s="293">
        <f>SUMIFS($G:$G,$A:$A,$I62)</f>
        <v>0</v>
      </c>
      <c r="Q62" s="294">
        <f>SUMIFS($F:$F,$A:$A,$I62)</f>
        <v>0</v>
      </c>
      <c r="R62" s="294">
        <f t="shared" si="35"/>
        <v>0</v>
      </c>
      <c r="S62" s="292" t="str">
        <f t="shared" si="36"/>
        <v>#DIV/0!</v>
      </c>
      <c r="T62" s="300"/>
    </row>
    <row r="63">
      <c r="I63" s="295" t="s">
        <v>413</v>
      </c>
      <c r="J63" s="295" t="s">
        <v>397</v>
      </c>
      <c r="K63" s="296">
        <f>sumifs($J$79:$J$99,$I$79:$I$99,J63)</f>
        <v>0</v>
      </c>
      <c r="L63" s="296">
        <f>SUMIFS($C:$C,$B:$B,$J63)</f>
        <v>0</v>
      </c>
      <c r="M63" s="296">
        <f>SUMIFS($D:$D,$B:$B,J63)</f>
        <v>0</v>
      </c>
      <c r="N63" s="297" t="str">
        <f t="shared" si="16"/>
        <v>#DIV/0!</v>
      </c>
      <c r="O63" s="298">
        <f>SUMIFS($E:$E,$B:$B,J63)</f>
        <v>0</v>
      </c>
      <c r="P63" s="298">
        <f>SUMIFS($G:$G,$B:$B,J63)</f>
        <v>0</v>
      </c>
      <c r="Q63" s="299">
        <f>SUMIFS($F:$F,$B:$B,J63)</f>
        <v>0</v>
      </c>
      <c r="R63" s="299">
        <f t="shared" si="35"/>
        <v>0</v>
      </c>
      <c r="S63" s="297" t="str">
        <f t="shared" si="36"/>
        <v>#DIV/0!</v>
      </c>
      <c r="T63" s="300"/>
    </row>
    <row r="64">
      <c r="I64" s="301" t="s">
        <v>190</v>
      </c>
      <c r="J64" s="290" t="s">
        <v>416</v>
      </c>
      <c r="K64" s="291">
        <f>sumifs($J$79:$J$88,$I$79:$I$88,"NEW MEMBER 4TH DEPOSIT BONUS")</f>
        <v>0</v>
      </c>
      <c r="L64" s="291">
        <f t="shared" ref="L64:L65" si="42">SUMIFS($C:$C,$A:$A,$I64)</f>
        <v>0</v>
      </c>
      <c r="M64" s="291">
        <f t="shared" ref="M64:M65" si="43">SUMIFS($D:$D,$A:$A,$I64)</f>
        <v>0</v>
      </c>
      <c r="N64" s="292" t="str">
        <f t="shared" si="16"/>
        <v>#DIV/0!</v>
      </c>
      <c r="O64" s="293">
        <f t="shared" ref="O64:O65" si="44">SUMIFS($E:$E,$A:$A,$I64)</f>
        <v>0</v>
      </c>
      <c r="P64" s="293">
        <f t="shared" ref="P64:P65" si="45">SUMIFS($G:$G,$A:$A,$I64)</f>
        <v>0</v>
      </c>
      <c r="Q64" s="294">
        <f t="shared" ref="Q64:Q65" si="46">SUMIFS($F:$F,$A:$A,$I64)</f>
        <v>0</v>
      </c>
      <c r="R64" s="294">
        <f t="shared" si="35"/>
        <v>0</v>
      </c>
      <c r="S64" s="292" t="str">
        <f t="shared" si="36"/>
        <v>#DIV/0!</v>
      </c>
      <c r="T64" s="300"/>
    </row>
    <row r="65">
      <c r="I65" s="301" t="s">
        <v>191</v>
      </c>
      <c r="J65" s="290" t="s">
        <v>191</v>
      </c>
      <c r="K65" s="291">
        <f>K66</f>
        <v>0</v>
      </c>
      <c r="L65" s="291">
        <f t="shared" si="42"/>
        <v>0</v>
      </c>
      <c r="M65" s="291">
        <f t="shared" si="43"/>
        <v>0</v>
      </c>
      <c r="N65" s="292" t="str">
        <f t="shared" si="16"/>
        <v>#DIV/0!</v>
      </c>
      <c r="O65" s="293">
        <f t="shared" si="44"/>
        <v>0</v>
      </c>
      <c r="P65" s="293">
        <f t="shared" si="45"/>
        <v>0</v>
      </c>
      <c r="Q65" s="294">
        <f t="shared" si="46"/>
        <v>0</v>
      </c>
      <c r="R65" s="294">
        <f t="shared" si="35"/>
        <v>0</v>
      </c>
      <c r="S65" s="292" t="str">
        <f t="shared" si="36"/>
        <v>#DIV/0!</v>
      </c>
    </row>
    <row r="66">
      <c r="I66" s="295" t="s">
        <v>413</v>
      </c>
      <c r="J66" s="236" t="s">
        <v>399</v>
      </c>
      <c r="K66" s="296">
        <f t="shared" ref="K66:K74" si="47">sumifs($J$79:$J$88,$I$79:$I$88,J66)</f>
        <v>0</v>
      </c>
      <c r="L66" s="296">
        <f>SUMIFS($C:$C,$B:$B,$J66)</f>
        <v>0</v>
      </c>
      <c r="M66" s="296">
        <f>SUMIFS($D:$D,$B:$B,J66)</f>
        <v>0</v>
      </c>
      <c r="N66" s="297" t="str">
        <f t="shared" si="16"/>
        <v>#DIV/0!</v>
      </c>
      <c r="O66" s="298">
        <f>SUMIFS($E:$E,$B:$B,J66)</f>
        <v>0</v>
      </c>
      <c r="P66" s="298">
        <f>SUMIFS($G:$G,$B:$B,J66)</f>
        <v>0</v>
      </c>
      <c r="Q66" s="299">
        <f>SUMIFS($F:$F,$B:$B,J66)</f>
        <v>0</v>
      </c>
      <c r="R66" s="299">
        <f t="shared" si="35"/>
        <v>0</v>
      </c>
      <c r="S66" s="297" t="str">
        <f t="shared" si="36"/>
        <v>#DIV/0!</v>
      </c>
    </row>
    <row r="67">
      <c r="I67" s="290" t="s">
        <v>179</v>
      </c>
      <c r="J67" s="290" t="s">
        <v>179</v>
      </c>
      <c r="K67" s="291">
        <f t="shared" si="47"/>
        <v>0</v>
      </c>
      <c r="L67" s="291">
        <f t="shared" ref="L67:L74" si="48">SUMIFS($C:$C,$A:$A,$I67)</f>
        <v>0</v>
      </c>
      <c r="M67" s="291">
        <f t="shared" ref="M67:M74" si="49">SUMIFS($D:$D,$A:$A,$I67)</f>
        <v>0</v>
      </c>
      <c r="N67" s="292" t="str">
        <f t="shared" si="16"/>
        <v>#DIV/0!</v>
      </c>
      <c r="O67" s="293">
        <f t="shared" ref="O67:O74" si="50">SUMIFS($E:$E,$A:$A,$I67)</f>
        <v>0</v>
      </c>
      <c r="P67" s="293">
        <f t="shared" ref="P67:P74" si="51">SUMIFS($G:$G,$A:$A,$I67)</f>
        <v>0</v>
      </c>
      <c r="Q67" s="294">
        <f t="shared" ref="Q67:Q74" si="52">SUMIFS($F:$F,$A:$A,$I67)</f>
        <v>0</v>
      </c>
      <c r="R67" s="294">
        <f>O67</f>
        <v>0</v>
      </c>
      <c r="S67" s="292" t="str">
        <f t="shared" si="36"/>
        <v>#DIV/0!</v>
      </c>
    </row>
    <row r="68">
      <c r="I68" s="301" t="s">
        <v>133</v>
      </c>
      <c r="J68" s="290" t="s">
        <v>133</v>
      </c>
      <c r="K68" s="291">
        <f t="shared" si="47"/>
        <v>0</v>
      </c>
      <c r="L68" s="291">
        <f t="shared" si="48"/>
        <v>0</v>
      </c>
      <c r="M68" s="291">
        <f t="shared" si="49"/>
        <v>0</v>
      </c>
      <c r="N68" s="292" t="str">
        <f t="shared" si="16"/>
        <v>#DIV/0!</v>
      </c>
      <c r="O68" s="293">
        <f t="shared" si="50"/>
        <v>0</v>
      </c>
      <c r="P68" s="293">
        <f t="shared" si="51"/>
        <v>0</v>
      </c>
      <c r="Q68" s="294">
        <f t="shared" si="52"/>
        <v>0</v>
      </c>
      <c r="R68" s="294">
        <f>O68+P68</f>
        <v>0</v>
      </c>
      <c r="S68" s="292" t="str">
        <f t="shared" si="36"/>
        <v>#DIV/0!</v>
      </c>
    </row>
    <row r="69">
      <c r="I69" s="301" t="s">
        <v>180</v>
      </c>
      <c r="J69" s="290" t="s">
        <v>180</v>
      </c>
      <c r="K69" s="291">
        <f t="shared" si="47"/>
        <v>0</v>
      </c>
      <c r="L69" s="291">
        <f t="shared" si="48"/>
        <v>0</v>
      </c>
      <c r="M69" s="291">
        <f t="shared" si="49"/>
        <v>0</v>
      </c>
      <c r="N69" s="292" t="str">
        <f t="shared" si="16"/>
        <v>#DIV/0!</v>
      </c>
      <c r="O69" s="293">
        <f t="shared" si="50"/>
        <v>0</v>
      </c>
      <c r="P69" s="293">
        <f t="shared" si="51"/>
        <v>0</v>
      </c>
      <c r="Q69" s="294">
        <f t="shared" si="52"/>
        <v>0</v>
      </c>
      <c r="R69" s="294">
        <f t="shared" ref="R69:R70" si="53">O69+Q69</f>
        <v>0</v>
      </c>
      <c r="S69" s="292" t="str">
        <f t="shared" si="36"/>
        <v>#DIV/0!</v>
      </c>
    </row>
    <row r="70">
      <c r="I70" s="290" t="s">
        <v>183</v>
      </c>
      <c r="J70" s="290" t="s">
        <v>183</v>
      </c>
      <c r="K70" s="291">
        <f t="shared" si="47"/>
        <v>0</v>
      </c>
      <c r="L70" s="291">
        <f t="shared" si="48"/>
        <v>0</v>
      </c>
      <c r="M70" s="291">
        <f t="shared" si="49"/>
        <v>0</v>
      </c>
      <c r="N70" s="292" t="str">
        <f t="shared" si="16"/>
        <v>#DIV/0!</v>
      </c>
      <c r="O70" s="293">
        <f t="shared" si="50"/>
        <v>0</v>
      </c>
      <c r="P70" s="293">
        <f t="shared" si="51"/>
        <v>0</v>
      </c>
      <c r="Q70" s="294">
        <f t="shared" si="52"/>
        <v>0</v>
      </c>
      <c r="R70" s="294">
        <f t="shared" si="53"/>
        <v>0</v>
      </c>
      <c r="S70" s="292" t="str">
        <f t="shared" si="36"/>
        <v>#DIV/0!</v>
      </c>
    </row>
    <row r="71">
      <c r="I71" s="301" t="s">
        <v>182</v>
      </c>
      <c r="J71" s="290" t="s">
        <v>136</v>
      </c>
      <c r="K71" s="291">
        <f t="shared" si="47"/>
        <v>0</v>
      </c>
      <c r="L71" s="291">
        <f t="shared" si="48"/>
        <v>0</v>
      </c>
      <c r="M71" s="291">
        <f t="shared" si="49"/>
        <v>0</v>
      </c>
      <c r="N71" s="292" t="str">
        <f t="shared" si="16"/>
        <v>#DIV/0!</v>
      </c>
      <c r="O71" s="293">
        <f t="shared" si="50"/>
        <v>0</v>
      </c>
      <c r="P71" s="293">
        <f t="shared" si="51"/>
        <v>0</v>
      </c>
      <c r="Q71" s="294">
        <f t="shared" si="52"/>
        <v>0</v>
      </c>
      <c r="R71" s="294">
        <f>O71+P71</f>
        <v>0</v>
      </c>
      <c r="S71" s="292" t="str">
        <f t="shared" si="36"/>
        <v>#DIV/0!</v>
      </c>
    </row>
    <row r="72">
      <c r="I72" s="290" t="s">
        <v>173</v>
      </c>
      <c r="J72" s="290" t="s">
        <v>173</v>
      </c>
      <c r="K72" s="291">
        <f t="shared" si="47"/>
        <v>0</v>
      </c>
      <c r="L72" s="291">
        <f t="shared" si="48"/>
        <v>0</v>
      </c>
      <c r="M72" s="291">
        <f t="shared" si="49"/>
        <v>0</v>
      </c>
      <c r="N72" s="292" t="str">
        <f t="shared" si="16"/>
        <v>#DIV/0!</v>
      </c>
      <c r="O72" s="293">
        <f t="shared" si="50"/>
        <v>0</v>
      </c>
      <c r="P72" s="293">
        <f t="shared" si="51"/>
        <v>0</v>
      </c>
      <c r="Q72" s="294">
        <f t="shared" si="52"/>
        <v>0</v>
      </c>
      <c r="R72" s="294">
        <f>Q72</f>
        <v>0</v>
      </c>
      <c r="S72" s="292" t="str">
        <f t="shared" si="36"/>
        <v>#DIV/0!</v>
      </c>
    </row>
    <row r="73">
      <c r="I73" s="290" t="s">
        <v>189</v>
      </c>
      <c r="J73" s="290" t="s">
        <v>189</v>
      </c>
      <c r="K73" s="291">
        <f t="shared" si="47"/>
        <v>0</v>
      </c>
      <c r="L73" s="291">
        <f t="shared" si="48"/>
        <v>0</v>
      </c>
      <c r="M73" s="291">
        <f t="shared" si="49"/>
        <v>0</v>
      </c>
      <c r="N73" s="292" t="str">
        <f t="shared" si="16"/>
        <v>#DIV/0!</v>
      </c>
      <c r="O73" s="293">
        <f t="shared" si="50"/>
        <v>0</v>
      </c>
      <c r="P73" s="293">
        <f t="shared" si="51"/>
        <v>0</v>
      </c>
      <c r="Q73" s="294">
        <f t="shared" si="52"/>
        <v>0</v>
      </c>
      <c r="R73" s="294">
        <f>O73+Q73</f>
        <v>0</v>
      </c>
      <c r="S73" s="292" t="str">
        <f t="shared" si="36"/>
        <v>#DIV/0!</v>
      </c>
    </row>
    <row r="74">
      <c r="I74" s="290" t="s">
        <v>184</v>
      </c>
      <c r="J74" s="301" t="s">
        <v>184</v>
      </c>
      <c r="K74" s="291">
        <f t="shared" si="47"/>
        <v>0</v>
      </c>
      <c r="L74" s="291">
        <f t="shared" si="48"/>
        <v>0</v>
      </c>
      <c r="M74" s="291">
        <f t="shared" si="49"/>
        <v>0</v>
      </c>
      <c r="N74" s="292" t="str">
        <f t="shared" si="16"/>
        <v>#DIV/0!</v>
      </c>
      <c r="O74" s="293">
        <f t="shared" si="50"/>
        <v>0</v>
      </c>
      <c r="P74" s="293">
        <f t="shared" si="51"/>
        <v>0</v>
      </c>
      <c r="Q74" s="294">
        <f t="shared" si="52"/>
        <v>0</v>
      </c>
      <c r="R74" s="294">
        <f>O74+P74</f>
        <v>0</v>
      </c>
      <c r="S74" s="292" t="str">
        <f t="shared" si="36"/>
        <v>#DIV/0!</v>
      </c>
    </row>
    <row r="76">
      <c r="K76" s="282">
        <f t="shared" ref="K76:L76" si="54">SUM(K2,K9,K33,K36,K38,K53,K58:K59,K61,K63:K64,K66:K73)</f>
        <v>0</v>
      </c>
      <c r="L76" s="282">
        <f t="shared" si="54"/>
        <v>0</v>
      </c>
      <c r="M76" s="302">
        <f t="shared" ref="M76:N76" si="55">SUM(M2,M64,M9,M33,M36,M38,M53,M59,M61,M66:M73)</f>
        <v>0</v>
      </c>
      <c r="N76" s="283" t="str">
        <f t="shared" si="55"/>
        <v>#DIV/0!</v>
      </c>
      <c r="O76" s="282">
        <f>SUM(O2,O9,O33,O36,O38,O57,O59:O60,O62,O64:O65,O67:O74)</f>
        <v>0</v>
      </c>
      <c r="P76" s="282">
        <f t="shared" ref="P76:Q76" si="56">SUM(P2,P64,P9,P33,P36,P38,P53,P59,P61,P66:P73)</f>
        <v>0</v>
      </c>
      <c r="Q76" s="282">
        <f t="shared" si="56"/>
        <v>0</v>
      </c>
      <c r="R76" s="282">
        <f>SUM(R2,R9,R33,R36,R38,R57,R59,R60,R62,R64:R65,R67:R74)</f>
        <v>0</v>
      </c>
      <c r="S76" s="283" t="str">
        <f>SUM(S2,S9,S33,S36,S38,S53,S58:S59,S61,S63:S64,S66:S73)</f>
        <v>#DIV/0!</v>
      </c>
    </row>
    <row r="77">
      <c r="K77" s="283" t="str">
        <f>J86</f>
        <v/>
      </c>
      <c r="O77" s="239"/>
      <c r="R77" s="239">
        <f>jiliarena!BQ48</f>
        <v>145416.16</v>
      </c>
    </row>
    <row r="78">
      <c r="K78" s="282">
        <f>K76-K77</f>
        <v>0</v>
      </c>
      <c r="R78" s="282">
        <f>R76-R77</f>
        <v>-145416.16</v>
      </c>
    </row>
    <row r="79"/>
    <row r="80"/>
    <row r="81"/>
  </sheetData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.63"/>
    <col customWidth="1" min="2" max="2" width="6.38"/>
    <col customWidth="1" min="3" max="3" width="55.88"/>
    <col customWidth="1" min="4" max="4" width="24.88"/>
    <col customWidth="1" min="5" max="5" width="14.0"/>
    <col customWidth="1" min="6" max="6" width="9.88"/>
    <col customWidth="1" min="7" max="7" width="10.75"/>
    <col customWidth="1" min="8" max="8" width="12.25"/>
    <col customWidth="1" min="9" max="9" width="14.0"/>
    <col customWidth="1" min="10" max="10" width="11.88"/>
    <col customWidth="1" min="11" max="11" width="14.0"/>
    <col customWidth="1" min="18" max="18" width="23.0"/>
    <col customWidth="1" min="19" max="19" width="3.0"/>
    <col customWidth="1" min="20" max="20" width="9.63"/>
    <col customWidth="1" min="21" max="21" width="42.5"/>
  </cols>
  <sheetData>
    <row r="1">
      <c r="A1" s="250"/>
      <c r="B1" s="250" t="s">
        <v>418</v>
      </c>
      <c r="C1" s="240"/>
      <c r="D1" s="250" t="s">
        <v>155</v>
      </c>
      <c r="E1" s="250" t="s">
        <v>155</v>
      </c>
      <c r="F1" s="240"/>
      <c r="G1" s="240"/>
      <c r="H1" s="258"/>
      <c r="I1" s="258"/>
      <c r="J1" s="258"/>
      <c r="K1" s="303" t="s">
        <v>155</v>
      </c>
      <c r="L1" s="240"/>
      <c r="M1" s="240"/>
      <c r="N1" s="240"/>
      <c r="O1" s="240"/>
      <c r="P1" s="240"/>
    </row>
    <row r="2">
      <c r="A2" s="304"/>
      <c r="B2" s="305" t="s">
        <v>268</v>
      </c>
      <c r="C2" s="306" t="s">
        <v>372</v>
      </c>
      <c r="D2" s="306" t="s">
        <v>372</v>
      </c>
      <c r="E2" s="306" t="s">
        <v>419</v>
      </c>
      <c r="F2" s="306" t="s">
        <v>373</v>
      </c>
      <c r="G2" s="306" t="s">
        <v>374</v>
      </c>
      <c r="H2" s="307" t="s">
        <v>377</v>
      </c>
      <c r="I2" s="307" t="s">
        <v>408</v>
      </c>
      <c r="J2" s="307" t="s">
        <v>409</v>
      </c>
      <c r="K2" s="307" t="s">
        <v>420</v>
      </c>
      <c r="L2" s="240"/>
      <c r="M2" s="308" t="s">
        <v>421</v>
      </c>
      <c r="N2" s="308" t="s">
        <v>422</v>
      </c>
      <c r="O2" s="309" t="s">
        <v>372</v>
      </c>
      <c r="P2" s="309" t="s">
        <v>419</v>
      </c>
      <c r="Q2" s="310" t="s">
        <v>405</v>
      </c>
      <c r="R2" s="310" t="s">
        <v>405</v>
      </c>
      <c r="T2" s="311" t="s">
        <v>268</v>
      </c>
      <c r="U2" s="311" t="s">
        <v>372</v>
      </c>
      <c r="V2" s="311" t="s">
        <v>423</v>
      </c>
    </row>
    <row r="3">
      <c r="A3" s="312"/>
      <c r="B3" s="313">
        <v>46082.0</v>
      </c>
      <c r="C3" s="314" t="s">
        <v>172</v>
      </c>
      <c r="D3" s="315" t="str">
        <f t="shared" ref="D3:D20" si="1">IFERROR(vlookup(C3,$Q$3:$R$30,2,0),"")</f>
        <v>GAME_REBATE</v>
      </c>
      <c r="E3" s="315" t="str">
        <f t="shared" ref="E3:E20" si="2">IFERROR(vlookup(D3,$O$2:$P$30,2,0),"")</f>
        <v>玩家返水</v>
      </c>
      <c r="F3" s="316">
        <v>347.0</v>
      </c>
      <c r="G3" s="317">
        <v>347.0</v>
      </c>
      <c r="H3" s="318">
        <v>2895.46</v>
      </c>
      <c r="I3" s="318">
        <v>0.0</v>
      </c>
      <c r="J3" s="318">
        <v>0.0</v>
      </c>
      <c r="K3" s="319">
        <f t="shared" ref="K3:K20" si="3">H3+I3</f>
        <v>2895.46</v>
      </c>
      <c r="L3" s="320" t="str">
        <f t="shared" ref="L3:L147" si="4">IFERROR(VLOOKUP(C3,$M$3:$N$30,2,0),"")</f>
        <v>玩家返水</v>
      </c>
      <c r="M3" s="321" t="s">
        <v>172</v>
      </c>
      <c r="N3" s="321" t="s">
        <v>172</v>
      </c>
      <c r="O3" s="309" t="s">
        <v>126</v>
      </c>
      <c r="P3" s="309" t="s">
        <v>172</v>
      </c>
      <c r="Q3" s="322" t="s">
        <v>172</v>
      </c>
      <c r="R3" s="322" t="s">
        <v>126</v>
      </c>
      <c r="T3" s="323"/>
      <c r="U3" s="324"/>
      <c r="V3" s="325"/>
    </row>
    <row r="4">
      <c r="A4" s="312"/>
      <c r="B4" s="313">
        <v>46082.0</v>
      </c>
      <c r="C4" s="314" t="s">
        <v>383</v>
      </c>
      <c r="D4" s="315" t="str">
        <f t="shared" si="1"/>
        <v/>
      </c>
      <c r="E4" s="315" t="str">
        <f t="shared" si="2"/>
        <v/>
      </c>
      <c r="F4" s="316">
        <v>345.0</v>
      </c>
      <c r="G4" s="317">
        <v>345.0</v>
      </c>
      <c r="H4" s="318">
        <v>2885.83</v>
      </c>
      <c r="I4" s="318">
        <v>0.0</v>
      </c>
      <c r="J4" s="318">
        <v>0.0</v>
      </c>
      <c r="K4" s="319">
        <f t="shared" si="3"/>
        <v>2885.83</v>
      </c>
      <c r="L4" s="320" t="str">
        <f t="shared" si="4"/>
        <v/>
      </c>
      <c r="M4" s="321" t="s">
        <v>173</v>
      </c>
      <c r="N4" s="321" t="s">
        <v>173</v>
      </c>
      <c r="O4" s="309" t="s">
        <v>127</v>
      </c>
      <c r="P4" s="309" t="s">
        <v>173</v>
      </c>
      <c r="Q4" s="322" t="s">
        <v>173</v>
      </c>
      <c r="R4" s="322" t="s">
        <v>127</v>
      </c>
      <c r="T4" s="323"/>
      <c r="U4" s="324"/>
      <c r="V4" s="325"/>
    </row>
    <row r="5">
      <c r="A5" s="312"/>
      <c r="B5" s="313">
        <v>46082.0</v>
      </c>
      <c r="C5" s="314" t="s">
        <v>384</v>
      </c>
      <c r="D5" s="315" t="str">
        <f t="shared" si="1"/>
        <v/>
      </c>
      <c r="E5" s="315" t="str">
        <f t="shared" si="2"/>
        <v/>
      </c>
      <c r="F5" s="316">
        <v>5.0</v>
      </c>
      <c r="G5" s="317">
        <v>5.0</v>
      </c>
      <c r="H5" s="318">
        <v>9.63</v>
      </c>
      <c r="I5" s="318">
        <v>0.0</v>
      </c>
      <c r="J5" s="318">
        <v>0.0</v>
      </c>
      <c r="K5" s="319">
        <f t="shared" si="3"/>
        <v>9.63</v>
      </c>
      <c r="L5" s="320" t="str">
        <f t="shared" si="4"/>
        <v/>
      </c>
      <c r="M5" s="321" t="s">
        <v>174</v>
      </c>
      <c r="N5" s="321" t="s">
        <v>174</v>
      </c>
      <c r="O5" s="309" t="s">
        <v>128</v>
      </c>
      <c r="P5" s="309" t="s">
        <v>174</v>
      </c>
      <c r="Q5" s="322" t="s">
        <v>174</v>
      </c>
      <c r="R5" s="322" t="s">
        <v>128</v>
      </c>
      <c r="T5" s="323"/>
      <c r="U5" s="324"/>
      <c r="V5" s="325"/>
    </row>
    <row r="6">
      <c r="A6" s="312"/>
      <c r="B6" s="313">
        <v>46082.0</v>
      </c>
      <c r="C6" s="314" t="s">
        <v>174</v>
      </c>
      <c r="D6" s="315" t="str">
        <f t="shared" si="1"/>
        <v>DEPOSIT</v>
      </c>
      <c r="E6" s="315" t="str">
        <f t="shared" si="2"/>
        <v>笔笔存送</v>
      </c>
      <c r="F6" s="316">
        <v>193.0</v>
      </c>
      <c r="G6" s="317">
        <v>138.0</v>
      </c>
      <c r="H6" s="318">
        <v>734.22</v>
      </c>
      <c r="I6" s="318">
        <v>0.0</v>
      </c>
      <c r="J6" s="318">
        <v>0.0</v>
      </c>
      <c r="K6" s="319">
        <f t="shared" si="3"/>
        <v>734.22</v>
      </c>
      <c r="L6" s="320" t="str">
        <f t="shared" si="4"/>
        <v>笔笔存送</v>
      </c>
      <c r="M6" s="321" t="s">
        <v>175</v>
      </c>
      <c r="N6" s="321" t="s">
        <v>175</v>
      </c>
      <c r="O6" s="309" t="s">
        <v>129</v>
      </c>
      <c r="P6" s="309" t="s">
        <v>175</v>
      </c>
      <c r="Q6" s="322" t="s">
        <v>175</v>
      </c>
      <c r="R6" s="322" t="s">
        <v>129</v>
      </c>
      <c r="T6" s="323"/>
      <c r="U6" s="324"/>
      <c r="V6" s="325"/>
    </row>
    <row r="7">
      <c r="A7" s="312"/>
      <c r="B7" s="313">
        <v>46082.0</v>
      </c>
      <c r="C7" s="314" t="s">
        <v>391</v>
      </c>
      <c r="D7" s="315" t="str">
        <f t="shared" si="1"/>
        <v/>
      </c>
      <c r="E7" s="315" t="str">
        <f t="shared" si="2"/>
        <v/>
      </c>
      <c r="F7" s="316">
        <v>193.0</v>
      </c>
      <c r="G7" s="317">
        <v>138.0</v>
      </c>
      <c r="H7" s="318">
        <v>734.22</v>
      </c>
      <c r="I7" s="318">
        <v>0.0</v>
      </c>
      <c r="J7" s="318">
        <v>0.0</v>
      </c>
      <c r="K7" s="319">
        <f t="shared" si="3"/>
        <v>734.22</v>
      </c>
      <c r="L7" s="320" t="str">
        <f t="shared" si="4"/>
        <v/>
      </c>
      <c r="M7" s="321" t="s">
        <v>174</v>
      </c>
      <c r="N7" s="321" t="s">
        <v>174</v>
      </c>
      <c r="O7" s="309" t="s">
        <v>130</v>
      </c>
      <c r="P7" s="309" t="s">
        <v>176</v>
      </c>
      <c r="Q7" s="322" t="s">
        <v>176</v>
      </c>
      <c r="R7" s="322" t="s">
        <v>130</v>
      </c>
      <c r="T7" s="323"/>
      <c r="U7" s="324"/>
      <c r="V7" s="325"/>
    </row>
    <row r="8">
      <c r="A8" s="312"/>
      <c r="B8" s="313">
        <v>46082.0</v>
      </c>
      <c r="C8" s="314" t="s">
        <v>187</v>
      </c>
      <c r="D8" s="315" t="str">
        <f t="shared" si="1"/>
        <v>FIRST_DEPOSIT</v>
      </c>
      <c r="E8" s="315" t="str">
        <f t="shared" si="2"/>
        <v>首存</v>
      </c>
      <c r="F8" s="316">
        <v>323.0</v>
      </c>
      <c r="G8" s="317">
        <v>323.0</v>
      </c>
      <c r="H8" s="318">
        <v>21696.0</v>
      </c>
      <c r="I8" s="318">
        <v>0.0</v>
      </c>
      <c r="J8" s="318">
        <v>0.0</v>
      </c>
      <c r="K8" s="319">
        <f t="shared" si="3"/>
        <v>21696</v>
      </c>
      <c r="L8" s="320" t="str">
        <f t="shared" si="4"/>
        <v>首存</v>
      </c>
      <c r="M8" s="321" t="s">
        <v>175</v>
      </c>
      <c r="N8" s="321" t="s">
        <v>175</v>
      </c>
      <c r="O8" s="309" t="s">
        <v>131</v>
      </c>
      <c r="P8" s="309" t="s">
        <v>177</v>
      </c>
      <c r="Q8" s="322" t="s">
        <v>177</v>
      </c>
      <c r="R8" s="322" t="s">
        <v>131</v>
      </c>
      <c r="T8" s="323"/>
      <c r="U8" s="324"/>
      <c r="V8" s="325"/>
    </row>
    <row r="9">
      <c r="A9" s="312"/>
      <c r="B9" s="313">
        <v>46082.0</v>
      </c>
      <c r="C9" s="314" t="s">
        <v>424</v>
      </c>
      <c r="D9" s="315" t="str">
        <f t="shared" si="1"/>
        <v/>
      </c>
      <c r="E9" s="315" t="str">
        <f t="shared" si="2"/>
        <v/>
      </c>
      <c r="F9" s="316">
        <v>323.0</v>
      </c>
      <c r="G9" s="316">
        <v>323.0</v>
      </c>
      <c r="H9" s="318">
        <v>21696.0</v>
      </c>
      <c r="I9" s="318">
        <v>0.0</v>
      </c>
      <c r="J9" s="318">
        <v>0.0</v>
      </c>
      <c r="K9" s="319">
        <f t="shared" si="3"/>
        <v>21696</v>
      </c>
      <c r="L9" s="320" t="str">
        <f t="shared" si="4"/>
        <v/>
      </c>
      <c r="M9" s="321" t="s">
        <v>176</v>
      </c>
      <c r="N9" s="321" t="s">
        <v>176</v>
      </c>
      <c r="O9" s="309" t="s">
        <v>140</v>
      </c>
      <c r="P9" s="308" t="s">
        <v>186</v>
      </c>
      <c r="Q9" s="322" t="s">
        <v>186</v>
      </c>
      <c r="R9" s="322" t="s">
        <v>140</v>
      </c>
      <c r="T9" s="323"/>
      <c r="U9" s="324"/>
      <c r="V9" s="325"/>
    </row>
    <row r="10">
      <c r="A10" s="312"/>
      <c r="B10" s="313">
        <v>46082.0</v>
      </c>
      <c r="C10" s="314" t="s">
        <v>175</v>
      </c>
      <c r="D10" s="315" t="str">
        <f t="shared" si="1"/>
        <v>LOGIN</v>
      </c>
      <c r="E10" s="315" t="str">
        <f t="shared" si="2"/>
        <v>签到奖励</v>
      </c>
      <c r="F10" s="316">
        <v>3537.0</v>
      </c>
      <c r="G10" s="317">
        <v>3537.0</v>
      </c>
      <c r="H10" s="318">
        <v>4988.0</v>
      </c>
      <c r="I10" s="318">
        <v>0.0</v>
      </c>
      <c r="J10" s="318">
        <v>0.0</v>
      </c>
      <c r="K10" s="319">
        <f t="shared" si="3"/>
        <v>4988</v>
      </c>
      <c r="L10" s="320" t="str">
        <f t="shared" si="4"/>
        <v>签到奖励</v>
      </c>
      <c r="M10" s="321" t="s">
        <v>177</v>
      </c>
      <c r="N10" s="321" t="s">
        <v>177</v>
      </c>
      <c r="O10" s="309" t="s">
        <v>139</v>
      </c>
      <c r="P10" s="309" t="s">
        <v>185</v>
      </c>
      <c r="Q10" s="322" t="s">
        <v>185</v>
      </c>
      <c r="R10" s="322" t="s">
        <v>139</v>
      </c>
      <c r="T10" s="323"/>
      <c r="U10" s="324"/>
      <c r="V10" s="325"/>
    </row>
    <row r="11">
      <c r="A11" s="312"/>
      <c r="B11" s="313">
        <v>46082.0</v>
      </c>
      <c r="C11" s="314" t="s">
        <v>425</v>
      </c>
      <c r="D11" s="315" t="str">
        <f t="shared" si="1"/>
        <v/>
      </c>
      <c r="E11" s="315" t="str">
        <f t="shared" si="2"/>
        <v/>
      </c>
      <c r="F11" s="316">
        <v>3537.0</v>
      </c>
      <c r="G11" s="317">
        <v>3537.0</v>
      </c>
      <c r="H11" s="318">
        <v>4988.0</v>
      </c>
      <c r="I11" s="318">
        <v>0.0</v>
      </c>
      <c r="J11" s="318">
        <v>0.0</v>
      </c>
      <c r="K11" s="319">
        <f t="shared" si="3"/>
        <v>4988</v>
      </c>
      <c r="L11" s="320" t="str">
        <f t="shared" si="4"/>
        <v/>
      </c>
      <c r="M11" s="321" t="s">
        <v>184</v>
      </c>
      <c r="N11" s="321" t="s">
        <v>184</v>
      </c>
      <c r="O11" s="309" t="s">
        <v>138</v>
      </c>
      <c r="P11" s="308" t="s">
        <v>184</v>
      </c>
      <c r="Q11" s="322" t="s">
        <v>187</v>
      </c>
      <c r="R11" s="322" t="s">
        <v>141</v>
      </c>
      <c r="T11" s="323"/>
      <c r="U11" s="324"/>
      <c r="V11" s="325"/>
    </row>
    <row r="12">
      <c r="A12" s="312"/>
      <c r="B12" s="313">
        <v>46082.0</v>
      </c>
      <c r="C12" s="314" t="s">
        <v>180</v>
      </c>
      <c r="D12" s="315" t="str">
        <f t="shared" si="1"/>
        <v>登录任务</v>
      </c>
      <c r="E12" s="315" t="str">
        <f t="shared" si="2"/>
        <v>登录任务</v>
      </c>
      <c r="F12" s="316">
        <v>0.0</v>
      </c>
      <c r="G12" s="317">
        <v>504.0</v>
      </c>
      <c r="H12" s="318">
        <v>0.0</v>
      </c>
      <c r="I12" s="318">
        <v>765.0</v>
      </c>
      <c r="J12" s="318">
        <v>557.0</v>
      </c>
      <c r="K12" s="319">
        <f t="shared" si="3"/>
        <v>765</v>
      </c>
      <c r="L12" s="320" t="str">
        <f t="shared" si="4"/>
        <v>登录任务</v>
      </c>
      <c r="M12" s="321" t="s">
        <v>185</v>
      </c>
      <c r="N12" s="321" t="s">
        <v>185</v>
      </c>
      <c r="O12" s="309" t="s">
        <v>141</v>
      </c>
      <c r="P12" s="309" t="s">
        <v>187</v>
      </c>
      <c r="Q12" s="322" t="s">
        <v>179</v>
      </c>
      <c r="R12" s="322" t="s">
        <v>132</v>
      </c>
      <c r="T12" s="323"/>
      <c r="U12" s="326"/>
      <c r="V12" s="327"/>
    </row>
    <row r="13">
      <c r="A13" s="312"/>
      <c r="B13" s="313">
        <v>46082.0</v>
      </c>
      <c r="C13" s="314" t="s">
        <v>426</v>
      </c>
      <c r="D13" s="315" t="str">
        <f t="shared" si="1"/>
        <v/>
      </c>
      <c r="E13" s="315" t="str">
        <f t="shared" si="2"/>
        <v/>
      </c>
      <c r="F13" s="316">
        <v>0.0</v>
      </c>
      <c r="G13" s="317">
        <v>504.0</v>
      </c>
      <c r="H13" s="318">
        <v>0.0</v>
      </c>
      <c r="I13" s="318">
        <v>765.0</v>
      </c>
      <c r="J13" s="318">
        <v>557.0</v>
      </c>
      <c r="K13" s="319">
        <f t="shared" si="3"/>
        <v>765</v>
      </c>
      <c r="L13" s="320" t="str">
        <f t="shared" si="4"/>
        <v/>
      </c>
      <c r="M13" s="321" t="s">
        <v>186</v>
      </c>
      <c r="N13" s="321" t="s">
        <v>186</v>
      </c>
      <c r="O13" s="309" t="s">
        <v>132</v>
      </c>
      <c r="P13" s="309" t="s">
        <v>179</v>
      </c>
      <c r="Q13" s="322" t="s">
        <v>134</v>
      </c>
      <c r="R13" s="322" t="s">
        <v>134</v>
      </c>
      <c r="T13" s="323"/>
      <c r="U13" s="326"/>
      <c r="V13" s="327"/>
    </row>
    <row r="14">
      <c r="A14" s="312"/>
      <c r="B14" s="313">
        <v>46082.0</v>
      </c>
      <c r="C14" s="314" t="s">
        <v>133</v>
      </c>
      <c r="D14" s="315" t="str">
        <f t="shared" si="1"/>
        <v>邀请返佣</v>
      </c>
      <c r="E14" s="315" t="str">
        <f t="shared" si="2"/>
        <v>邀请返佣</v>
      </c>
      <c r="F14" s="316">
        <v>114.0</v>
      </c>
      <c r="G14" s="317">
        <v>91.0</v>
      </c>
      <c r="H14" s="318">
        <v>381.75</v>
      </c>
      <c r="I14" s="318">
        <v>0.0</v>
      </c>
      <c r="J14" s="318">
        <v>0.0</v>
      </c>
      <c r="K14" s="319">
        <f t="shared" si="3"/>
        <v>381.75</v>
      </c>
      <c r="L14" s="320" t="str">
        <f t="shared" si="4"/>
        <v>邀请返佣</v>
      </c>
      <c r="M14" s="321" t="s">
        <v>187</v>
      </c>
      <c r="N14" s="321" t="s">
        <v>187</v>
      </c>
      <c r="O14" s="309" t="s">
        <v>134</v>
      </c>
      <c r="P14" s="309" t="s">
        <v>180</v>
      </c>
      <c r="Q14" s="322" t="s">
        <v>133</v>
      </c>
      <c r="R14" s="322" t="s">
        <v>133</v>
      </c>
      <c r="T14" s="323"/>
      <c r="U14" s="326"/>
      <c r="V14" s="327"/>
    </row>
    <row r="15">
      <c r="A15" s="312"/>
      <c r="B15" s="313">
        <v>46082.0</v>
      </c>
      <c r="C15" s="314" t="s">
        <v>361</v>
      </c>
      <c r="D15" s="315" t="str">
        <f t="shared" si="1"/>
        <v/>
      </c>
      <c r="E15" s="315" t="str">
        <f t="shared" si="2"/>
        <v/>
      </c>
      <c r="F15" s="316">
        <v>5.0</v>
      </c>
      <c r="G15" s="317">
        <v>4.0</v>
      </c>
      <c r="H15" s="318">
        <v>35.0</v>
      </c>
      <c r="I15" s="318">
        <v>0.0</v>
      </c>
      <c r="J15" s="318">
        <v>0.0</v>
      </c>
      <c r="K15" s="319">
        <f t="shared" si="3"/>
        <v>35</v>
      </c>
      <c r="L15" s="320" t="str">
        <f t="shared" si="4"/>
        <v/>
      </c>
      <c r="M15" s="321" t="s">
        <v>132</v>
      </c>
      <c r="N15" s="328" t="s">
        <v>179</v>
      </c>
      <c r="O15" s="309" t="s">
        <v>133</v>
      </c>
      <c r="P15" s="309" t="s">
        <v>133</v>
      </c>
      <c r="Q15" s="322" t="s">
        <v>135</v>
      </c>
      <c r="R15" s="322" t="s">
        <v>135</v>
      </c>
      <c r="T15" s="323"/>
      <c r="U15" s="326"/>
      <c r="V15" s="327"/>
    </row>
    <row r="16">
      <c r="A16" s="312"/>
      <c r="B16" s="313">
        <v>46082.0</v>
      </c>
      <c r="C16" s="314" t="s">
        <v>362</v>
      </c>
      <c r="D16" s="315" t="str">
        <f t="shared" si="1"/>
        <v/>
      </c>
      <c r="E16" s="315" t="str">
        <f t="shared" si="2"/>
        <v/>
      </c>
      <c r="F16" s="316">
        <v>16.0</v>
      </c>
      <c r="G16" s="317">
        <v>16.0</v>
      </c>
      <c r="H16" s="318">
        <v>5.39</v>
      </c>
      <c r="I16" s="318">
        <v>0.0</v>
      </c>
      <c r="J16" s="318">
        <v>0.0</v>
      </c>
      <c r="K16" s="319">
        <f t="shared" si="3"/>
        <v>5.39</v>
      </c>
      <c r="L16" s="320" t="str">
        <f t="shared" si="4"/>
        <v/>
      </c>
      <c r="M16" s="321" t="s">
        <v>134</v>
      </c>
      <c r="N16" s="310" t="s">
        <v>176</v>
      </c>
      <c r="O16" s="309" t="s">
        <v>135</v>
      </c>
      <c r="P16" s="309" t="s">
        <v>181</v>
      </c>
      <c r="Q16" s="322" t="s">
        <v>136</v>
      </c>
      <c r="R16" s="322" t="s">
        <v>136</v>
      </c>
      <c r="T16" s="323"/>
      <c r="U16" s="326"/>
      <c r="V16" s="327"/>
    </row>
    <row r="17">
      <c r="A17" s="312"/>
      <c r="B17" s="313">
        <v>46082.0</v>
      </c>
      <c r="C17" s="314" t="s">
        <v>360</v>
      </c>
      <c r="D17" s="315" t="str">
        <f t="shared" si="1"/>
        <v/>
      </c>
      <c r="E17" s="315" t="str">
        <f t="shared" si="2"/>
        <v/>
      </c>
      <c r="F17" s="316">
        <v>20.0</v>
      </c>
      <c r="G17" s="317">
        <v>20.0</v>
      </c>
      <c r="H17" s="318">
        <v>300.0</v>
      </c>
      <c r="I17" s="318">
        <v>0.0</v>
      </c>
      <c r="J17" s="318">
        <v>0.0</v>
      </c>
      <c r="K17" s="319">
        <f t="shared" si="3"/>
        <v>300</v>
      </c>
      <c r="L17" s="320" t="str">
        <f t="shared" si="4"/>
        <v/>
      </c>
      <c r="M17" s="321" t="s">
        <v>133</v>
      </c>
      <c r="N17" s="321" t="s">
        <v>133</v>
      </c>
      <c r="O17" s="309" t="s">
        <v>136</v>
      </c>
      <c r="P17" s="309" t="s">
        <v>182</v>
      </c>
      <c r="Q17" s="322" t="s">
        <v>184</v>
      </c>
      <c r="R17" s="322" t="s">
        <v>184</v>
      </c>
      <c r="T17" s="323"/>
      <c r="U17" s="324"/>
      <c r="V17" s="327"/>
    </row>
    <row r="18">
      <c r="A18" s="312"/>
      <c r="B18" s="313">
        <v>46082.0</v>
      </c>
      <c r="C18" s="314" t="s">
        <v>427</v>
      </c>
      <c r="D18" s="315" t="str">
        <f t="shared" si="1"/>
        <v/>
      </c>
      <c r="E18" s="315" t="str">
        <f t="shared" si="2"/>
        <v/>
      </c>
      <c r="F18" s="316">
        <v>73.0</v>
      </c>
      <c r="G18" s="317">
        <v>73.0</v>
      </c>
      <c r="H18" s="318">
        <v>41.36</v>
      </c>
      <c r="I18" s="318">
        <v>0.0</v>
      </c>
      <c r="J18" s="318">
        <v>0.0</v>
      </c>
      <c r="K18" s="319">
        <f t="shared" si="3"/>
        <v>41.36</v>
      </c>
      <c r="L18" s="320" t="str">
        <f t="shared" si="4"/>
        <v/>
      </c>
      <c r="M18" s="321" t="s">
        <v>135</v>
      </c>
      <c r="N18" s="328" t="s">
        <v>181</v>
      </c>
      <c r="O18" s="308" t="s">
        <v>137</v>
      </c>
      <c r="P18" s="308" t="s">
        <v>183</v>
      </c>
      <c r="Q18" s="329" t="s">
        <v>179</v>
      </c>
      <c r="R18" s="322" t="s">
        <v>179</v>
      </c>
      <c r="T18" s="323"/>
      <c r="U18" s="324"/>
      <c r="V18" s="327"/>
    </row>
    <row r="19">
      <c r="A19" s="312"/>
      <c r="B19" s="313">
        <v>46082.0</v>
      </c>
      <c r="C19" s="314" t="s">
        <v>176</v>
      </c>
      <c r="D19" s="315" t="str">
        <f t="shared" si="1"/>
        <v>UPGRADE_BONUS</v>
      </c>
      <c r="E19" s="315" t="str">
        <f t="shared" si="2"/>
        <v>升级奖励</v>
      </c>
      <c r="F19" s="316">
        <v>336.0</v>
      </c>
      <c r="G19" s="317">
        <v>283.0</v>
      </c>
      <c r="H19" s="318">
        <v>572.0</v>
      </c>
      <c r="I19" s="318">
        <v>0.0</v>
      </c>
      <c r="J19" s="318">
        <v>0.0</v>
      </c>
      <c r="K19" s="319">
        <f t="shared" si="3"/>
        <v>572</v>
      </c>
      <c r="L19" s="320" t="str">
        <f t="shared" si="4"/>
        <v>升级奖励</v>
      </c>
      <c r="M19" s="321" t="s">
        <v>136</v>
      </c>
      <c r="N19" s="328" t="s">
        <v>182</v>
      </c>
      <c r="O19" s="308" t="s">
        <v>184</v>
      </c>
      <c r="P19" s="308" t="s">
        <v>184</v>
      </c>
      <c r="Q19" s="321" t="s">
        <v>132</v>
      </c>
      <c r="R19" s="322" t="s">
        <v>179</v>
      </c>
      <c r="T19" s="323"/>
      <c r="U19" s="324"/>
      <c r="V19" s="327"/>
    </row>
    <row r="20">
      <c r="A20" s="312"/>
      <c r="B20" s="313">
        <v>46082.0</v>
      </c>
      <c r="C20" s="314" t="s">
        <v>428</v>
      </c>
      <c r="D20" s="315" t="str">
        <f t="shared" si="1"/>
        <v/>
      </c>
      <c r="E20" s="315" t="str">
        <f t="shared" si="2"/>
        <v/>
      </c>
      <c r="F20" s="316">
        <v>336.0</v>
      </c>
      <c r="G20" s="317">
        <v>283.0</v>
      </c>
      <c r="H20" s="318">
        <v>572.0</v>
      </c>
      <c r="I20" s="318">
        <v>0.0</v>
      </c>
      <c r="J20" s="318">
        <v>0.0</v>
      </c>
      <c r="K20" s="319">
        <f t="shared" si="3"/>
        <v>572</v>
      </c>
      <c r="L20" s="320" t="str">
        <f t="shared" si="4"/>
        <v/>
      </c>
      <c r="M20" s="309" t="s">
        <v>179</v>
      </c>
      <c r="N20" s="309" t="s">
        <v>179</v>
      </c>
      <c r="O20" s="322" t="s">
        <v>179</v>
      </c>
      <c r="P20" s="322" t="s">
        <v>179</v>
      </c>
      <c r="Q20" s="321" t="s">
        <v>189</v>
      </c>
      <c r="R20" s="322" t="s">
        <v>189</v>
      </c>
      <c r="T20" s="323"/>
      <c r="U20" s="326"/>
      <c r="V20" s="327"/>
    </row>
    <row r="21">
      <c r="A21" s="312"/>
      <c r="B21" s="330"/>
      <c r="C21" s="331"/>
      <c r="D21" s="332"/>
      <c r="E21" s="332"/>
      <c r="F21" s="333"/>
      <c r="G21" s="334"/>
      <c r="H21" s="335"/>
      <c r="I21" s="335"/>
      <c r="J21" s="335"/>
      <c r="K21" s="336"/>
      <c r="L21" s="250" t="str">
        <f t="shared" si="4"/>
        <v/>
      </c>
      <c r="M21" s="308" t="s">
        <v>189</v>
      </c>
      <c r="N21" s="308" t="s">
        <v>189</v>
      </c>
      <c r="O21" s="308" t="s">
        <v>189</v>
      </c>
      <c r="P21" s="308" t="s">
        <v>189</v>
      </c>
      <c r="Q21" s="308" t="s">
        <v>137</v>
      </c>
      <c r="R21" s="308" t="s">
        <v>183</v>
      </c>
      <c r="T21" s="323"/>
      <c r="U21" s="326"/>
      <c r="V21" s="327"/>
    </row>
    <row r="22">
      <c r="A22" s="312"/>
      <c r="B22" s="313">
        <v>46083.0</v>
      </c>
      <c r="C22" s="314" t="s">
        <v>172</v>
      </c>
      <c r="D22" s="315" t="str">
        <f t="shared" ref="D22:D39" si="5">IFERROR(vlookup(C22,$Q$3:$R$30,2,0),"")</f>
        <v>GAME_REBATE</v>
      </c>
      <c r="E22" s="315" t="str">
        <f t="shared" ref="E22:E39" si="6">IFERROR(vlookup(D22,$O$2:$P$30,2,0),"")</f>
        <v>玩家返水</v>
      </c>
      <c r="F22" s="316">
        <v>622.0</v>
      </c>
      <c r="G22" s="317">
        <v>622.0</v>
      </c>
      <c r="H22" s="318">
        <v>4082.18</v>
      </c>
      <c r="I22" s="318">
        <v>0.0</v>
      </c>
      <c r="J22" s="318">
        <v>0.0</v>
      </c>
      <c r="K22" s="319">
        <f t="shared" ref="K22:K39" si="7">H22+I22</f>
        <v>4082.18</v>
      </c>
      <c r="L22" s="320" t="str">
        <f t="shared" si="4"/>
        <v>玩家返水</v>
      </c>
      <c r="M22" s="308" t="s">
        <v>137</v>
      </c>
      <c r="N22" s="309" t="s">
        <v>183</v>
      </c>
      <c r="O22" s="308" t="s">
        <v>183</v>
      </c>
      <c r="P22" s="308" t="s">
        <v>183</v>
      </c>
      <c r="Q22" s="310" t="s">
        <v>188</v>
      </c>
      <c r="R22" s="310" t="s">
        <v>188</v>
      </c>
      <c r="T22" s="323"/>
      <c r="U22" s="326"/>
      <c r="V22" s="327"/>
    </row>
    <row r="23">
      <c r="A23" s="312"/>
      <c r="B23" s="313">
        <v>46083.0</v>
      </c>
      <c r="C23" s="314" t="s">
        <v>383</v>
      </c>
      <c r="D23" s="315" t="str">
        <f t="shared" si="5"/>
        <v/>
      </c>
      <c r="E23" s="315" t="str">
        <f t="shared" si="6"/>
        <v/>
      </c>
      <c r="F23" s="316">
        <v>621.0</v>
      </c>
      <c r="G23" s="317">
        <v>621.0</v>
      </c>
      <c r="H23" s="318">
        <v>4068.24</v>
      </c>
      <c r="I23" s="318">
        <v>0.0</v>
      </c>
      <c r="J23" s="318">
        <v>0.0</v>
      </c>
      <c r="K23" s="319">
        <f t="shared" si="7"/>
        <v>4068.24</v>
      </c>
      <c r="L23" s="320" t="str">
        <f t="shared" si="4"/>
        <v/>
      </c>
      <c r="M23" s="308" t="s">
        <v>188</v>
      </c>
      <c r="N23" s="308" t="s">
        <v>188</v>
      </c>
      <c r="O23" s="308" t="s">
        <v>188</v>
      </c>
      <c r="P23" s="308" t="s">
        <v>188</v>
      </c>
      <c r="Q23" s="310" t="s">
        <v>416</v>
      </c>
      <c r="R23" s="310" t="s">
        <v>190</v>
      </c>
      <c r="T23" s="323"/>
      <c r="U23" s="326"/>
      <c r="V23" s="327"/>
    </row>
    <row r="24">
      <c r="A24" s="312"/>
      <c r="B24" s="313">
        <v>46083.0</v>
      </c>
      <c r="C24" s="314" t="s">
        <v>384</v>
      </c>
      <c r="D24" s="315" t="str">
        <f t="shared" si="5"/>
        <v/>
      </c>
      <c r="E24" s="315" t="str">
        <f t="shared" si="6"/>
        <v/>
      </c>
      <c r="F24" s="316">
        <v>5.0</v>
      </c>
      <c r="G24" s="317">
        <v>5.0</v>
      </c>
      <c r="H24" s="318">
        <v>13.94</v>
      </c>
      <c r="I24" s="318">
        <v>0.0</v>
      </c>
      <c r="J24" s="318">
        <v>0.0</v>
      </c>
      <c r="K24" s="319">
        <f t="shared" si="7"/>
        <v>13.94</v>
      </c>
      <c r="L24" s="320" t="str">
        <f t="shared" si="4"/>
        <v/>
      </c>
      <c r="M24" s="310" t="s">
        <v>416</v>
      </c>
      <c r="N24" s="310" t="s">
        <v>190</v>
      </c>
      <c r="O24" s="310" t="s">
        <v>190</v>
      </c>
      <c r="P24" s="310" t="s">
        <v>190</v>
      </c>
      <c r="Q24" s="310" t="s">
        <v>191</v>
      </c>
      <c r="R24" s="310" t="s">
        <v>191</v>
      </c>
      <c r="T24" s="323"/>
      <c r="U24" s="324"/>
      <c r="V24" s="327"/>
    </row>
    <row r="25">
      <c r="A25" s="312"/>
      <c r="B25" s="313">
        <v>46083.0</v>
      </c>
      <c r="C25" s="314" t="s">
        <v>174</v>
      </c>
      <c r="D25" s="315" t="str">
        <f t="shared" si="5"/>
        <v>DEPOSIT</v>
      </c>
      <c r="E25" s="315" t="str">
        <f t="shared" si="6"/>
        <v>笔笔存送</v>
      </c>
      <c r="F25" s="316">
        <v>117.0</v>
      </c>
      <c r="G25" s="317">
        <v>96.0</v>
      </c>
      <c r="H25" s="318">
        <v>523.26</v>
      </c>
      <c r="I25" s="318">
        <v>0.0</v>
      </c>
      <c r="J25" s="318">
        <v>0.0</v>
      </c>
      <c r="K25" s="319">
        <f t="shared" si="7"/>
        <v>523.26</v>
      </c>
      <c r="L25" s="320" t="str">
        <f t="shared" si="4"/>
        <v>笔笔存送</v>
      </c>
      <c r="M25" s="310" t="s">
        <v>191</v>
      </c>
      <c r="N25" s="310" t="s">
        <v>191</v>
      </c>
      <c r="O25" s="310" t="s">
        <v>191</v>
      </c>
      <c r="P25" s="310" t="s">
        <v>191</v>
      </c>
      <c r="Q25" s="309" t="s">
        <v>141</v>
      </c>
      <c r="R25" s="309" t="s">
        <v>187</v>
      </c>
      <c r="T25" s="323"/>
      <c r="U25" s="326"/>
      <c r="V25" s="327"/>
    </row>
    <row r="26">
      <c r="A26" s="312"/>
      <c r="B26" s="313">
        <v>46083.0</v>
      </c>
      <c r="C26" s="314" t="s">
        <v>391</v>
      </c>
      <c r="D26" s="315" t="str">
        <f t="shared" si="5"/>
        <v/>
      </c>
      <c r="E26" s="315" t="str">
        <f t="shared" si="6"/>
        <v/>
      </c>
      <c r="F26" s="316">
        <v>117.0</v>
      </c>
      <c r="G26" s="317">
        <v>96.0</v>
      </c>
      <c r="H26" s="318">
        <v>523.26</v>
      </c>
      <c r="I26" s="318">
        <v>0.0</v>
      </c>
      <c r="J26" s="318">
        <v>0.0</v>
      </c>
      <c r="K26" s="319">
        <f t="shared" si="7"/>
        <v>523.26</v>
      </c>
      <c r="L26" s="320" t="str">
        <f t="shared" si="4"/>
        <v/>
      </c>
      <c r="M26" s="310" t="s">
        <v>180</v>
      </c>
      <c r="N26" s="310" t="s">
        <v>180</v>
      </c>
      <c r="O26" s="321" t="s">
        <v>187</v>
      </c>
      <c r="P26" s="321" t="s">
        <v>187</v>
      </c>
      <c r="Q26" s="310" t="s">
        <v>180</v>
      </c>
      <c r="R26" s="310" t="s">
        <v>180</v>
      </c>
      <c r="T26" s="323"/>
      <c r="U26" s="326"/>
      <c r="V26" s="327"/>
    </row>
    <row r="27">
      <c r="A27" s="312"/>
      <c r="B27" s="313">
        <v>46083.0</v>
      </c>
      <c r="C27" s="314" t="s">
        <v>187</v>
      </c>
      <c r="D27" s="315" t="str">
        <f t="shared" si="5"/>
        <v>FIRST_DEPOSIT</v>
      </c>
      <c r="E27" s="315" t="str">
        <f t="shared" si="6"/>
        <v>首存</v>
      </c>
      <c r="F27" s="316">
        <v>65.0</v>
      </c>
      <c r="G27" s="317">
        <v>65.0</v>
      </c>
      <c r="H27" s="318">
        <v>4305.0</v>
      </c>
      <c r="I27" s="318">
        <v>0.0</v>
      </c>
      <c r="J27" s="318">
        <v>0.0</v>
      </c>
      <c r="K27" s="319">
        <f t="shared" si="7"/>
        <v>4305</v>
      </c>
      <c r="L27" s="320" t="str">
        <f t="shared" si="4"/>
        <v>首存</v>
      </c>
      <c r="M27" s="310" t="s">
        <v>183</v>
      </c>
      <c r="N27" s="310" t="s">
        <v>183</v>
      </c>
      <c r="O27" s="310" t="s">
        <v>180</v>
      </c>
      <c r="P27" s="310" t="s">
        <v>180</v>
      </c>
      <c r="Q27" s="309" t="s">
        <v>138</v>
      </c>
      <c r="R27" s="308" t="s">
        <v>184</v>
      </c>
      <c r="T27" s="323"/>
      <c r="U27" s="326"/>
      <c r="V27" s="327"/>
    </row>
    <row r="28">
      <c r="A28" s="312"/>
      <c r="B28" s="313">
        <v>46083.0</v>
      </c>
      <c r="C28" s="314" t="s">
        <v>424</v>
      </c>
      <c r="D28" s="315" t="str">
        <f t="shared" si="5"/>
        <v/>
      </c>
      <c r="E28" s="315" t="str">
        <f t="shared" si="6"/>
        <v/>
      </c>
      <c r="F28" s="316">
        <v>65.0</v>
      </c>
      <c r="G28" s="317">
        <v>65.0</v>
      </c>
      <c r="H28" s="318">
        <v>4305.0</v>
      </c>
      <c r="I28" s="318">
        <v>0.0</v>
      </c>
      <c r="J28" s="318">
        <v>0.0</v>
      </c>
      <c r="K28" s="319">
        <f t="shared" si="7"/>
        <v>4305</v>
      </c>
      <c r="L28" s="320" t="str">
        <f t="shared" si="4"/>
        <v/>
      </c>
      <c r="M28" s="310" t="s">
        <v>181</v>
      </c>
      <c r="N28" s="310" t="s">
        <v>181</v>
      </c>
      <c r="O28" s="310" t="s">
        <v>183</v>
      </c>
      <c r="P28" s="310" t="s">
        <v>183</v>
      </c>
      <c r="Q28" s="310" t="s">
        <v>183</v>
      </c>
      <c r="R28" s="310" t="s">
        <v>183</v>
      </c>
      <c r="T28" s="323"/>
      <c r="U28" s="326"/>
      <c r="V28" s="327"/>
    </row>
    <row r="29">
      <c r="A29" s="312"/>
      <c r="B29" s="313">
        <v>46083.0</v>
      </c>
      <c r="C29" s="314" t="s">
        <v>175</v>
      </c>
      <c r="D29" s="315" t="str">
        <f t="shared" si="5"/>
        <v>LOGIN</v>
      </c>
      <c r="E29" s="315" t="str">
        <f t="shared" si="6"/>
        <v>签到奖励</v>
      </c>
      <c r="F29" s="316">
        <v>2710.0</v>
      </c>
      <c r="G29" s="317">
        <v>2710.0</v>
      </c>
      <c r="H29" s="318">
        <v>4192.0</v>
      </c>
      <c r="I29" s="318">
        <v>0.0</v>
      </c>
      <c r="J29" s="318">
        <v>0.0</v>
      </c>
      <c r="K29" s="319">
        <f t="shared" si="7"/>
        <v>4192</v>
      </c>
      <c r="L29" s="320" t="str">
        <f t="shared" si="4"/>
        <v>签到奖励</v>
      </c>
      <c r="M29" s="310" t="s">
        <v>429</v>
      </c>
      <c r="N29" s="310" t="s">
        <v>429</v>
      </c>
      <c r="O29" s="310" t="s">
        <v>181</v>
      </c>
      <c r="P29" s="310" t="s">
        <v>181</v>
      </c>
      <c r="Q29" s="310" t="s">
        <v>181</v>
      </c>
      <c r="R29" s="310" t="s">
        <v>181</v>
      </c>
      <c r="T29" s="323"/>
      <c r="U29" s="326"/>
      <c r="V29" s="327"/>
    </row>
    <row r="30">
      <c r="A30" s="312"/>
      <c r="B30" s="313">
        <v>46083.0</v>
      </c>
      <c r="C30" s="314" t="s">
        <v>425</v>
      </c>
      <c r="D30" s="315" t="str">
        <f t="shared" si="5"/>
        <v/>
      </c>
      <c r="E30" s="315" t="str">
        <f t="shared" si="6"/>
        <v/>
      </c>
      <c r="F30" s="316">
        <v>2710.0</v>
      </c>
      <c r="G30" s="317">
        <v>2710.0</v>
      </c>
      <c r="H30" s="318">
        <v>4192.0</v>
      </c>
      <c r="I30" s="318">
        <v>0.0</v>
      </c>
      <c r="J30" s="318">
        <v>0.0</v>
      </c>
      <c r="K30" s="319">
        <f t="shared" si="7"/>
        <v>4192</v>
      </c>
      <c r="L30" s="320" t="str">
        <f t="shared" si="4"/>
        <v/>
      </c>
      <c r="M30" s="328"/>
      <c r="N30" s="328"/>
      <c r="O30" s="310" t="s">
        <v>429</v>
      </c>
      <c r="P30" s="310" t="s">
        <v>429</v>
      </c>
      <c r="Q30" s="310" t="s">
        <v>429</v>
      </c>
      <c r="R30" s="310" t="s">
        <v>429</v>
      </c>
      <c r="T30" s="323"/>
      <c r="U30" s="326"/>
      <c r="V30" s="327"/>
    </row>
    <row r="31">
      <c r="A31" s="312"/>
      <c r="B31" s="313">
        <v>46083.0</v>
      </c>
      <c r="C31" s="314" t="s">
        <v>180</v>
      </c>
      <c r="D31" s="315" t="str">
        <f t="shared" si="5"/>
        <v>登录任务</v>
      </c>
      <c r="E31" s="315" t="str">
        <f t="shared" si="6"/>
        <v>登录任务</v>
      </c>
      <c r="F31" s="316">
        <v>0.0</v>
      </c>
      <c r="G31" s="317">
        <v>208.0</v>
      </c>
      <c r="H31" s="318">
        <v>0.0</v>
      </c>
      <c r="I31" s="318">
        <v>329.0</v>
      </c>
      <c r="J31" s="318">
        <v>229.0</v>
      </c>
      <c r="K31" s="319">
        <f t="shared" si="7"/>
        <v>329</v>
      </c>
      <c r="L31" s="320" t="str">
        <f t="shared" si="4"/>
        <v>登录任务</v>
      </c>
      <c r="T31" s="323"/>
      <c r="U31" s="324"/>
      <c r="V31" s="327"/>
    </row>
    <row r="32">
      <c r="A32" s="312"/>
      <c r="B32" s="313">
        <v>46083.0</v>
      </c>
      <c r="C32" s="314" t="s">
        <v>426</v>
      </c>
      <c r="D32" s="315" t="str">
        <f t="shared" si="5"/>
        <v/>
      </c>
      <c r="E32" s="315" t="str">
        <f t="shared" si="6"/>
        <v/>
      </c>
      <c r="F32" s="316">
        <v>0.0</v>
      </c>
      <c r="G32" s="316">
        <v>208.0</v>
      </c>
      <c r="H32" s="318">
        <v>0.0</v>
      </c>
      <c r="I32" s="318">
        <v>329.0</v>
      </c>
      <c r="J32" s="318">
        <v>229.0</v>
      </c>
      <c r="K32" s="319">
        <f t="shared" si="7"/>
        <v>329</v>
      </c>
      <c r="L32" s="320" t="str">
        <f t="shared" si="4"/>
        <v/>
      </c>
      <c r="T32" s="323"/>
      <c r="U32" s="326"/>
      <c r="V32" s="327"/>
    </row>
    <row r="33">
      <c r="A33" s="312"/>
      <c r="B33" s="313">
        <v>46083.0</v>
      </c>
      <c r="C33" s="314" t="s">
        <v>133</v>
      </c>
      <c r="D33" s="315" t="str">
        <f t="shared" si="5"/>
        <v>邀请返佣</v>
      </c>
      <c r="E33" s="315" t="str">
        <f t="shared" si="6"/>
        <v>邀请返佣</v>
      </c>
      <c r="F33" s="316">
        <v>129.0</v>
      </c>
      <c r="G33" s="317">
        <v>106.0</v>
      </c>
      <c r="H33" s="318">
        <v>178.84</v>
      </c>
      <c r="I33" s="318">
        <v>0.0</v>
      </c>
      <c r="J33" s="318">
        <v>0.0</v>
      </c>
      <c r="K33" s="319">
        <f t="shared" si="7"/>
        <v>178.84</v>
      </c>
      <c r="L33" s="320" t="str">
        <f t="shared" si="4"/>
        <v>邀请返佣</v>
      </c>
      <c r="T33" s="323"/>
      <c r="U33" s="326"/>
      <c r="V33" s="327"/>
    </row>
    <row r="34">
      <c r="A34" s="312"/>
      <c r="B34" s="313">
        <v>46083.0</v>
      </c>
      <c r="C34" s="314" t="s">
        <v>361</v>
      </c>
      <c r="D34" s="315" t="str">
        <f t="shared" si="5"/>
        <v/>
      </c>
      <c r="E34" s="315" t="str">
        <f t="shared" si="6"/>
        <v/>
      </c>
      <c r="F34" s="316">
        <v>1.0</v>
      </c>
      <c r="G34" s="317">
        <v>1.0</v>
      </c>
      <c r="H34" s="318">
        <v>5.0</v>
      </c>
      <c r="I34" s="318">
        <v>0.0</v>
      </c>
      <c r="J34" s="318">
        <v>0.0</v>
      </c>
      <c r="K34" s="319">
        <f t="shared" si="7"/>
        <v>5</v>
      </c>
      <c r="L34" s="320" t="str">
        <f t="shared" si="4"/>
        <v/>
      </c>
      <c r="T34" s="323"/>
      <c r="U34" s="326"/>
      <c r="V34" s="327"/>
    </row>
    <row r="35">
      <c r="A35" s="312"/>
      <c r="B35" s="313">
        <v>46083.0</v>
      </c>
      <c r="C35" s="314" t="s">
        <v>362</v>
      </c>
      <c r="D35" s="315" t="str">
        <f t="shared" si="5"/>
        <v/>
      </c>
      <c r="E35" s="315" t="str">
        <f t="shared" si="6"/>
        <v/>
      </c>
      <c r="F35" s="316">
        <v>23.0</v>
      </c>
      <c r="G35" s="317">
        <v>23.0</v>
      </c>
      <c r="H35" s="318">
        <v>6.48</v>
      </c>
      <c r="I35" s="318">
        <v>0.0</v>
      </c>
      <c r="J35" s="318">
        <v>0.0</v>
      </c>
      <c r="K35" s="319">
        <f t="shared" si="7"/>
        <v>6.48</v>
      </c>
      <c r="L35" s="320" t="str">
        <f t="shared" si="4"/>
        <v/>
      </c>
      <c r="T35" s="323"/>
      <c r="U35" s="326"/>
      <c r="V35" s="327"/>
    </row>
    <row r="36">
      <c r="A36" s="312"/>
      <c r="B36" s="313">
        <v>46083.0</v>
      </c>
      <c r="C36" s="314" t="s">
        <v>360</v>
      </c>
      <c r="D36" s="315" t="str">
        <f t="shared" si="5"/>
        <v/>
      </c>
      <c r="E36" s="315" t="str">
        <f t="shared" si="6"/>
        <v/>
      </c>
      <c r="F36" s="316">
        <v>8.0</v>
      </c>
      <c r="G36" s="317">
        <v>8.0</v>
      </c>
      <c r="H36" s="318">
        <v>120.0</v>
      </c>
      <c r="I36" s="318">
        <v>0.0</v>
      </c>
      <c r="J36" s="318">
        <v>0.0</v>
      </c>
      <c r="K36" s="319">
        <f t="shared" si="7"/>
        <v>120</v>
      </c>
      <c r="L36" s="320" t="str">
        <f t="shared" si="4"/>
        <v/>
      </c>
      <c r="T36" s="323"/>
      <c r="U36" s="326"/>
      <c r="V36" s="327"/>
    </row>
    <row r="37">
      <c r="A37" s="312"/>
      <c r="B37" s="313">
        <v>46083.0</v>
      </c>
      <c r="C37" s="314" t="s">
        <v>427</v>
      </c>
      <c r="D37" s="315" t="str">
        <f t="shared" si="5"/>
        <v/>
      </c>
      <c r="E37" s="315" t="str">
        <f t="shared" si="6"/>
        <v/>
      </c>
      <c r="F37" s="316">
        <v>97.0</v>
      </c>
      <c r="G37" s="316">
        <v>97.0</v>
      </c>
      <c r="H37" s="318">
        <v>47.36</v>
      </c>
      <c r="I37" s="318">
        <v>0.0</v>
      </c>
      <c r="J37" s="318">
        <v>0.0</v>
      </c>
      <c r="K37" s="319">
        <f t="shared" si="7"/>
        <v>47.36</v>
      </c>
      <c r="L37" s="320" t="str">
        <f t="shared" si="4"/>
        <v/>
      </c>
      <c r="M37" s="239"/>
      <c r="T37" s="323"/>
      <c r="U37" s="326"/>
      <c r="V37" s="327"/>
    </row>
    <row r="38">
      <c r="A38" s="312"/>
      <c r="B38" s="313">
        <v>46083.0</v>
      </c>
      <c r="C38" s="314" t="s">
        <v>176</v>
      </c>
      <c r="D38" s="315" t="str">
        <f t="shared" si="5"/>
        <v>UPGRADE_BONUS</v>
      </c>
      <c r="E38" s="315" t="str">
        <f t="shared" si="6"/>
        <v>升级奖励</v>
      </c>
      <c r="F38" s="316">
        <v>165.0</v>
      </c>
      <c r="G38" s="317">
        <v>143.0</v>
      </c>
      <c r="H38" s="318">
        <v>276.0</v>
      </c>
      <c r="I38" s="318">
        <v>0.0</v>
      </c>
      <c r="J38" s="318">
        <v>0.0</v>
      </c>
      <c r="K38" s="319">
        <f t="shared" si="7"/>
        <v>276</v>
      </c>
      <c r="L38" s="320" t="str">
        <f t="shared" si="4"/>
        <v>升级奖励</v>
      </c>
      <c r="T38" s="323"/>
      <c r="U38" s="324"/>
      <c r="V38" s="327"/>
    </row>
    <row r="39">
      <c r="A39" s="312"/>
      <c r="B39" s="313">
        <v>46083.0</v>
      </c>
      <c r="C39" s="314" t="s">
        <v>428</v>
      </c>
      <c r="D39" s="315" t="str">
        <f t="shared" si="5"/>
        <v/>
      </c>
      <c r="E39" s="315" t="str">
        <f t="shared" si="6"/>
        <v/>
      </c>
      <c r="F39" s="316">
        <v>165.0</v>
      </c>
      <c r="G39" s="317">
        <v>143.0</v>
      </c>
      <c r="H39" s="318">
        <v>276.0</v>
      </c>
      <c r="I39" s="318">
        <v>0.0</v>
      </c>
      <c r="J39" s="318">
        <v>0.0</v>
      </c>
      <c r="K39" s="319">
        <f t="shared" si="7"/>
        <v>276</v>
      </c>
      <c r="L39" s="320" t="str">
        <f t="shared" si="4"/>
        <v/>
      </c>
      <c r="T39" s="323"/>
      <c r="U39" s="326"/>
      <c r="V39" s="327"/>
    </row>
    <row r="40">
      <c r="A40" s="312"/>
      <c r="B40" s="330"/>
      <c r="C40" s="331"/>
      <c r="D40" s="332"/>
      <c r="E40" s="332"/>
      <c r="F40" s="333"/>
      <c r="G40" s="334"/>
      <c r="H40" s="335"/>
      <c r="I40" s="335"/>
      <c r="J40" s="335"/>
      <c r="K40" s="336"/>
      <c r="L40" s="250" t="str">
        <f t="shared" si="4"/>
        <v/>
      </c>
      <c r="T40" s="323"/>
      <c r="U40" s="326"/>
      <c r="V40" s="327"/>
    </row>
    <row r="41">
      <c r="A41" s="312"/>
      <c r="B41" s="313">
        <v>46084.0</v>
      </c>
      <c r="C41" s="314" t="s">
        <v>172</v>
      </c>
      <c r="D41" s="315" t="str">
        <f t="shared" ref="D41:D58" si="8">IFERROR(vlookup(C41,$Q$3:$R$30,2,0),"")</f>
        <v>GAME_REBATE</v>
      </c>
      <c r="E41" s="315" t="str">
        <f t="shared" ref="E41:E58" si="9">IFERROR(vlookup(D41,$O$2:$P$30,2,0),"")</f>
        <v>玩家返水</v>
      </c>
      <c r="F41" s="316">
        <v>325.0</v>
      </c>
      <c r="G41" s="316">
        <v>325.0</v>
      </c>
      <c r="H41" s="318">
        <v>2947.54</v>
      </c>
      <c r="I41" s="318">
        <v>0.0</v>
      </c>
      <c r="J41" s="318">
        <v>0.0</v>
      </c>
      <c r="K41" s="319">
        <f t="shared" ref="K41:K58" si="10">H41+I41</f>
        <v>2947.54</v>
      </c>
      <c r="L41" s="320" t="str">
        <f t="shared" si="4"/>
        <v>玩家返水</v>
      </c>
      <c r="M41" s="239"/>
      <c r="T41" s="323"/>
      <c r="U41" s="326"/>
      <c r="V41" s="327"/>
    </row>
    <row r="42">
      <c r="A42" s="312"/>
      <c r="B42" s="313">
        <v>46084.0</v>
      </c>
      <c r="C42" s="314" t="s">
        <v>383</v>
      </c>
      <c r="D42" s="315" t="str">
        <f t="shared" si="8"/>
        <v/>
      </c>
      <c r="E42" s="315" t="str">
        <f t="shared" si="9"/>
        <v/>
      </c>
      <c r="F42" s="337">
        <v>323.0</v>
      </c>
      <c r="G42" s="337">
        <v>323.0</v>
      </c>
      <c r="H42" s="337">
        <v>2945.62</v>
      </c>
      <c r="I42" s="337">
        <v>0.0</v>
      </c>
      <c r="J42" s="337">
        <v>0.0</v>
      </c>
      <c r="K42" s="319">
        <f t="shared" si="10"/>
        <v>2945.62</v>
      </c>
      <c r="L42" s="320" t="str">
        <f t="shared" si="4"/>
        <v/>
      </c>
      <c r="M42" s="239"/>
      <c r="T42" s="323"/>
      <c r="U42" s="326"/>
      <c r="V42" s="327"/>
    </row>
    <row r="43">
      <c r="A43" s="312"/>
      <c r="B43" s="313">
        <v>46084.0</v>
      </c>
      <c r="C43" s="314" t="s">
        <v>384</v>
      </c>
      <c r="D43" s="315" t="str">
        <f t="shared" si="8"/>
        <v/>
      </c>
      <c r="E43" s="315" t="str">
        <f t="shared" si="9"/>
        <v/>
      </c>
      <c r="F43" s="316">
        <v>4.0</v>
      </c>
      <c r="G43" s="317">
        <v>4.0</v>
      </c>
      <c r="H43" s="318">
        <v>1.92</v>
      </c>
      <c r="I43" s="318">
        <v>0.0</v>
      </c>
      <c r="J43" s="318">
        <v>0.0</v>
      </c>
      <c r="K43" s="319">
        <f t="shared" si="10"/>
        <v>1.92</v>
      </c>
      <c r="L43" s="320" t="str">
        <f t="shared" si="4"/>
        <v/>
      </c>
      <c r="M43" s="239"/>
      <c r="T43" s="323"/>
      <c r="U43" s="326"/>
      <c r="V43" s="327"/>
    </row>
    <row r="44">
      <c r="A44" s="312"/>
      <c r="B44" s="313">
        <v>46084.0</v>
      </c>
      <c r="C44" s="314" t="s">
        <v>174</v>
      </c>
      <c r="D44" s="315" t="str">
        <f t="shared" si="8"/>
        <v>DEPOSIT</v>
      </c>
      <c r="E44" s="315" t="str">
        <f t="shared" si="9"/>
        <v>笔笔存送</v>
      </c>
      <c r="F44" s="316">
        <v>101.0</v>
      </c>
      <c r="G44" s="317">
        <v>66.0</v>
      </c>
      <c r="H44" s="318">
        <v>499.89</v>
      </c>
      <c r="I44" s="318">
        <v>0.0</v>
      </c>
      <c r="J44" s="318">
        <v>0.0</v>
      </c>
      <c r="K44" s="319">
        <f t="shared" si="10"/>
        <v>499.89</v>
      </c>
      <c r="L44" s="320" t="str">
        <f t="shared" si="4"/>
        <v>笔笔存送</v>
      </c>
      <c r="T44" s="323"/>
      <c r="U44" s="326"/>
      <c r="V44" s="327"/>
    </row>
    <row r="45">
      <c r="A45" s="338"/>
      <c r="B45" s="313">
        <v>46084.0</v>
      </c>
      <c r="C45" s="314" t="s">
        <v>391</v>
      </c>
      <c r="D45" s="315" t="str">
        <f t="shared" si="8"/>
        <v/>
      </c>
      <c r="E45" s="315" t="str">
        <f t="shared" si="9"/>
        <v/>
      </c>
      <c r="F45" s="318">
        <v>101.0</v>
      </c>
      <c r="G45" s="318">
        <v>66.0</v>
      </c>
      <c r="H45" s="318">
        <v>499.89</v>
      </c>
      <c r="I45" s="318">
        <v>0.0</v>
      </c>
      <c r="J45" s="318">
        <v>0.0</v>
      </c>
      <c r="K45" s="319">
        <f t="shared" si="10"/>
        <v>499.89</v>
      </c>
      <c r="L45" s="320" t="str">
        <f t="shared" si="4"/>
        <v/>
      </c>
      <c r="M45" s="239"/>
      <c r="T45" s="323"/>
      <c r="U45" s="324"/>
      <c r="V45" s="327"/>
    </row>
    <row r="46">
      <c r="A46" s="338"/>
      <c r="B46" s="313">
        <v>46084.0</v>
      </c>
      <c r="C46" s="314" t="s">
        <v>187</v>
      </c>
      <c r="D46" s="315" t="str">
        <f t="shared" si="8"/>
        <v>FIRST_DEPOSIT</v>
      </c>
      <c r="E46" s="315" t="str">
        <f t="shared" si="9"/>
        <v>首存</v>
      </c>
      <c r="F46" s="316">
        <v>42.0</v>
      </c>
      <c r="G46" s="317">
        <v>42.0</v>
      </c>
      <c r="H46" s="318">
        <v>3010.0</v>
      </c>
      <c r="I46" s="318">
        <v>0.0</v>
      </c>
      <c r="J46" s="318">
        <v>0.0</v>
      </c>
      <c r="K46" s="319">
        <f t="shared" si="10"/>
        <v>3010</v>
      </c>
      <c r="L46" s="320" t="str">
        <f t="shared" si="4"/>
        <v>首存</v>
      </c>
      <c r="T46" s="323"/>
      <c r="U46" s="326"/>
      <c r="V46" s="327"/>
    </row>
    <row r="47">
      <c r="A47" s="338"/>
      <c r="B47" s="313">
        <v>46084.0</v>
      </c>
      <c r="C47" s="314" t="s">
        <v>424</v>
      </c>
      <c r="D47" s="315" t="str">
        <f t="shared" si="8"/>
        <v/>
      </c>
      <c r="E47" s="315" t="str">
        <f t="shared" si="9"/>
        <v/>
      </c>
      <c r="F47" s="318">
        <v>42.0</v>
      </c>
      <c r="G47" s="318">
        <v>42.0</v>
      </c>
      <c r="H47" s="318">
        <v>3010.0</v>
      </c>
      <c r="I47" s="318">
        <v>0.0</v>
      </c>
      <c r="J47" s="318">
        <v>0.0</v>
      </c>
      <c r="K47" s="319">
        <f t="shared" si="10"/>
        <v>3010</v>
      </c>
      <c r="L47" s="320" t="str">
        <f t="shared" si="4"/>
        <v/>
      </c>
      <c r="M47" s="239"/>
      <c r="T47" s="323"/>
      <c r="U47" s="326"/>
      <c r="V47" s="327"/>
    </row>
    <row r="48">
      <c r="A48" s="338"/>
      <c r="B48" s="313">
        <v>46084.0</v>
      </c>
      <c r="C48" s="314" t="s">
        <v>175</v>
      </c>
      <c r="D48" s="315" t="str">
        <f t="shared" si="8"/>
        <v>LOGIN</v>
      </c>
      <c r="E48" s="315" t="str">
        <f t="shared" si="9"/>
        <v>签到奖励</v>
      </c>
      <c r="F48" s="316">
        <v>2707.0</v>
      </c>
      <c r="G48" s="317">
        <v>2707.0</v>
      </c>
      <c r="H48" s="318">
        <v>4078.0</v>
      </c>
      <c r="I48" s="318">
        <v>0.0</v>
      </c>
      <c r="J48" s="318">
        <v>0.0</v>
      </c>
      <c r="K48" s="319">
        <f t="shared" si="10"/>
        <v>4078</v>
      </c>
      <c r="L48" s="320" t="str">
        <f t="shared" si="4"/>
        <v>签到奖励</v>
      </c>
      <c r="T48" s="323"/>
      <c r="U48" s="326"/>
      <c r="V48" s="327"/>
    </row>
    <row r="49">
      <c r="A49" s="338"/>
      <c r="B49" s="313">
        <v>46084.0</v>
      </c>
      <c r="C49" s="314" t="s">
        <v>425</v>
      </c>
      <c r="D49" s="315" t="str">
        <f t="shared" si="8"/>
        <v/>
      </c>
      <c r="E49" s="315" t="str">
        <f t="shared" si="9"/>
        <v/>
      </c>
      <c r="F49" s="318">
        <v>2707.0</v>
      </c>
      <c r="G49" s="318">
        <v>2707.0</v>
      </c>
      <c r="H49" s="318">
        <v>4078.0</v>
      </c>
      <c r="I49" s="318">
        <v>0.0</v>
      </c>
      <c r="J49" s="318">
        <v>0.0</v>
      </c>
      <c r="K49" s="319">
        <f t="shared" si="10"/>
        <v>4078</v>
      </c>
      <c r="L49" s="320" t="str">
        <f t="shared" si="4"/>
        <v/>
      </c>
      <c r="M49" s="239"/>
      <c r="T49" s="323"/>
      <c r="U49" s="326"/>
      <c r="V49" s="327"/>
    </row>
    <row r="50">
      <c r="A50" s="338"/>
      <c r="B50" s="313">
        <v>46084.0</v>
      </c>
      <c r="C50" s="314" t="s">
        <v>180</v>
      </c>
      <c r="D50" s="315" t="str">
        <f t="shared" si="8"/>
        <v>登录任务</v>
      </c>
      <c r="E50" s="315" t="str">
        <f t="shared" si="9"/>
        <v>登录任务</v>
      </c>
      <c r="F50" s="316">
        <v>0.0</v>
      </c>
      <c r="G50" s="317">
        <v>171.0</v>
      </c>
      <c r="H50" s="318">
        <v>0.0</v>
      </c>
      <c r="I50" s="318">
        <v>263.0</v>
      </c>
      <c r="J50" s="318">
        <v>187.0</v>
      </c>
      <c r="K50" s="319">
        <f t="shared" si="10"/>
        <v>263</v>
      </c>
      <c r="L50" s="320" t="str">
        <f t="shared" si="4"/>
        <v>登录任务</v>
      </c>
      <c r="T50" s="323"/>
      <c r="U50" s="326"/>
      <c r="V50" s="327"/>
    </row>
    <row r="51">
      <c r="A51" s="338"/>
      <c r="B51" s="313">
        <v>46084.0</v>
      </c>
      <c r="C51" s="314" t="s">
        <v>426</v>
      </c>
      <c r="D51" s="315" t="str">
        <f t="shared" si="8"/>
        <v/>
      </c>
      <c r="E51" s="315" t="str">
        <f t="shared" si="9"/>
        <v/>
      </c>
      <c r="F51" s="316">
        <v>0.0</v>
      </c>
      <c r="G51" s="317">
        <v>171.0</v>
      </c>
      <c r="H51" s="318">
        <v>0.0</v>
      </c>
      <c r="I51" s="318">
        <v>263.0</v>
      </c>
      <c r="J51" s="318">
        <v>187.0</v>
      </c>
      <c r="K51" s="319">
        <f t="shared" si="10"/>
        <v>263</v>
      </c>
      <c r="L51" s="320" t="str">
        <f t="shared" si="4"/>
        <v/>
      </c>
      <c r="T51" s="323"/>
      <c r="U51" s="326"/>
      <c r="V51" s="327"/>
    </row>
    <row r="52">
      <c r="A52" s="338"/>
      <c r="B52" s="313">
        <v>46084.0</v>
      </c>
      <c r="C52" s="314" t="s">
        <v>133</v>
      </c>
      <c r="D52" s="315" t="str">
        <f t="shared" si="8"/>
        <v>邀请返佣</v>
      </c>
      <c r="E52" s="315" t="str">
        <f t="shared" si="9"/>
        <v>邀请返佣</v>
      </c>
      <c r="F52" s="316">
        <v>111.0</v>
      </c>
      <c r="G52" s="317">
        <v>90.0</v>
      </c>
      <c r="H52" s="318">
        <v>251.89</v>
      </c>
      <c r="I52" s="318">
        <v>0.0</v>
      </c>
      <c r="J52" s="318">
        <v>0.0</v>
      </c>
      <c r="K52" s="319">
        <f t="shared" si="10"/>
        <v>251.89</v>
      </c>
      <c r="L52" s="320" t="str">
        <f t="shared" si="4"/>
        <v>邀请返佣</v>
      </c>
      <c r="T52" s="323"/>
      <c r="U52" s="324"/>
      <c r="V52" s="327"/>
    </row>
    <row r="53">
      <c r="A53" s="338"/>
      <c r="B53" s="313">
        <v>46084.0</v>
      </c>
      <c r="C53" s="314" t="s">
        <v>361</v>
      </c>
      <c r="D53" s="315" t="str">
        <f t="shared" si="8"/>
        <v/>
      </c>
      <c r="E53" s="315" t="str">
        <f t="shared" si="9"/>
        <v/>
      </c>
      <c r="F53" s="316">
        <v>1.0</v>
      </c>
      <c r="G53" s="317">
        <v>1.0</v>
      </c>
      <c r="H53" s="318">
        <v>15.0</v>
      </c>
      <c r="I53" s="318">
        <v>0.0</v>
      </c>
      <c r="J53" s="318">
        <v>0.0</v>
      </c>
      <c r="K53" s="319">
        <f t="shared" si="10"/>
        <v>15</v>
      </c>
      <c r="L53" s="320" t="str">
        <f t="shared" si="4"/>
        <v/>
      </c>
      <c r="T53" s="323"/>
      <c r="U53" s="326"/>
      <c r="V53" s="327"/>
    </row>
    <row r="54">
      <c r="A54" s="338"/>
      <c r="B54" s="313">
        <v>46084.0</v>
      </c>
      <c r="C54" s="314" t="s">
        <v>362</v>
      </c>
      <c r="D54" s="315" t="str">
        <f t="shared" si="8"/>
        <v/>
      </c>
      <c r="E54" s="315" t="str">
        <f t="shared" si="9"/>
        <v/>
      </c>
      <c r="F54" s="316">
        <v>18.0</v>
      </c>
      <c r="G54" s="316">
        <v>18.0</v>
      </c>
      <c r="H54" s="316">
        <v>3.15</v>
      </c>
      <c r="I54" s="316">
        <v>0.0</v>
      </c>
      <c r="J54" s="316">
        <v>0.0</v>
      </c>
      <c r="K54" s="319">
        <f t="shared" si="10"/>
        <v>3.15</v>
      </c>
      <c r="L54" s="320" t="str">
        <f t="shared" si="4"/>
        <v/>
      </c>
      <c r="M54" s="239"/>
      <c r="T54" s="323"/>
      <c r="U54" s="326"/>
      <c r="V54" s="327"/>
    </row>
    <row r="55">
      <c r="A55" s="338"/>
      <c r="B55" s="313">
        <v>46084.0</v>
      </c>
      <c r="C55" s="314" t="s">
        <v>360</v>
      </c>
      <c r="D55" s="315" t="str">
        <f t="shared" si="8"/>
        <v/>
      </c>
      <c r="E55" s="315" t="str">
        <f t="shared" si="9"/>
        <v/>
      </c>
      <c r="F55" s="316">
        <v>14.0</v>
      </c>
      <c r="G55" s="317">
        <v>13.0</v>
      </c>
      <c r="H55" s="318">
        <v>210.0</v>
      </c>
      <c r="I55" s="318">
        <v>0.0</v>
      </c>
      <c r="J55" s="318">
        <v>0.0</v>
      </c>
      <c r="K55" s="319">
        <f t="shared" si="10"/>
        <v>210</v>
      </c>
      <c r="L55" s="320" t="str">
        <f t="shared" si="4"/>
        <v/>
      </c>
      <c r="T55" s="323"/>
      <c r="U55" s="326"/>
      <c r="V55" s="327"/>
    </row>
    <row r="56">
      <c r="A56" s="338"/>
      <c r="B56" s="313">
        <v>46084.0</v>
      </c>
      <c r="C56" s="314" t="s">
        <v>427</v>
      </c>
      <c r="D56" s="315" t="str">
        <f t="shared" si="8"/>
        <v/>
      </c>
      <c r="E56" s="315" t="str">
        <f t="shared" si="9"/>
        <v/>
      </c>
      <c r="F56" s="316">
        <v>78.0</v>
      </c>
      <c r="G56" s="317">
        <v>78.0</v>
      </c>
      <c r="H56" s="318">
        <v>23.74</v>
      </c>
      <c r="I56" s="318">
        <v>0.0</v>
      </c>
      <c r="J56" s="318">
        <v>0.0</v>
      </c>
      <c r="K56" s="319">
        <f t="shared" si="10"/>
        <v>23.74</v>
      </c>
      <c r="L56" s="320" t="str">
        <f t="shared" si="4"/>
        <v/>
      </c>
      <c r="T56" s="323"/>
      <c r="U56" s="326"/>
      <c r="V56" s="327"/>
    </row>
    <row r="57">
      <c r="A57" s="338"/>
      <c r="B57" s="313">
        <v>46084.0</v>
      </c>
      <c r="C57" s="314" t="s">
        <v>176</v>
      </c>
      <c r="D57" s="315" t="str">
        <f t="shared" si="8"/>
        <v>UPGRADE_BONUS</v>
      </c>
      <c r="E57" s="315" t="str">
        <f t="shared" si="9"/>
        <v>升级奖励</v>
      </c>
      <c r="F57" s="316">
        <v>229.0</v>
      </c>
      <c r="G57" s="317">
        <v>189.0</v>
      </c>
      <c r="H57" s="318">
        <v>426.0</v>
      </c>
      <c r="I57" s="318">
        <v>0.0</v>
      </c>
      <c r="J57" s="318">
        <v>0.0</v>
      </c>
      <c r="K57" s="319">
        <f t="shared" si="10"/>
        <v>426</v>
      </c>
      <c r="L57" s="320" t="str">
        <f t="shared" si="4"/>
        <v>升级奖励</v>
      </c>
      <c r="T57" s="323"/>
      <c r="U57" s="326"/>
      <c r="V57" s="327"/>
    </row>
    <row r="58">
      <c r="A58" s="338"/>
      <c r="B58" s="313">
        <v>46084.0</v>
      </c>
      <c r="C58" s="314" t="s">
        <v>428</v>
      </c>
      <c r="D58" s="315" t="str">
        <f t="shared" si="8"/>
        <v/>
      </c>
      <c r="E58" s="315" t="str">
        <f t="shared" si="9"/>
        <v/>
      </c>
      <c r="F58" s="316">
        <v>229.0</v>
      </c>
      <c r="G58" s="316">
        <v>189.0</v>
      </c>
      <c r="H58" s="318">
        <v>426.0</v>
      </c>
      <c r="I58" s="318">
        <v>0.0</v>
      </c>
      <c r="J58" s="318">
        <v>0.0</v>
      </c>
      <c r="K58" s="319">
        <f t="shared" si="10"/>
        <v>426</v>
      </c>
      <c r="L58" s="320" t="str">
        <f t="shared" si="4"/>
        <v/>
      </c>
      <c r="T58" s="323"/>
      <c r="U58" s="326"/>
      <c r="V58" s="327"/>
    </row>
    <row r="59">
      <c r="A59" s="338"/>
      <c r="B59" s="330"/>
      <c r="C59" s="331"/>
      <c r="D59" s="332"/>
      <c r="E59" s="332"/>
      <c r="F59" s="333"/>
      <c r="G59" s="334"/>
      <c r="H59" s="335"/>
      <c r="I59" s="335"/>
      <c r="J59" s="335"/>
      <c r="K59" s="336"/>
      <c r="L59" s="250" t="str">
        <f t="shared" si="4"/>
        <v/>
      </c>
      <c r="T59" s="323"/>
      <c r="U59" s="326"/>
      <c r="V59" s="327"/>
    </row>
    <row r="60">
      <c r="A60" s="338"/>
      <c r="B60" s="313">
        <v>46085.0</v>
      </c>
      <c r="C60" s="314" t="s">
        <v>172</v>
      </c>
      <c r="D60" s="315" t="str">
        <f t="shared" ref="D60:D78" si="11">IFERROR(vlookup(C60,$Q$3:$R$30,2,0),"")</f>
        <v>GAME_REBATE</v>
      </c>
      <c r="E60" s="315" t="str">
        <f t="shared" ref="E60:E78" si="12">IFERROR(vlookup(D60,$O$2:$P$30,2,0),"")</f>
        <v>玩家返水</v>
      </c>
      <c r="F60" s="316">
        <v>299.0</v>
      </c>
      <c r="G60" s="317">
        <v>299.0</v>
      </c>
      <c r="H60" s="318">
        <v>1945.7</v>
      </c>
      <c r="I60" s="318">
        <v>0.0</v>
      </c>
      <c r="J60" s="318">
        <v>0.0</v>
      </c>
      <c r="K60" s="319">
        <f t="shared" ref="K60:K78" si="13">H60+I60</f>
        <v>1945.7</v>
      </c>
      <c r="L60" s="320" t="str">
        <f t="shared" si="4"/>
        <v>玩家返水</v>
      </c>
      <c r="T60" s="323"/>
      <c r="U60" s="326"/>
      <c r="V60" s="327"/>
    </row>
    <row r="61">
      <c r="A61" s="338"/>
      <c r="B61" s="313">
        <v>46085.0</v>
      </c>
      <c r="C61" s="314" t="s">
        <v>383</v>
      </c>
      <c r="D61" s="315" t="str">
        <f t="shared" si="11"/>
        <v/>
      </c>
      <c r="E61" s="315" t="str">
        <f t="shared" si="12"/>
        <v/>
      </c>
      <c r="F61" s="316">
        <v>298.0</v>
      </c>
      <c r="G61" s="317">
        <v>298.0</v>
      </c>
      <c r="H61" s="318">
        <v>1939.79</v>
      </c>
      <c r="I61" s="318">
        <v>0.0</v>
      </c>
      <c r="J61" s="318">
        <v>0.0</v>
      </c>
      <c r="K61" s="319">
        <f t="shared" si="13"/>
        <v>1939.79</v>
      </c>
      <c r="L61" s="320" t="str">
        <f t="shared" si="4"/>
        <v/>
      </c>
      <c r="T61" s="323"/>
      <c r="U61" s="326"/>
      <c r="V61" s="327"/>
    </row>
    <row r="62">
      <c r="A62" s="338"/>
      <c r="B62" s="313">
        <v>46085.0</v>
      </c>
      <c r="C62" s="314" t="s">
        <v>384</v>
      </c>
      <c r="D62" s="315" t="str">
        <f t="shared" si="11"/>
        <v/>
      </c>
      <c r="E62" s="315" t="str">
        <f t="shared" si="12"/>
        <v/>
      </c>
      <c r="F62" s="316">
        <v>6.0</v>
      </c>
      <c r="G62" s="317">
        <v>6.0</v>
      </c>
      <c r="H62" s="318">
        <v>5.85</v>
      </c>
      <c r="I62" s="318">
        <v>0.0</v>
      </c>
      <c r="J62" s="318">
        <v>0.0</v>
      </c>
      <c r="K62" s="319">
        <f t="shared" si="13"/>
        <v>5.85</v>
      </c>
      <c r="L62" s="320" t="str">
        <f t="shared" si="4"/>
        <v/>
      </c>
      <c r="T62" s="323"/>
      <c r="U62" s="326"/>
      <c r="V62" s="327"/>
    </row>
    <row r="63">
      <c r="A63" s="338"/>
      <c r="B63" s="313">
        <v>46085.0</v>
      </c>
      <c r="C63" s="314" t="s">
        <v>385</v>
      </c>
      <c r="D63" s="315" t="str">
        <f t="shared" si="11"/>
        <v/>
      </c>
      <c r="E63" s="315" t="str">
        <f t="shared" si="12"/>
        <v/>
      </c>
      <c r="F63" s="316">
        <v>1.0</v>
      </c>
      <c r="G63" s="317">
        <v>1.0</v>
      </c>
      <c r="H63" s="318">
        <v>0.06</v>
      </c>
      <c r="I63" s="318">
        <v>0.0</v>
      </c>
      <c r="J63" s="318">
        <v>0.0</v>
      </c>
      <c r="K63" s="319">
        <f t="shared" si="13"/>
        <v>0.06</v>
      </c>
      <c r="L63" s="320" t="str">
        <f t="shared" si="4"/>
        <v/>
      </c>
      <c r="T63" s="323"/>
      <c r="U63" s="326"/>
      <c r="V63" s="327"/>
    </row>
    <row r="64">
      <c r="A64" s="338"/>
      <c r="B64" s="313">
        <v>46085.0</v>
      </c>
      <c r="C64" s="314" t="s">
        <v>174</v>
      </c>
      <c r="D64" s="315" t="str">
        <f t="shared" si="11"/>
        <v>DEPOSIT</v>
      </c>
      <c r="E64" s="315" t="str">
        <f t="shared" si="12"/>
        <v>笔笔存送</v>
      </c>
      <c r="F64" s="316">
        <v>105.0</v>
      </c>
      <c r="G64" s="317">
        <v>79.0</v>
      </c>
      <c r="H64" s="318">
        <v>636.6</v>
      </c>
      <c r="I64" s="318">
        <v>0.0</v>
      </c>
      <c r="J64" s="318">
        <v>0.0</v>
      </c>
      <c r="K64" s="319">
        <f t="shared" si="13"/>
        <v>636.6</v>
      </c>
      <c r="L64" s="320" t="str">
        <f t="shared" si="4"/>
        <v>笔笔存送</v>
      </c>
      <c r="T64" s="323"/>
      <c r="U64" s="326"/>
      <c r="V64" s="327"/>
    </row>
    <row r="65">
      <c r="A65" s="338"/>
      <c r="B65" s="313">
        <v>46085.0</v>
      </c>
      <c r="C65" s="314" t="s">
        <v>391</v>
      </c>
      <c r="D65" s="315" t="str">
        <f t="shared" si="11"/>
        <v/>
      </c>
      <c r="E65" s="315" t="str">
        <f t="shared" si="12"/>
        <v/>
      </c>
      <c r="F65" s="316">
        <v>105.0</v>
      </c>
      <c r="G65" s="317">
        <v>79.0</v>
      </c>
      <c r="H65" s="318">
        <v>636.6</v>
      </c>
      <c r="I65" s="318">
        <v>0.0</v>
      </c>
      <c r="J65" s="318">
        <v>0.0</v>
      </c>
      <c r="K65" s="319">
        <f t="shared" si="13"/>
        <v>636.6</v>
      </c>
      <c r="L65" s="320" t="str">
        <f t="shared" si="4"/>
        <v/>
      </c>
      <c r="T65" s="323"/>
      <c r="U65" s="326"/>
      <c r="V65" s="327"/>
    </row>
    <row r="66">
      <c r="A66" s="338"/>
      <c r="B66" s="313">
        <v>46085.0</v>
      </c>
      <c r="C66" s="314" t="s">
        <v>187</v>
      </c>
      <c r="D66" s="315" t="str">
        <f t="shared" si="11"/>
        <v>FIRST_DEPOSIT</v>
      </c>
      <c r="E66" s="315" t="str">
        <f t="shared" si="12"/>
        <v>首存</v>
      </c>
      <c r="F66" s="316">
        <v>55.0</v>
      </c>
      <c r="G66" s="317">
        <v>55.0</v>
      </c>
      <c r="H66" s="318">
        <v>3877.0</v>
      </c>
      <c r="I66" s="318">
        <v>0.0</v>
      </c>
      <c r="J66" s="318">
        <v>0.0</v>
      </c>
      <c r="K66" s="319">
        <f t="shared" si="13"/>
        <v>3877</v>
      </c>
      <c r="L66" s="320" t="str">
        <f t="shared" si="4"/>
        <v>首存</v>
      </c>
      <c r="T66" s="323"/>
      <c r="U66" s="326"/>
      <c r="V66" s="327"/>
    </row>
    <row r="67">
      <c r="A67" s="338"/>
      <c r="B67" s="313">
        <v>46085.0</v>
      </c>
      <c r="C67" s="314" t="s">
        <v>424</v>
      </c>
      <c r="D67" s="315" t="str">
        <f t="shared" si="11"/>
        <v/>
      </c>
      <c r="E67" s="315" t="str">
        <f t="shared" si="12"/>
        <v/>
      </c>
      <c r="F67" s="316">
        <v>55.0</v>
      </c>
      <c r="G67" s="317">
        <v>55.0</v>
      </c>
      <c r="H67" s="318">
        <v>3877.0</v>
      </c>
      <c r="I67" s="318">
        <v>0.0</v>
      </c>
      <c r="J67" s="318">
        <v>0.0</v>
      </c>
      <c r="K67" s="319">
        <f t="shared" si="13"/>
        <v>3877</v>
      </c>
      <c r="L67" s="320" t="str">
        <f t="shared" si="4"/>
        <v/>
      </c>
      <c r="T67" s="323"/>
      <c r="U67" s="326"/>
      <c r="V67" s="327"/>
    </row>
    <row r="68">
      <c r="A68" s="338"/>
      <c r="B68" s="313">
        <v>46085.0</v>
      </c>
      <c r="C68" s="314" t="s">
        <v>175</v>
      </c>
      <c r="D68" s="315" t="str">
        <f t="shared" si="11"/>
        <v>LOGIN</v>
      </c>
      <c r="E68" s="315" t="str">
        <f t="shared" si="12"/>
        <v>签到奖励</v>
      </c>
      <c r="F68" s="316">
        <v>2581.0</v>
      </c>
      <c r="G68" s="317">
        <v>2581.0</v>
      </c>
      <c r="H68" s="318">
        <v>4123.0</v>
      </c>
      <c r="I68" s="318">
        <v>0.0</v>
      </c>
      <c r="J68" s="318">
        <v>0.0</v>
      </c>
      <c r="K68" s="319">
        <f t="shared" si="13"/>
        <v>4123</v>
      </c>
      <c r="L68" s="320" t="str">
        <f t="shared" si="4"/>
        <v>签到奖励</v>
      </c>
      <c r="T68" s="323"/>
      <c r="U68" s="326"/>
      <c r="V68" s="327"/>
    </row>
    <row r="69">
      <c r="A69" s="338"/>
      <c r="B69" s="313">
        <v>46085.0</v>
      </c>
      <c r="C69" s="314" t="s">
        <v>425</v>
      </c>
      <c r="D69" s="315" t="str">
        <f t="shared" si="11"/>
        <v/>
      </c>
      <c r="E69" s="315" t="str">
        <f t="shared" si="12"/>
        <v/>
      </c>
      <c r="F69" s="316">
        <v>2581.0</v>
      </c>
      <c r="G69" s="317">
        <v>2581.0</v>
      </c>
      <c r="H69" s="318">
        <v>4123.0</v>
      </c>
      <c r="I69" s="318">
        <v>0.0</v>
      </c>
      <c r="J69" s="318">
        <v>0.0</v>
      </c>
      <c r="K69" s="319">
        <f t="shared" si="13"/>
        <v>4123</v>
      </c>
      <c r="L69" s="320" t="str">
        <f t="shared" si="4"/>
        <v/>
      </c>
      <c r="T69" s="323"/>
      <c r="U69" s="326"/>
      <c r="V69" s="327"/>
    </row>
    <row r="70">
      <c r="A70" s="338"/>
      <c r="B70" s="313">
        <v>46085.0</v>
      </c>
      <c r="C70" s="314" t="s">
        <v>180</v>
      </c>
      <c r="D70" s="315" t="str">
        <f t="shared" si="11"/>
        <v>登录任务</v>
      </c>
      <c r="E70" s="315" t="str">
        <f t="shared" si="12"/>
        <v>登录任务</v>
      </c>
      <c r="F70" s="316">
        <v>0.0</v>
      </c>
      <c r="G70" s="317">
        <v>177.0</v>
      </c>
      <c r="H70" s="318">
        <v>0.0</v>
      </c>
      <c r="I70" s="318">
        <v>263.0</v>
      </c>
      <c r="J70" s="318">
        <v>196.0</v>
      </c>
      <c r="K70" s="319">
        <f t="shared" si="13"/>
        <v>263</v>
      </c>
      <c r="L70" s="320" t="str">
        <f t="shared" si="4"/>
        <v>登录任务</v>
      </c>
      <c r="T70" s="323"/>
      <c r="U70" s="326"/>
      <c r="V70" s="327"/>
    </row>
    <row r="71">
      <c r="A71" s="338"/>
      <c r="B71" s="313">
        <v>46085.0</v>
      </c>
      <c r="C71" s="314" t="s">
        <v>426</v>
      </c>
      <c r="D71" s="315" t="str">
        <f t="shared" si="11"/>
        <v/>
      </c>
      <c r="E71" s="315" t="str">
        <f t="shared" si="12"/>
        <v/>
      </c>
      <c r="F71" s="316">
        <v>0.0</v>
      </c>
      <c r="G71" s="317">
        <v>177.0</v>
      </c>
      <c r="H71" s="318">
        <v>0.0</v>
      </c>
      <c r="I71" s="318">
        <v>263.0</v>
      </c>
      <c r="J71" s="318">
        <v>196.0</v>
      </c>
      <c r="K71" s="319">
        <f t="shared" si="13"/>
        <v>263</v>
      </c>
      <c r="L71" s="320" t="str">
        <f t="shared" si="4"/>
        <v/>
      </c>
      <c r="T71" s="323"/>
      <c r="U71" s="326"/>
      <c r="V71" s="327"/>
    </row>
    <row r="72">
      <c r="A72" s="338"/>
      <c r="B72" s="313">
        <v>46085.0</v>
      </c>
      <c r="C72" s="314" t="s">
        <v>133</v>
      </c>
      <c r="D72" s="315" t="str">
        <f t="shared" si="11"/>
        <v>邀请返佣</v>
      </c>
      <c r="E72" s="315" t="str">
        <f t="shared" si="12"/>
        <v>邀请返佣</v>
      </c>
      <c r="F72" s="316">
        <v>128.0</v>
      </c>
      <c r="G72" s="317">
        <v>103.0</v>
      </c>
      <c r="H72" s="318">
        <v>431.34</v>
      </c>
      <c r="I72" s="318">
        <v>0.0</v>
      </c>
      <c r="J72" s="318">
        <v>0.0</v>
      </c>
      <c r="K72" s="319">
        <f t="shared" si="13"/>
        <v>431.34</v>
      </c>
      <c r="L72" s="320" t="str">
        <f t="shared" si="4"/>
        <v>邀请返佣</v>
      </c>
      <c r="T72" s="323"/>
      <c r="U72" s="326"/>
      <c r="V72" s="327"/>
    </row>
    <row r="73">
      <c r="A73" s="338"/>
      <c r="B73" s="313">
        <v>46085.0</v>
      </c>
      <c r="C73" s="314" t="s">
        <v>361</v>
      </c>
      <c r="D73" s="315" t="str">
        <f t="shared" si="11"/>
        <v/>
      </c>
      <c r="E73" s="315" t="str">
        <f t="shared" si="12"/>
        <v/>
      </c>
      <c r="F73" s="316">
        <v>3.0</v>
      </c>
      <c r="G73" s="317">
        <v>3.0</v>
      </c>
      <c r="H73" s="318">
        <v>80.0</v>
      </c>
      <c r="I73" s="318">
        <v>0.0</v>
      </c>
      <c r="J73" s="318">
        <v>0.0</v>
      </c>
      <c r="K73" s="319">
        <f t="shared" si="13"/>
        <v>80</v>
      </c>
      <c r="L73" s="320" t="str">
        <f t="shared" si="4"/>
        <v/>
      </c>
      <c r="T73" s="323"/>
      <c r="U73" s="326"/>
      <c r="V73" s="327"/>
    </row>
    <row r="74">
      <c r="A74" s="338"/>
      <c r="B74" s="313">
        <v>46085.0</v>
      </c>
      <c r="C74" s="314" t="s">
        <v>362</v>
      </c>
      <c r="D74" s="315" t="str">
        <f t="shared" si="11"/>
        <v/>
      </c>
      <c r="E74" s="315" t="str">
        <f t="shared" si="12"/>
        <v/>
      </c>
      <c r="F74" s="316">
        <v>20.0</v>
      </c>
      <c r="G74" s="317">
        <v>20.0</v>
      </c>
      <c r="H74" s="318">
        <v>4.63</v>
      </c>
      <c r="I74" s="318">
        <v>0.0</v>
      </c>
      <c r="J74" s="318">
        <v>0.0</v>
      </c>
      <c r="K74" s="319">
        <f t="shared" si="13"/>
        <v>4.63</v>
      </c>
      <c r="L74" s="320" t="str">
        <f t="shared" si="4"/>
        <v/>
      </c>
      <c r="T74" s="323"/>
      <c r="U74" s="326"/>
      <c r="V74" s="327"/>
    </row>
    <row r="75">
      <c r="A75" s="338"/>
      <c r="B75" s="313">
        <v>46085.0</v>
      </c>
      <c r="C75" s="314" t="s">
        <v>360</v>
      </c>
      <c r="D75" s="315" t="str">
        <f t="shared" si="11"/>
        <v/>
      </c>
      <c r="E75" s="315" t="str">
        <f t="shared" si="12"/>
        <v/>
      </c>
      <c r="F75" s="316">
        <v>20.0</v>
      </c>
      <c r="G75" s="316">
        <v>20.0</v>
      </c>
      <c r="H75" s="318">
        <v>300.0</v>
      </c>
      <c r="I75" s="318">
        <v>0.0</v>
      </c>
      <c r="J75" s="318">
        <v>0.0</v>
      </c>
      <c r="K75" s="319">
        <f t="shared" si="13"/>
        <v>300</v>
      </c>
      <c r="L75" s="320" t="str">
        <f t="shared" si="4"/>
        <v/>
      </c>
      <c r="M75" s="239"/>
      <c r="T75" s="323"/>
      <c r="U75" s="326"/>
      <c r="V75" s="327"/>
    </row>
    <row r="76">
      <c r="A76" s="339"/>
      <c r="B76" s="313">
        <v>46085.0</v>
      </c>
      <c r="C76" s="314" t="s">
        <v>427</v>
      </c>
      <c r="D76" s="315" t="str">
        <f t="shared" si="11"/>
        <v/>
      </c>
      <c r="E76" s="315" t="str">
        <f t="shared" si="12"/>
        <v/>
      </c>
      <c r="F76" s="316">
        <v>85.0</v>
      </c>
      <c r="G76" s="317">
        <v>85.0</v>
      </c>
      <c r="H76" s="318">
        <v>46.71</v>
      </c>
      <c r="I76" s="318">
        <v>0.0</v>
      </c>
      <c r="J76" s="318">
        <v>0.0</v>
      </c>
      <c r="K76" s="319">
        <f t="shared" si="13"/>
        <v>46.71</v>
      </c>
      <c r="L76" s="320" t="str">
        <f t="shared" si="4"/>
        <v/>
      </c>
      <c r="T76" s="323"/>
      <c r="U76" s="326"/>
      <c r="V76" s="327"/>
    </row>
    <row r="77">
      <c r="A77" s="338"/>
      <c r="B77" s="313">
        <v>46085.0</v>
      </c>
      <c r="C77" s="314" t="s">
        <v>176</v>
      </c>
      <c r="D77" s="315" t="str">
        <f t="shared" si="11"/>
        <v>UPGRADE_BONUS</v>
      </c>
      <c r="E77" s="315" t="str">
        <f t="shared" si="12"/>
        <v>升级奖励</v>
      </c>
      <c r="F77" s="316">
        <v>175.0</v>
      </c>
      <c r="G77" s="317">
        <v>154.0</v>
      </c>
      <c r="H77" s="318">
        <v>312.0</v>
      </c>
      <c r="I77" s="318">
        <v>0.0</v>
      </c>
      <c r="J77" s="318">
        <v>0.0</v>
      </c>
      <c r="K77" s="319">
        <f t="shared" si="13"/>
        <v>312</v>
      </c>
      <c r="L77" s="320" t="str">
        <f t="shared" si="4"/>
        <v>升级奖励</v>
      </c>
      <c r="T77" s="323"/>
      <c r="U77" s="326"/>
      <c r="V77" s="327"/>
    </row>
    <row r="78">
      <c r="A78" s="338"/>
      <c r="B78" s="313">
        <v>46085.0</v>
      </c>
      <c r="C78" s="314" t="s">
        <v>428</v>
      </c>
      <c r="D78" s="315" t="str">
        <f t="shared" si="11"/>
        <v/>
      </c>
      <c r="E78" s="315" t="str">
        <f t="shared" si="12"/>
        <v/>
      </c>
      <c r="F78" s="316">
        <v>175.0</v>
      </c>
      <c r="G78" s="317">
        <v>154.0</v>
      </c>
      <c r="H78" s="318">
        <v>312.0</v>
      </c>
      <c r="I78" s="318">
        <v>0.0</v>
      </c>
      <c r="J78" s="318">
        <v>0.0</v>
      </c>
      <c r="K78" s="319">
        <f t="shared" si="13"/>
        <v>312</v>
      </c>
      <c r="L78" s="320" t="str">
        <f t="shared" si="4"/>
        <v/>
      </c>
      <c r="T78" s="323"/>
      <c r="U78" s="326"/>
      <c r="V78" s="327"/>
    </row>
    <row r="79">
      <c r="A79" s="338"/>
      <c r="B79" s="330"/>
      <c r="C79" s="331"/>
      <c r="D79" s="332"/>
      <c r="E79" s="332"/>
      <c r="F79" s="333"/>
      <c r="G79" s="334"/>
      <c r="H79" s="335"/>
      <c r="I79" s="335"/>
      <c r="J79" s="335"/>
      <c r="K79" s="336"/>
      <c r="L79" s="320" t="str">
        <f t="shared" si="4"/>
        <v/>
      </c>
      <c r="M79" s="239"/>
      <c r="T79" s="323"/>
      <c r="U79" s="326"/>
      <c r="V79" s="327"/>
    </row>
    <row r="80">
      <c r="A80" s="338"/>
      <c r="B80" s="313">
        <v>46086.0</v>
      </c>
      <c r="C80" s="314" t="s">
        <v>172</v>
      </c>
      <c r="D80" s="315" t="str">
        <f t="shared" ref="D80:D101" si="14">IFERROR(vlookup(C80,$Q$3:$R$30,2,0),"")</f>
        <v>GAME_REBATE</v>
      </c>
      <c r="E80" s="315" t="str">
        <f t="shared" ref="E80:E101" si="15">IFERROR(vlookup(D80,$O$2:$P$30,2,0),"")</f>
        <v>玩家返水</v>
      </c>
      <c r="F80" s="316">
        <v>288.0</v>
      </c>
      <c r="G80" s="317">
        <v>288.0</v>
      </c>
      <c r="H80" s="318">
        <v>1722.23</v>
      </c>
      <c r="I80" s="318">
        <v>0.0</v>
      </c>
      <c r="J80" s="318">
        <v>0.0</v>
      </c>
      <c r="K80" s="319">
        <f t="shared" ref="K80:K101" si="16">H80+I80</f>
        <v>1722.23</v>
      </c>
      <c r="L80" s="320" t="str">
        <f t="shared" si="4"/>
        <v>玩家返水</v>
      </c>
      <c r="T80" s="323"/>
      <c r="U80" s="326"/>
      <c r="V80" s="327"/>
    </row>
    <row r="81">
      <c r="A81" s="338"/>
      <c r="B81" s="313">
        <v>46086.0</v>
      </c>
      <c r="C81" s="314" t="s">
        <v>383</v>
      </c>
      <c r="D81" s="315" t="str">
        <f t="shared" si="14"/>
        <v/>
      </c>
      <c r="E81" s="315" t="str">
        <f t="shared" si="15"/>
        <v/>
      </c>
      <c r="F81" s="316">
        <v>287.0</v>
      </c>
      <c r="G81" s="317">
        <v>287.0</v>
      </c>
      <c r="H81" s="318">
        <v>1710.12</v>
      </c>
      <c r="I81" s="318">
        <v>0.0</v>
      </c>
      <c r="J81" s="318">
        <v>0.0</v>
      </c>
      <c r="K81" s="319">
        <f t="shared" si="16"/>
        <v>1710.12</v>
      </c>
      <c r="L81" s="320" t="str">
        <f t="shared" si="4"/>
        <v/>
      </c>
      <c r="T81" s="323"/>
      <c r="U81" s="326"/>
      <c r="V81" s="327"/>
    </row>
    <row r="82">
      <c r="A82" s="338"/>
      <c r="B82" s="313">
        <v>46086.0</v>
      </c>
      <c r="C82" s="314" t="s">
        <v>384</v>
      </c>
      <c r="D82" s="315" t="str">
        <f t="shared" si="14"/>
        <v/>
      </c>
      <c r="E82" s="315" t="str">
        <f t="shared" si="15"/>
        <v/>
      </c>
      <c r="F82" s="316">
        <v>6.0</v>
      </c>
      <c r="G82" s="316">
        <v>6.0</v>
      </c>
      <c r="H82" s="318">
        <v>12.11</v>
      </c>
      <c r="I82" s="318">
        <v>0.0</v>
      </c>
      <c r="J82" s="318">
        <v>0.0</v>
      </c>
      <c r="K82" s="319">
        <f t="shared" si="16"/>
        <v>12.11</v>
      </c>
      <c r="L82" s="320" t="str">
        <f t="shared" si="4"/>
        <v/>
      </c>
      <c r="M82" s="239"/>
      <c r="T82" s="323"/>
      <c r="U82" s="326"/>
      <c r="V82" s="327"/>
    </row>
    <row r="83">
      <c r="A83" s="338"/>
      <c r="B83" s="313">
        <v>46086.0</v>
      </c>
      <c r="C83" s="314" t="s">
        <v>174</v>
      </c>
      <c r="D83" s="315" t="str">
        <f t="shared" si="14"/>
        <v>DEPOSIT</v>
      </c>
      <c r="E83" s="315" t="str">
        <f t="shared" si="15"/>
        <v>笔笔存送</v>
      </c>
      <c r="F83" s="316">
        <v>113.0</v>
      </c>
      <c r="G83" s="317">
        <v>92.0</v>
      </c>
      <c r="H83" s="318">
        <v>732.41</v>
      </c>
      <c r="I83" s="318">
        <v>0.0</v>
      </c>
      <c r="J83" s="318">
        <v>0.0</v>
      </c>
      <c r="K83" s="319">
        <f t="shared" si="16"/>
        <v>732.41</v>
      </c>
      <c r="L83" s="320" t="str">
        <f t="shared" si="4"/>
        <v>笔笔存送</v>
      </c>
      <c r="T83" s="323"/>
      <c r="U83" s="326"/>
      <c r="V83" s="327"/>
    </row>
    <row r="84">
      <c r="A84" s="338"/>
      <c r="B84" s="313">
        <v>46086.0</v>
      </c>
      <c r="C84" s="314" t="s">
        <v>430</v>
      </c>
      <c r="D84" s="315" t="str">
        <f t="shared" si="14"/>
        <v/>
      </c>
      <c r="E84" s="315" t="str">
        <f t="shared" si="15"/>
        <v/>
      </c>
      <c r="F84" s="316">
        <v>2.0</v>
      </c>
      <c r="G84" s="317">
        <v>2.0</v>
      </c>
      <c r="H84" s="318">
        <v>100.0</v>
      </c>
      <c r="I84" s="318">
        <v>0.0</v>
      </c>
      <c r="J84" s="318">
        <v>0.0</v>
      </c>
      <c r="K84" s="319">
        <f t="shared" si="16"/>
        <v>100</v>
      </c>
      <c r="L84" s="320" t="str">
        <f t="shared" si="4"/>
        <v/>
      </c>
      <c r="T84" s="323"/>
      <c r="U84" s="326"/>
      <c r="V84" s="327"/>
    </row>
    <row r="85">
      <c r="A85" s="338"/>
      <c r="B85" s="313">
        <v>46086.0</v>
      </c>
      <c r="C85" s="314" t="s">
        <v>431</v>
      </c>
      <c r="D85" s="315" t="str">
        <f t="shared" si="14"/>
        <v/>
      </c>
      <c r="E85" s="315" t="str">
        <f t="shared" si="15"/>
        <v/>
      </c>
      <c r="F85" s="316">
        <v>1.0</v>
      </c>
      <c r="G85" s="317">
        <v>1.0</v>
      </c>
      <c r="H85" s="318">
        <v>100.0</v>
      </c>
      <c r="I85" s="318">
        <v>0.0</v>
      </c>
      <c r="J85" s="318">
        <v>0.0</v>
      </c>
      <c r="K85" s="319">
        <f t="shared" si="16"/>
        <v>100</v>
      </c>
      <c r="L85" s="320" t="str">
        <f t="shared" si="4"/>
        <v/>
      </c>
      <c r="T85" s="323"/>
      <c r="U85" s="326"/>
      <c r="V85" s="327"/>
    </row>
    <row r="86">
      <c r="A86" s="338"/>
      <c r="B86" s="313">
        <v>46086.0</v>
      </c>
      <c r="C86" s="314" t="s">
        <v>391</v>
      </c>
      <c r="D86" s="315" t="str">
        <f t="shared" si="14"/>
        <v/>
      </c>
      <c r="E86" s="315" t="str">
        <f t="shared" si="15"/>
        <v/>
      </c>
      <c r="F86" s="316">
        <v>110.0</v>
      </c>
      <c r="G86" s="317">
        <v>91.0</v>
      </c>
      <c r="H86" s="318">
        <v>532.41</v>
      </c>
      <c r="I86" s="318">
        <v>0.0</v>
      </c>
      <c r="J86" s="318">
        <v>0.0</v>
      </c>
      <c r="K86" s="319">
        <f t="shared" si="16"/>
        <v>532.41</v>
      </c>
      <c r="L86" s="320" t="str">
        <f t="shared" si="4"/>
        <v/>
      </c>
      <c r="T86" s="323"/>
      <c r="U86" s="326"/>
      <c r="V86" s="327"/>
    </row>
    <row r="87">
      <c r="A87" s="338"/>
      <c r="B87" s="313">
        <v>46086.0</v>
      </c>
      <c r="C87" s="314" t="s">
        <v>187</v>
      </c>
      <c r="D87" s="315" t="str">
        <f t="shared" si="14"/>
        <v>FIRST_DEPOSIT</v>
      </c>
      <c r="E87" s="315" t="str">
        <f t="shared" si="15"/>
        <v>首存</v>
      </c>
      <c r="F87" s="316">
        <v>80.0</v>
      </c>
      <c r="G87" s="317">
        <v>80.0</v>
      </c>
      <c r="H87" s="318">
        <v>4918.5</v>
      </c>
      <c r="I87" s="318">
        <v>0.0</v>
      </c>
      <c r="J87" s="318">
        <v>0.0</v>
      </c>
      <c r="K87" s="319">
        <f t="shared" si="16"/>
        <v>4918.5</v>
      </c>
      <c r="L87" s="320" t="str">
        <f t="shared" si="4"/>
        <v>首存</v>
      </c>
      <c r="T87" s="323"/>
      <c r="U87" s="326"/>
      <c r="V87" s="327"/>
    </row>
    <row r="88">
      <c r="A88" s="338"/>
      <c r="B88" s="313">
        <v>46086.0</v>
      </c>
      <c r="C88" s="314" t="s">
        <v>424</v>
      </c>
      <c r="D88" s="315" t="str">
        <f t="shared" si="14"/>
        <v/>
      </c>
      <c r="E88" s="315" t="str">
        <f t="shared" si="15"/>
        <v/>
      </c>
      <c r="F88" s="316">
        <v>80.0</v>
      </c>
      <c r="G88" s="317">
        <v>80.0</v>
      </c>
      <c r="H88" s="318">
        <v>4918.5</v>
      </c>
      <c r="I88" s="318">
        <v>0.0</v>
      </c>
      <c r="J88" s="318">
        <v>0.0</v>
      </c>
      <c r="K88" s="319">
        <f t="shared" si="16"/>
        <v>4918.5</v>
      </c>
      <c r="L88" s="320" t="str">
        <f t="shared" si="4"/>
        <v/>
      </c>
      <c r="T88" s="323"/>
      <c r="U88" s="326"/>
      <c r="V88" s="327"/>
    </row>
    <row r="89">
      <c r="A89" s="338"/>
      <c r="B89" s="313">
        <v>46086.0</v>
      </c>
      <c r="C89" s="314" t="s">
        <v>175</v>
      </c>
      <c r="D89" s="315" t="str">
        <f t="shared" si="14"/>
        <v>LOGIN</v>
      </c>
      <c r="E89" s="315" t="str">
        <f t="shared" si="15"/>
        <v>签到奖励</v>
      </c>
      <c r="F89" s="316">
        <v>3342.0</v>
      </c>
      <c r="G89" s="317">
        <v>3342.0</v>
      </c>
      <c r="H89" s="318">
        <v>4733.0</v>
      </c>
      <c r="I89" s="318">
        <v>0.0</v>
      </c>
      <c r="J89" s="318">
        <v>0.0</v>
      </c>
      <c r="K89" s="319">
        <f t="shared" si="16"/>
        <v>4733</v>
      </c>
      <c r="L89" s="320" t="str">
        <f t="shared" si="4"/>
        <v>签到奖励</v>
      </c>
      <c r="T89" s="323"/>
      <c r="U89" s="326"/>
      <c r="V89" s="327"/>
    </row>
    <row r="90">
      <c r="A90" s="338"/>
      <c r="B90" s="313">
        <v>46086.0</v>
      </c>
      <c r="C90" s="314" t="s">
        <v>425</v>
      </c>
      <c r="D90" s="315" t="str">
        <f t="shared" si="14"/>
        <v/>
      </c>
      <c r="E90" s="315" t="str">
        <f t="shared" si="15"/>
        <v/>
      </c>
      <c r="F90" s="316">
        <v>3342.0</v>
      </c>
      <c r="G90" s="317">
        <v>3342.0</v>
      </c>
      <c r="H90" s="318">
        <v>4733.0</v>
      </c>
      <c r="I90" s="318">
        <v>0.0</v>
      </c>
      <c r="J90" s="318">
        <v>0.0</v>
      </c>
      <c r="K90" s="319">
        <f t="shared" si="16"/>
        <v>4733</v>
      </c>
      <c r="L90" s="320" t="str">
        <f t="shared" si="4"/>
        <v/>
      </c>
      <c r="T90" s="323"/>
      <c r="U90" s="326"/>
      <c r="V90" s="327"/>
    </row>
    <row r="91">
      <c r="A91" s="338"/>
      <c r="B91" s="313">
        <v>46086.0</v>
      </c>
      <c r="C91" s="314" t="s">
        <v>180</v>
      </c>
      <c r="D91" s="315" t="str">
        <f t="shared" si="14"/>
        <v>登录任务</v>
      </c>
      <c r="E91" s="315" t="str">
        <f t="shared" si="15"/>
        <v>登录任务</v>
      </c>
      <c r="F91" s="316">
        <v>0.0</v>
      </c>
      <c r="G91" s="317">
        <v>210.0</v>
      </c>
      <c r="H91" s="318">
        <v>0.0</v>
      </c>
      <c r="I91" s="318">
        <v>308.0</v>
      </c>
      <c r="J91" s="318">
        <v>222.0</v>
      </c>
      <c r="K91" s="319">
        <f t="shared" si="16"/>
        <v>308</v>
      </c>
      <c r="L91" s="320" t="str">
        <f t="shared" si="4"/>
        <v>登录任务</v>
      </c>
      <c r="T91" s="323"/>
      <c r="U91" s="326"/>
      <c r="V91" s="327"/>
    </row>
    <row r="92">
      <c r="A92" s="338"/>
      <c r="B92" s="313">
        <v>46086.0</v>
      </c>
      <c r="C92" s="314" t="s">
        <v>426</v>
      </c>
      <c r="D92" s="315" t="str">
        <f t="shared" si="14"/>
        <v/>
      </c>
      <c r="E92" s="315" t="str">
        <f t="shared" si="15"/>
        <v/>
      </c>
      <c r="F92" s="316">
        <v>0.0</v>
      </c>
      <c r="G92" s="317">
        <v>210.0</v>
      </c>
      <c r="H92" s="318">
        <v>0.0</v>
      </c>
      <c r="I92" s="318">
        <v>308.0</v>
      </c>
      <c r="J92" s="318">
        <v>222.0</v>
      </c>
      <c r="K92" s="319">
        <f t="shared" si="16"/>
        <v>308</v>
      </c>
      <c r="L92" s="320" t="str">
        <f t="shared" si="4"/>
        <v/>
      </c>
      <c r="T92" s="323"/>
      <c r="U92" s="326"/>
      <c r="V92" s="327"/>
    </row>
    <row r="93">
      <c r="A93" s="338"/>
      <c r="B93" s="313">
        <v>46086.0</v>
      </c>
      <c r="C93" s="314" t="s">
        <v>183</v>
      </c>
      <c r="D93" s="315" t="str">
        <f t="shared" si="14"/>
        <v>任务排行榜</v>
      </c>
      <c r="E93" s="315" t="str">
        <f t="shared" si="15"/>
        <v>任务排行榜</v>
      </c>
      <c r="F93" s="316">
        <v>137.0</v>
      </c>
      <c r="G93" s="317">
        <v>75.0</v>
      </c>
      <c r="H93" s="318">
        <v>0.0</v>
      </c>
      <c r="I93" s="318">
        <v>149.0</v>
      </c>
      <c r="J93" s="318">
        <v>67.0</v>
      </c>
      <c r="K93" s="319">
        <f t="shared" si="16"/>
        <v>149</v>
      </c>
      <c r="L93" s="320" t="str">
        <f t="shared" si="4"/>
        <v>任务排行榜</v>
      </c>
      <c r="T93" s="323"/>
      <c r="U93" s="326"/>
      <c r="V93" s="327"/>
    </row>
    <row r="94">
      <c r="A94" s="338"/>
      <c r="B94" s="313">
        <v>46086.0</v>
      </c>
      <c r="C94" s="314" t="s">
        <v>432</v>
      </c>
      <c r="D94" s="315" t="str">
        <f t="shared" si="14"/>
        <v/>
      </c>
      <c r="E94" s="315" t="str">
        <f t="shared" si="15"/>
        <v/>
      </c>
      <c r="F94" s="316">
        <v>137.0</v>
      </c>
      <c r="G94" s="317">
        <v>75.0</v>
      </c>
      <c r="H94" s="318">
        <v>0.0</v>
      </c>
      <c r="I94" s="318">
        <v>149.0</v>
      </c>
      <c r="J94" s="318">
        <v>67.0</v>
      </c>
      <c r="K94" s="319">
        <f t="shared" si="16"/>
        <v>149</v>
      </c>
      <c r="L94" s="320" t="str">
        <f t="shared" si="4"/>
        <v/>
      </c>
      <c r="T94" s="323"/>
      <c r="U94" s="326"/>
      <c r="V94" s="327"/>
    </row>
    <row r="95">
      <c r="A95" s="338"/>
      <c r="B95" s="313">
        <v>46086.0</v>
      </c>
      <c r="C95" s="314" t="s">
        <v>133</v>
      </c>
      <c r="D95" s="315" t="str">
        <f t="shared" si="14"/>
        <v>邀请返佣</v>
      </c>
      <c r="E95" s="315" t="str">
        <f t="shared" si="15"/>
        <v>邀请返佣</v>
      </c>
      <c r="F95" s="316">
        <v>117.0</v>
      </c>
      <c r="G95" s="317">
        <v>91.0</v>
      </c>
      <c r="H95" s="318">
        <v>317.77</v>
      </c>
      <c r="I95" s="318">
        <v>0.0</v>
      </c>
      <c r="J95" s="318">
        <v>0.0</v>
      </c>
      <c r="K95" s="319">
        <f t="shared" si="16"/>
        <v>317.77</v>
      </c>
      <c r="L95" s="320" t="str">
        <f t="shared" si="4"/>
        <v>邀请返佣</v>
      </c>
      <c r="T95" s="323"/>
      <c r="U95" s="326"/>
      <c r="V95" s="327"/>
    </row>
    <row r="96">
      <c r="A96" s="338"/>
      <c r="B96" s="313">
        <v>46086.0</v>
      </c>
      <c r="C96" s="314" t="s">
        <v>361</v>
      </c>
      <c r="D96" s="315" t="str">
        <f t="shared" si="14"/>
        <v/>
      </c>
      <c r="E96" s="315" t="str">
        <f t="shared" si="15"/>
        <v/>
      </c>
      <c r="F96" s="316">
        <v>4.0</v>
      </c>
      <c r="G96" s="317">
        <v>4.0</v>
      </c>
      <c r="H96" s="318">
        <v>20.0</v>
      </c>
      <c r="I96" s="318">
        <v>0.0</v>
      </c>
      <c r="J96" s="318">
        <v>0.0</v>
      </c>
      <c r="K96" s="319">
        <f t="shared" si="16"/>
        <v>20</v>
      </c>
      <c r="L96" s="320" t="str">
        <f t="shared" si="4"/>
        <v/>
      </c>
      <c r="T96" s="323"/>
      <c r="U96" s="326"/>
      <c r="V96" s="327"/>
    </row>
    <row r="97">
      <c r="A97" s="338"/>
      <c r="B97" s="313">
        <v>46086.0</v>
      </c>
      <c r="C97" s="314" t="s">
        <v>362</v>
      </c>
      <c r="D97" s="315" t="str">
        <f t="shared" si="14"/>
        <v/>
      </c>
      <c r="E97" s="315" t="str">
        <f t="shared" si="15"/>
        <v/>
      </c>
      <c r="F97" s="316">
        <v>19.0</v>
      </c>
      <c r="G97" s="317">
        <v>19.0</v>
      </c>
      <c r="H97" s="318">
        <v>7.02</v>
      </c>
      <c r="I97" s="318">
        <v>0.0</v>
      </c>
      <c r="J97" s="318">
        <v>0.0</v>
      </c>
      <c r="K97" s="319">
        <f t="shared" si="16"/>
        <v>7.02</v>
      </c>
      <c r="L97" s="320" t="str">
        <f t="shared" si="4"/>
        <v/>
      </c>
      <c r="T97" s="323"/>
      <c r="U97" s="326"/>
      <c r="V97" s="327"/>
    </row>
    <row r="98">
      <c r="A98" s="338"/>
      <c r="B98" s="313">
        <v>46086.0</v>
      </c>
      <c r="C98" s="314" t="s">
        <v>360</v>
      </c>
      <c r="D98" s="315" t="str">
        <f t="shared" si="14"/>
        <v/>
      </c>
      <c r="E98" s="315" t="str">
        <f t="shared" si="15"/>
        <v/>
      </c>
      <c r="F98" s="316">
        <v>16.0</v>
      </c>
      <c r="G98" s="317">
        <v>15.0</v>
      </c>
      <c r="H98" s="318">
        <v>240.0</v>
      </c>
      <c r="I98" s="318">
        <v>0.0</v>
      </c>
      <c r="J98" s="318">
        <v>0.0</v>
      </c>
      <c r="K98" s="319">
        <f t="shared" si="16"/>
        <v>240</v>
      </c>
      <c r="L98" s="320" t="str">
        <f t="shared" si="4"/>
        <v/>
      </c>
      <c r="T98" s="323"/>
      <c r="U98" s="326"/>
      <c r="V98" s="327"/>
    </row>
    <row r="99">
      <c r="A99" s="338"/>
      <c r="B99" s="313">
        <v>46086.0</v>
      </c>
      <c r="C99" s="314" t="s">
        <v>427</v>
      </c>
      <c r="D99" s="315" t="str">
        <f t="shared" si="14"/>
        <v/>
      </c>
      <c r="E99" s="315" t="str">
        <f t="shared" si="15"/>
        <v/>
      </c>
      <c r="F99" s="316">
        <v>78.0</v>
      </c>
      <c r="G99" s="317">
        <v>78.0</v>
      </c>
      <c r="H99" s="318">
        <v>50.75</v>
      </c>
      <c r="I99" s="318">
        <v>0.0</v>
      </c>
      <c r="J99" s="318">
        <v>0.0</v>
      </c>
      <c r="K99" s="319">
        <f t="shared" si="16"/>
        <v>50.75</v>
      </c>
      <c r="L99" s="320" t="str">
        <f t="shared" si="4"/>
        <v/>
      </c>
      <c r="T99" s="323"/>
      <c r="U99" s="326"/>
      <c r="V99" s="327"/>
    </row>
    <row r="100">
      <c r="A100" s="338"/>
      <c r="B100" s="313">
        <v>46086.0</v>
      </c>
      <c r="C100" s="314" t="s">
        <v>176</v>
      </c>
      <c r="D100" s="315" t="str">
        <f t="shared" si="14"/>
        <v>UPGRADE_BONUS</v>
      </c>
      <c r="E100" s="315" t="str">
        <f t="shared" si="15"/>
        <v>升级奖励</v>
      </c>
      <c r="F100" s="316">
        <v>166.0</v>
      </c>
      <c r="G100" s="317">
        <v>144.0</v>
      </c>
      <c r="H100" s="318">
        <v>305.0</v>
      </c>
      <c r="I100" s="318">
        <v>0.0</v>
      </c>
      <c r="J100" s="318">
        <v>0.0</v>
      </c>
      <c r="K100" s="319">
        <f t="shared" si="16"/>
        <v>305</v>
      </c>
      <c r="L100" s="320" t="str">
        <f t="shared" si="4"/>
        <v>升级奖励</v>
      </c>
      <c r="T100" s="323"/>
      <c r="U100" s="326"/>
      <c r="V100" s="327"/>
    </row>
    <row r="101">
      <c r="A101" s="338"/>
      <c r="B101" s="313">
        <v>46086.0</v>
      </c>
      <c r="C101" s="314" t="s">
        <v>428</v>
      </c>
      <c r="D101" s="315" t="str">
        <f t="shared" si="14"/>
        <v/>
      </c>
      <c r="E101" s="315" t="str">
        <f t="shared" si="15"/>
        <v/>
      </c>
      <c r="F101" s="316">
        <v>166.0</v>
      </c>
      <c r="G101" s="317">
        <v>144.0</v>
      </c>
      <c r="H101" s="318">
        <v>305.0</v>
      </c>
      <c r="I101" s="318">
        <v>0.0</v>
      </c>
      <c r="J101" s="318">
        <v>0.0</v>
      </c>
      <c r="K101" s="319">
        <f t="shared" si="16"/>
        <v>305</v>
      </c>
      <c r="L101" s="320" t="str">
        <f t="shared" si="4"/>
        <v/>
      </c>
      <c r="T101" s="323"/>
      <c r="U101" s="326"/>
      <c r="V101" s="327"/>
    </row>
    <row r="102">
      <c r="A102" s="338"/>
      <c r="B102" s="330"/>
      <c r="C102" s="331"/>
      <c r="D102" s="332"/>
      <c r="E102" s="332"/>
      <c r="F102" s="333"/>
      <c r="G102" s="334"/>
      <c r="H102" s="335"/>
      <c r="I102" s="335"/>
      <c r="J102" s="335"/>
      <c r="K102" s="336"/>
      <c r="L102" s="320" t="str">
        <f t="shared" si="4"/>
        <v/>
      </c>
      <c r="T102" s="323"/>
      <c r="U102" s="326"/>
      <c r="V102" s="327"/>
    </row>
    <row r="103">
      <c r="A103" s="338"/>
      <c r="B103" s="313">
        <v>46087.0</v>
      </c>
      <c r="C103" s="314" t="s">
        <v>172</v>
      </c>
      <c r="D103" s="315" t="str">
        <f t="shared" ref="D103:D124" si="17">IFERROR(vlookup(C103,$Q$3:$R$30,2,0),"")</f>
        <v>GAME_REBATE</v>
      </c>
      <c r="E103" s="315" t="str">
        <f t="shared" ref="E103:E124" si="18">IFERROR(vlookup(D103,$O$2:$P$30,2,0),"")</f>
        <v>玩家返水</v>
      </c>
      <c r="F103" s="316">
        <v>353.0</v>
      </c>
      <c r="G103" s="316">
        <v>353.0</v>
      </c>
      <c r="H103" s="316">
        <v>3686.1</v>
      </c>
      <c r="I103" s="316">
        <v>0.0</v>
      </c>
      <c r="J103" s="316">
        <v>0.0</v>
      </c>
      <c r="K103" s="319">
        <f t="shared" ref="K103:K124" si="19">H103+I103</f>
        <v>3686.1</v>
      </c>
      <c r="L103" s="320" t="str">
        <f t="shared" si="4"/>
        <v>玩家返水</v>
      </c>
      <c r="M103" s="239"/>
      <c r="T103" s="323"/>
      <c r="U103" s="326"/>
      <c r="V103" s="327"/>
    </row>
    <row r="104">
      <c r="A104" s="338"/>
      <c r="B104" s="313">
        <v>46087.0</v>
      </c>
      <c r="C104" s="314" t="s">
        <v>383</v>
      </c>
      <c r="D104" s="315" t="str">
        <f t="shared" si="17"/>
        <v/>
      </c>
      <c r="E104" s="315" t="str">
        <f t="shared" si="18"/>
        <v/>
      </c>
      <c r="F104" s="316">
        <v>350.0</v>
      </c>
      <c r="G104" s="316">
        <v>350.0</v>
      </c>
      <c r="H104" s="318">
        <v>3683.49</v>
      </c>
      <c r="I104" s="318">
        <v>0.0</v>
      </c>
      <c r="J104" s="318">
        <v>0.0</v>
      </c>
      <c r="K104" s="319">
        <f t="shared" si="19"/>
        <v>3683.49</v>
      </c>
      <c r="L104" s="320" t="str">
        <f t="shared" si="4"/>
        <v/>
      </c>
      <c r="T104" s="323"/>
      <c r="U104" s="326"/>
      <c r="V104" s="327"/>
    </row>
    <row r="105">
      <c r="A105" s="338"/>
      <c r="B105" s="313">
        <v>46087.0</v>
      </c>
      <c r="C105" s="314" t="s">
        <v>384</v>
      </c>
      <c r="D105" s="315" t="str">
        <f t="shared" si="17"/>
        <v/>
      </c>
      <c r="E105" s="315" t="str">
        <f t="shared" si="18"/>
        <v/>
      </c>
      <c r="F105" s="316">
        <v>3.0</v>
      </c>
      <c r="G105" s="317">
        <v>3.0</v>
      </c>
      <c r="H105" s="318">
        <v>2.61</v>
      </c>
      <c r="I105" s="318">
        <v>0.0</v>
      </c>
      <c r="J105" s="318">
        <v>0.0</v>
      </c>
      <c r="K105" s="319">
        <f t="shared" si="19"/>
        <v>2.61</v>
      </c>
      <c r="L105" s="320" t="str">
        <f t="shared" si="4"/>
        <v/>
      </c>
      <c r="T105" s="323"/>
      <c r="U105" s="326"/>
      <c r="V105" s="327"/>
    </row>
    <row r="106">
      <c r="A106" s="338"/>
      <c r="B106" s="313">
        <v>46087.0</v>
      </c>
      <c r="C106" s="314" t="s">
        <v>174</v>
      </c>
      <c r="D106" s="315" t="str">
        <f t="shared" si="17"/>
        <v>DEPOSIT</v>
      </c>
      <c r="E106" s="315" t="str">
        <f t="shared" si="18"/>
        <v>笔笔存送</v>
      </c>
      <c r="F106" s="316">
        <v>118.0</v>
      </c>
      <c r="G106" s="317">
        <v>92.0</v>
      </c>
      <c r="H106" s="318">
        <v>767.05</v>
      </c>
      <c r="I106" s="318">
        <v>0.0</v>
      </c>
      <c r="J106" s="318">
        <v>0.0</v>
      </c>
      <c r="K106" s="319">
        <f t="shared" si="19"/>
        <v>767.05</v>
      </c>
      <c r="L106" s="320" t="str">
        <f t="shared" si="4"/>
        <v>笔笔存送</v>
      </c>
      <c r="T106" s="323"/>
      <c r="U106" s="326"/>
      <c r="V106" s="327"/>
    </row>
    <row r="107">
      <c r="A107" s="338"/>
      <c r="B107" s="313">
        <v>46087.0</v>
      </c>
      <c r="C107" s="314" t="s">
        <v>430</v>
      </c>
      <c r="D107" s="315" t="str">
        <f t="shared" si="17"/>
        <v/>
      </c>
      <c r="E107" s="315" t="str">
        <f t="shared" si="18"/>
        <v/>
      </c>
      <c r="F107" s="316">
        <v>6.0</v>
      </c>
      <c r="G107" s="317">
        <v>6.0</v>
      </c>
      <c r="H107" s="318">
        <v>300.0</v>
      </c>
      <c r="I107" s="318">
        <v>0.0</v>
      </c>
      <c r="J107" s="318">
        <v>0.0</v>
      </c>
      <c r="K107" s="319">
        <f t="shared" si="19"/>
        <v>300</v>
      </c>
      <c r="L107" s="320" t="str">
        <f t="shared" si="4"/>
        <v/>
      </c>
      <c r="T107" s="323"/>
      <c r="U107" s="326"/>
      <c r="V107" s="327"/>
    </row>
    <row r="108">
      <c r="A108" s="338"/>
      <c r="B108" s="313">
        <v>46087.0</v>
      </c>
      <c r="C108" s="314" t="s">
        <v>431</v>
      </c>
      <c r="D108" s="315" t="str">
        <f t="shared" si="17"/>
        <v/>
      </c>
      <c r="E108" s="315" t="str">
        <f t="shared" si="18"/>
        <v/>
      </c>
      <c r="F108" s="316">
        <v>1.0</v>
      </c>
      <c r="G108" s="317">
        <v>1.0</v>
      </c>
      <c r="H108" s="318">
        <v>100.0</v>
      </c>
      <c r="I108" s="318">
        <v>0.0</v>
      </c>
      <c r="J108" s="318">
        <v>0.0</v>
      </c>
      <c r="K108" s="319">
        <f t="shared" si="19"/>
        <v>100</v>
      </c>
      <c r="L108" s="320" t="str">
        <f t="shared" si="4"/>
        <v/>
      </c>
      <c r="T108" s="323"/>
      <c r="U108" s="326"/>
      <c r="V108" s="327"/>
    </row>
    <row r="109">
      <c r="A109" s="338"/>
      <c r="B109" s="313">
        <v>46087.0</v>
      </c>
      <c r="C109" s="314" t="s">
        <v>391</v>
      </c>
      <c r="D109" s="315" t="str">
        <f t="shared" si="17"/>
        <v/>
      </c>
      <c r="E109" s="315" t="str">
        <f t="shared" si="18"/>
        <v/>
      </c>
      <c r="F109" s="316">
        <v>111.0</v>
      </c>
      <c r="G109" s="317">
        <v>86.0</v>
      </c>
      <c r="H109" s="318">
        <v>367.05</v>
      </c>
      <c r="I109" s="318">
        <v>0.0</v>
      </c>
      <c r="J109" s="318">
        <v>0.0</v>
      </c>
      <c r="K109" s="319">
        <f t="shared" si="19"/>
        <v>367.05</v>
      </c>
      <c r="L109" s="320" t="str">
        <f t="shared" si="4"/>
        <v/>
      </c>
      <c r="T109" s="323"/>
      <c r="U109" s="326"/>
      <c r="V109" s="327"/>
    </row>
    <row r="110">
      <c r="A110" s="338"/>
      <c r="B110" s="313">
        <v>46087.0</v>
      </c>
      <c r="C110" s="314" t="s">
        <v>187</v>
      </c>
      <c r="D110" s="315" t="str">
        <f t="shared" si="17"/>
        <v>FIRST_DEPOSIT</v>
      </c>
      <c r="E110" s="315" t="str">
        <f t="shared" si="18"/>
        <v>首存</v>
      </c>
      <c r="F110" s="316">
        <v>73.0</v>
      </c>
      <c r="G110" s="317">
        <v>73.0</v>
      </c>
      <c r="H110" s="318">
        <v>4864.5</v>
      </c>
      <c r="I110" s="318">
        <v>0.0</v>
      </c>
      <c r="J110" s="318">
        <v>0.0</v>
      </c>
      <c r="K110" s="319">
        <f t="shared" si="19"/>
        <v>4864.5</v>
      </c>
      <c r="L110" s="320" t="str">
        <f t="shared" si="4"/>
        <v>首存</v>
      </c>
      <c r="T110" s="323"/>
      <c r="U110" s="326"/>
      <c r="V110" s="327"/>
    </row>
    <row r="111">
      <c r="A111" s="339"/>
      <c r="B111" s="313">
        <v>46087.0</v>
      </c>
      <c r="C111" s="314" t="s">
        <v>424</v>
      </c>
      <c r="D111" s="315" t="str">
        <f t="shared" si="17"/>
        <v/>
      </c>
      <c r="E111" s="315" t="str">
        <f t="shared" si="18"/>
        <v/>
      </c>
      <c r="F111" s="316">
        <v>73.0</v>
      </c>
      <c r="G111" s="317">
        <v>73.0</v>
      </c>
      <c r="H111" s="318">
        <v>4864.5</v>
      </c>
      <c r="I111" s="318">
        <v>0.0</v>
      </c>
      <c r="J111" s="318">
        <v>0.0</v>
      </c>
      <c r="K111" s="319">
        <f t="shared" si="19"/>
        <v>4864.5</v>
      </c>
      <c r="L111" s="320" t="str">
        <f t="shared" si="4"/>
        <v/>
      </c>
      <c r="T111" s="323"/>
      <c r="U111" s="326"/>
      <c r="V111" s="327"/>
    </row>
    <row r="112">
      <c r="A112" s="340"/>
      <c r="B112" s="313">
        <v>46087.0</v>
      </c>
      <c r="C112" s="314" t="s">
        <v>175</v>
      </c>
      <c r="D112" s="315" t="str">
        <f t="shared" si="17"/>
        <v>LOGIN</v>
      </c>
      <c r="E112" s="315" t="str">
        <f t="shared" si="18"/>
        <v>签到奖励</v>
      </c>
      <c r="F112" s="316">
        <v>3329.0</v>
      </c>
      <c r="G112" s="317">
        <v>3329.0</v>
      </c>
      <c r="H112" s="318">
        <v>4946.0</v>
      </c>
      <c r="I112" s="318">
        <v>0.0</v>
      </c>
      <c r="J112" s="318">
        <v>0.0</v>
      </c>
      <c r="K112" s="319">
        <f t="shared" si="19"/>
        <v>4946</v>
      </c>
      <c r="L112" s="320" t="str">
        <f t="shared" si="4"/>
        <v>签到奖励</v>
      </c>
      <c r="T112" s="323"/>
      <c r="U112" s="326"/>
      <c r="V112" s="327"/>
    </row>
    <row r="113">
      <c r="A113" s="340"/>
      <c r="B113" s="313">
        <v>46087.0</v>
      </c>
      <c r="C113" s="314" t="s">
        <v>425</v>
      </c>
      <c r="D113" s="315" t="str">
        <f t="shared" si="17"/>
        <v/>
      </c>
      <c r="E113" s="315" t="str">
        <f t="shared" si="18"/>
        <v/>
      </c>
      <c r="F113" s="316">
        <v>3329.0</v>
      </c>
      <c r="G113" s="317">
        <v>3329.0</v>
      </c>
      <c r="H113" s="318">
        <v>4946.0</v>
      </c>
      <c r="I113" s="318">
        <v>0.0</v>
      </c>
      <c r="J113" s="318">
        <v>0.0</v>
      </c>
      <c r="K113" s="319">
        <f t="shared" si="19"/>
        <v>4946</v>
      </c>
      <c r="L113" s="320" t="str">
        <f t="shared" si="4"/>
        <v/>
      </c>
      <c r="T113" s="323"/>
      <c r="U113" s="326"/>
      <c r="V113" s="327"/>
    </row>
    <row r="114">
      <c r="A114" s="340"/>
      <c r="B114" s="313">
        <v>46087.0</v>
      </c>
      <c r="C114" s="314" t="s">
        <v>180</v>
      </c>
      <c r="D114" s="315" t="str">
        <f t="shared" si="17"/>
        <v>登录任务</v>
      </c>
      <c r="E114" s="315" t="str">
        <f t="shared" si="18"/>
        <v>登录任务</v>
      </c>
      <c r="F114" s="316">
        <v>0.0</v>
      </c>
      <c r="G114" s="317">
        <v>165.0</v>
      </c>
      <c r="H114" s="318">
        <v>0.0</v>
      </c>
      <c r="I114" s="318">
        <v>268.0</v>
      </c>
      <c r="J114" s="318">
        <v>185.0</v>
      </c>
      <c r="K114" s="319">
        <f t="shared" si="19"/>
        <v>268</v>
      </c>
      <c r="L114" s="320" t="str">
        <f t="shared" si="4"/>
        <v>登录任务</v>
      </c>
      <c r="T114" s="323"/>
      <c r="U114" s="326"/>
      <c r="V114" s="327"/>
    </row>
    <row r="115">
      <c r="A115" s="340"/>
      <c r="B115" s="313">
        <v>46087.0</v>
      </c>
      <c r="C115" s="314" t="s">
        <v>426</v>
      </c>
      <c r="D115" s="315" t="str">
        <f t="shared" si="17"/>
        <v/>
      </c>
      <c r="E115" s="315" t="str">
        <f t="shared" si="18"/>
        <v/>
      </c>
      <c r="F115" s="318">
        <v>0.0</v>
      </c>
      <c r="G115" s="318">
        <v>165.0</v>
      </c>
      <c r="H115" s="318">
        <v>0.0</v>
      </c>
      <c r="I115" s="318">
        <v>268.0</v>
      </c>
      <c r="J115" s="318">
        <v>185.0</v>
      </c>
      <c r="K115" s="319">
        <f t="shared" si="19"/>
        <v>268</v>
      </c>
      <c r="L115" s="320" t="str">
        <f t="shared" si="4"/>
        <v/>
      </c>
      <c r="M115" s="239"/>
      <c r="T115" s="323"/>
      <c r="U115" s="326"/>
      <c r="V115" s="327"/>
    </row>
    <row r="116">
      <c r="A116" s="340"/>
      <c r="B116" s="313">
        <v>46087.0</v>
      </c>
      <c r="C116" s="314" t="s">
        <v>183</v>
      </c>
      <c r="D116" s="315" t="str">
        <f t="shared" si="17"/>
        <v>任务排行榜</v>
      </c>
      <c r="E116" s="315" t="str">
        <f t="shared" si="18"/>
        <v>任务排行榜</v>
      </c>
      <c r="F116" s="316">
        <v>140.0</v>
      </c>
      <c r="G116" s="317">
        <v>80.0</v>
      </c>
      <c r="H116" s="318">
        <v>0.0</v>
      </c>
      <c r="I116" s="318">
        <v>206.0</v>
      </c>
      <c r="J116" s="318">
        <v>98.0</v>
      </c>
      <c r="K116" s="319">
        <f t="shared" si="19"/>
        <v>206</v>
      </c>
      <c r="L116" s="320" t="str">
        <f t="shared" si="4"/>
        <v>任务排行榜</v>
      </c>
      <c r="T116" s="323"/>
      <c r="U116" s="326"/>
      <c r="V116" s="327"/>
    </row>
    <row r="117">
      <c r="A117" s="340"/>
      <c r="B117" s="313">
        <v>46087.0</v>
      </c>
      <c r="C117" s="314" t="s">
        <v>432</v>
      </c>
      <c r="D117" s="315" t="str">
        <f t="shared" si="17"/>
        <v/>
      </c>
      <c r="E117" s="315" t="str">
        <f t="shared" si="18"/>
        <v/>
      </c>
      <c r="F117" s="316">
        <v>140.0</v>
      </c>
      <c r="G117" s="317">
        <v>80.0</v>
      </c>
      <c r="H117" s="318">
        <v>0.0</v>
      </c>
      <c r="I117" s="318">
        <v>206.0</v>
      </c>
      <c r="J117" s="318">
        <v>98.0</v>
      </c>
      <c r="K117" s="319">
        <f t="shared" si="19"/>
        <v>206</v>
      </c>
      <c r="L117" s="320" t="str">
        <f t="shared" si="4"/>
        <v/>
      </c>
      <c r="T117" s="323"/>
      <c r="U117" s="326"/>
      <c r="V117" s="327"/>
    </row>
    <row r="118">
      <c r="A118" s="340"/>
      <c r="B118" s="313">
        <v>46087.0</v>
      </c>
      <c r="C118" s="314" t="s">
        <v>133</v>
      </c>
      <c r="D118" s="315" t="str">
        <f t="shared" si="17"/>
        <v>邀请返佣</v>
      </c>
      <c r="E118" s="315" t="str">
        <f t="shared" si="18"/>
        <v>邀请返佣</v>
      </c>
      <c r="F118" s="316">
        <v>131.0</v>
      </c>
      <c r="G118" s="316">
        <v>99.0</v>
      </c>
      <c r="H118" s="318">
        <v>402.89</v>
      </c>
      <c r="I118" s="318">
        <v>0.0</v>
      </c>
      <c r="J118" s="318">
        <v>0.0</v>
      </c>
      <c r="K118" s="319">
        <f t="shared" si="19"/>
        <v>402.89</v>
      </c>
      <c r="L118" s="320" t="str">
        <f t="shared" si="4"/>
        <v>邀请返佣</v>
      </c>
      <c r="M118" s="239"/>
      <c r="T118" s="323"/>
      <c r="U118" s="326"/>
      <c r="V118" s="327"/>
    </row>
    <row r="119">
      <c r="A119" s="340"/>
      <c r="B119" s="313">
        <v>46087.0</v>
      </c>
      <c r="C119" s="314" t="s">
        <v>361</v>
      </c>
      <c r="D119" s="315" t="str">
        <f t="shared" si="17"/>
        <v/>
      </c>
      <c r="E119" s="315" t="str">
        <f t="shared" si="18"/>
        <v/>
      </c>
      <c r="F119" s="316">
        <v>3.0</v>
      </c>
      <c r="G119" s="317">
        <v>3.0</v>
      </c>
      <c r="H119" s="318">
        <v>45.0</v>
      </c>
      <c r="I119" s="318">
        <v>0.0</v>
      </c>
      <c r="J119" s="318">
        <v>0.0</v>
      </c>
      <c r="K119" s="319">
        <f t="shared" si="19"/>
        <v>45</v>
      </c>
      <c r="L119" s="320" t="str">
        <f t="shared" si="4"/>
        <v/>
      </c>
      <c r="T119" s="323"/>
      <c r="U119" s="326"/>
      <c r="V119" s="327"/>
    </row>
    <row r="120">
      <c r="A120" s="340"/>
      <c r="B120" s="313">
        <v>46087.0</v>
      </c>
      <c r="C120" s="314" t="s">
        <v>362</v>
      </c>
      <c r="D120" s="315" t="str">
        <f t="shared" si="17"/>
        <v/>
      </c>
      <c r="E120" s="315" t="str">
        <f t="shared" si="18"/>
        <v/>
      </c>
      <c r="F120" s="316">
        <v>24.0</v>
      </c>
      <c r="G120" s="317">
        <v>24.0</v>
      </c>
      <c r="H120" s="318">
        <v>10.26</v>
      </c>
      <c r="I120" s="318">
        <v>0.0</v>
      </c>
      <c r="J120" s="318">
        <v>0.0</v>
      </c>
      <c r="K120" s="319">
        <f t="shared" si="19"/>
        <v>10.26</v>
      </c>
      <c r="L120" s="320" t="str">
        <f t="shared" si="4"/>
        <v/>
      </c>
      <c r="T120" s="323"/>
      <c r="U120" s="326"/>
      <c r="V120" s="327"/>
    </row>
    <row r="121">
      <c r="A121" s="340"/>
      <c r="B121" s="313">
        <v>46087.0</v>
      </c>
      <c r="C121" s="314" t="s">
        <v>360</v>
      </c>
      <c r="D121" s="315" t="str">
        <f t="shared" si="17"/>
        <v/>
      </c>
      <c r="E121" s="315" t="str">
        <f t="shared" si="18"/>
        <v/>
      </c>
      <c r="F121" s="337">
        <v>20.0</v>
      </c>
      <c r="G121" s="337">
        <v>19.0</v>
      </c>
      <c r="H121" s="337">
        <v>300.0</v>
      </c>
      <c r="I121" s="337">
        <v>0.0</v>
      </c>
      <c r="J121" s="337">
        <v>0.0</v>
      </c>
      <c r="K121" s="319">
        <f t="shared" si="19"/>
        <v>300</v>
      </c>
      <c r="L121" s="320" t="str">
        <f t="shared" si="4"/>
        <v/>
      </c>
      <c r="M121" s="239"/>
      <c r="T121" s="323"/>
      <c r="U121" s="326"/>
      <c r="V121" s="327"/>
    </row>
    <row r="122">
      <c r="A122" s="340"/>
      <c r="B122" s="313">
        <v>46087.0</v>
      </c>
      <c r="C122" s="314" t="s">
        <v>427</v>
      </c>
      <c r="D122" s="315" t="str">
        <f t="shared" si="17"/>
        <v/>
      </c>
      <c r="E122" s="315" t="str">
        <f t="shared" si="18"/>
        <v/>
      </c>
      <c r="F122" s="316">
        <v>84.0</v>
      </c>
      <c r="G122" s="317">
        <v>84.0</v>
      </c>
      <c r="H122" s="318">
        <v>47.64</v>
      </c>
      <c r="I122" s="318">
        <v>0.0</v>
      </c>
      <c r="J122" s="318">
        <v>0.0</v>
      </c>
      <c r="K122" s="319">
        <f t="shared" si="19"/>
        <v>47.64</v>
      </c>
      <c r="L122" s="320" t="str">
        <f t="shared" si="4"/>
        <v/>
      </c>
      <c r="T122" s="323"/>
      <c r="U122" s="326"/>
      <c r="V122" s="327"/>
    </row>
    <row r="123">
      <c r="A123" s="340"/>
      <c r="B123" s="313">
        <v>46087.0</v>
      </c>
      <c r="C123" s="314" t="s">
        <v>176</v>
      </c>
      <c r="D123" s="315" t="str">
        <f t="shared" si="17"/>
        <v>UPGRADE_BONUS</v>
      </c>
      <c r="E123" s="315" t="str">
        <f t="shared" si="18"/>
        <v>升级奖励</v>
      </c>
      <c r="F123" s="316">
        <v>247.0</v>
      </c>
      <c r="G123" s="317">
        <v>210.0</v>
      </c>
      <c r="H123" s="318">
        <v>439.0</v>
      </c>
      <c r="I123" s="318">
        <v>0.0</v>
      </c>
      <c r="J123" s="318">
        <v>0.0</v>
      </c>
      <c r="K123" s="319">
        <f t="shared" si="19"/>
        <v>439</v>
      </c>
      <c r="L123" s="320" t="str">
        <f t="shared" si="4"/>
        <v>升级奖励</v>
      </c>
      <c r="T123" s="323"/>
      <c r="U123" s="326"/>
      <c r="V123" s="327"/>
    </row>
    <row r="124">
      <c r="A124" s="340"/>
      <c r="B124" s="313">
        <v>46087.0</v>
      </c>
      <c r="C124" s="314" t="s">
        <v>428</v>
      </c>
      <c r="D124" s="315" t="str">
        <f t="shared" si="17"/>
        <v/>
      </c>
      <c r="E124" s="315" t="str">
        <f t="shared" si="18"/>
        <v/>
      </c>
      <c r="F124" s="316">
        <v>247.0</v>
      </c>
      <c r="G124" s="317">
        <v>210.0</v>
      </c>
      <c r="H124" s="318">
        <v>439.0</v>
      </c>
      <c r="I124" s="318">
        <v>0.0</v>
      </c>
      <c r="J124" s="318">
        <v>0.0</v>
      </c>
      <c r="K124" s="319">
        <f t="shared" si="19"/>
        <v>439</v>
      </c>
      <c r="L124" s="320" t="str">
        <f t="shared" si="4"/>
        <v/>
      </c>
      <c r="T124" s="323"/>
      <c r="U124" s="326"/>
      <c r="V124" s="327"/>
    </row>
    <row r="125">
      <c r="A125" s="340"/>
      <c r="B125" s="330"/>
      <c r="C125" s="331"/>
      <c r="D125" s="332"/>
      <c r="E125" s="332"/>
      <c r="F125" s="333"/>
      <c r="G125" s="334"/>
      <c r="H125" s="335"/>
      <c r="I125" s="335"/>
      <c r="J125" s="335"/>
      <c r="K125" s="336"/>
      <c r="L125" s="320" t="str">
        <f t="shared" si="4"/>
        <v/>
      </c>
      <c r="T125" s="323"/>
      <c r="U125" s="326"/>
      <c r="V125" s="327"/>
    </row>
    <row r="126">
      <c r="A126" s="340"/>
      <c r="B126" s="313">
        <v>46088.0</v>
      </c>
      <c r="C126" s="314" t="s">
        <v>172</v>
      </c>
      <c r="D126" s="315" t="str">
        <f t="shared" ref="D126:D147" si="20">IFERROR(vlookup(C126,$Q$3:$R$30,2,0),"")</f>
        <v>GAME_REBATE</v>
      </c>
      <c r="E126" s="315" t="str">
        <f t="shared" ref="E126:E147" si="21">IFERROR(vlookup(D126,$O$2:$P$30,2,0),"")</f>
        <v>玩家返水</v>
      </c>
      <c r="F126" s="316">
        <v>305.0</v>
      </c>
      <c r="G126" s="317">
        <v>305.0</v>
      </c>
      <c r="H126" s="318">
        <v>1784.98</v>
      </c>
      <c r="I126" s="318">
        <v>0.0</v>
      </c>
      <c r="J126" s="318">
        <v>0.0</v>
      </c>
      <c r="K126" s="319">
        <f t="shared" ref="K126:K147" si="22">H126+I126</f>
        <v>1784.98</v>
      </c>
      <c r="L126" s="320" t="str">
        <f t="shared" si="4"/>
        <v>玩家返水</v>
      </c>
      <c r="T126" s="323"/>
      <c r="U126" s="326"/>
      <c r="V126" s="327"/>
    </row>
    <row r="127">
      <c r="A127" s="340"/>
      <c r="B127" s="313">
        <v>46088.0</v>
      </c>
      <c r="C127" s="314" t="s">
        <v>383</v>
      </c>
      <c r="D127" s="315" t="str">
        <f t="shared" si="20"/>
        <v/>
      </c>
      <c r="E127" s="315" t="str">
        <f t="shared" si="21"/>
        <v/>
      </c>
      <c r="F127" s="316">
        <v>305.0</v>
      </c>
      <c r="G127" s="316">
        <v>305.0</v>
      </c>
      <c r="H127" s="318">
        <v>1782.6</v>
      </c>
      <c r="I127" s="318">
        <v>0.0</v>
      </c>
      <c r="J127" s="318">
        <v>0.0</v>
      </c>
      <c r="K127" s="319">
        <f t="shared" si="22"/>
        <v>1782.6</v>
      </c>
      <c r="L127" s="320" t="str">
        <f t="shared" si="4"/>
        <v/>
      </c>
      <c r="M127" s="341">
        <f>K127-L127</f>
        <v>1782.6</v>
      </c>
      <c r="T127" s="323"/>
      <c r="U127" s="326"/>
      <c r="V127" s="327"/>
    </row>
    <row r="128">
      <c r="A128" s="340"/>
      <c r="B128" s="313">
        <v>46088.0</v>
      </c>
      <c r="C128" s="314" t="s">
        <v>384</v>
      </c>
      <c r="D128" s="315" t="str">
        <f t="shared" si="20"/>
        <v/>
      </c>
      <c r="E128" s="315" t="str">
        <f t="shared" si="21"/>
        <v/>
      </c>
      <c r="F128" s="316">
        <v>2.0</v>
      </c>
      <c r="G128" s="317">
        <v>2.0</v>
      </c>
      <c r="H128" s="318">
        <v>2.38</v>
      </c>
      <c r="I128" s="318">
        <v>0.0</v>
      </c>
      <c r="J128" s="318">
        <v>0.0</v>
      </c>
      <c r="K128" s="319">
        <f t="shared" si="22"/>
        <v>2.38</v>
      </c>
      <c r="L128" s="320" t="str">
        <f t="shared" si="4"/>
        <v/>
      </c>
      <c r="T128" s="323"/>
      <c r="U128" s="326"/>
      <c r="V128" s="327"/>
    </row>
    <row r="129">
      <c r="A129" s="340"/>
      <c r="B129" s="313">
        <v>46088.0</v>
      </c>
      <c r="C129" s="314" t="s">
        <v>174</v>
      </c>
      <c r="D129" s="315" t="str">
        <f t="shared" si="20"/>
        <v>DEPOSIT</v>
      </c>
      <c r="E129" s="315" t="str">
        <f t="shared" si="21"/>
        <v>笔笔存送</v>
      </c>
      <c r="F129" s="318">
        <v>108.0</v>
      </c>
      <c r="G129" s="318">
        <v>77.0</v>
      </c>
      <c r="H129" s="318">
        <v>777.03</v>
      </c>
      <c r="I129" s="318">
        <v>0.0</v>
      </c>
      <c r="J129" s="318">
        <v>0.0</v>
      </c>
      <c r="K129" s="319">
        <f t="shared" si="22"/>
        <v>777.03</v>
      </c>
      <c r="L129" s="320" t="str">
        <f t="shared" si="4"/>
        <v>笔笔存送</v>
      </c>
      <c r="M129" s="239"/>
      <c r="T129" s="323"/>
      <c r="U129" s="326"/>
      <c r="V129" s="327"/>
    </row>
    <row r="130">
      <c r="A130" s="340"/>
      <c r="B130" s="313">
        <v>46088.0</v>
      </c>
      <c r="C130" s="314" t="s">
        <v>430</v>
      </c>
      <c r="D130" s="315" t="str">
        <f t="shared" si="20"/>
        <v/>
      </c>
      <c r="E130" s="315" t="str">
        <f t="shared" si="21"/>
        <v/>
      </c>
      <c r="F130" s="316">
        <v>4.0</v>
      </c>
      <c r="G130" s="317">
        <v>4.0</v>
      </c>
      <c r="H130" s="318">
        <v>200.0</v>
      </c>
      <c r="I130" s="318">
        <v>0.0</v>
      </c>
      <c r="J130" s="318">
        <v>0.0</v>
      </c>
      <c r="K130" s="319">
        <f t="shared" si="22"/>
        <v>200</v>
      </c>
      <c r="L130" s="320" t="str">
        <f t="shared" si="4"/>
        <v/>
      </c>
      <c r="T130" s="323"/>
      <c r="U130" s="326"/>
      <c r="V130" s="327"/>
    </row>
    <row r="131">
      <c r="A131" s="338"/>
      <c r="B131" s="313">
        <v>46088.0</v>
      </c>
      <c r="C131" s="314" t="s">
        <v>431</v>
      </c>
      <c r="D131" s="315" t="str">
        <f t="shared" si="20"/>
        <v/>
      </c>
      <c r="E131" s="315" t="str">
        <f t="shared" si="21"/>
        <v/>
      </c>
      <c r="F131" s="316">
        <v>1.0</v>
      </c>
      <c r="G131" s="317">
        <v>1.0</v>
      </c>
      <c r="H131" s="318">
        <v>100.0</v>
      </c>
      <c r="I131" s="318">
        <v>0.0</v>
      </c>
      <c r="J131" s="318">
        <v>0.0</v>
      </c>
      <c r="K131" s="319">
        <f t="shared" si="22"/>
        <v>100</v>
      </c>
      <c r="L131" s="320" t="str">
        <f t="shared" si="4"/>
        <v/>
      </c>
      <c r="T131" s="323"/>
      <c r="U131" s="326"/>
      <c r="V131" s="327"/>
    </row>
    <row r="132">
      <c r="A132" s="340"/>
      <c r="B132" s="313">
        <v>46088.0</v>
      </c>
      <c r="C132" s="314" t="s">
        <v>391</v>
      </c>
      <c r="D132" s="315" t="str">
        <f t="shared" si="20"/>
        <v/>
      </c>
      <c r="E132" s="315" t="str">
        <f t="shared" si="21"/>
        <v/>
      </c>
      <c r="F132" s="316">
        <v>103.0</v>
      </c>
      <c r="G132" s="317">
        <v>76.0</v>
      </c>
      <c r="H132" s="318">
        <v>477.03</v>
      </c>
      <c r="I132" s="318">
        <v>0.0</v>
      </c>
      <c r="J132" s="318">
        <v>0.0</v>
      </c>
      <c r="K132" s="319">
        <f t="shared" si="22"/>
        <v>477.03</v>
      </c>
      <c r="L132" s="320" t="str">
        <f t="shared" si="4"/>
        <v/>
      </c>
      <c r="T132" s="323"/>
      <c r="U132" s="326"/>
      <c r="V132" s="327"/>
    </row>
    <row r="133">
      <c r="A133" s="340"/>
      <c r="B133" s="313">
        <v>46088.0</v>
      </c>
      <c r="C133" s="314" t="s">
        <v>187</v>
      </c>
      <c r="D133" s="315" t="str">
        <f t="shared" si="20"/>
        <v>FIRST_DEPOSIT</v>
      </c>
      <c r="E133" s="315" t="str">
        <f t="shared" si="21"/>
        <v>首存</v>
      </c>
      <c r="F133" s="318">
        <v>39.0</v>
      </c>
      <c r="G133" s="318">
        <v>39.0</v>
      </c>
      <c r="H133" s="318">
        <v>2409.0</v>
      </c>
      <c r="I133" s="318">
        <v>0.0</v>
      </c>
      <c r="J133" s="318">
        <v>0.0</v>
      </c>
      <c r="K133" s="319">
        <f t="shared" si="22"/>
        <v>2409</v>
      </c>
      <c r="L133" s="320" t="str">
        <f t="shared" si="4"/>
        <v>首存</v>
      </c>
      <c r="M133" s="239"/>
      <c r="T133" s="323"/>
      <c r="U133" s="326"/>
      <c r="V133" s="327"/>
    </row>
    <row r="134">
      <c r="A134" s="340"/>
      <c r="B134" s="313">
        <v>46088.0</v>
      </c>
      <c r="C134" s="314" t="s">
        <v>424</v>
      </c>
      <c r="D134" s="315" t="str">
        <f t="shared" si="20"/>
        <v/>
      </c>
      <c r="E134" s="315" t="str">
        <f t="shared" si="21"/>
        <v/>
      </c>
      <c r="F134" s="316">
        <v>39.0</v>
      </c>
      <c r="G134" s="317">
        <v>39.0</v>
      </c>
      <c r="H134" s="318">
        <v>2409.0</v>
      </c>
      <c r="I134" s="318">
        <v>0.0</v>
      </c>
      <c r="J134" s="318">
        <v>0.0</v>
      </c>
      <c r="K134" s="319">
        <f t="shared" si="22"/>
        <v>2409</v>
      </c>
      <c r="L134" s="320" t="str">
        <f t="shared" si="4"/>
        <v/>
      </c>
      <c r="T134" s="323"/>
      <c r="U134" s="326"/>
      <c r="V134" s="327"/>
    </row>
    <row r="135">
      <c r="A135" s="340"/>
      <c r="B135" s="313">
        <v>46088.0</v>
      </c>
      <c r="C135" s="314" t="s">
        <v>175</v>
      </c>
      <c r="D135" s="315" t="str">
        <f t="shared" si="20"/>
        <v>LOGIN</v>
      </c>
      <c r="E135" s="315" t="str">
        <f t="shared" si="21"/>
        <v>签到奖励</v>
      </c>
      <c r="F135" s="316">
        <v>2601.0</v>
      </c>
      <c r="G135" s="317">
        <v>2601.0</v>
      </c>
      <c r="H135" s="318">
        <v>4108.0</v>
      </c>
      <c r="I135" s="318">
        <v>0.0</v>
      </c>
      <c r="J135" s="318">
        <v>0.0</v>
      </c>
      <c r="K135" s="319">
        <f t="shared" si="22"/>
        <v>4108</v>
      </c>
      <c r="L135" s="320" t="str">
        <f t="shared" si="4"/>
        <v>签到奖励</v>
      </c>
      <c r="T135" s="323"/>
      <c r="U135" s="326"/>
      <c r="V135" s="327"/>
    </row>
    <row r="136">
      <c r="A136" s="340"/>
      <c r="B136" s="313">
        <v>46088.0</v>
      </c>
      <c r="C136" s="314" t="s">
        <v>425</v>
      </c>
      <c r="D136" s="315" t="str">
        <f t="shared" si="20"/>
        <v/>
      </c>
      <c r="E136" s="315" t="str">
        <f t="shared" si="21"/>
        <v/>
      </c>
      <c r="F136" s="316">
        <v>2601.0</v>
      </c>
      <c r="G136" s="317">
        <v>2601.0</v>
      </c>
      <c r="H136" s="318">
        <v>4108.0</v>
      </c>
      <c r="I136" s="318">
        <v>0.0</v>
      </c>
      <c r="J136" s="318">
        <v>0.0</v>
      </c>
      <c r="K136" s="319">
        <f t="shared" si="22"/>
        <v>4108</v>
      </c>
      <c r="L136" s="320" t="str">
        <f t="shared" si="4"/>
        <v/>
      </c>
      <c r="T136" s="323"/>
      <c r="U136" s="326"/>
      <c r="V136" s="327"/>
    </row>
    <row r="137">
      <c r="A137" s="340"/>
      <c r="B137" s="313">
        <v>46088.0</v>
      </c>
      <c r="C137" s="314" t="s">
        <v>180</v>
      </c>
      <c r="D137" s="315" t="str">
        <f t="shared" si="20"/>
        <v>登录任务</v>
      </c>
      <c r="E137" s="315" t="str">
        <f t="shared" si="21"/>
        <v>登录任务</v>
      </c>
      <c r="F137" s="316">
        <v>0.0</v>
      </c>
      <c r="G137" s="317">
        <v>144.0</v>
      </c>
      <c r="H137" s="318">
        <v>0.0</v>
      </c>
      <c r="I137" s="318">
        <v>237.0</v>
      </c>
      <c r="J137" s="318">
        <v>161.0</v>
      </c>
      <c r="K137" s="319">
        <f t="shared" si="22"/>
        <v>237</v>
      </c>
      <c r="L137" s="320" t="str">
        <f t="shared" si="4"/>
        <v>登录任务</v>
      </c>
      <c r="T137" s="323"/>
      <c r="U137" s="326"/>
      <c r="V137" s="327"/>
    </row>
    <row r="138">
      <c r="A138" s="340"/>
      <c r="B138" s="313">
        <v>46088.0</v>
      </c>
      <c r="C138" s="314" t="s">
        <v>426</v>
      </c>
      <c r="D138" s="315" t="str">
        <f t="shared" si="20"/>
        <v/>
      </c>
      <c r="E138" s="315" t="str">
        <f t="shared" si="21"/>
        <v/>
      </c>
      <c r="F138" s="316">
        <v>0.0</v>
      </c>
      <c r="G138" s="317">
        <v>144.0</v>
      </c>
      <c r="H138" s="318">
        <v>0.0</v>
      </c>
      <c r="I138" s="318">
        <v>237.0</v>
      </c>
      <c r="J138" s="318">
        <v>161.0</v>
      </c>
      <c r="K138" s="319">
        <f t="shared" si="22"/>
        <v>237</v>
      </c>
      <c r="L138" s="320" t="str">
        <f t="shared" si="4"/>
        <v/>
      </c>
      <c r="T138" s="323"/>
      <c r="U138" s="326"/>
      <c r="V138" s="327"/>
    </row>
    <row r="139">
      <c r="A139" s="340"/>
      <c r="B139" s="313">
        <v>46088.0</v>
      </c>
      <c r="C139" s="314" t="s">
        <v>183</v>
      </c>
      <c r="D139" s="315" t="str">
        <f t="shared" si="20"/>
        <v>任务排行榜</v>
      </c>
      <c r="E139" s="315" t="str">
        <f t="shared" si="21"/>
        <v>任务排行榜</v>
      </c>
      <c r="F139" s="316">
        <v>117.0</v>
      </c>
      <c r="G139" s="317">
        <v>67.0</v>
      </c>
      <c r="H139" s="318">
        <v>0.0</v>
      </c>
      <c r="I139" s="318">
        <v>171.0</v>
      </c>
      <c r="J139" s="318">
        <v>74.0</v>
      </c>
      <c r="K139" s="319">
        <f t="shared" si="22"/>
        <v>171</v>
      </c>
      <c r="L139" s="320" t="str">
        <f t="shared" si="4"/>
        <v>任务排行榜</v>
      </c>
      <c r="T139" s="323"/>
      <c r="U139" s="326"/>
      <c r="V139" s="327"/>
    </row>
    <row r="140">
      <c r="A140" s="340"/>
      <c r="B140" s="313">
        <v>46088.0</v>
      </c>
      <c r="C140" s="314" t="s">
        <v>432</v>
      </c>
      <c r="D140" s="315" t="str">
        <f t="shared" si="20"/>
        <v/>
      </c>
      <c r="E140" s="315" t="str">
        <f t="shared" si="21"/>
        <v/>
      </c>
      <c r="F140" s="316">
        <v>117.0</v>
      </c>
      <c r="G140" s="317">
        <v>67.0</v>
      </c>
      <c r="H140" s="318">
        <v>0.0</v>
      </c>
      <c r="I140" s="318">
        <v>171.0</v>
      </c>
      <c r="J140" s="318">
        <v>74.0</v>
      </c>
      <c r="K140" s="319">
        <f t="shared" si="22"/>
        <v>171</v>
      </c>
      <c r="L140" s="320" t="str">
        <f t="shared" si="4"/>
        <v/>
      </c>
      <c r="T140" s="323"/>
      <c r="U140" s="326"/>
      <c r="V140" s="327"/>
    </row>
    <row r="141">
      <c r="A141" s="340"/>
      <c r="B141" s="313">
        <v>46088.0</v>
      </c>
      <c r="C141" s="314" t="s">
        <v>133</v>
      </c>
      <c r="D141" s="315" t="str">
        <f t="shared" si="20"/>
        <v>邀请返佣</v>
      </c>
      <c r="E141" s="315" t="str">
        <f t="shared" si="21"/>
        <v>邀请返佣</v>
      </c>
      <c r="F141" s="316">
        <v>116.0</v>
      </c>
      <c r="G141" s="317">
        <v>97.0</v>
      </c>
      <c r="H141" s="318">
        <v>119.46</v>
      </c>
      <c r="I141" s="318">
        <v>0.0</v>
      </c>
      <c r="J141" s="318">
        <v>0.0</v>
      </c>
      <c r="K141" s="319">
        <f t="shared" si="22"/>
        <v>119.46</v>
      </c>
      <c r="L141" s="320" t="str">
        <f t="shared" si="4"/>
        <v>邀请返佣</v>
      </c>
      <c r="T141" s="323"/>
      <c r="U141" s="326"/>
      <c r="V141" s="327"/>
    </row>
    <row r="142">
      <c r="A142" s="340"/>
      <c r="B142" s="313">
        <v>46088.0</v>
      </c>
      <c r="C142" s="314" t="s">
        <v>361</v>
      </c>
      <c r="D142" s="315" t="str">
        <f t="shared" si="20"/>
        <v/>
      </c>
      <c r="E142" s="315" t="str">
        <f t="shared" si="21"/>
        <v/>
      </c>
      <c r="F142" s="316">
        <v>2.0</v>
      </c>
      <c r="G142" s="317">
        <v>2.0</v>
      </c>
      <c r="H142" s="318">
        <v>10.0</v>
      </c>
      <c r="I142" s="318">
        <v>0.0</v>
      </c>
      <c r="J142" s="318">
        <v>0.0</v>
      </c>
      <c r="K142" s="319">
        <f t="shared" si="22"/>
        <v>10</v>
      </c>
      <c r="L142" s="320" t="str">
        <f t="shared" si="4"/>
        <v/>
      </c>
      <c r="T142" s="323"/>
      <c r="U142" s="326"/>
      <c r="V142" s="327"/>
    </row>
    <row r="143">
      <c r="A143" s="340"/>
      <c r="B143" s="313">
        <v>46088.0</v>
      </c>
      <c r="C143" s="314" t="s">
        <v>362</v>
      </c>
      <c r="D143" s="315" t="str">
        <f t="shared" si="20"/>
        <v/>
      </c>
      <c r="E143" s="315" t="str">
        <f t="shared" si="21"/>
        <v/>
      </c>
      <c r="F143" s="318">
        <v>18.0</v>
      </c>
      <c r="G143" s="318">
        <v>18.0</v>
      </c>
      <c r="H143" s="318">
        <v>5.91</v>
      </c>
      <c r="I143" s="318">
        <v>0.0</v>
      </c>
      <c r="J143" s="318">
        <v>0.0</v>
      </c>
      <c r="K143" s="319">
        <f t="shared" si="22"/>
        <v>5.91</v>
      </c>
      <c r="L143" s="320" t="str">
        <f t="shared" si="4"/>
        <v/>
      </c>
      <c r="M143" s="239"/>
      <c r="T143" s="323"/>
      <c r="U143" s="326"/>
      <c r="V143" s="327"/>
    </row>
    <row r="144">
      <c r="A144" s="340"/>
      <c r="B144" s="313">
        <v>46088.0</v>
      </c>
      <c r="C144" s="314" t="s">
        <v>360</v>
      </c>
      <c r="D144" s="315" t="str">
        <f t="shared" si="20"/>
        <v/>
      </c>
      <c r="E144" s="315" t="str">
        <f t="shared" si="21"/>
        <v/>
      </c>
      <c r="F144" s="316">
        <v>4.0</v>
      </c>
      <c r="G144" s="317">
        <v>4.0</v>
      </c>
      <c r="H144" s="318">
        <v>60.0</v>
      </c>
      <c r="I144" s="318">
        <v>0.0</v>
      </c>
      <c r="J144" s="318">
        <v>0.0</v>
      </c>
      <c r="K144" s="319">
        <f t="shared" si="22"/>
        <v>60</v>
      </c>
      <c r="L144" s="320" t="str">
        <f t="shared" si="4"/>
        <v/>
      </c>
      <c r="T144" s="323"/>
      <c r="U144" s="326"/>
      <c r="V144" s="327"/>
    </row>
    <row r="145">
      <c r="A145" s="340"/>
      <c r="B145" s="313">
        <v>46088.0</v>
      </c>
      <c r="C145" s="314" t="s">
        <v>427</v>
      </c>
      <c r="D145" s="315" t="str">
        <f t="shared" si="20"/>
        <v/>
      </c>
      <c r="E145" s="315" t="str">
        <f t="shared" si="21"/>
        <v/>
      </c>
      <c r="F145" s="316">
        <v>92.0</v>
      </c>
      <c r="G145" s="317">
        <v>92.0</v>
      </c>
      <c r="H145" s="318">
        <v>43.54</v>
      </c>
      <c r="I145" s="318">
        <v>0.0</v>
      </c>
      <c r="J145" s="318">
        <v>0.0</v>
      </c>
      <c r="K145" s="319">
        <f t="shared" si="22"/>
        <v>43.54</v>
      </c>
      <c r="L145" s="320" t="str">
        <f t="shared" si="4"/>
        <v/>
      </c>
      <c r="T145" s="323"/>
      <c r="U145" s="326"/>
      <c r="V145" s="327"/>
    </row>
    <row r="146">
      <c r="A146" s="340"/>
      <c r="B146" s="313">
        <v>46088.0</v>
      </c>
      <c r="C146" s="314" t="s">
        <v>176</v>
      </c>
      <c r="D146" s="315" t="str">
        <f t="shared" si="20"/>
        <v>UPGRADE_BONUS</v>
      </c>
      <c r="E146" s="315" t="str">
        <f t="shared" si="21"/>
        <v>升级奖励</v>
      </c>
      <c r="F146" s="316">
        <v>152.0</v>
      </c>
      <c r="G146" s="317">
        <v>131.0</v>
      </c>
      <c r="H146" s="318">
        <v>282.0</v>
      </c>
      <c r="I146" s="318">
        <v>0.0</v>
      </c>
      <c r="J146" s="318">
        <v>0.0</v>
      </c>
      <c r="K146" s="319">
        <f t="shared" si="22"/>
        <v>282</v>
      </c>
      <c r="L146" s="320" t="str">
        <f t="shared" si="4"/>
        <v>升级奖励</v>
      </c>
      <c r="T146" s="323"/>
      <c r="U146" s="326"/>
      <c r="V146" s="327"/>
    </row>
    <row r="147">
      <c r="A147" s="340"/>
      <c r="B147" s="313">
        <v>46088.0</v>
      </c>
      <c r="C147" s="314" t="s">
        <v>428</v>
      </c>
      <c r="D147" s="315" t="str">
        <f t="shared" si="20"/>
        <v/>
      </c>
      <c r="E147" s="315" t="str">
        <f t="shared" si="21"/>
        <v/>
      </c>
      <c r="F147" s="316">
        <v>152.0</v>
      </c>
      <c r="G147" s="317">
        <v>131.0</v>
      </c>
      <c r="H147" s="318">
        <v>282.0</v>
      </c>
      <c r="I147" s="318">
        <v>0.0</v>
      </c>
      <c r="J147" s="318">
        <v>0.0</v>
      </c>
      <c r="K147" s="319">
        <f t="shared" si="22"/>
        <v>282</v>
      </c>
      <c r="L147" s="320" t="str">
        <f t="shared" si="4"/>
        <v/>
      </c>
      <c r="T147" s="323"/>
      <c r="U147" s="326"/>
      <c r="V147" s="327"/>
    </row>
    <row r="148">
      <c r="A148" s="340"/>
      <c r="B148" s="330"/>
      <c r="C148" s="331"/>
      <c r="D148" s="332"/>
      <c r="E148" s="332"/>
      <c r="F148" s="333"/>
      <c r="G148" s="334"/>
      <c r="H148" s="335"/>
      <c r="I148" s="335"/>
      <c r="J148" s="335"/>
      <c r="K148" s="336"/>
      <c r="L148" s="320"/>
      <c r="T148" s="323"/>
      <c r="U148" s="326"/>
      <c r="V148" s="327"/>
    </row>
    <row r="149">
      <c r="A149" s="340"/>
      <c r="B149" s="313">
        <v>46089.0</v>
      </c>
      <c r="C149" s="314" t="s">
        <v>172</v>
      </c>
      <c r="D149" s="315" t="str">
        <f t="shared" ref="D149:D169" si="23">IFERROR(vlookup(C149,$Q$3:$R$30,2,0),"")</f>
        <v>GAME_REBATE</v>
      </c>
      <c r="E149" s="315" t="str">
        <f t="shared" ref="E149:E169" si="24">IFERROR(vlookup(D149,$O$2:$P$30,2,0),"")</f>
        <v>玩家返水</v>
      </c>
      <c r="F149" s="316">
        <v>242.0</v>
      </c>
      <c r="G149" s="316">
        <v>242.0</v>
      </c>
      <c r="H149" s="318">
        <v>1759.84</v>
      </c>
      <c r="I149" s="318">
        <v>0.0</v>
      </c>
      <c r="J149" s="318">
        <v>0.0</v>
      </c>
      <c r="K149" s="319">
        <f t="shared" ref="K149:K169" si="25">H149+I149</f>
        <v>1759.84</v>
      </c>
      <c r="L149" s="320" t="str">
        <f t="shared" ref="L149:L169" si="26">IFERROR(VLOOKUP(C149,$M$3:$N$30,2,0),"")</f>
        <v>玩家返水</v>
      </c>
      <c r="M149" s="283" t="str">
        <f>K149-L149</f>
        <v>#VALUE!</v>
      </c>
      <c r="T149" s="323"/>
      <c r="U149" s="326"/>
      <c r="V149" s="327"/>
    </row>
    <row r="150">
      <c r="A150" s="340"/>
      <c r="B150" s="313">
        <v>46089.0</v>
      </c>
      <c r="C150" s="314" t="s">
        <v>383</v>
      </c>
      <c r="D150" s="315" t="str">
        <f t="shared" si="23"/>
        <v/>
      </c>
      <c r="E150" s="315" t="str">
        <f t="shared" si="24"/>
        <v/>
      </c>
      <c r="F150" s="316">
        <v>241.0</v>
      </c>
      <c r="G150" s="317">
        <v>241.0</v>
      </c>
      <c r="H150" s="318">
        <v>1740.3</v>
      </c>
      <c r="I150" s="318">
        <v>0.0</v>
      </c>
      <c r="J150" s="318">
        <v>0.0</v>
      </c>
      <c r="K150" s="319">
        <f t="shared" si="25"/>
        <v>1740.3</v>
      </c>
      <c r="L150" s="320" t="str">
        <f t="shared" si="26"/>
        <v/>
      </c>
      <c r="T150" s="323"/>
      <c r="U150" s="326"/>
      <c r="V150" s="327"/>
    </row>
    <row r="151">
      <c r="A151" s="340"/>
      <c r="B151" s="313">
        <v>46089.0</v>
      </c>
      <c r="C151" s="314" t="s">
        <v>384</v>
      </c>
      <c r="D151" s="315" t="str">
        <f t="shared" si="23"/>
        <v/>
      </c>
      <c r="E151" s="315" t="str">
        <f t="shared" si="24"/>
        <v/>
      </c>
      <c r="F151" s="316">
        <v>7.0</v>
      </c>
      <c r="G151" s="317">
        <v>7.0</v>
      </c>
      <c r="H151" s="318">
        <v>19.54</v>
      </c>
      <c r="I151" s="318">
        <v>0.0</v>
      </c>
      <c r="J151" s="318">
        <v>0.0</v>
      </c>
      <c r="K151" s="319">
        <f t="shared" si="25"/>
        <v>19.54</v>
      </c>
      <c r="L151" s="320" t="str">
        <f t="shared" si="26"/>
        <v/>
      </c>
      <c r="T151" s="323"/>
      <c r="U151" s="326"/>
      <c r="V151" s="327"/>
    </row>
    <row r="152">
      <c r="A152" s="340"/>
      <c r="B152" s="313">
        <v>46089.0</v>
      </c>
      <c r="C152" s="314" t="s">
        <v>174</v>
      </c>
      <c r="D152" s="315" t="str">
        <f t="shared" si="23"/>
        <v>DEPOSIT</v>
      </c>
      <c r="E152" s="315" t="str">
        <f t="shared" si="24"/>
        <v>笔笔存送</v>
      </c>
      <c r="F152" s="316">
        <v>82.0</v>
      </c>
      <c r="G152" s="317">
        <v>61.0</v>
      </c>
      <c r="H152" s="318">
        <v>374.44</v>
      </c>
      <c r="I152" s="318">
        <v>0.0</v>
      </c>
      <c r="J152" s="318">
        <v>0.0</v>
      </c>
      <c r="K152" s="319">
        <f t="shared" si="25"/>
        <v>374.44</v>
      </c>
      <c r="L152" s="320" t="str">
        <f t="shared" si="26"/>
        <v>笔笔存送</v>
      </c>
      <c r="T152" s="323"/>
      <c r="U152" s="326"/>
      <c r="V152" s="327"/>
    </row>
    <row r="153">
      <c r="A153" s="340"/>
      <c r="B153" s="313">
        <v>46089.0</v>
      </c>
      <c r="C153" s="314" t="s">
        <v>430</v>
      </c>
      <c r="D153" s="315" t="str">
        <f t="shared" si="23"/>
        <v/>
      </c>
      <c r="E153" s="315" t="str">
        <f t="shared" si="24"/>
        <v/>
      </c>
      <c r="F153" s="316">
        <v>2.0</v>
      </c>
      <c r="G153" s="317">
        <v>2.0</v>
      </c>
      <c r="H153" s="318">
        <v>100.0</v>
      </c>
      <c r="I153" s="318">
        <v>0.0</v>
      </c>
      <c r="J153" s="318">
        <v>0.0</v>
      </c>
      <c r="K153" s="319">
        <f t="shared" si="25"/>
        <v>100</v>
      </c>
      <c r="L153" s="320" t="str">
        <f t="shared" si="26"/>
        <v/>
      </c>
      <c r="T153" s="323"/>
      <c r="U153" s="326"/>
      <c r="V153" s="327"/>
    </row>
    <row r="154">
      <c r="A154" s="340"/>
      <c r="B154" s="313">
        <v>46089.0</v>
      </c>
      <c r="C154" s="314" t="s">
        <v>391</v>
      </c>
      <c r="D154" s="315" t="str">
        <f t="shared" si="23"/>
        <v/>
      </c>
      <c r="E154" s="315" t="str">
        <f t="shared" si="24"/>
        <v/>
      </c>
      <c r="F154" s="316">
        <v>80.0</v>
      </c>
      <c r="G154" s="316">
        <v>59.0</v>
      </c>
      <c r="H154" s="316">
        <v>274.44</v>
      </c>
      <c r="I154" s="316">
        <v>0.0</v>
      </c>
      <c r="J154" s="316">
        <v>0.0</v>
      </c>
      <c r="K154" s="319">
        <f t="shared" si="25"/>
        <v>274.44</v>
      </c>
      <c r="L154" s="320" t="str">
        <f t="shared" si="26"/>
        <v/>
      </c>
      <c r="M154" s="239"/>
      <c r="T154" s="323"/>
      <c r="U154" s="326"/>
      <c r="V154" s="327"/>
    </row>
    <row r="155">
      <c r="A155" s="340"/>
      <c r="B155" s="313">
        <v>46089.0</v>
      </c>
      <c r="C155" s="314" t="s">
        <v>187</v>
      </c>
      <c r="D155" s="315" t="str">
        <f t="shared" si="23"/>
        <v>FIRST_DEPOSIT</v>
      </c>
      <c r="E155" s="315" t="str">
        <f t="shared" si="24"/>
        <v>首存</v>
      </c>
      <c r="F155" s="318">
        <v>41.0</v>
      </c>
      <c r="G155" s="318">
        <v>41.0</v>
      </c>
      <c r="H155" s="318">
        <v>2455.5</v>
      </c>
      <c r="I155" s="318">
        <v>0.0</v>
      </c>
      <c r="J155" s="318">
        <v>0.0</v>
      </c>
      <c r="K155" s="319">
        <f t="shared" si="25"/>
        <v>2455.5</v>
      </c>
      <c r="L155" s="320" t="str">
        <f t="shared" si="26"/>
        <v>首存</v>
      </c>
      <c r="M155" s="239"/>
      <c r="T155" s="323"/>
      <c r="U155" s="326"/>
      <c r="V155" s="327"/>
    </row>
    <row r="156">
      <c r="A156" s="340"/>
      <c r="B156" s="313">
        <v>46089.0</v>
      </c>
      <c r="C156" s="314" t="s">
        <v>424</v>
      </c>
      <c r="D156" s="315" t="str">
        <f t="shared" si="23"/>
        <v/>
      </c>
      <c r="E156" s="315" t="str">
        <f t="shared" si="24"/>
        <v/>
      </c>
      <c r="F156" s="316">
        <v>41.0</v>
      </c>
      <c r="G156" s="316">
        <v>41.0</v>
      </c>
      <c r="H156" s="318">
        <v>2455.5</v>
      </c>
      <c r="I156" s="318">
        <v>0.0</v>
      </c>
      <c r="J156" s="318">
        <v>0.0</v>
      </c>
      <c r="K156" s="319">
        <f t="shared" si="25"/>
        <v>2455.5</v>
      </c>
      <c r="L156" s="320" t="str">
        <f t="shared" si="26"/>
        <v/>
      </c>
      <c r="M156" s="239"/>
      <c r="T156" s="323"/>
      <c r="U156" s="326"/>
      <c r="V156" s="327"/>
    </row>
    <row r="157">
      <c r="A157" s="340"/>
      <c r="B157" s="313">
        <v>46089.0</v>
      </c>
      <c r="C157" s="314" t="s">
        <v>175</v>
      </c>
      <c r="D157" s="315" t="str">
        <f t="shared" si="23"/>
        <v>LOGIN</v>
      </c>
      <c r="E157" s="315" t="str">
        <f t="shared" si="24"/>
        <v>签到奖励</v>
      </c>
      <c r="F157" s="316">
        <v>2615.0</v>
      </c>
      <c r="G157" s="317">
        <v>2615.0</v>
      </c>
      <c r="H157" s="318">
        <v>4149.0</v>
      </c>
      <c r="I157" s="318">
        <v>0.0</v>
      </c>
      <c r="J157" s="318">
        <v>0.0</v>
      </c>
      <c r="K157" s="319">
        <f t="shared" si="25"/>
        <v>4149</v>
      </c>
      <c r="L157" s="320" t="str">
        <f t="shared" si="26"/>
        <v>签到奖励</v>
      </c>
      <c r="T157" s="323"/>
      <c r="U157" s="326"/>
      <c r="V157" s="327"/>
    </row>
    <row r="158">
      <c r="A158" s="340"/>
      <c r="B158" s="313">
        <v>46089.0</v>
      </c>
      <c r="C158" s="314" t="s">
        <v>425</v>
      </c>
      <c r="D158" s="315" t="str">
        <f t="shared" si="23"/>
        <v/>
      </c>
      <c r="E158" s="315" t="str">
        <f t="shared" si="24"/>
        <v/>
      </c>
      <c r="F158" s="316">
        <v>2615.0</v>
      </c>
      <c r="G158" s="317">
        <v>2615.0</v>
      </c>
      <c r="H158" s="318">
        <v>4149.0</v>
      </c>
      <c r="I158" s="318">
        <v>0.0</v>
      </c>
      <c r="J158" s="318">
        <v>0.0</v>
      </c>
      <c r="K158" s="319">
        <f t="shared" si="25"/>
        <v>4149</v>
      </c>
      <c r="L158" s="320" t="str">
        <f t="shared" si="26"/>
        <v/>
      </c>
      <c r="T158" s="323"/>
      <c r="U158" s="326"/>
      <c r="V158" s="327"/>
    </row>
    <row r="159">
      <c r="A159" s="340"/>
      <c r="B159" s="313">
        <v>46089.0</v>
      </c>
      <c r="C159" s="314" t="s">
        <v>180</v>
      </c>
      <c r="D159" s="315" t="str">
        <f t="shared" si="23"/>
        <v>登录任务</v>
      </c>
      <c r="E159" s="315" t="str">
        <f t="shared" si="24"/>
        <v>登录任务</v>
      </c>
      <c r="F159" s="337">
        <v>0.0</v>
      </c>
      <c r="G159" s="337">
        <v>133.0</v>
      </c>
      <c r="H159" s="337">
        <v>0.0</v>
      </c>
      <c r="I159" s="337">
        <v>182.0</v>
      </c>
      <c r="J159" s="337">
        <v>142.0</v>
      </c>
      <c r="K159" s="319">
        <f t="shared" si="25"/>
        <v>182</v>
      </c>
      <c r="L159" s="320" t="str">
        <f t="shared" si="26"/>
        <v>登录任务</v>
      </c>
      <c r="M159" s="239"/>
      <c r="T159" s="323"/>
      <c r="U159" s="326"/>
      <c r="V159" s="327"/>
    </row>
    <row r="160">
      <c r="A160" s="340"/>
      <c r="B160" s="313">
        <v>46089.0</v>
      </c>
      <c r="C160" s="314" t="s">
        <v>426</v>
      </c>
      <c r="D160" s="315" t="str">
        <f t="shared" si="23"/>
        <v/>
      </c>
      <c r="E160" s="315" t="str">
        <f t="shared" si="24"/>
        <v/>
      </c>
      <c r="F160" s="316">
        <v>0.0</v>
      </c>
      <c r="G160" s="317">
        <v>133.0</v>
      </c>
      <c r="H160" s="318">
        <v>0.0</v>
      </c>
      <c r="I160" s="318">
        <v>182.0</v>
      </c>
      <c r="J160" s="318">
        <v>142.0</v>
      </c>
      <c r="K160" s="319">
        <f t="shared" si="25"/>
        <v>182</v>
      </c>
      <c r="L160" s="320" t="str">
        <f t="shared" si="26"/>
        <v/>
      </c>
      <c r="T160" s="323"/>
      <c r="U160" s="326"/>
      <c r="V160" s="327"/>
    </row>
    <row r="161">
      <c r="A161" s="340"/>
      <c r="B161" s="313">
        <v>46089.0</v>
      </c>
      <c r="C161" s="314" t="s">
        <v>183</v>
      </c>
      <c r="D161" s="315" t="str">
        <f t="shared" si="23"/>
        <v>任务排行榜</v>
      </c>
      <c r="E161" s="315" t="str">
        <f t="shared" si="24"/>
        <v>任务排行榜</v>
      </c>
      <c r="F161" s="316">
        <v>127.0</v>
      </c>
      <c r="G161" s="317">
        <v>62.0</v>
      </c>
      <c r="H161" s="318">
        <v>0.0</v>
      </c>
      <c r="I161" s="318">
        <v>174.0</v>
      </c>
      <c r="J161" s="318">
        <v>77.0</v>
      </c>
      <c r="K161" s="319">
        <f t="shared" si="25"/>
        <v>174</v>
      </c>
      <c r="L161" s="320" t="str">
        <f t="shared" si="26"/>
        <v>任务排行榜</v>
      </c>
      <c r="T161" s="323"/>
      <c r="U161" s="326"/>
      <c r="V161" s="327"/>
    </row>
    <row r="162">
      <c r="A162" s="340"/>
      <c r="B162" s="313">
        <v>46089.0</v>
      </c>
      <c r="C162" s="314" t="s">
        <v>432</v>
      </c>
      <c r="D162" s="315" t="str">
        <f t="shared" si="23"/>
        <v/>
      </c>
      <c r="E162" s="315" t="str">
        <f t="shared" si="24"/>
        <v/>
      </c>
      <c r="F162" s="316">
        <v>127.0</v>
      </c>
      <c r="G162" s="317">
        <v>62.0</v>
      </c>
      <c r="H162" s="318">
        <v>0.0</v>
      </c>
      <c r="I162" s="318">
        <v>174.0</v>
      </c>
      <c r="J162" s="318">
        <v>77.0</v>
      </c>
      <c r="K162" s="319">
        <f t="shared" si="25"/>
        <v>174</v>
      </c>
      <c r="L162" s="320" t="str">
        <f t="shared" si="26"/>
        <v/>
      </c>
      <c r="T162" s="323"/>
      <c r="U162" s="326"/>
      <c r="V162" s="327"/>
    </row>
    <row r="163">
      <c r="A163" s="340"/>
      <c r="B163" s="313">
        <v>46089.0</v>
      </c>
      <c r="C163" s="314" t="s">
        <v>133</v>
      </c>
      <c r="D163" s="315" t="str">
        <f t="shared" si="23"/>
        <v>邀请返佣</v>
      </c>
      <c r="E163" s="315" t="str">
        <f t="shared" si="24"/>
        <v>邀请返佣</v>
      </c>
      <c r="F163" s="316">
        <v>112.0</v>
      </c>
      <c r="G163" s="317">
        <v>90.0</v>
      </c>
      <c r="H163" s="318">
        <v>223.22</v>
      </c>
      <c r="I163" s="318">
        <v>0.0</v>
      </c>
      <c r="J163" s="318">
        <v>0.0</v>
      </c>
      <c r="K163" s="319">
        <f t="shared" si="25"/>
        <v>223.22</v>
      </c>
      <c r="L163" s="320" t="str">
        <f t="shared" si="26"/>
        <v>邀请返佣</v>
      </c>
      <c r="T163" s="323"/>
      <c r="U163" s="326"/>
      <c r="V163" s="327"/>
    </row>
    <row r="164">
      <c r="A164" s="340"/>
      <c r="B164" s="313">
        <v>46089.0</v>
      </c>
      <c r="C164" s="314" t="s">
        <v>361</v>
      </c>
      <c r="D164" s="315" t="str">
        <f t="shared" si="23"/>
        <v/>
      </c>
      <c r="E164" s="315" t="str">
        <f t="shared" si="24"/>
        <v/>
      </c>
      <c r="F164" s="316">
        <v>2.0</v>
      </c>
      <c r="G164" s="317">
        <v>2.0</v>
      </c>
      <c r="H164" s="318">
        <v>10.0</v>
      </c>
      <c r="I164" s="318">
        <v>0.0</v>
      </c>
      <c r="J164" s="318">
        <v>0.0</v>
      </c>
      <c r="K164" s="319">
        <f t="shared" si="25"/>
        <v>10</v>
      </c>
      <c r="L164" s="320" t="str">
        <f t="shared" si="26"/>
        <v/>
      </c>
      <c r="T164" s="323"/>
      <c r="U164" s="326"/>
      <c r="V164" s="327"/>
    </row>
    <row r="165">
      <c r="A165" s="342"/>
      <c r="B165" s="313">
        <v>46089.0</v>
      </c>
      <c r="C165" s="314" t="s">
        <v>362</v>
      </c>
      <c r="D165" s="315" t="str">
        <f t="shared" si="23"/>
        <v/>
      </c>
      <c r="E165" s="315" t="str">
        <f t="shared" si="24"/>
        <v/>
      </c>
      <c r="F165" s="316">
        <v>20.0</v>
      </c>
      <c r="G165" s="317">
        <v>20.0</v>
      </c>
      <c r="H165" s="318">
        <v>2.54</v>
      </c>
      <c r="I165" s="318">
        <v>0.0</v>
      </c>
      <c r="J165" s="318">
        <v>0.0</v>
      </c>
      <c r="K165" s="319">
        <f t="shared" si="25"/>
        <v>2.54</v>
      </c>
      <c r="L165" s="320" t="str">
        <f t="shared" si="26"/>
        <v/>
      </c>
      <c r="M165" s="239"/>
      <c r="T165" s="323"/>
      <c r="U165" s="326"/>
      <c r="V165" s="327"/>
    </row>
    <row r="166">
      <c r="A166" s="342"/>
      <c r="B166" s="313">
        <v>46089.0</v>
      </c>
      <c r="C166" s="314" t="s">
        <v>360</v>
      </c>
      <c r="D166" s="315" t="str">
        <f t="shared" si="23"/>
        <v/>
      </c>
      <c r="E166" s="315" t="str">
        <f t="shared" si="24"/>
        <v/>
      </c>
      <c r="F166" s="316">
        <v>12.0</v>
      </c>
      <c r="G166" s="317">
        <v>12.0</v>
      </c>
      <c r="H166" s="318">
        <v>180.0</v>
      </c>
      <c r="I166" s="318">
        <v>0.0</v>
      </c>
      <c r="J166" s="318">
        <v>0.0</v>
      </c>
      <c r="K166" s="319">
        <f t="shared" si="25"/>
        <v>180</v>
      </c>
      <c r="L166" s="320" t="str">
        <f t="shared" si="26"/>
        <v/>
      </c>
      <c r="T166" s="323"/>
      <c r="U166" s="326"/>
      <c r="V166" s="327"/>
    </row>
    <row r="167">
      <c r="A167" s="342"/>
      <c r="B167" s="313">
        <v>46089.0</v>
      </c>
      <c r="C167" s="314" t="s">
        <v>427</v>
      </c>
      <c r="D167" s="315" t="str">
        <f t="shared" si="23"/>
        <v/>
      </c>
      <c r="E167" s="315" t="str">
        <f t="shared" si="24"/>
        <v/>
      </c>
      <c r="F167" s="316">
        <v>78.0</v>
      </c>
      <c r="G167" s="317">
        <v>78.0</v>
      </c>
      <c r="H167" s="318">
        <v>30.67</v>
      </c>
      <c r="I167" s="318">
        <v>0.0</v>
      </c>
      <c r="J167" s="318">
        <v>0.0</v>
      </c>
      <c r="K167" s="319">
        <f t="shared" si="25"/>
        <v>30.67</v>
      </c>
      <c r="L167" s="320" t="str">
        <f t="shared" si="26"/>
        <v/>
      </c>
      <c r="T167" s="323"/>
      <c r="U167" s="326"/>
      <c r="V167" s="327"/>
    </row>
    <row r="168">
      <c r="A168" s="342"/>
      <c r="B168" s="313">
        <v>46089.0</v>
      </c>
      <c r="C168" s="314" t="s">
        <v>176</v>
      </c>
      <c r="D168" s="315" t="str">
        <f t="shared" si="23"/>
        <v>UPGRADE_BONUS</v>
      </c>
      <c r="E168" s="315" t="str">
        <f t="shared" si="24"/>
        <v>升级奖励</v>
      </c>
      <c r="F168" s="316">
        <v>127.0</v>
      </c>
      <c r="G168" s="317">
        <v>113.0</v>
      </c>
      <c r="H168" s="318">
        <v>224.0</v>
      </c>
      <c r="I168" s="318">
        <v>0.0</v>
      </c>
      <c r="J168" s="318">
        <v>0.0</v>
      </c>
      <c r="K168" s="319">
        <f t="shared" si="25"/>
        <v>224</v>
      </c>
      <c r="L168" s="320" t="str">
        <f t="shared" si="26"/>
        <v>升级奖励</v>
      </c>
      <c r="T168" s="323"/>
      <c r="U168" s="326"/>
      <c r="V168" s="327"/>
    </row>
    <row r="169">
      <c r="A169" s="342"/>
      <c r="B169" s="313">
        <v>46089.0</v>
      </c>
      <c r="C169" s="314" t="s">
        <v>428</v>
      </c>
      <c r="D169" s="315" t="str">
        <f t="shared" si="23"/>
        <v/>
      </c>
      <c r="E169" s="315" t="str">
        <f t="shared" si="24"/>
        <v/>
      </c>
      <c r="F169" s="316">
        <v>127.0</v>
      </c>
      <c r="G169" s="317">
        <v>113.0</v>
      </c>
      <c r="H169" s="318">
        <v>224.0</v>
      </c>
      <c r="I169" s="318">
        <v>0.0</v>
      </c>
      <c r="J169" s="318">
        <v>0.0</v>
      </c>
      <c r="K169" s="319">
        <f t="shared" si="25"/>
        <v>224</v>
      </c>
      <c r="L169" s="320" t="str">
        <f t="shared" si="26"/>
        <v/>
      </c>
      <c r="T169" s="323"/>
      <c r="U169" s="326"/>
      <c r="V169" s="327"/>
    </row>
    <row r="170">
      <c r="A170" s="342"/>
      <c r="B170" s="330"/>
      <c r="C170" s="331"/>
      <c r="D170" s="332"/>
      <c r="E170" s="332"/>
      <c r="F170" s="333"/>
      <c r="G170" s="334"/>
      <c r="H170" s="335"/>
      <c r="I170" s="335"/>
      <c r="J170" s="335"/>
      <c r="K170" s="336"/>
      <c r="L170" s="250"/>
      <c r="T170" s="323"/>
      <c r="U170" s="326"/>
      <c r="V170" s="327"/>
    </row>
    <row r="171">
      <c r="A171" s="342"/>
      <c r="B171" s="313">
        <v>46090.0</v>
      </c>
      <c r="C171" s="314" t="s">
        <v>172</v>
      </c>
      <c r="D171" s="315" t="str">
        <f t="shared" ref="D171:D191" si="27">IFERROR(vlookup(C171,$Q$3:$R$30,2,0),"")</f>
        <v>GAME_REBATE</v>
      </c>
      <c r="E171" s="315" t="str">
        <f t="shared" ref="E171:E191" si="28">IFERROR(vlookup(D171,$O$2:$P$30,2,0),"")</f>
        <v>玩家返水</v>
      </c>
      <c r="F171" s="316">
        <v>225.0</v>
      </c>
      <c r="G171" s="316">
        <v>225.0</v>
      </c>
      <c r="H171" s="318">
        <v>2055.56</v>
      </c>
      <c r="I171" s="318">
        <v>0.0</v>
      </c>
      <c r="J171" s="318">
        <v>0.0</v>
      </c>
      <c r="K171" s="319">
        <f t="shared" ref="K171:K191" si="29">H171+I171</f>
        <v>2055.56</v>
      </c>
      <c r="L171" s="320" t="str">
        <f t="shared" ref="L171:L191" si="30">IFERROR(VLOOKUP(C171,$M$3:$N$30,2,0),"")</f>
        <v>玩家返水</v>
      </c>
      <c r="M171" s="239" t="str">
        <f>L171-K171</f>
        <v>#VALUE!</v>
      </c>
      <c r="T171" s="323"/>
      <c r="U171" s="326"/>
      <c r="V171" s="327"/>
    </row>
    <row r="172">
      <c r="A172" s="342"/>
      <c r="B172" s="313">
        <v>46090.0</v>
      </c>
      <c r="C172" s="314" t="s">
        <v>383</v>
      </c>
      <c r="D172" s="315" t="str">
        <f t="shared" si="27"/>
        <v/>
      </c>
      <c r="E172" s="315" t="str">
        <f t="shared" si="28"/>
        <v/>
      </c>
      <c r="F172" s="316">
        <v>224.0</v>
      </c>
      <c r="G172" s="317">
        <v>224.0</v>
      </c>
      <c r="H172" s="318">
        <v>2053.59</v>
      </c>
      <c r="I172" s="318">
        <v>0.0</v>
      </c>
      <c r="J172" s="318">
        <v>0.0</v>
      </c>
      <c r="K172" s="319">
        <f t="shared" si="29"/>
        <v>2053.59</v>
      </c>
      <c r="L172" s="320" t="str">
        <f t="shared" si="30"/>
        <v/>
      </c>
      <c r="T172" s="323"/>
      <c r="U172" s="326"/>
      <c r="V172" s="327"/>
    </row>
    <row r="173">
      <c r="A173" s="342"/>
      <c r="B173" s="313">
        <v>46090.0</v>
      </c>
      <c r="C173" s="314" t="s">
        <v>384</v>
      </c>
      <c r="D173" s="315" t="str">
        <f t="shared" si="27"/>
        <v/>
      </c>
      <c r="E173" s="315" t="str">
        <f t="shared" si="28"/>
        <v/>
      </c>
      <c r="F173" s="318">
        <v>3.0</v>
      </c>
      <c r="G173" s="318">
        <v>3.0</v>
      </c>
      <c r="H173" s="318">
        <v>1.97</v>
      </c>
      <c r="I173" s="318">
        <v>0.0</v>
      </c>
      <c r="J173" s="318">
        <v>0.0</v>
      </c>
      <c r="K173" s="319">
        <f t="shared" si="29"/>
        <v>1.97</v>
      </c>
      <c r="L173" s="320" t="str">
        <f t="shared" si="30"/>
        <v/>
      </c>
      <c r="M173" s="239"/>
      <c r="T173" s="323"/>
      <c r="U173" s="326"/>
      <c r="V173" s="327"/>
    </row>
    <row r="174">
      <c r="A174" s="342"/>
      <c r="B174" s="313">
        <v>46090.0</v>
      </c>
      <c r="C174" s="314" t="s">
        <v>174</v>
      </c>
      <c r="D174" s="315" t="str">
        <f t="shared" si="27"/>
        <v>DEPOSIT</v>
      </c>
      <c r="E174" s="315" t="str">
        <f t="shared" si="28"/>
        <v>笔笔存送</v>
      </c>
      <c r="F174" s="316">
        <v>64.0</v>
      </c>
      <c r="G174" s="317">
        <v>48.0</v>
      </c>
      <c r="H174" s="318">
        <v>394.34</v>
      </c>
      <c r="I174" s="318">
        <v>0.0</v>
      </c>
      <c r="J174" s="318">
        <v>0.0</v>
      </c>
      <c r="K174" s="319">
        <f t="shared" si="29"/>
        <v>394.34</v>
      </c>
      <c r="L174" s="320" t="str">
        <f t="shared" si="30"/>
        <v>笔笔存送</v>
      </c>
      <c r="T174" s="323"/>
      <c r="U174" s="326"/>
      <c r="V174" s="327"/>
    </row>
    <row r="175">
      <c r="A175" s="338"/>
      <c r="B175" s="313">
        <v>46090.0</v>
      </c>
      <c r="C175" s="314" t="s">
        <v>430</v>
      </c>
      <c r="D175" s="315" t="str">
        <f t="shared" si="27"/>
        <v/>
      </c>
      <c r="E175" s="315" t="str">
        <f t="shared" si="28"/>
        <v/>
      </c>
      <c r="F175" s="316">
        <v>1.0</v>
      </c>
      <c r="G175" s="317">
        <v>1.0</v>
      </c>
      <c r="H175" s="318">
        <v>50.0</v>
      </c>
      <c r="I175" s="318">
        <v>0.0</v>
      </c>
      <c r="J175" s="318">
        <v>0.0</v>
      </c>
      <c r="K175" s="319">
        <f t="shared" si="29"/>
        <v>50</v>
      </c>
      <c r="L175" s="320" t="str">
        <f t="shared" si="30"/>
        <v/>
      </c>
      <c r="T175" s="323"/>
      <c r="U175" s="326"/>
      <c r="V175" s="327"/>
    </row>
    <row r="176">
      <c r="A176" s="342"/>
      <c r="B176" s="313">
        <v>46090.0</v>
      </c>
      <c r="C176" s="314" t="s">
        <v>391</v>
      </c>
      <c r="D176" s="315" t="str">
        <f t="shared" si="27"/>
        <v/>
      </c>
      <c r="E176" s="315" t="str">
        <f t="shared" si="28"/>
        <v/>
      </c>
      <c r="F176" s="316">
        <v>63.0</v>
      </c>
      <c r="G176" s="317">
        <v>47.0</v>
      </c>
      <c r="H176" s="318">
        <v>344.34</v>
      </c>
      <c r="I176" s="318">
        <v>0.0</v>
      </c>
      <c r="J176" s="318">
        <v>0.0</v>
      </c>
      <c r="K176" s="319">
        <f t="shared" si="29"/>
        <v>344.34</v>
      </c>
      <c r="L176" s="320" t="str">
        <f t="shared" si="30"/>
        <v/>
      </c>
      <c r="T176" s="323"/>
      <c r="U176" s="326"/>
      <c r="V176" s="327"/>
    </row>
    <row r="177">
      <c r="A177" s="342"/>
      <c r="B177" s="313">
        <v>46090.0</v>
      </c>
      <c r="C177" s="314" t="s">
        <v>187</v>
      </c>
      <c r="D177" s="315" t="str">
        <f t="shared" si="27"/>
        <v>FIRST_DEPOSIT</v>
      </c>
      <c r="E177" s="315" t="str">
        <f t="shared" si="28"/>
        <v>首存</v>
      </c>
      <c r="F177" s="316">
        <v>26.0</v>
      </c>
      <c r="G177" s="317">
        <v>26.0</v>
      </c>
      <c r="H177" s="318">
        <v>1700.0</v>
      </c>
      <c r="I177" s="318">
        <v>0.0</v>
      </c>
      <c r="J177" s="318">
        <v>0.0</v>
      </c>
      <c r="K177" s="319">
        <f t="shared" si="29"/>
        <v>1700</v>
      </c>
      <c r="L177" s="320" t="str">
        <f t="shared" si="30"/>
        <v>首存</v>
      </c>
      <c r="T177" s="323"/>
      <c r="U177" s="326"/>
      <c r="V177" s="327"/>
    </row>
    <row r="178">
      <c r="A178" s="342"/>
      <c r="B178" s="313">
        <v>46090.0</v>
      </c>
      <c r="C178" s="314" t="s">
        <v>424</v>
      </c>
      <c r="D178" s="315" t="str">
        <f t="shared" si="27"/>
        <v/>
      </c>
      <c r="E178" s="315" t="str">
        <f t="shared" si="28"/>
        <v/>
      </c>
      <c r="F178" s="316">
        <v>26.0</v>
      </c>
      <c r="G178" s="317">
        <v>26.0</v>
      </c>
      <c r="H178" s="318">
        <v>1700.0</v>
      </c>
      <c r="I178" s="318">
        <v>0.0</v>
      </c>
      <c r="J178" s="318">
        <v>0.0</v>
      </c>
      <c r="K178" s="319">
        <f t="shared" si="29"/>
        <v>1700</v>
      </c>
      <c r="L178" s="320" t="str">
        <f t="shared" si="30"/>
        <v/>
      </c>
      <c r="T178" s="323"/>
      <c r="U178" s="326"/>
      <c r="V178" s="327"/>
    </row>
    <row r="179">
      <c r="A179" s="342"/>
      <c r="B179" s="313">
        <v>46090.0</v>
      </c>
      <c r="C179" s="314" t="s">
        <v>175</v>
      </c>
      <c r="D179" s="315" t="str">
        <f t="shared" si="27"/>
        <v>LOGIN</v>
      </c>
      <c r="E179" s="315" t="str">
        <f t="shared" si="28"/>
        <v>签到奖励</v>
      </c>
      <c r="F179" s="318">
        <v>2392.0</v>
      </c>
      <c r="G179" s="318">
        <v>2392.0</v>
      </c>
      <c r="H179" s="318">
        <v>3706.0</v>
      </c>
      <c r="I179" s="318">
        <v>0.0</v>
      </c>
      <c r="J179" s="318">
        <v>0.0</v>
      </c>
      <c r="K179" s="319">
        <f t="shared" si="29"/>
        <v>3706</v>
      </c>
      <c r="L179" s="320" t="str">
        <f t="shared" si="30"/>
        <v>签到奖励</v>
      </c>
      <c r="T179" s="323"/>
      <c r="U179" s="326"/>
      <c r="V179" s="327"/>
    </row>
    <row r="180">
      <c r="A180" s="342"/>
      <c r="B180" s="313">
        <v>46090.0</v>
      </c>
      <c r="C180" s="314" t="s">
        <v>425</v>
      </c>
      <c r="D180" s="315" t="str">
        <f t="shared" si="27"/>
        <v/>
      </c>
      <c r="E180" s="315" t="str">
        <f t="shared" si="28"/>
        <v/>
      </c>
      <c r="F180" s="316">
        <v>2392.0</v>
      </c>
      <c r="G180" s="317">
        <v>2392.0</v>
      </c>
      <c r="H180" s="318">
        <v>3706.0</v>
      </c>
      <c r="I180" s="318">
        <v>0.0</v>
      </c>
      <c r="J180" s="318">
        <v>0.0</v>
      </c>
      <c r="K180" s="319">
        <f t="shared" si="29"/>
        <v>3706</v>
      </c>
      <c r="L180" s="320" t="str">
        <f t="shared" si="30"/>
        <v/>
      </c>
      <c r="T180" s="323"/>
      <c r="U180" s="326"/>
      <c r="V180" s="327"/>
    </row>
    <row r="181">
      <c r="A181" s="342"/>
      <c r="B181" s="313">
        <v>46090.0</v>
      </c>
      <c r="C181" s="314" t="s">
        <v>180</v>
      </c>
      <c r="D181" s="315" t="str">
        <f t="shared" si="27"/>
        <v>登录任务</v>
      </c>
      <c r="E181" s="315" t="str">
        <f t="shared" si="28"/>
        <v>登录任务</v>
      </c>
      <c r="F181" s="316">
        <v>0.0</v>
      </c>
      <c r="G181" s="317">
        <v>81.0</v>
      </c>
      <c r="H181" s="318">
        <v>0.0</v>
      </c>
      <c r="I181" s="318">
        <v>138.0</v>
      </c>
      <c r="J181" s="318">
        <v>92.0</v>
      </c>
      <c r="K181" s="319">
        <f t="shared" si="29"/>
        <v>138</v>
      </c>
      <c r="L181" s="320" t="str">
        <f t="shared" si="30"/>
        <v>登录任务</v>
      </c>
      <c r="T181" s="323"/>
      <c r="U181" s="326"/>
      <c r="V181" s="327"/>
    </row>
    <row r="182">
      <c r="A182" s="342"/>
      <c r="B182" s="313">
        <v>46090.0</v>
      </c>
      <c r="C182" s="314" t="s">
        <v>426</v>
      </c>
      <c r="D182" s="315" t="str">
        <f t="shared" si="27"/>
        <v/>
      </c>
      <c r="E182" s="315" t="str">
        <f t="shared" si="28"/>
        <v/>
      </c>
      <c r="F182" s="316">
        <v>0.0</v>
      </c>
      <c r="G182" s="317">
        <v>81.0</v>
      </c>
      <c r="H182" s="318">
        <v>0.0</v>
      </c>
      <c r="I182" s="318">
        <v>138.0</v>
      </c>
      <c r="J182" s="318">
        <v>92.0</v>
      </c>
      <c r="K182" s="319">
        <f t="shared" si="29"/>
        <v>138</v>
      </c>
      <c r="L182" s="320" t="str">
        <f t="shared" si="30"/>
        <v/>
      </c>
      <c r="T182" s="323"/>
      <c r="U182" s="326"/>
      <c r="V182" s="327"/>
    </row>
    <row r="183">
      <c r="A183" s="342"/>
      <c r="B183" s="313">
        <v>46090.0</v>
      </c>
      <c r="C183" s="314" t="s">
        <v>183</v>
      </c>
      <c r="D183" s="315" t="str">
        <f t="shared" si="27"/>
        <v>任务排行榜</v>
      </c>
      <c r="E183" s="315" t="str">
        <f t="shared" si="28"/>
        <v>任务排行榜</v>
      </c>
      <c r="F183" s="316">
        <v>95.0</v>
      </c>
      <c r="G183" s="317">
        <v>55.0</v>
      </c>
      <c r="H183" s="318">
        <v>0.0</v>
      </c>
      <c r="I183" s="318">
        <v>88.0</v>
      </c>
      <c r="J183" s="318">
        <v>48.0</v>
      </c>
      <c r="K183" s="319">
        <f t="shared" si="29"/>
        <v>88</v>
      </c>
      <c r="L183" s="320" t="str">
        <f t="shared" si="30"/>
        <v>任务排行榜</v>
      </c>
      <c r="T183" s="323"/>
      <c r="U183" s="326"/>
      <c r="V183" s="327"/>
    </row>
    <row r="184">
      <c r="A184" s="342"/>
      <c r="B184" s="313">
        <v>46090.0</v>
      </c>
      <c r="C184" s="314" t="s">
        <v>432</v>
      </c>
      <c r="D184" s="315" t="str">
        <f t="shared" si="27"/>
        <v/>
      </c>
      <c r="E184" s="315" t="str">
        <f t="shared" si="28"/>
        <v/>
      </c>
      <c r="F184" s="316">
        <v>95.0</v>
      </c>
      <c r="G184" s="317">
        <v>55.0</v>
      </c>
      <c r="H184" s="318">
        <v>0.0</v>
      </c>
      <c r="I184" s="318">
        <v>88.0</v>
      </c>
      <c r="J184" s="318">
        <v>48.0</v>
      </c>
      <c r="K184" s="319">
        <f t="shared" si="29"/>
        <v>88</v>
      </c>
      <c r="L184" s="320" t="str">
        <f t="shared" si="30"/>
        <v/>
      </c>
      <c r="T184" s="323"/>
      <c r="U184" s="326"/>
      <c r="V184" s="327"/>
    </row>
    <row r="185">
      <c r="A185" s="342"/>
      <c r="B185" s="313">
        <v>46090.0</v>
      </c>
      <c r="C185" s="314" t="s">
        <v>133</v>
      </c>
      <c r="D185" s="315" t="str">
        <f t="shared" si="27"/>
        <v>邀请返佣</v>
      </c>
      <c r="E185" s="315" t="str">
        <f t="shared" si="28"/>
        <v>邀请返佣</v>
      </c>
      <c r="F185" s="316">
        <v>118.0</v>
      </c>
      <c r="G185" s="317">
        <v>99.0</v>
      </c>
      <c r="H185" s="318">
        <v>255.43</v>
      </c>
      <c r="I185" s="318">
        <v>0.0</v>
      </c>
      <c r="J185" s="318">
        <v>0.0</v>
      </c>
      <c r="K185" s="319">
        <f t="shared" si="29"/>
        <v>255.43</v>
      </c>
      <c r="L185" s="320" t="str">
        <f t="shared" si="30"/>
        <v>邀请返佣</v>
      </c>
      <c r="T185" s="323"/>
      <c r="U185" s="326"/>
      <c r="V185" s="327"/>
    </row>
    <row r="186">
      <c r="A186" s="343"/>
      <c r="B186" s="313">
        <v>46090.0</v>
      </c>
      <c r="C186" s="314" t="s">
        <v>361</v>
      </c>
      <c r="D186" s="315" t="str">
        <f t="shared" si="27"/>
        <v/>
      </c>
      <c r="E186" s="315" t="str">
        <f t="shared" si="28"/>
        <v/>
      </c>
      <c r="F186" s="316">
        <v>1.0</v>
      </c>
      <c r="G186" s="317">
        <v>1.0</v>
      </c>
      <c r="H186" s="318">
        <v>5.0</v>
      </c>
      <c r="I186" s="318">
        <v>0.0</v>
      </c>
      <c r="J186" s="318">
        <v>0.0</v>
      </c>
      <c r="K186" s="319">
        <f t="shared" si="29"/>
        <v>5</v>
      </c>
      <c r="L186" s="320" t="str">
        <f t="shared" si="30"/>
        <v/>
      </c>
      <c r="T186" s="323"/>
      <c r="U186" s="326"/>
      <c r="V186" s="327"/>
    </row>
    <row r="187">
      <c r="A187" s="342"/>
      <c r="B187" s="313">
        <v>46090.0</v>
      </c>
      <c r="C187" s="314" t="s">
        <v>362</v>
      </c>
      <c r="D187" s="315" t="str">
        <f t="shared" si="27"/>
        <v/>
      </c>
      <c r="E187" s="315" t="str">
        <f t="shared" si="28"/>
        <v/>
      </c>
      <c r="F187" s="316">
        <v>18.0</v>
      </c>
      <c r="G187" s="317">
        <v>18.0</v>
      </c>
      <c r="H187" s="318">
        <v>7.95</v>
      </c>
      <c r="I187" s="318">
        <v>0.0</v>
      </c>
      <c r="J187" s="318">
        <v>0.0</v>
      </c>
      <c r="K187" s="319">
        <f t="shared" si="29"/>
        <v>7.95</v>
      </c>
      <c r="L187" s="320" t="str">
        <f t="shared" si="30"/>
        <v/>
      </c>
      <c r="T187" s="323"/>
      <c r="U187" s="326"/>
      <c r="V187" s="327"/>
    </row>
    <row r="188">
      <c r="A188" s="342"/>
      <c r="B188" s="313">
        <v>46090.0</v>
      </c>
      <c r="C188" s="314" t="s">
        <v>360</v>
      </c>
      <c r="D188" s="315" t="str">
        <f t="shared" si="27"/>
        <v/>
      </c>
      <c r="E188" s="315" t="str">
        <f t="shared" si="28"/>
        <v/>
      </c>
      <c r="F188" s="316">
        <v>14.0</v>
      </c>
      <c r="G188" s="317">
        <v>14.0</v>
      </c>
      <c r="H188" s="318">
        <v>210.0</v>
      </c>
      <c r="I188" s="318">
        <v>0.0</v>
      </c>
      <c r="J188" s="318">
        <v>0.0</v>
      </c>
      <c r="K188" s="319">
        <f t="shared" si="29"/>
        <v>210</v>
      </c>
      <c r="L188" s="320" t="str">
        <f t="shared" si="30"/>
        <v/>
      </c>
      <c r="T188" s="323"/>
      <c r="U188" s="326"/>
      <c r="V188" s="327"/>
    </row>
    <row r="189">
      <c r="A189" s="342"/>
      <c r="B189" s="313">
        <v>46090.0</v>
      </c>
      <c r="C189" s="314" t="s">
        <v>427</v>
      </c>
      <c r="D189" s="315" t="str">
        <f t="shared" si="27"/>
        <v/>
      </c>
      <c r="E189" s="315" t="str">
        <f t="shared" si="28"/>
        <v/>
      </c>
      <c r="F189" s="316">
        <v>85.0</v>
      </c>
      <c r="G189" s="317">
        <v>85.0</v>
      </c>
      <c r="H189" s="318">
        <v>32.48</v>
      </c>
      <c r="I189" s="318">
        <v>0.0</v>
      </c>
      <c r="J189" s="318">
        <v>0.0</v>
      </c>
      <c r="K189" s="319">
        <f t="shared" si="29"/>
        <v>32.48</v>
      </c>
      <c r="L189" s="320" t="str">
        <f t="shared" si="30"/>
        <v/>
      </c>
      <c r="T189" s="323"/>
      <c r="U189" s="326"/>
      <c r="V189" s="327"/>
    </row>
    <row r="190">
      <c r="A190" s="342"/>
      <c r="B190" s="313">
        <v>46090.0</v>
      </c>
      <c r="C190" s="314" t="s">
        <v>176</v>
      </c>
      <c r="D190" s="315" t="str">
        <f t="shared" si="27"/>
        <v>UPGRADE_BONUS</v>
      </c>
      <c r="E190" s="315" t="str">
        <f t="shared" si="28"/>
        <v>升级奖励</v>
      </c>
      <c r="F190" s="316">
        <v>101.0</v>
      </c>
      <c r="G190" s="317">
        <v>87.0</v>
      </c>
      <c r="H190" s="318">
        <v>170.0</v>
      </c>
      <c r="I190" s="318">
        <v>0.0</v>
      </c>
      <c r="J190" s="318">
        <v>0.0</v>
      </c>
      <c r="K190" s="319">
        <f t="shared" si="29"/>
        <v>170</v>
      </c>
      <c r="L190" s="320" t="str">
        <f t="shared" si="30"/>
        <v>升级奖励</v>
      </c>
      <c r="T190" s="323"/>
      <c r="U190" s="326"/>
      <c r="V190" s="327"/>
    </row>
    <row r="191">
      <c r="A191" s="342"/>
      <c r="B191" s="313">
        <v>46090.0</v>
      </c>
      <c r="C191" s="314" t="s">
        <v>428</v>
      </c>
      <c r="D191" s="315" t="str">
        <f t="shared" si="27"/>
        <v/>
      </c>
      <c r="E191" s="315" t="str">
        <f t="shared" si="28"/>
        <v/>
      </c>
      <c r="F191" s="316">
        <v>101.0</v>
      </c>
      <c r="G191" s="317">
        <v>87.0</v>
      </c>
      <c r="H191" s="318">
        <v>170.0</v>
      </c>
      <c r="I191" s="318">
        <v>0.0</v>
      </c>
      <c r="J191" s="318">
        <v>0.0</v>
      </c>
      <c r="K191" s="319">
        <f t="shared" si="29"/>
        <v>170</v>
      </c>
      <c r="L191" s="320" t="str">
        <f t="shared" si="30"/>
        <v/>
      </c>
      <c r="T191" s="323"/>
      <c r="U191" s="326"/>
      <c r="V191" s="327"/>
    </row>
    <row r="192">
      <c r="A192" s="342"/>
      <c r="B192" s="330"/>
      <c r="C192" s="331"/>
      <c r="D192" s="332"/>
      <c r="E192" s="332"/>
      <c r="F192" s="335"/>
      <c r="G192" s="335"/>
      <c r="H192" s="335"/>
      <c r="I192" s="335"/>
      <c r="J192" s="335"/>
      <c r="K192" s="336"/>
      <c r="L192" s="250"/>
      <c r="M192" s="239"/>
      <c r="T192" s="323"/>
      <c r="U192" s="326"/>
      <c r="V192" s="327"/>
    </row>
    <row r="193">
      <c r="A193" s="342"/>
      <c r="B193" s="313">
        <v>46091.0</v>
      </c>
      <c r="C193" s="314" t="s">
        <v>172</v>
      </c>
      <c r="D193" s="315" t="str">
        <f t="shared" ref="D193:D213" si="31">IFERROR(vlookup(C193,$Q$3:$R$30,2,0),"")</f>
        <v>GAME_REBATE</v>
      </c>
      <c r="E193" s="315" t="str">
        <f t="shared" ref="E193:E213" si="32">IFERROR(vlookup(D193,$O$2:$P$30,2,0),"")</f>
        <v>玩家返水</v>
      </c>
      <c r="F193" s="316">
        <v>197.0</v>
      </c>
      <c r="G193" s="317">
        <v>197.0</v>
      </c>
      <c r="H193" s="318">
        <v>872.27</v>
      </c>
      <c r="I193" s="318">
        <v>0.0</v>
      </c>
      <c r="J193" s="318">
        <v>0.0</v>
      </c>
      <c r="K193" s="319">
        <f t="shared" ref="K193:K213" si="33">H193+I193</f>
        <v>872.27</v>
      </c>
      <c r="L193" s="320" t="str">
        <f t="shared" ref="L193:L1578" si="34">IFERROR(VLOOKUP(C193,$M$3:$N$30,2,0),"")</f>
        <v>玩家返水</v>
      </c>
      <c r="T193" s="323"/>
      <c r="U193" s="326"/>
      <c r="V193" s="327"/>
    </row>
    <row r="194">
      <c r="A194" s="342"/>
      <c r="B194" s="313">
        <v>46091.0</v>
      </c>
      <c r="C194" s="314" t="s">
        <v>383</v>
      </c>
      <c r="D194" s="315" t="str">
        <f t="shared" si="31"/>
        <v/>
      </c>
      <c r="E194" s="315" t="str">
        <f t="shared" si="32"/>
        <v/>
      </c>
      <c r="F194" s="316">
        <v>197.0</v>
      </c>
      <c r="G194" s="316">
        <v>197.0</v>
      </c>
      <c r="H194" s="316">
        <v>870.92</v>
      </c>
      <c r="I194" s="318">
        <v>0.0</v>
      </c>
      <c r="J194" s="318">
        <v>0.0</v>
      </c>
      <c r="K194" s="319">
        <f t="shared" si="33"/>
        <v>870.92</v>
      </c>
      <c r="L194" s="320" t="str">
        <f t="shared" si="34"/>
        <v/>
      </c>
      <c r="M194" s="239"/>
      <c r="T194" s="323"/>
      <c r="U194" s="326"/>
      <c r="V194" s="327"/>
    </row>
    <row r="195">
      <c r="A195" s="342"/>
      <c r="B195" s="313">
        <v>46091.0</v>
      </c>
      <c r="C195" s="314" t="s">
        <v>384</v>
      </c>
      <c r="D195" s="315" t="str">
        <f t="shared" si="31"/>
        <v/>
      </c>
      <c r="E195" s="315" t="str">
        <f t="shared" si="32"/>
        <v/>
      </c>
      <c r="F195" s="316">
        <v>2.0</v>
      </c>
      <c r="G195" s="317">
        <v>2.0</v>
      </c>
      <c r="H195" s="318">
        <v>1.35</v>
      </c>
      <c r="I195" s="318">
        <v>0.0</v>
      </c>
      <c r="J195" s="318">
        <v>0.0</v>
      </c>
      <c r="K195" s="319">
        <f t="shared" si="33"/>
        <v>1.35</v>
      </c>
      <c r="L195" s="320" t="str">
        <f t="shared" si="34"/>
        <v/>
      </c>
      <c r="T195" s="323"/>
      <c r="U195" s="326"/>
      <c r="V195" s="327"/>
    </row>
    <row r="196">
      <c r="A196" s="342"/>
      <c r="B196" s="313">
        <v>46091.0</v>
      </c>
      <c r="C196" s="314" t="s">
        <v>174</v>
      </c>
      <c r="D196" s="315" t="str">
        <f t="shared" si="31"/>
        <v>DEPOSIT</v>
      </c>
      <c r="E196" s="315" t="str">
        <f t="shared" si="32"/>
        <v>笔笔存送</v>
      </c>
      <c r="F196" s="316">
        <v>76.0</v>
      </c>
      <c r="G196" s="317">
        <v>60.0</v>
      </c>
      <c r="H196" s="318">
        <v>354.46</v>
      </c>
      <c r="I196" s="318">
        <v>0.0</v>
      </c>
      <c r="J196" s="318">
        <v>0.0</v>
      </c>
      <c r="K196" s="319">
        <f t="shared" si="33"/>
        <v>354.46</v>
      </c>
      <c r="L196" s="320" t="str">
        <f t="shared" si="34"/>
        <v>笔笔存送</v>
      </c>
      <c r="T196" s="323"/>
      <c r="U196" s="326"/>
      <c r="V196" s="327"/>
    </row>
    <row r="197">
      <c r="A197" s="342"/>
      <c r="B197" s="313">
        <v>46091.0</v>
      </c>
      <c r="C197" s="314" t="s">
        <v>430</v>
      </c>
      <c r="D197" s="315" t="str">
        <f t="shared" si="31"/>
        <v/>
      </c>
      <c r="E197" s="315" t="str">
        <f t="shared" si="32"/>
        <v/>
      </c>
      <c r="F197" s="316">
        <v>2.0</v>
      </c>
      <c r="G197" s="316">
        <v>2.0</v>
      </c>
      <c r="H197" s="318">
        <v>100.0</v>
      </c>
      <c r="I197" s="318">
        <v>0.0</v>
      </c>
      <c r="J197" s="318">
        <v>0.0</v>
      </c>
      <c r="K197" s="319">
        <f t="shared" si="33"/>
        <v>100</v>
      </c>
      <c r="L197" s="320" t="str">
        <f t="shared" si="34"/>
        <v/>
      </c>
      <c r="M197" s="239"/>
      <c r="T197" s="323"/>
      <c r="U197" s="326"/>
      <c r="V197" s="327"/>
    </row>
    <row r="198">
      <c r="A198" s="342"/>
      <c r="B198" s="313">
        <v>46091.0</v>
      </c>
      <c r="C198" s="314" t="s">
        <v>391</v>
      </c>
      <c r="D198" s="315" t="str">
        <f t="shared" si="31"/>
        <v/>
      </c>
      <c r="E198" s="315" t="str">
        <f t="shared" si="32"/>
        <v/>
      </c>
      <c r="F198" s="316">
        <v>74.0</v>
      </c>
      <c r="G198" s="317">
        <v>58.0</v>
      </c>
      <c r="H198" s="318">
        <v>254.46</v>
      </c>
      <c r="I198" s="318">
        <v>0.0</v>
      </c>
      <c r="J198" s="318">
        <v>0.0</v>
      </c>
      <c r="K198" s="319">
        <f t="shared" si="33"/>
        <v>254.46</v>
      </c>
      <c r="L198" s="320" t="str">
        <f t="shared" si="34"/>
        <v/>
      </c>
      <c r="T198" s="323"/>
      <c r="U198" s="326"/>
      <c r="V198" s="327"/>
    </row>
    <row r="199">
      <c r="A199" s="342"/>
      <c r="B199" s="313">
        <v>46091.0</v>
      </c>
      <c r="C199" s="314" t="s">
        <v>187</v>
      </c>
      <c r="D199" s="315" t="str">
        <f t="shared" si="31"/>
        <v>FIRST_DEPOSIT</v>
      </c>
      <c r="E199" s="315" t="str">
        <f t="shared" si="32"/>
        <v>首存</v>
      </c>
      <c r="F199" s="316">
        <v>27.0</v>
      </c>
      <c r="G199" s="317">
        <v>27.0</v>
      </c>
      <c r="H199" s="318">
        <v>1802.5</v>
      </c>
      <c r="I199" s="318">
        <v>0.0</v>
      </c>
      <c r="J199" s="318">
        <v>0.0</v>
      </c>
      <c r="K199" s="319">
        <f t="shared" si="33"/>
        <v>1802.5</v>
      </c>
      <c r="L199" s="320" t="str">
        <f t="shared" si="34"/>
        <v>首存</v>
      </c>
      <c r="T199" s="323"/>
      <c r="U199" s="326"/>
      <c r="V199" s="327"/>
    </row>
    <row r="200">
      <c r="A200" s="342"/>
      <c r="B200" s="313">
        <v>46091.0</v>
      </c>
      <c r="C200" s="314" t="s">
        <v>424</v>
      </c>
      <c r="D200" s="315" t="str">
        <f t="shared" si="31"/>
        <v/>
      </c>
      <c r="E200" s="315" t="str">
        <f t="shared" si="32"/>
        <v/>
      </c>
      <c r="F200" s="316">
        <v>27.0</v>
      </c>
      <c r="G200" s="317">
        <v>27.0</v>
      </c>
      <c r="H200" s="318">
        <v>1802.5</v>
      </c>
      <c r="I200" s="318">
        <v>0.0</v>
      </c>
      <c r="J200" s="318">
        <v>0.0</v>
      </c>
      <c r="K200" s="319">
        <f t="shared" si="33"/>
        <v>1802.5</v>
      </c>
      <c r="L200" s="320" t="str">
        <f t="shared" si="34"/>
        <v/>
      </c>
      <c r="T200" s="323"/>
      <c r="U200" s="326"/>
      <c r="V200" s="327"/>
    </row>
    <row r="201">
      <c r="A201" s="342"/>
      <c r="B201" s="313">
        <v>46091.0</v>
      </c>
      <c r="C201" s="314" t="s">
        <v>175</v>
      </c>
      <c r="D201" s="315" t="str">
        <f t="shared" si="31"/>
        <v>LOGIN</v>
      </c>
      <c r="E201" s="315" t="str">
        <f t="shared" si="32"/>
        <v>签到奖励</v>
      </c>
      <c r="F201" s="337">
        <v>2266.0</v>
      </c>
      <c r="G201" s="337">
        <v>2266.0</v>
      </c>
      <c r="H201" s="337">
        <v>3624.0</v>
      </c>
      <c r="I201" s="337">
        <v>0.0</v>
      </c>
      <c r="J201" s="337">
        <v>0.0</v>
      </c>
      <c r="K201" s="319">
        <f t="shared" si="33"/>
        <v>3624</v>
      </c>
      <c r="L201" s="320" t="str">
        <f t="shared" si="34"/>
        <v>签到奖励</v>
      </c>
      <c r="M201" s="239"/>
      <c r="T201" s="323"/>
      <c r="U201" s="326"/>
      <c r="V201" s="327"/>
    </row>
    <row r="202">
      <c r="A202" s="342"/>
      <c r="B202" s="313">
        <v>46091.0</v>
      </c>
      <c r="C202" s="314" t="s">
        <v>425</v>
      </c>
      <c r="D202" s="315" t="str">
        <f t="shared" si="31"/>
        <v/>
      </c>
      <c r="E202" s="315" t="str">
        <f t="shared" si="32"/>
        <v/>
      </c>
      <c r="F202" s="316">
        <v>2266.0</v>
      </c>
      <c r="G202" s="317">
        <v>2266.0</v>
      </c>
      <c r="H202" s="318">
        <v>3624.0</v>
      </c>
      <c r="I202" s="318">
        <v>0.0</v>
      </c>
      <c r="J202" s="318">
        <v>0.0</v>
      </c>
      <c r="K202" s="319">
        <f t="shared" si="33"/>
        <v>3624</v>
      </c>
      <c r="L202" s="320" t="str">
        <f t="shared" si="34"/>
        <v/>
      </c>
      <c r="T202" s="323"/>
      <c r="U202" s="326"/>
      <c r="V202" s="327"/>
    </row>
    <row r="203">
      <c r="A203" s="342"/>
      <c r="B203" s="313">
        <v>46091.0</v>
      </c>
      <c r="C203" s="314" t="s">
        <v>180</v>
      </c>
      <c r="D203" s="315" t="str">
        <f t="shared" si="31"/>
        <v>登录任务</v>
      </c>
      <c r="E203" s="315" t="str">
        <f t="shared" si="32"/>
        <v>登录任务</v>
      </c>
      <c r="F203" s="316">
        <v>0.0</v>
      </c>
      <c r="G203" s="317">
        <v>107.0</v>
      </c>
      <c r="H203" s="318">
        <v>0.0</v>
      </c>
      <c r="I203" s="318">
        <v>181.0</v>
      </c>
      <c r="J203" s="318">
        <v>124.0</v>
      </c>
      <c r="K203" s="319">
        <f t="shared" si="33"/>
        <v>181</v>
      </c>
      <c r="L203" s="320" t="str">
        <f t="shared" si="34"/>
        <v>登录任务</v>
      </c>
      <c r="T203" s="323"/>
      <c r="U203" s="326"/>
      <c r="V203" s="327"/>
    </row>
    <row r="204">
      <c r="A204" s="342"/>
      <c r="B204" s="313">
        <v>46091.0</v>
      </c>
      <c r="C204" s="314" t="s">
        <v>426</v>
      </c>
      <c r="D204" s="315" t="str">
        <f t="shared" si="31"/>
        <v/>
      </c>
      <c r="E204" s="315" t="str">
        <f t="shared" si="32"/>
        <v/>
      </c>
      <c r="F204" s="316">
        <v>0.0</v>
      </c>
      <c r="G204" s="317">
        <v>107.0</v>
      </c>
      <c r="H204" s="318">
        <v>0.0</v>
      </c>
      <c r="I204" s="318">
        <v>181.0</v>
      </c>
      <c r="J204" s="318">
        <v>124.0</v>
      </c>
      <c r="K204" s="319">
        <f t="shared" si="33"/>
        <v>181</v>
      </c>
      <c r="L204" s="320" t="str">
        <f t="shared" si="34"/>
        <v/>
      </c>
      <c r="T204" s="323"/>
      <c r="U204" s="326"/>
      <c r="V204" s="327"/>
    </row>
    <row r="205">
      <c r="A205" s="342"/>
      <c r="B205" s="313">
        <v>46091.0</v>
      </c>
      <c r="C205" s="314" t="s">
        <v>183</v>
      </c>
      <c r="D205" s="315" t="str">
        <f t="shared" si="31"/>
        <v>任务排行榜</v>
      </c>
      <c r="E205" s="315" t="str">
        <f t="shared" si="32"/>
        <v>任务排行榜</v>
      </c>
      <c r="F205" s="316">
        <v>99.0</v>
      </c>
      <c r="G205" s="316">
        <v>55.0</v>
      </c>
      <c r="H205" s="316">
        <v>0.0</v>
      </c>
      <c r="I205" s="316">
        <v>115.0</v>
      </c>
      <c r="J205" s="316">
        <v>51.0</v>
      </c>
      <c r="K205" s="319">
        <f t="shared" si="33"/>
        <v>115</v>
      </c>
      <c r="L205" s="320" t="str">
        <f t="shared" si="34"/>
        <v>任务排行榜</v>
      </c>
      <c r="M205" s="239"/>
      <c r="T205" s="323"/>
      <c r="U205" s="326"/>
      <c r="V205" s="327"/>
    </row>
    <row r="206">
      <c r="A206" s="342"/>
      <c r="B206" s="313">
        <v>46091.0</v>
      </c>
      <c r="C206" s="314" t="s">
        <v>432</v>
      </c>
      <c r="D206" s="315" t="str">
        <f t="shared" si="31"/>
        <v/>
      </c>
      <c r="E206" s="315" t="str">
        <f t="shared" si="32"/>
        <v/>
      </c>
      <c r="F206" s="316">
        <v>99.0</v>
      </c>
      <c r="G206" s="317">
        <v>55.0</v>
      </c>
      <c r="H206" s="318">
        <v>0.0</v>
      </c>
      <c r="I206" s="318">
        <v>115.0</v>
      </c>
      <c r="J206" s="318">
        <v>51.0</v>
      </c>
      <c r="K206" s="319">
        <f t="shared" si="33"/>
        <v>115</v>
      </c>
      <c r="L206" s="320" t="str">
        <f t="shared" si="34"/>
        <v/>
      </c>
      <c r="M206" s="239"/>
      <c r="T206" s="323"/>
      <c r="U206" s="326"/>
      <c r="V206" s="327"/>
    </row>
    <row r="207">
      <c r="A207" s="342"/>
      <c r="B207" s="313">
        <v>46091.0</v>
      </c>
      <c r="C207" s="314" t="s">
        <v>133</v>
      </c>
      <c r="D207" s="315" t="str">
        <f t="shared" si="31"/>
        <v>邀请返佣</v>
      </c>
      <c r="E207" s="315" t="str">
        <f t="shared" si="32"/>
        <v>邀请返佣</v>
      </c>
      <c r="F207" s="316">
        <v>120.0</v>
      </c>
      <c r="G207" s="317">
        <v>94.0</v>
      </c>
      <c r="H207" s="318">
        <v>341.04</v>
      </c>
      <c r="I207" s="318">
        <v>0.0</v>
      </c>
      <c r="J207" s="318">
        <v>0.0</v>
      </c>
      <c r="K207" s="319">
        <f t="shared" si="33"/>
        <v>341.04</v>
      </c>
      <c r="L207" s="320" t="str">
        <f t="shared" si="34"/>
        <v>邀请返佣</v>
      </c>
      <c r="T207" s="323"/>
      <c r="U207" s="326"/>
      <c r="V207" s="327"/>
    </row>
    <row r="208">
      <c r="A208" s="342"/>
      <c r="B208" s="313">
        <v>46091.0</v>
      </c>
      <c r="C208" s="314" t="s">
        <v>361</v>
      </c>
      <c r="D208" s="315" t="str">
        <f t="shared" si="31"/>
        <v/>
      </c>
      <c r="E208" s="315" t="str">
        <f t="shared" si="32"/>
        <v/>
      </c>
      <c r="F208" s="316">
        <v>2.0</v>
      </c>
      <c r="G208" s="317">
        <v>2.0</v>
      </c>
      <c r="H208" s="318">
        <v>10.0</v>
      </c>
      <c r="I208" s="318">
        <v>0.0</v>
      </c>
      <c r="J208" s="318">
        <v>0.0</v>
      </c>
      <c r="K208" s="319">
        <f t="shared" si="33"/>
        <v>10</v>
      </c>
      <c r="L208" s="320" t="str">
        <f t="shared" si="34"/>
        <v/>
      </c>
      <c r="T208" s="323"/>
      <c r="U208" s="326"/>
      <c r="V208" s="327"/>
    </row>
    <row r="209">
      <c r="A209" s="342"/>
      <c r="B209" s="313">
        <v>46091.0</v>
      </c>
      <c r="C209" s="314" t="s">
        <v>362</v>
      </c>
      <c r="D209" s="315" t="str">
        <f t="shared" si="31"/>
        <v/>
      </c>
      <c r="E209" s="315" t="str">
        <f t="shared" si="32"/>
        <v/>
      </c>
      <c r="F209" s="316">
        <v>20.0</v>
      </c>
      <c r="G209" s="317">
        <v>20.0</v>
      </c>
      <c r="H209" s="318">
        <v>2.96</v>
      </c>
      <c r="I209" s="318">
        <v>0.0</v>
      </c>
      <c r="J209" s="318">
        <v>0.0</v>
      </c>
      <c r="K209" s="319">
        <f t="shared" si="33"/>
        <v>2.96</v>
      </c>
      <c r="L209" s="320" t="str">
        <f t="shared" si="34"/>
        <v/>
      </c>
      <c r="T209" s="323"/>
      <c r="U209" s="326"/>
      <c r="V209" s="327"/>
    </row>
    <row r="210">
      <c r="A210" s="342"/>
      <c r="B210" s="313">
        <v>46091.0</v>
      </c>
      <c r="C210" s="314" t="s">
        <v>360</v>
      </c>
      <c r="D210" s="315" t="str">
        <f t="shared" si="31"/>
        <v/>
      </c>
      <c r="E210" s="315" t="str">
        <f t="shared" si="32"/>
        <v/>
      </c>
      <c r="F210" s="316">
        <v>20.0</v>
      </c>
      <c r="G210" s="317">
        <v>18.0</v>
      </c>
      <c r="H210" s="318">
        <v>300.0</v>
      </c>
      <c r="I210" s="318">
        <v>0.0</v>
      </c>
      <c r="J210" s="318">
        <v>0.0</v>
      </c>
      <c r="K210" s="319">
        <f t="shared" si="33"/>
        <v>300</v>
      </c>
      <c r="L210" s="320" t="str">
        <f t="shared" si="34"/>
        <v/>
      </c>
      <c r="T210" s="323"/>
      <c r="U210" s="326"/>
      <c r="V210" s="327"/>
    </row>
    <row r="211">
      <c r="A211" s="342"/>
      <c r="B211" s="313">
        <v>46091.0</v>
      </c>
      <c r="C211" s="314" t="s">
        <v>427</v>
      </c>
      <c r="D211" s="315" t="str">
        <f t="shared" si="31"/>
        <v/>
      </c>
      <c r="E211" s="315" t="str">
        <f t="shared" si="32"/>
        <v/>
      </c>
      <c r="F211" s="316">
        <v>78.0</v>
      </c>
      <c r="G211" s="317">
        <v>78.0</v>
      </c>
      <c r="H211" s="318">
        <v>28.08</v>
      </c>
      <c r="I211" s="318">
        <v>0.0</v>
      </c>
      <c r="J211" s="318">
        <v>0.0</v>
      </c>
      <c r="K211" s="319">
        <f t="shared" si="33"/>
        <v>28.08</v>
      </c>
      <c r="L211" s="320" t="str">
        <f t="shared" si="34"/>
        <v/>
      </c>
      <c r="T211" s="323"/>
      <c r="U211" s="326"/>
      <c r="V211" s="327"/>
    </row>
    <row r="212">
      <c r="A212" s="342"/>
      <c r="B212" s="313">
        <v>46091.0</v>
      </c>
      <c r="C212" s="314" t="s">
        <v>176</v>
      </c>
      <c r="D212" s="315" t="str">
        <f t="shared" si="31"/>
        <v>UPGRADE_BONUS</v>
      </c>
      <c r="E212" s="315" t="str">
        <f t="shared" si="32"/>
        <v>升级奖励</v>
      </c>
      <c r="F212" s="316">
        <v>98.0</v>
      </c>
      <c r="G212" s="317">
        <v>88.0</v>
      </c>
      <c r="H212" s="318">
        <v>186.0</v>
      </c>
      <c r="I212" s="318">
        <v>0.0</v>
      </c>
      <c r="J212" s="318">
        <v>0.0</v>
      </c>
      <c r="K212" s="319">
        <f t="shared" si="33"/>
        <v>186</v>
      </c>
      <c r="L212" s="320" t="str">
        <f t="shared" si="34"/>
        <v>升级奖励</v>
      </c>
      <c r="T212" s="323"/>
      <c r="U212" s="326"/>
      <c r="V212" s="327"/>
    </row>
    <row r="213">
      <c r="A213" s="342"/>
      <c r="B213" s="313">
        <v>46091.0</v>
      </c>
      <c r="C213" s="314" t="s">
        <v>428</v>
      </c>
      <c r="D213" s="315" t="str">
        <f t="shared" si="31"/>
        <v/>
      </c>
      <c r="E213" s="315" t="str">
        <f t="shared" si="32"/>
        <v/>
      </c>
      <c r="F213" s="318">
        <v>98.0</v>
      </c>
      <c r="G213" s="318">
        <v>88.0</v>
      </c>
      <c r="H213" s="318">
        <v>186.0</v>
      </c>
      <c r="I213" s="318">
        <v>0.0</v>
      </c>
      <c r="J213" s="318">
        <v>0.0</v>
      </c>
      <c r="K213" s="319">
        <f t="shared" si="33"/>
        <v>186</v>
      </c>
      <c r="L213" s="320" t="str">
        <f t="shared" si="34"/>
        <v/>
      </c>
      <c r="M213" s="239"/>
      <c r="T213" s="323"/>
      <c r="U213" s="326"/>
      <c r="V213" s="327"/>
    </row>
    <row r="214">
      <c r="A214" s="342"/>
      <c r="B214" s="330"/>
      <c r="C214" s="331"/>
      <c r="D214" s="332"/>
      <c r="E214" s="332"/>
      <c r="F214" s="333"/>
      <c r="G214" s="334"/>
      <c r="H214" s="335"/>
      <c r="I214" s="335"/>
      <c r="J214" s="335"/>
      <c r="K214" s="336"/>
      <c r="L214" s="250" t="str">
        <f t="shared" si="34"/>
        <v/>
      </c>
      <c r="T214" s="323"/>
      <c r="U214" s="326"/>
      <c r="V214" s="327"/>
    </row>
    <row r="215">
      <c r="A215" s="342"/>
      <c r="B215" s="313">
        <v>46092.0</v>
      </c>
      <c r="C215" s="314" t="s">
        <v>172</v>
      </c>
      <c r="D215" s="315" t="str">
        <f t="shared" ref="D215:D1578" si="35">IFERROR(vlookup(C215,$Q$3:$R$30,2,0),"")</f>
        <v>GAME_REBATE</v>
      </c>
      <c r="E215" s="315" t="str">
        <f t="shared" ref="E215:E1578" si="36">IFERROR(vlookup(D215,$O$2:$P$30,2,0),"")</f>
        <v>玩家返水</v>
      </c>
      <c r="F215" s="316">
        <v>212.0</v>
      </c>
      <c r="G215" s="317">
        <v>212.0</v>
      </c>
      <c r="H215" s="318">
        <v>1556.69</v>
      </c>
      <c r="I215" s="318">
        <v>0.0</v>
      </c>
      <c r="J215" s="318">
        <v>0.0</v>
      </c>
      <c r="K215" s="319">
        <f t="shared" ref="K215:K237" si="37">H215+I215</f>
        <v>1556.69</v>
      </c>
      <c r="L215" s="320" t="str">
        <f t="shared" si="34"/>
        <v>玩家返水</v>
      </c>
      <c r="T215" s="323"/>
      <c r="U215" s="326"/>
      <c r="V215" s="327"/>
    </row>
    <row r="216">
      <c r="A216" s="342"/>
      <c r="B216" s="313">
        <v>46092.0</v>
      </c>
      <c r="C216" s="314" t="s">
        <v>383</v>
      </c>
      <c r="D216" s="315" t="str">
        <f t="shared" si="35"/>
        <v/>
      </c>
      <c r="E216" s="315" t="str">
        <f t="shared" si="36"/>
        <v/>
      </c>
      <c r="F216" s="316">
        <v>211.0</v>
      </c>
      <c r="G216" s="317">
        <v>211.0</v>
      </c>
      <c r="H216" s="318">
        <v>1549.49</v>
      </c>
      <c r="I216" s="318">
        <v>0.0</v>
      </c>
      <c r="J216" s="318">
        <v>0.0</v>
      </c>
      <c r="K216" s="319">
        <f t="shared" si="37"/>
        <v>1549.49</v>
      </c>
      <c r="L216" s="320" t="str">
        <f t="shared" si="34"/>
        <v/>
      </c>
      <c r="T216" s="323"/>
      <c r="U216" s="326"/>
      <c r="V216" s="327"/>
    </row>
    <row r="217">
      <c r="A217" s="342"/>
      <c r="B217" s="313">
        <v>46092.0</v>
      </c>
      <c r="C217" s="314" t="s">
        <v>384</v>
      </c>
      <c r="D217" s="315" t="str">
        <f t="shared" si="35"/>
        <v/>
      </c>
      <c r="E217" s="315" t="str">
        <f t="shared" si="36"/>
        <v/>
      </c>
      <c r="F217" s="316">
        <v>4.0</v>
      </c>
      <c r="G217" s="316">
        <v>4.0</v>
      </c>
      <c r="H217" s="318">
        <v>7.2</v>
      </c>
      <c r="I217" s="318">
        <v>0.0</v>
      </c>
      <c r="J217" s="318">
        <v>0.0</v>
      </c>
      <c r="K217" s="319">
        <f t="shared" si="37"/>
        <v>7.2</v>
      </c>
      <c r="L217" s="320" t="str">
        <f t="shared" si="34"/>
        <v/>
      </c>
      <c r="M217" s="341">
        <f>K217-L217</f>
        <v>7.2</v>
      </c>
      <c r="T217" s="323"/>
      <c r="U217" s="326"/>
      <c r="V217" s="327"/>
    </row>
    <row r="218">
      <c r="A218" s="342"/>
      <c r="B218" s="313">
        <v>46092.0</v>
      </c>
      <c r="C218" s="314" t="s">
        <v>429</v>
      </c>
      <c r="D218" s="315" t="str">
        <f t="shared" si="35"/>
        <v>免费转券</v>
      </c>
      <c r="E218" s="315" t="str">
        <f t="shared" si="36"/>
        <v>免费转券</v>
      </c>
      <c r="F218" s="316">
        <v>0.0</v>
      </c>
      <c r="G218" s="317">
        <v>2717.0</v>
      </c>
      <c r="H218" s="318">
        <v>27154.0</v>
      </c>
      <c r="I218" s="318">
        <v>0.0</v>
      </c>
      <c r="J218" s="318">
        <v>0.0</v>
      </c>
      <c r="K218" s="319">
        <f t="shared" si="37"/>
        <v>27154</v>
      </c>
      <c r="L218" s="320" t="str">
        <f t="shared" si="34"/>
        <v>免费转券</v>
      </c>
      <c r="T218" s="323"/>
      <c r="U218" s="326"/>
      <c r="V218" s="327"/>
    </row>
    <row r="219">
      <c r="A219" s="342"/>
      <c r="B219" s="313">
        <v>46092.0</v>
      </c>
      <c r="C219" s="314" t="s">
        <v>174</v>
      </c>
      <c r="D219" s="315" t="str">
        <f t="shared" si="35"/>
        <v>DEPOSIT</v>
      </c>
      <c r="E219" s="315" t="str">
        <f t="shared" si="36"/>
        <v>笔笔存送</v>
      </c>
      <c r="F219" s="316">
        <v>83.0</v>
      </c>
      <c r="G219" s="317">
        <v>60.0</v>
      </c>
      <c r="H219" s="318">
        <v>352.88</v>
      </c>
      <c r="I219" s="318">
        <v>0.0</v>
      </c>
      <c r="J219" s="318">
        <v>0.0</v>
      </c>
      <c r="K219" s="319">
        <f t="shared" si="37"/>
        <v>352.88</v>
      </c>
      <c r="L219" s="320" t="str">
        <f t="shared" si="34"/>
        <v>笔笔存送</v>
      </c>
      <c r="T219" s="323"/>
      <c r="U219" s="326"/>
      <c r="V219" s="327"/>
    </row>
    <row r="220">
      <c r="A220" s="342"/>
      <c r="B220" s="313">
        <v>46092.0</v>
      </c>
      <c r="C220" s="314" t="s">
        <v>430</v>
      </c>
      <c r="D220" s="315" t="str">
        <f t="shared" si="35"/>
        <v/>
      </c>
      <c r="E220" s="315" t="str">
        <f t="shared" si="36"/>
        <v/>
      </c>
      <c r="F220" s="316">
        <v>1.0</v>
      </c>
      <c r="G220" s="317">
        <v>1.0</v>
      </c>
      <c r="H220" s="318">
        <v>50.0</v>
      </c>
      <c r="I220" s="318">
        <v>0.0</v>
      </c>
      <c r="J220" s="318">
        <v>0.0</v>
      </c>
      <c r="K220" s="319">
        <f t="shared" si="37"/>
        <v>50</v>
      </c>
      <c r="L220" s="320" t="str">
        <f t="shared" si="34"/>
        <v/>
      </c>
      <c r="T220" s="323"/>
      <c r="U220" s="326"/>
      <c r="V220" s="327"/>
    </row>
    <row r="221">
      <c r="A221" s="342"/>
      <c r="B221" s="313">
        <v>46092.0</v>
      </c>
      <c r="C221" s="314" t="s">
        <v>391</v>
      </c>
      <c r="D221" s="315" t="str">
        <f t="shared" si="35"/>
        <v/>
      </c>
      <c r="E221" s="315" t="str">
        <f t="shared" si="36"/>
        <v/>
      </c>
      <c r="F221" s="316">
        <v>82.0</v>
      </c>
      <c r="G221" s="317">
        <v>59.0</v>
      </c>
      <c r="H221" s="318">
        <v>302.88</v>
      </c>
      <c r="I221" s="318">
        <v>0.0</v>
      </c>
      <c r="J221" s="318">
        <v>0.0</v>
      </c>
      <c r="K221" s="319">
        <f t="shared" si="37"/>
        <v>302.88</v>
      </c>
      <c r="L221" s="320" t="str">
        <f t="shared" si="34"/>
        <v/>
      </c>
      <c r="T221" s="323"/>
      <c r="U221" s="326"/>
      <c r="V221" s="327"/>
    </row>
    <row r="222">
      <c r="A222" s="339"/>
      <c r="B222" s="313">
        <v>46092.0</v>
      </c>
      <c r="C222" s="314" t="s">
        <v>187</v>
      </c>
      <c r="D222" s="315" t="str">
        <f t="shared" si="35"/>
        <v>FIRST_DEPOSIT</v>
      </c>
      <c r="E222" s="315" t="str">
        <f t="shared" si="36"/>
        <v>首存</v>
      </c>
      <c r="F222" s="316">
        <v>53.0</v>
      </c>
      <c r="G222" s="317">
        <v>53.0</v>
      </c>
      <c r="H222" s="318">
        <v>3425.0</v>
      </c>
      <c r="I222" s="318">
        <v>0.0</v>
      </c>
      <c r="J222" s="318">
        <v>0.0</v>
      </c>
      <c r="K222" s="319">
        <f t="shared" si="37"/>
        <v>3425</v>
      </c>
      <c r="L222" s="320" t="str">
        <f t="shared" si="34"/>
        <v>首存</v>
      </c>
      <c r="T222" s="323"/>
      <c r="U222" s="326"/>
      <c r="V222" s="327"/>
    </row>
    <row r="223">
      <c r="A223" s="342"/>
      <c r="B223" s="313">
        <v>46092.0</v>
      </c>
      <c r="C223" s="314" t="s">
        <v>424</v>
      </c>
      <c r="D223" s="315" t="str">
        <f t="shared" si="35"/>
        <v/>
      </c>
      <c r="E223" s="315" t="str">
        <f t="shared" si="36"/>
        <v/>
      </c>
      <c r="F223" s="318">
        <v>53.0</v>
      </c>
      <c r="G223" s="318">
        <v>53.0</v>
      </c>
      <c r="H223" s="318">
        <v>3425.0</v>
      </c>
      <c r="I223" s="318">
        <v>0.0</v>
      </c>
      <c r="J223" s="318">
        <v>0.0</v>
      </c>
      <c r="K223" s="319">
        <f t="shared" si="37"/>
        <v>3425</v>
      </c>
      <c r="L223" s="320" t="str">
        <f t="shared" si="34"/>
        <v/>
      </c>
      <c r="M223" s="239"/>
      <c r="T223" s="323"/>
      <c r="U223" s="326"/>
      <c r="V223" s="327"/>
    </row>
    <row r="224">
      <c r="A224" s="342"/>
      <c r="B224" s="313">
        <v>46092.0</v>
      </c>
      <c r="C224" s="314" t="s">
        <v>175</v>
      </c>
      <c r="D224" s="315" t="str">
        <f t="shared" si="35"/>
        <v>LOGIN</v>
      </c>
      <c r="E224" s="315" t="str">
        <f t="shared" si="36"/>
        <v>签到奖励</v>
      </c>
      <c r="F224" s="316">
        <v>4578.0</v>
      </c>
      <c r="G224" s="317">
        <v>4578.0</v>
      </c>
      <c r="H224" s="318">
        <v>6015.0</v>
      </c>
      <c r="I224" s="318">
        <v>0.0</v>
      </c>
      <c r="J224" s="318">
        <v>0.0</v>
      </c>
      <c r="K224" s="319">
        <f t="shared" si="37"/>
        <v>6015</v>
      </c>
      <c r="L224" s="320" t="str">
        <f t="shared" si="34"/>
        <v>签到奖励</v>
      </c>
      <c r="T224" s="323"/>
      <c r="U224" s="326"/>
      <c r="V224" s="327"/>
    </row>
    <row r="225">
      <c r="A225" s="342"/>
      <c r="B225" s="313">
        <v>46092.0</v>
      </c>
      <c r="C225" s="314" t="s">
        <v>425</v>
      </c>
      <c r="D225" s="315" t="str">
        <f t="shared" si="35"/>
        <v/>
      </c>
      <c r="E225" s="315" t="str">
        <f t="shared" si="36"/>
        <v/>
      </c>
      <c r="F225" s="316">
        <v>4578.0</v>
      </c>
      <c r="G225" s="317">
        <v>4578.0</v>
      </c>
      <c r="H225" s="318">
        <v>6015.0</v>
      </c>
      <c r="I225" s="318">
        <v>0.0</v>
      </c>
      <c r="J225" s="318">
        <v>0.0</v>
      </c>
      <c r="K225" s="319">
        <f t="shared" si="37"/>
        <v>6015</v>
      </c>
      <c r="L225" s="320" t="str">
        <f t="shared" si="34"/>
        <v/>
      </c>
      <c r="T225" s="323"/>
      <c r="U225" s="326"/>
      <c r="V225" s="327"/>
    </row>
    <row r="226">
      <c r="A226" s="342"/>
      <c r="B226" s="313">
        <v>46092.0</v>
      </c>
      <c r="C226" s="314" t="s">
        <v>180</v>
      </c>
      <c r="D226" s="315" t="str">
        <f t="shared" si="35"/>
        <v>登录任务</v>
      </c>
      <c r="E226" s="315" t="str">
        <f t="shared" si="36"/>
        <v>登录任务</v>
      </c>
      <c r="F226" s="316">
        <v>0.0</v>
      </c>
      <c r="G226" s="317">
        <v>2832.0</v>
      </c>
      <c r="H226" s="318">
        <v>0.0</v>
      </c>
      <c r="I226" s="318">
        <v>187.0</v>
      </c>
      <c r="J226" s="318">
        <v>2893.0</v>
      </c>
      <c r="K226" s="319">
        <f t="shared" si="37"/>
        <v>187</v>
      </c>
      <c r="L226" s="320" t="str">
        <f t="shared" si="34"/>
        <v>登录任务</v>
      </c>
      <c r="T226" s="323"/>
      <c r="U226" s="326"/>
      <c r="V226" s="327"/>
    </row>
    <row r="227">
      <c r="A227" s="342"/>
      <c r="B227" s="313">
        <v>46092.0</v>
      </c>
      <c r="C227" s="314" t="s">
        <v>426</v>
      </c>
      <c r="D227" s="315" t="str">
        <f t="shared" si="35"/>
        <v/>
      </c>
      <c r="E227" s="315" t="str">
        <f t="shared" si="36"/>
        <v/>
      </c>
      <c r="F227" s="316">
        <v>0.0</v>
      </c>
      <c r="G227" s="317">
        <v>128.0</v>
      </c>
      <c r="H227" s="318">
        <v>0.0</v>
      </c>
      <c r="I227" s="318">
        <v>187.0</v>
      </c>
      <c r="J227" s="318">
        <v>139.0</v>
      </c>
      <c r="K227" s="319">
        <f t="shared" si="37"/>
        <v>187</v>
      </c>
      <c r="L227" s="320" t="str">
        <f t="shared" si="34"/>
        <v/>
      </c>
      <c r="T227" s="323"/>
      <c r="U227" s="326"/>
      <c r="V227" s="327"/>
    </row>
    <row r="228">
      <c r="A228" s="342"/>
      <c r="B228" s="313">
        <v>46092.0</v>
      </c>
      <c r="C228" s="314" t="s">
        <v>433</v>
      </c>
      <c r="D228" s="315" t="str">
        <f t="shared" si="35"/>
        <v/>
      </c>
      <c r="E228" s="315" t="str">
        <f t="shared" si="36"/>
        <v/>
      </c>
      <c r="F228" s="316">
        <v>0.0</v>
      </c>
      <c r="G228" s="317">
        <v>2754.0</v>
      </c>
      <c r="H228" s="318">
        <v>0.0</v>
      </c>
      <c r="I228" s="318">
        <v>0.0</v>
      </c>
      <c r="J228" s="318">
        <v>2754.0</v>
      </c>
      <c r="K228" s="319">
        <f t="shared" si="37"/>
        <v>0</v>
      </c>
      <c r="L228" s="320" t="str">
        <f t="shared" si="34"/>
        <v/>
      </c>
      <c r="T228" s="323"/>
      <c r="U228" s="326"/>
      <c r="V228" s="327"/>
    </row>
    <row r="229">
      <c r="A229" s="342"/>
      <c r="B229" s="313">
        <v>46092.0</v>
      </c>
      <c r="C229" s="314" t="s">
        <v>183</v>
      </c>
      <c r="D229" s="315" t="str">
        <f t="shared" si="35"/>
        <v>任务排行榜</v>
      </c>
      <c r="E229" s="315" t="str">
        <f t="shared" si="36"/>
        <v>任务排行榜</v>
      </c>
      <c r="F229" s="318">
        <v>117.0</v>
      </c>
      <c r="G229" s="318">
        <v>75.0</v>
      </c>
      <c r="H229" s="318">
        <v>0.0</v>
      </c>
      <c r="I229" s="318">
        <v>147.0</v>
      </c>
      <c r="J229" s="318">
        <v>68.0</v>
      </c>
      <c r="K229" s="319">
        <f t="shared" si="37"/>
        <v>147</v>
      </c>
      <c r="L229" s="320" t="str">
        <f t="shared" si="34"/>
        <v>任务排行榜</v>
      </c>
      <c r="M229" s="239"/>
      <c r="O229" s="282"/>
      <c r="T229" s="323"/>
      <c r="U229" s="326"/>
      <c r="V229" s="327"/>
    </row>
    <row r="230">
      <c r="A230" s="342"/>
      <c r="B230" s="313">
        <v>46092.0</v>
      </c>
      <c r="C230" s="314" t="s">
        <v>432</v>
      </c>
      <c r="D230" s="315" t="str">
        <f t="shared" si="35"/>
        <v/>
      </c>
      <c r="E230" s="315" t="str">
        <f t="shared" si="36"/>
        <v/>
      </c>
      <c r="F230" s="316">
        <v>117.0</v>
      </c>
      <c r="G230" s="317">
        <v>75.0</v>
      </c>
      <c r="H230" s="318">
        <v>0.0</v>
      </c>
      <c r="I230" s="318">
        <v>147.0</v>
      </c>
      <c r="J230" s="318">
        <v>68.0</v>
      </c>
      <c r="K230" s="319">
        <f t="shared" si="37"/>
        <v>147</v>
      </c>
      <c r="L230" s="320" t="str">
        <f t="shared" si="34"/>
        <v/>
      </c>
      <c r="T230" s="323"/>
      <c r="U230" s="326"/>
      <c r="V230" s="327"/>
    </row>
    <row r="231">
      <c r="A231" s="342"/>
      <c r="B231" s="313">
        <v>46092.0</v>
      </c>
      <c r="C231" s="314" t="s">
        <v>133</v>
      </c>
      <c r="D231" s="315" t="str">
        <f t="shared" si="35"/>
        <v>邀请返佣</v>
      </c>
      <c r="E231" s="315" t="str">
        <f t="shared" si="36"/>
        <v>邀请返佣</v>
      </c>
      <c r="F231" s="316">
        <v>114.0</v>
      </c>
      <c r="G231" s="316">
        <v>90.0</v>
      </c>
      <c r="H231" s="318">
        <v>242.4</v>
      </c>
      <c r="I231" s="318">
        <v>0.0</v>
      </c>
      <c r="J231" s="318">
        <v>0.0</v>
      </c>
      <c r="K231" s="319">
        <f t="shared" si="37"/>
        <v>242.4</v>
      </c>
      <c r="L231" s="320" t="str">
        <f t="shared" si="34"/>
        <v>邀请返佣</v>
      </c>
      <c r="T231" s="323"/>
      <c r="U231" s="326"/>
      <c r="V231" s="327"/>
    </row>
    <row r="232">
      <c r="A232" s="342"/>
      <c r="B232" s="313">
        <v>46092.0</v>
      </c>
      <c r="C232" s="314" t="s">
        <v>361</v>
      </c>
      <c r="D232" s="315" t="str">
        <f t="shared" si="35"/>
        <v/>
      </c>
      <c r="E232" s="315" t="str">
        <f t="shared" si="36"/>
        <v/>
      </c>
      <c r="F232" s="316">
        <v>2.0</v>
      </c>
      <c r="G232" s="317">
        <v>2.0</v>
      </c>
      <c r="H232" s="318">
        <v>20.0</v>
      </c>
      <c r="I232" s="318">
        <v>0.0</v>
      </c>
      <c r="J232" s="318">
        <v>0.0</v>
      </c>
      <c r="K232" s="319">
        <f t="shared" si="37"/>
        <v>20</v>
      </c>
      <c r="L232" s="320" t="str">
        <f t="shared" si="34"/>
        <v/>
      </c>
      <c r="T232" s="323"/>
      <c r="U232" s="326"/>
      <c r="V232" s="327"/>
    </row>
    <row r="233">
      <c r="A233" s="342"/>
      <c r="B233" s="313">
        <v>46092.0</v>
      </c>
      <c r="C233" s="314" t="s">
        <v>362</v>
      </c>
      <c r="D233" s="315" t="str">
        <f t="shared" si="35"/>
        <v/>
      </c>
      <c r="E233" s="315" t="str">
        <f t="shared" si="36"/>
        <v/>
      </c>
      <c r="F233" s="316">
        <v>20.0</v>
      </c>
      <c r="G233" s="317">
        <v>20.0</v>
      </c>
      <c r="H233" s="318">
        <v>4.99</v>
      </c>
      <c r="I233" s="318">
        <v>0.0</v>
      </c>
      <c r="J233" s="318">
        <v>0.0</v>
      </c>
      <c r="K233" s="319">
        <f t="shared" si="37"/>
        <v>4.99</v>
      </c>
      <c r="L233" s="320" t="str">
        <f t="shared" si="34"/>
        <v/>
      </c>
      <c r="T233" s="323"/>
      <c r="U233" s="326"/>
      <c r="V233" s="327"/>
    </row>
    <row r="234">
      <c r="A234" s="342"/>
      <c r="B234" s="313">
        <v>46092.0</v>
      </c>
      <c r="C234" s="314" t="s">
        <v>360</v>
      </c>
      <c r="D234" s="315" t="str">
        <f t="shared" si="35"/>
        <v/>
      </c>
      <c r="E234" s="315" t="str">
        <f t="shared" si="36"/>
        <v/>
      </c>
      <c r="F234" s="316">
        <v>12.0</v>
      </c>
      <c r="G234" s="317">
        <v>11.0</v>
      </c>
      <c r="H234" s="318">
        <v>180.0</v>
      </c>
      <c r="I234" s="318">
        <v>0.0</v>
      </c>
      <c r="J234" s="318">
        <v>0.0</v>
      </c>
      <c r="K234" s="319">
        <f t="shared" si="37"/>
        <v>180</v>
      </c>
      <c r="L234" s="320" t="str">
        <f t="shared" si="34"/>
        <v/>
      </c>
      <c r="T234" s="323"/>
      <c r="U234" s="326"/>
      <c r="V234" s="327"/>
    </row>
    <row r="235">
      <c r="A235" s="342"/>
      <c r="B235" s="313">
        <v>46092.0</v>
      </c>
      <c r="C235" s="314" t="s">
        <v>427</v>
      </c>
      <c r="D235" s="315" t="str">
        <f t="shared" si="35"/>
        <v/>
      </c>
      <c r="E235" s="315" t="str">
        <f t="shared" si="36"/>
        <v/>
      </c>
      <c r="F235" s="318">
        <v>80.0</v>
      </c>
      <c r="G235" s="318">
        <v>80.0</v>
      </c>
      <c r="H235" s="318">
        <v>37.41</v>
      </c>
      <c r="I235" s="318">
        <v>0.0</v>
      </c>
      <c r="J235" s="318">
        <v>0.0</v>
      </c>
      <c r="K235" s="319">
        <f t="shared" si="37"/>
        <v>37.41</v>
      </c>
      <c r="L235" s="320" t="str">
        <f t="shared" si="34"/>
        <v/>
      </c>
      <c r="M235" s="239"/>
      <c r="T235" s="323"/>
      <c r="U235" s="326"/>
      <c r="V235" s="327"/>
    </row>
    <row r="236">
      <c r="A236" s="342"/>
      <c r="B236" s="313">
        <v>46092.0</v>
      </c>
      <c r="C236" s="314" t="s">
        <v>176</v>
      </c>
      <c r="D236" s="315" t="str">
        <f t="shared" si="35"/>
        <v>UPGRADE_BONUS</v>
      </c>
      <c r="E236" s="315" t="str">
        <f t="shared" si="36"/>
        <v>升级奖励</v>
      </c>
      <c r="F236" s="316">
        <v>208.0</v>
      </c>
      <c r="G236" s="317">
        <v>189.0</v>
      </c>
      <c r="H236" s="318">
        <v>327.0</v>
      </c>
      <c r="I236" s="318">
        <v>0.0</v>
      </c>
      <c r="J236" s="318">
        <v>0.0</v>
      </c>
      <c r="K236" s="319">
        <f t="shared" si="37"/>
        <v>327</v>
      </c>
      <c r="L236" s="320" t="str">
        <f t="shared" si="34"/>
        <v>升级奖励</v>
      </c>
      <c r="T236" s="323"/>
      <c r="U236" s="326"/>
      <c r="V236" s="327"/>
    </row>
    <row r="237">
      <c r="A237" s="342"/>
      <c r="B237" s="313">
        <v>46092.0</v>
      </c>
      <c r="C237" s="314" t="s">
        <v>428</v>
      </c>
      <c r="D237" s="315" t="str">
        <f t="shared" si="35"/>
        <v/>
      </c>
      <c r="E237" s="315" t="str">
        <f t="shared" si="36"/>
        <v/>
      </c>
      <c r="F237" s="316">
        <v>208.0</v>
      </c>
      <c r="G237" s="317">
        <v>189.0</v>
      </c>
      <c r="H237" s="318">
        <v>327.0</v>
      </c>
      <c r="I237" s="318">
        <v>0.0</v>
      </c>
      <c r="J237" s="318">
        <v>0.0</v>
      </c>
      <c r="K237" s="319">
        <f t="shared" si="37"/>
        <v>327</v>
      </c>
      <c r="L237" s="320" t="str">
        <f t="shared" si="34"/>
        <v/>
      </c>
      <c r="T237" s="323"/>
      <c r="U237" s="326"/>
      <c r="V237" s="327"/>
    </row>
    <row r="238">
      <c r="A238" s="342"/>
      <c r="B238" s="330"/>
      <c r="C238" s="331"/>
      <c r="D238" s="332" t="str">
        <f t="shared" si="35"/>
        <v/>
      </c>
      <c r="E238" s="332" t="str">
        <f t="shared" si="36"/>
        <v/>
      </c>
      <c r="F238" s="333">
        <f t="shared" ref="F238:K238" si="38">SUM(F215,F218,F219,F222,F224,F226,F229,F231,F236)</f>
        <v>5365</v>
      </c>
      <c r="G238" s="333">
        <f t="shared" si="38"/>
        <v>10806</v>
      </c>
      <c r="H238" s="335">
        <f t="shared" si="38"/>
        <v>39072.97</v>
      </c>
      <c r="I238" s="335">
        <f t="shared" si="38"/>
        <v>334</v>
      </c>
      <c r="J238" s="335">
        <f t="shared" si="38"/>
        <v>2961</v>
      </c>
      <c r="K238" s="335">
        <f t="shared" si="38"/>
        <v>39406.97</v>
      </c>
      <c r="L238" s="250" t="str">
        <f t="shared" si="34"/>
        <v/>
      </c>
      <c r="M238" s="239">
        <f>39406.96-K218</f>
        <v>12252.96</v>
      </c>
      <c r="N238" s="341">
        <f>K238-M238</f>
        <v>27154.01</v>
      </c>
      <c r="T238" s="323"/>
      <c r="U238" s="326"/>
      <c r="V238" s="327"/>
    </row>
    <row r="239">
      <c r="A239" s="342"/>
      <c r="B239" s="313"/>
      <c r="C239" s="314"/>
      <c r="D239" s="315" t="str">
        <f t="shared" si="35"/>
        <v/>
      </c>
      <c r="E239" s="315" t="str">
        <f t="shared" si="36"/>
        <v/>
      </c>
      <c r="F239" s="316"/>
      <c r="G239" s="316"/>
      <c r="H239" s="318"/>
      <c r="I239" s="318"/>
      <c r="J239" s="318"/>
      <c r="K239" s="319">
        <f t="shared" ref="K239:K1578" si="39">H239+I239</f>
        <v>0</v>
      </c>
      <c r="L239" s="320" t="str">
        <f t="shared" si="34"/>
        <v/>
      </c>
      <c r="T239" s="323"/>
      <c r="U239" s="326"/>
      <c r="V239" s="327"/>
    </row>
    <row r="240">
      <c r="A240" s="342"/>
      <c r="B240" s="313"/>
      <c r="C240" s="314"/>
      <c r="D240" s="315" t="str">
        <f t="shared" si="35"/>
        <v/>
      </c>
      <c r="E240" s="315" t="str">
        <f t="shared" si="36"/>
        <v/>
      </c>
      <c r="F240" s="316"/>
      <c r="G240" s="316"/>
      <c r="H240" s="318"/>
      <c r="I240" s="318"/>
      <c r="J240" s="318"/>
      <c r="K240" s="319">
        <f t="shared" si="39"/>
        <v>0</v>
      </c>
      <c r="L240" s="320" t="str">
        <f t="shared" si="34"/>
        <v/>
      </c>
      <c r="M240" s="239">
        <f>K240-L240</f>
        <v>0</v>
      </c>
      <c r="T240" s="323"/>
      <c r="U240" s="326"/>
      <c r="V240" s="327"/>
    </row>
    <row r="241">
      <c r="A241" s="342"/>
      <c r="B241" s="313"/>
      <c r="C241" s="314"/>
      <c r="D241" s="315" t="str">
        <f t="shared" si="35"/>
        <v/>
      </c>
      <c r="E241" s="315" t="str">
        <f t="shared" si="36"/>
        <v/>
      </c>
      <c r="F241" s="316"/>
      <c r="G241" s="317"/>
      <c r="H241" s="318"/>
      <c r="I241" s="318"/>
      <c r="J241" s="318"/>
      <c r="K241" s="319">
        <f t="shared" si="39"/>
        <v>0</v>
      </c>
      <c r="L241" s="320" t="str">
        <f t="shared" si="34"/>
        <v/>
      </c>
      <c r="T241" s="323"/>
      <c r="U241" s="326"/>
      <c r="V241" s="327"/>
    </row>
    <row r="242">
      <c r="A242" s="342"/>
      <c r="B242" s="313"/>
      <c r="C242" s="314"/>
      <c r="D242" s="315" t="str">
        <f t="shared" si="35"/>
        <v/>
      </c>
      <c r="E242" s="315" t="str">
        <f t="shared" si="36"/>
        <v/>
      </c>
      <c r="F242" s="337"/>
      <c r="G242" s="337"/>
      <c r="H242" s="337"/>
      <c r="I242" s="337"/>
      <c r="J242" s="337"/>
      <c r="K242" s="319">
        <f t="shared" si="39"/>
        <v>0</v>
      </c>
      <c r="L242" s="320" t="str">
        <f t="shared" si="34"/>
        <v/>
      </c>
      <c r="M242" s="239"/>
      <c r="T242" s="323"/>
      <c r="U242" s="326"/>
      <c r="V242" s="327"/>
    </row>
    <row r="243">
      <c r="A243" s="342"/>
      <c r="B243" s="313"/>
      <c r="C243" s="314"/>
      <c r="D243" s="315" t="str">
        <f t="shared" si="35"/>
        <v/>
      </c>
      <c r="E243" s="315" t="str">
        <f t="shared" si="36"/>
        <v/>
      </c>
      <c r="F243" s="316"/>
      <c r="G243" s="317"/>
      <c r="H243" s="318"/>
      <c r="I243" s="318"/>
      <c r="J243" s="318"/>
      <c r="K243" s="319">
        <f t="shared" si="39"/>
        <v>0</v>
      </c>
      <c r="L243" s="320" t="str">
        <f t="shared" si="34"/>
        <v/>
      </c>
      <c r="T243" s="323"/>
      <c r="U243" s="326"/>
      <c r="V243" s="327"/>
    </row>
    <row r="244">
      <c r="A244" s="342"/>
      <c r="B244" s="313"/>
      <c r="C244" s="314"/>
      <c r="D244" s="315" t="str">
        <f t="shared" si="35"/>
        <v/>
      </c>
      <c r="E244" s="315" t="str">
        <f t="shared" si="36"/>
        <v/>
      </c>
      <c r="F244" s="316"/>
      <c r="G244" s="317"/>
      <c r="H244" s="318"/>
      <c r="I244" s="318"/>
      <c r="J244" s="318"/>
      <c r="K244" s="319">
        <f t="shared" si="39"/>
        <v>0</v>
      </c>
      <c r="L244" s="320" t="str">
        <f t="shared" si="34"/>
        <v/>
      </c>
      <c r="T244" s="323"/>
      <c r="U244" s="326"/>
      <c r="V244" s="327"/>
    </row>
    <row r="245">
      <c r="A245" s="342"/>
      <c r="B245" s="313"/>
      <c r="C245" s="314"/>
      <c r="D245" s="315" t="str">
        <f t="shared" si="35"/>
        <v/>
      </c>
      <c r="E245" s="315" t="str">
        <f t="shared" si="36"/>
        <v/>
      </c>
      <c r="F245" s="316"/>
      <c r="G245" s="317"/>
      <c r="H245" s="318"/>
      <c r="I245" s="318"/>
      <c r="J245" s="318"/>
      <c r="K245" s="319">
        <f t="shared" si="39"/>
        <v>0</v>
      </c>
      <c r="L245" s="320" t="str">
        <f t="shared" si="34"/>
        <v/>
      </c>
      <c r="T245" s="323"/>
      <c r="U245" s="326"/>
      <c r="V245" s="327"/>
    </row>
    <row r="246">
      <c r="A246" s="342"/>
      <c r="B246" s="313"/>
      <c r="C246" s="314"/>
      <c r="D246" s="315" t="str">
        <f t="shared" si="35"/>
        <v/>
      </c>
      <c r="E246" s="315" t="str">
        <f t="shared" si="36"/>
        <v/>
      </c>
      <c r="F246" s="316"/>
      <c r="G246" s="317"/>
      <c r="H246" s="318"/>
      <c r="I246" s="318"/>
      <c r="J246" s="318"/>
      <c r="K246" s="319">
        <f t="shared" si="39"/>
        <v>0</v>
      </c>
      <c r="L246" s="320" t="str">
        <f t="shared" si="34"/>
        <v/>
      </c>
      <c r="T246" s="323"/>
      <c r="U246" s="326"/>
      <c r="V246" s="327"/>
    </row>
    <row r="247">
      <c r="A247" s="342"/>
      <c r="B247" s="313"/>
      <c r="C247" s="314"/>
      <c r="D247" s="315" t="str">
        <f t="shared" si="35"/>
        <v/>
      </c>
      <c r="E247" s="315" t="str">
        <f t="shared" si="36"/>
        <v/>
      </c>
      <c r="F247" s="316"/>
      <c r="G247" s="317"/>
      <c r="H247" s="318"/>
      <c r="I247" s="318"/>
      <c r="J247" s="318"/>
      <c r="K247" s="319">
        <f t="shared" si="39"/>
        <v>0</v>
      </c>
      <c r="L247" s="320" t="str">
        <f t="shared" si="34"/>
        <v/>
      </c>
      <c r="T247" s="323"/>
      <c r="U247" s="326"/>
      <c r="V247" s="327"/>
    </row>
    <row r="248">
      <c r="A248" s="342"/>
      <c r="B248" s="313"/>
      <c r="C248" s="314"/>
      <c r="D248" s="315" t="str">
        <f t="shared" si="35"/>
        <v/>
      </c>
      <c r="E248" s="315" t="str">
        <f t="shared" si="36"/>
        <v/>
      </c>
      <c r="F248" s="316"/>
      <c r="G248" s="317"/>
      <c r="H248" s="318"/>
      <c r="I248" s="318"/>
      <c r="J248" s="318"/>
      <c r="K248" s="319">
        <f t="shared" si="39"/>
        <v>0</v>
      </c>
      <c r="L248" s="320" t="str">
        <f t="shared" si="34"/>
        <v/>
      </c>
      <c r="T248" s="323"/>
      <c r="U248" s="326"/>
      <c r="V248" s="327"/>
    </row>
    <row r="249">
      <c r="A249" s="342"/>
      <c r="B249" s="313"/>
      <c r="C249" s="314"/>
      <c r="D249" s="315" t="str">
        <f t="shared" si="35"/>
        <v/>
      </c>
      <c r="E249" s="315" t="str">
        <f t="shared" si="36"/>
        <v/>
      </c>
      <c r="F249" s="316"/>
      <c r="G249" s="317"/>
      <c r="H249" s="318"/>
      <c r="I249" s="318"/>
      <c r="J249" s="318"/>
      <c r="K249" s="319">
        <f t="shared" si="39"/>
        <v>0</v>
      </c>
      <c r="L249" s="320" t="str">
        <f t="shared" si="34"/>
        <v/>
      </c>
      <c r="T249" s="323"/>
      <c r="U249" s="326"/>
      <c r="V249" s="327"/>
    </row>
    <row r="250">
      <c r="A250" s="342"/>
      <c r="B250" s="313"/>
      <c r="C250" s="314"/>
      <c r="D250" s="315" t="str">
        <f t="shared" si="35"/>
        <v/>
      </c>
      <c r="E250" s="315" t="str">
        <f t="shared" si="36"/>
        <v/>
      </c>
      <c r="F250" s="316"/>
      <c r="G250" s="317"/>
      <c r="H250" s="318"/>
      <c r="I250" s="318"/>
      <c r="J250" s="318"/>
      <c r="K250" s="319">
        <f t="shared" si="39"/>
        <v>0</v>
      </c>
      <c r="L250" s="320" t="str">
        <f t="shared" si="34"/>
        <v/>
      </c>
      <c r="T250" s="344"/>
      <c r="U250" s="345"/>
      <c r="V250" s="346"/>
    </row>
    <row r="251">
      <c r="A251" s="342"/>
      <c r="B251" s="313"/>
      <c r="C251" s="314"/>
      <c r="D251" s="315" t="str">
        <f t="shared" si="35"/>
        <v/>
      </c>
      <c r="E251" s="315" t="str">
        <f t="shared" si="36"/>
        <v/>
      </c>
      <c r="F251" s="316"/>
      <c r="G251" s="317"/>
      <c r="H251" s="318"/>
      <c r="I251" s="318"/>
      <c r="J251" s="318"/>
      <c r="K251" s="319">
        <f t="shared" si="39"/>
        <v>0</v>
      </c>
      <c r="L251" s="320" t="str">
        <f t="shared" si="34"/>
        <v/>
      </c>
      <c r="T251" s="344"/>
      <c r="U251" s="345"/>
      <c r="V251" s="346"/>
    </row>
    <row r="252">
      <c r="A252" s="342"/>
      <c r="B252" s="313"/>
      <c r="C252" s="314"/>
      <c r="D252" s="315" t="str">
        <f t="shared" si="35"/>
        <v/>
      </c>
      <c r="E252" s="315" t="str">
        <f t="shared" si="36"/>
        <v/>
      </c>
      <c r="F252" s="316"/>
      <c r="G252" s="317"/>
      <c r="H252" s="318"/>
      <c r="I252" s="318"/>
      <c r="J252" s="318"/>
      <c r="K252" s="319">
        <f t="shared" si="39"/>
        <v>0</v>
      </c>
      <c r="L252" s="320" t="str">
        <f t="shared" si="34"/>
        <v/>
      </c>
      <c r="T252" s="344"/>
      <c r="U252" s="345"/>
      <c r="V252" s="346"/>
    </row>
    <row r="253">
      <c r="A253" s="342"/>
      <c r="B253" s="313"/>
      <c r="C253" s="314"/>
      <c r="D253" s="315" t="str">
        <f t="shared" si="35"/>
        <v/>
      </c>
      <c r="E253" s="315" t="str">
        <f t="shared" si="36"/>
        <v/>
      </c>
      <c r="F253" s="316"/>
      <c r="G253" s="317"/>
      <c r="H253" s="318"/>
      <c r="I253" s="318"/>
      <c r="J253" s="318"/>
      <c r="K253" s="319">
        <f t="shared" si="39"/>
        <v>0</v>
      </c>
      <c r="L253" s="320" t="str">
        <f t="shared" si="34"/>
        <v/>
      </c>
      <c r="T253" s="344"/>
      <c r="U253" s="345"/>
      <c r="V253" s="346"/>
    </row>
    <row r="254">
      <c r="A254" s="342"/>
      <c r="B254" s="313"/>
      <c r="C254" s="314"/>
      <c r="D254" s="315" t="str">
        <f t="shared" si="35"/>
        <v/>
      </c>
      <c r="E254" s="315" t="str">
        <f t="shared" si="36"/>
        <v/>
      </c>
      <c r="F254" s="318"/>
      <c r="G254" s="318"/>
      <c r="H254" s="318"/>
      <c r="I254" s="318"/>
      <c r="J254" s="318"/>
      <c r="K254" s="319">
        <f t="shared" si="39"/>
        <v>0</v>
      </c>
      <c r="L254" s="320" t="str">
        <f t="shared" si="34"/>
        <v/>
      </c>
      <c r="M254" s="239"/>
      <c r="T254" s="344"/>
      <c r="U254" s="345"/>
      <c r="V254" s="346"/>
    </row>
    <row r="255">
      <c r="A255" s="342"/>
      <c r="B255" s="313"/>
      <c r="C255" s="314"/>
      <c r="D255" s="315" t="str">
        <f t="shared" si="35"/>
        <v/>
      </c>
      <c r="E255" s="315" t="str">
        <f t="shared" si="36"/>
        <v/>
      </c>
      <c r="F255" s="316"/>
      <c r="G255" s="316"/>
      <c r="H255" s="316"/>
      <c r="I255" s="316"/>
      <c r="J255" s="316"/>
      <c r="K255" s="319">
        <f t="shared" si="39"/>
        <v>0</v>
      </c>
      <c r="L255" s="320" t="str">
        <f t="shared" si="34"/>
        <v/>
      </c>
      <c r="M255" s="239"/>
      <c r="T255" s="344"/>
      <c r="U255" s="345"/>
      <c r="V255" s="346"/>
    </row>
    <row r="256">
      <c r="A256" s="342"/>
      <c r="B256" s="313"/>
      <c r="C256" s="314"/>
      <c r="D256" s="315" t="str">
        <f t="shared" si="35"/>
        <v/>
      </c>
      <c r="E256" s="315" t="str">
        <f t="shared" si="36"/>
        <v/>
      </c>
      <c r="F256" s="316"/>
      <c r="G256" s="317"/>
      <c r="H256" s="318"/>
      <c r="I256" s="318"/>
      <c r="J256" s="318"/>
      <c r="K256" s="319">
        <f t="shared" si="39"/>
        <v>0</v>
      </c>
      <c r="L256" s="320" t="str">
        <f t="shared" si="34"/>
        <v/>
      </c>
      <c r="T256" s="344"/>
      <c r="U256" s="345"/>
      <c r="V256" s="346"/>
    </row>
    <row r="257">
      <c r="A257" s="342"/>
      <c r="B257" s="313"/>
      <c r="C257" s="314"/>
      <c r="D257" s="315" t="str">
        <f t="shared" si="35"/>
        <v/>
      </c>
      <c r="E257" s="315" t="str">
        <f t="shared" si="36"/>
        <v/>
      </c>
      <c r="F257" s="316"/>
      <c r="G257" s="317"/>
      <c r="H257" s="318"/>
      <c r="I257" s="318"/>
      <c r="J257" s="318"/>
      <c r="K257" s="319">
        <f t="shared" si="39"/>
        <v>0</v>
      </c>
      <c r="L257" s="320" t="str">
        <f t="shared" si="34"/>
        <v/>
      </c>
      <c r="T257" s="344"/>
      <c r="U257" s="345"/>
      <c r="V257" s="346"/>
    </row>
    <row r="258">
      <c r="A258" s="339"/>
      <c r="B258" s="313"/>
      <c r="C258" s="314"/>
      <c r="D258" s="315" t="str">
        <f t="shared" si="35"/>
        <v/>
      </c>
      <c r="E258" s="315" t="str">
        <f t="shared" si="36"/>
        <v/>
      </c>
      <c r="F258" s="316"/>
      <c r="G258" s="317"/>
      <c r="H258" s="318"/>
      <c r="I258" s="318"/>
      <c r="J258" s="318"/>
      <c r="K258" s="319">
        <f t="shared" si="39"/>
        <v>0</v>
      </c>
      <c r="L258" s="320" t="str">
        <f t="shared" si="34"/>
        <v/>
      </c>
      <c r="T258" s="344"/>
      <c r="U258" s="345"/>
      <c r="V258" s="346"/>
    </row>
    <row r="259">
      <c r="A259" s="339"/>
      <c r="B259" s="313"/>
      <c r="C259" s="314"/>
      <c r="D259" s="315" t="str">
        <f t="shared" si="35"/>
        <v/>
      </c>
      <c r="E259" s="315" t="str">
        <f t="shared" si="36"/>
        <v/>
      </c>
      <c r="F259" s="318"/>
      <c r="G259" s="318"/>
      <c r="H259" s="318"/>
      <c r="I259" s="318"/>
      <c r="J259" s="318"/>
      <c r="K259" s="319">
        <f t="shared" si="39"/>
        <v>0</v>
      </c>
      <c r="L259" s="320" t="str">
        <f t="shared" si="34"/>
        <v/>
      </c>
      <c r="T259" s="344"/>
      <c r="U259" s="345"/>
      <c r="V259" s="346"/>
    </row>
    <row r="260">
      <c r="A260" s="339"/>
      <c r="B260" s="313"/>
      <c r="C260" s="314"/>
      <c r="D260" s="315" t="str">
        <f t="shared" si="35"/>
        <v/>
      </c>
      <c r="E260" s="315" t="str">
        <f t="shared" si="36"/>
        <v/>
      </c>
      <c r="F260" s="316"/>
      <c r="G260" s="317"/>
      <c r="H260" s="318"/>
      <c r="I260" s="318"/>
      <c r="J260" s="318"/>
      <c r="K260" s="319">
        <f t="shared" si="39"/>
        <v>0</v>
      </c>
      <c r="L260" s="320" t="str">
        <f t="shared" si="34"/>
        <v/>
      </c>
      <c r="T260" s="344"/>
      <c r="U260" s="345"/>
      <c r="V260" s="346"/>
    </row>
    <row r="261">
      <c r="A261" s="339"/>
      <c r="B261" s="313"/>
      <c r="C261" s="314"/>
      <c r="D261" s="315" t="str">
        <f t="shared" si="35"/>
        <v/>
      </c>
      <c r="E261" s="315" t="str">
        <f t="shared" si="36"/>
        <v/>
      </c>
      <c r="F261" s="316"/>
      <c r="G261" s="317"/>
      <c r="H261" s="318"/>
      <c r="I261" s="318"/>
      <c r="J261" s="318"/>
      <c r="K261" s="319">
        <f t="shared" si="39"/>
        <v>0</v>
      </c>
      <c r="L261" s="320" t="str">
        <f t="shared" si="34"/>
        <v/>
      </c>
      <c r="T261" s="344"/>
      <c r="U261" s="345"/>
      <c r="V261" s="346"/>
    </row>
    <row r="262">
      <c r="A262" s="339"/>
      <c r="B262" s="313"/>
      <c r="C262" s="314"/>
      <c r="D262" s="315" t="str">
        <f t="shared" si="35"/>
        <v/>
      </c>
      <c r="E262" s="315" t="str">
        <f t="shared" si="36"/>
        <v/>
      </c>
      <c r="F262" s="316"/>
      <c r="G262" s="316"/>
      <c r="H262" s="318"/>
      <c r="I262" s="318"/>
      <c r="J262" s="318"/>
      <c r="K262" s="319">
        <f t="shared" si="39"/>
        <v>0</v>
      </c>
      <c r="L262" s="320" t="str">
        <f t="shared" si="34"/>
        <v/>
      </c>
      <c r="M262" s="239">
        <f>K262-L262</f>
        <v>0</v>
      </c>
      <c r="T262" s="344"/>
      <c r="U262" s="345"/>
      <c r="V262" s="346"/>
    </row>
    <row r="263">
      <c r="A263" s="339"/>
      <c r="B263" s="313"/>
      <c r="C263" s="314"/>
      <c r="D263" s="315" t="str">
        <f t="shared" si="35"/>
        <v/>
      </c>
      <c r="E263" s="315" t="str">
        <f t="shared" si="36"/>
        <v/>
      </c>
      <c r="F263" s="318"/>
      <c r="G263" s="318"/>
      <c r="H263" s="318"/>
      <c r="I263" s="318"/>
      <c r="J263" s="318"/>
      <c r="K263" s="319">
        <f t="shared" si="39"/>
        <v>0</v>
      </c>
      <c r="L263" s="320" t="str">
        <f t="shared" si="34"/>
        <v/>
      </c>
      <c r="M263" s="239"/>
      <c r="T263" s="344"/>
      <c r="U263" s="345"/>
      <c r="V263" s="346"/>
    </row>
    <row r="264">
      <c r="A264" s="339"/>
      <c r="B264" s="313"/>
      <c r="C264" s="314"/>
      <c r="D264" s="315" t="str">
        <f t="shared" si="35"/>
        <v/>
      </c>
      <c r="E264" s="315" t="str">
        <f t="shared" si="36"/>
        <v/>
      </c>
      <c r="F264" s="316"/>
      <c r="G264" s="317"/>
      <c r="H264" s="318"/>
      <c r="I264" s="318"/>
      <c r="J264" s="318"/>
      <c r="K264" s="319">
        <f t="shared" si="39"/>
        <v>0</v>
      </c>
      <c r="L264" s="320" t="str">
        <f t="shared" si="34"/>
        <v/>
      </c>
      <c r="T264" s="344"/>
      <c r="U264" s="345"/>
      <c r="V264" s="346"/>
    </row>
    <row r="265">
      <c r="A265" s="339"/>
      <c r="B265" s="313"/>
      <c r="C265" s="314"/>
      <c r="D265" s="315" t="str">
        <f t="shared" si="35"/>
        <v/>
      </c>
      <c r="E265" s="315" t="str">
        <f t="shared" si="36"/>
        <v/>
      </c>
      <c r="F265" s="316"/>
      <c r="G265" s="317"/>
      <c r="H265" s="318"/>
      <c r="I265" s="318"/>
      <c r="J265" s="318"/>
      <c r="K265" s="319">
        <f t="shared" si="39"/>
        <v>0</v>
      </c>
      <c r="L265" s="320" t="str">
        <f t="shared" si="34"/>
        <v/>
      </c>
      <c r="T265" s="344"/>
      <c r="U265" s="345"/>
      <c r="V265" s="346"/>
    </row>
    <row r="266">
      <c r="A266" s="339"/>
      <c r="B266" s="313"/>
      <c r="C266" s="314"/>
      <c r="D266" s="315" t="str">
        <f t="shared" si="35"/>
        <v/>
      </c>
      <c r="E266" s="315" t="str">
        <f t="shared" si="36"/>
        <v/>
      </c>
      <c r="F266" s="316"/>
      <c r="G266" s="317"/>
      <c r="H266" s="318"/>
      <c r="I266" s="318"/>
      <c r="J266" s="318"/>
      <c r="K266" s="319">
        <f t="shared" si="39"/>
        <v>0</v>
      </c>
      <c r="L266" s="320" t="str">
        <f t="shared" si="34"/>
        <v/>
      </c>
      <c r="T266" s="344"/>
      <c r="U266" s="345"/>
      <c r="V266" s="346"/>
    </row>
    <row r="267">
      <c r="A267" s="339"/>
      <c r="B267" s="313"/>
      <c r="C267" s="314"/>
      <c r="D267" s="315" t="str">
        <f t="shared" si="35"/>
        <v/>
      </c>
      <c r="E267" s="315" t="str">
        <f t="shared" si="36"/>
        <v/>
      </c>
      <c r="F267" s="316"/>
      <c r="G267" s="317"/>
      <c r="H267" s="318"/>
      <c r="I267" s="318"/>
      <c r="J267" s="318"/>
      <c r="K267" s="319">
        <f t="shared" si="39"/>
        <v>0</v>
      </c>
      <c r="L267" s="320" t="str">
        <f t="shared" si="34"/>
        <v/>
      </c>
      <c r="T267" s="344"/>
      <c r="U267" s="345"/>
      <c r="V267" s="346"/>
    </row>
    <row r="268">
      <c r="A268" s="339"/>
      <c r="B268" s="313"/>
      <c r="C268" s="314"/>
      <c r="D268" s="315" t="str">
        <f t="shared" si="35"/>
        <v/>
      </c>
      <c r="E268" s="315" t="str">
        <f t="shared" si="36"/>
        <v/>
      </c>
      <c r="F268" s="316"/>
      <c r="G268" s="317"/>
      <c r="H268" s="318"/>
      <c r="I268" s="318"/>
      <c r="J268" s="318"/>
      <c r="K268" s="319">
        <f t="shared" si="39"/>
        <v>0</v>
      </c>
      <c r="L268" s="320" t="str">
        <f t="shared" si="34"/>
        <v/>
      </c>
      <c r="T268" s="344"/>
      <c r="U268" s="345"/>
      <c r="V268" s="346"/>
    </row>
    <row r="269">
      <c r="A269" s="339"/>
      <c r="B269" s="313"/>
      <c r="C269" s="314"/>
      <c r="D269" s="315" t="str">
        <f t="shared" si="35"/>
        <v/>
      </c>
      <c r="E269" s="315" t="str">
        <f t="shared" si="36"/>
        <v/>
      </c>
      <c r="F269" s="318"/>
      <c r="G269" s="318"/>
      <c r="H269" s="318"/>
      <c r="I269" s="318"/>
      <c r="J269" s="318"/>
      <c r="K269" s="319">
        <f t="shared" si="39"/>
        <v>0</v>
      </c>
      <c r="L269" s="320" t="str">
        <f t="shared" si="34"/>
        <v/>
      </c>
      <c r="M269" s="239"/>
      <c r="T269" s="344"/>
      <c r="U269" s="345"/>
      <c r="V269" s="346"/>
    </row>
    <row r="270">
      <c r="A270" s="339"/>
      <c r="B270" s="313"/>
      <c r="C270" s="314"/>
      <c r="D270" s="315" t="str">
        <f t="shared" si="35"/>
        <v/>
      </c>
      <c r="E270" s="315" t="str">
        <f t="shared" si="36"/>
        <v/>
      </c>
      <c r="F270" s="316"/>
      <c r="G270" s="317"/>
      <c r="H270" s="318"/>
      <c r="I270" s="318"/>
      <c r="J270" s="318"/>
      <c r="K270" s="319">
        <f t="shared" si="39"/>
        <v>0</v>
      </c>
      <c r="L270" s="320" t="str">
        <f t="shared" si="34"/>
        <v/>
      </c>
      <c r="T270" s="344"/>
      <c r="U270" s="345"/>
      <c r="V270" s="346"/>
    </row>
    <row r="271">
      <c r="A271" s="339"/>
      <c r="B271" s="313"/>
      <c r="C271" s="314"/>
      <c r="D271" s="315" t="str">
        <f t="shared" si="35"/>
        <v/>
      </c>
      <c r="E271" s="315" t="str">
        <f t="shared" si="36"/>
        <v/>
      </c>
      <c r="F271" s="316"/>
      <c r="G271" s="317"/>
      <c r="H271" s="318"/>
      <c r="I271" s="318"/>
      <c r="J271" s="318"/>
      <c r="K271" s="319">
        <f t="shared" si="39"/>
        <v>0</v>
      </c>
      <c r="L271" s="320" t="str">
        <f t="shared" si="34"/>
        <v/>
      </c>
      <c r="T271" s="344"/>
      <c r="U271" s="345"/>
      <c r="V271" s="346"/>
    </row>
    <row r="272">
      <c r="A272" s="339"/>
      <c r="B272" s="313"/>
      <c r="C272" s="314"/>
      <c r="D272" s="315" t="str">
        <f t="shared" si="35"/>
        <v/>
      </c>
      <c r="E272" s="315" t="str">
        <f t="shared" si="36"/>
        <v/>
      </c>
      <c r="F272" s="316"/>
      <c r="G272" s="317"/>
      <c r="H272" s="318"/>
      <c r="I272" s="318"/>
      <c r="J272" s="318"/>
      <c r="K272" s="319">
        <f t="shared" si="39"/>
        <v>0</v>
      </c>
      <c r="L272" s="320" t="str">
        <f t="shared" si="34"/>
        <v/>
      </c>
      <c r="T272" s="344"/>
      <c r="U272" s="345"/>
      <c r="V272" s="346"/>
    </row>
    <row r="273">
      <c r="A273" s="339"/>
      <c r="B273" s="313"/>
      <c r="C273" s="314"/>
      <c r="D273" s="315" t="str">
        <f t="shared" si="35"/>
        <v/>
      </c>
      <c r="E273" s="315" t="str">
        <f t="shared" si="36"/>
        <v/>
      </c>
      <c r="F273" s="316"/>
      <c r="G273" s="317"/>
      <c r="H273" s="318"/>
      <c r="I273" s="318"/>
      <c r="J273" s="318"/>
      <c r="K273" s="319">
        <f t="shared" si="39"/>
        <v>0</v>
      </c>
      <c r="L273" s="320" t="str">
        <f t="shared" si="34"/>
        <v/>
      </c>
      <c r="T273" s="344"/>
      <c r="U273" s="345"/>
      <c r="V273" s="346"/>
    </row>
    <row r="274">
      <c r="A274" s="339"/>
      <c r="B274" s="313"/>
      <c r="C274" s="314"/>
      <c r="D274" s="315" t="str">
        <f t="shared" si="35"/>
        <v/>
      </c>
      <c r="E274" s="315" t="str">
        <f t="shared" si="36"/>
        <v/>
      </c>
      <c r="F274" s="316"/>
      <c r="G274" s="317"/>
      <c r="H274" s="318"/>
      <c r="I274" s="318"/>
      <c r="J274" s="318"/>
      <c r="K274" s="319">
        <f t="shared" si="39"/>
        <v>0</v>
      </c>
      <c r="L274" s="320" t="str">
        <f t="shared" si="34"/>
        <v/>
      </c>
      <c r="T274" s="344"/>
      <c r="U274" s="345"/>
      <c r="V274" s="346"/>
    </row>
    <row r="275">
      <c r="A275" s="339"/>
      <c r="B275" s="313"/>
      <c r="C275" s="314"/>
      <c r="D275" s="315" t="str">
        <f t="shared" si="35"/>
        <v/>
      </c>
      <c r="E275" s="315" t="str">
        <f t="shared" si="36"/>
        <v/>
      </c>
      <c r="F275" s="316"/>
      <c r="G275" s="317"/>
      <c r="H275" s="318"/>
      <c r="I275" s="318"/>
      <c r="J275" s="318"/>
      <c r="K275" s="319">
        <f t="shared" si="39"/>
        <v>0</v>
      </c>
      <c r="L275" s="320" t="str">
        <f t="shared" si="34"/>
        <v/>
      </c>
      <c r="T275" s="344"/>
      <c r="U275" s="345"/>
      <c r="V275" s="346"/>
    </row>
    <row r="276">
      <c r="A276" s="339"/>
      <c r="B276" s="313"/>
      <c r="C276" s="314"/>
      <c r="D276" s="315" t="str">
        <f t="shared" si="35"/>
        <v/>
      </c>
      <c r="E276" s="315" t="str">
        <f t="shared" si="36"/>
        <v/>
      </c>
      <c r="F276" s="316"/>
      <c r="G276" s="317"/>
      <c r="H276" s="318"/>
      <c r="I276" s="318"/>
      <c r="J276" s="318"/>
      <c r="K276" s="319">
        <f t="shared" si="39"/>
        <v>0</v>
      </c>
      <c r="L276" s="320" t="str">
        <f t="shared" si="34"/>
        <v/>
      </c>
      <c r="T276" s="344"/>
      <c r="U276" s="345"/>
      <c r="V276" s="346"/>
    </row>
    <row r="277">
      <c r="A277" s="339"/>
      <c r="B277" s="313"/>
      <c r="C277" s="314"/>
      <c r="D277" s="315" t="str">
        <f t="shared" si="35"/>
        <v/>
      </c>
      <c r="E277" s="315" t="str">
        <f t="shared" si="36"/>
        <v/>
      </c>
      <c r="F277" s="316"/>
      <c r="G277" s="317"/>
      <c r="H277" s="318"/>
      <c r="I277" s="318"/>
      <c r="J277" s="318"/>
      <c r="K277" s="319">
        <f t="shared" si="39"/>
        <v>0</v>
      </c>
      <c r="L277" s="320" t="str">
        <f t="shared" si="34"/>
        <v/>
      </c>
      <c r="T277" s="344"/>
      <c r="U277" s="345"/>
      <c r="V277" s="346"/>
    </row>
    <row r="278">
      <c r="A278" s="339"/>
      <c r="B278" s="313"/>
      <c r="C278" s="314"/>
      <c r="D278" s="315" t="str">
        <f t="shared" si="35"/>
        <v/>
      </c>
      <c r="E278" s="315" t="str">
        <f t="shared" si="36"/>
        <v/>
      </c>
      <c r="F278" s="316"/>
      <c r="G278" s="317"/>
      <c r="H278" s="318"/>
      <c r="I278" s="318"/>
      <c r="J278" s="318"/>
      <c r="K278" s="319">
        <f t="shared" si="39"/>
        <v>0</v>
      </c>
      <c r="L278" s="320" t="str">
        <f t="shared" si="34"/>
        <v/>
      </c>
      <c r="T278" s="344"/>
      <c r="U278" s="345"/>
      <c r="V278" s="346"/>
    </row>
    <row r="279">
      <c r="A279" s="339"/>
      <c r="B279" s="313"/>
      <c r="C279" s="314"/>
      <c r="D279" s="315" t="str">
        <f t="shared" si="35"/>
        <v/>
      </c>
      <c r="E279" s="315" t="str">
        <f t="shared" si="36"/>
        <v/>
      </c>
      <c r="F279" s="316"/>
      <c r="G279" s="317"/>
      <c r="H279" s="318"/>
      <c r="I279" s="318"/>
      <c r="J279" s="318"/>
      <c r="K279" s="319">
        <f t="shared" si="39"/>
        <v>0</v>
      </c>
      <c r="L279" s="320" t="str">
        <f t="shared" si="34"/>
        <v/>
      </c>
      <c r="T279" s="344"/>
      <c r="U279" s="345"/>
      <c r="V279" s="346"/>
    </row>
    <row r="280">
      <c r="A280" s="339"/>
      <c r="B280" s="313"/>
      <c r="C280" s="314"/>
      <c r="D280" s="315" t="str">
        <f t="shared" si="35"/>
        <v/>
      </c>
      <c r="E280" s="315" t="str">
        <f t="shared" si="36"/>
        <v/>
      </c>
      <c r="F280" s="316"/>
      <c r="G280" s="317"/>
      <c r="H280" s="318"/>
      <c r="I280" s="318"/>
      <c r="J280" s="318"/>
      <c r="K280" s="319">
        <f t="shared" si="39"/>
        <v>0</v>
      </c>
      <c r="L280" s="320" t="str">
        <f t="shared" si="34"/>
        <v/>
      </c>
      <c r="T280" s="344"/>
      <c r="U280" s="345"/>
      <c r="V280" s="346"/>
    </row>
    <row r="281">
      <c r="A281" s="339"/>
      <c r="B281" s="313"/>
      <c r="C281" s="314"/>
      <c r="D281" s="315" t="str">
        <f t="shared" si="35"/>
        <v/>
      </c>
      <c r="E281" s="315" t="str">
        <f t="shared" si="36"/>
        <v/>
      </c>
      <c r="F281" s="316"/>
      <c r="G281" s="317"/>
      <c r="H281" s="318"/>
      <c r="I281" s="318"/>
      <c r="J281" s="318"/>
      <c r="K281" s="319">
        <f t="shared" si="39"/>
        <v>0</v>
      </c>
      <c r="L281" s="320" t="str">
        <f t="shared" si="34"/>
        <v/>
      </c>
      <c r="T281" s="344"/>
      <c r="U281" s="345"/>
      <c r="V281" s="346"/>
    </row>
    <row r="282">
      <c r="A282" s="339"/>
      <c r="B282" s="313"/>
      <c r="C282" s="314"/>
      <c r="D282" s="315" t="str">
        <f t="shared" si="35"/>
        <v/>
      </c>
      <c r="E282" s="315" t="str">
        <f t="shared" si="36"/>
        <v/>
      </c>
      <c r="F282" s="316"/>
      <c r="G282" s="316"/>
      <c r="H282" s="318"/>
      <c r="I282" s="318"/>
      <c r="J282" s="318"/>
      <c r="K282" s="319">
        <f t="shared" si="39"/>
        <v>0</v>
      </c>
      <c r="L282" s="320" t="str">
        <f t="shared" si="34"/>
        <v/>
      </c>
      <c r="M282" s="239"/>
      <c r="T282" s="344"/>
      <c r="U282" s="345"/>
      <c r="V282" s="346"/>
    </row>
    <row r="283">
      <c r="A283" s="339"/>
      <c r="B283" s="313"/>
      <c r="C283" s="314"/>
      <c r="D283" s="315" t="str">
        <f t="shared" si="35"/>
        <v/>
      </c>
      <c r="E283" s="315" t="str">
        <f t="shared" si="36"/>
        <v/>
      </c>
      <c r="F283" s="337"/>
      <c r="G283" s="337"/>
      <c r="H283" s="337"/>
      <c r="I283" s="337"/>
      <c r="J283" s="337"/>
      <c r="K283" s="319">
        <f t="shared" si="39"/>
        <v>0</v>
      </c>
      <c r="L283" s="320" t="str">
        <f t="shared" si="34"/>
        <v/>
      </c>
      <c r="M283" s="239"/>
      <c r="T283" s="344"/>
      <c r="U283" s="345"/>
      <c r="V283" s="346"/>
    </row>
    <row r="284">
      <c r="A284" s="339"/>
      <c r="B284" s="313"/>
      <c r="C284" s="314"/>
      <c r="D284" s="315" t="str">
        <f t="shared" si="35"/>
        <v/>
      </c>
      <c r="E284" s="315" t="str">
        <f t="shared" si="36"/>
        <v/>
      </c>
      <c r="F284" s="316"/>
      <c r="G284" s="316"/>
      <c r="H284" s="318"/>
      <c r="I284" s="318"/>
      <c r="J284" s="318"/>
      <c r="K284" s="319">
        <f t="shared" si="39"/>
        <v>0</v>
      </c>
      <c r="L284" s="320" t="str">
        <f t="shared" si="34"/>
        <v/>
      </c>
      <c r="M284" s="239">
        <f>K284-L284</f>
        <v>0</v>
      </c>
      <c r="T284" s="344"/>
      <c r="U284" s="345"/>
      <c r="V284" s="346"/>
    </row>
    <row r="285">
      <c r="A285" s="339"/>
      <c r="B285" s="313"/>
      <c r="C285" s="314"/>
      <c r="D285" s="315" t="str">
        <f t="shared" si="35"/>
        <v/>
      </c>
      <c r="E285" s="315" t="str">
        <f t="shared" si="36"/>
        <v/>
      </c>
      <c r="F285" s="316"/>
      <c r="G285" s="317"/>
      <c r="H285" s="318"/>
      <c r="I285" s="318"/>
      <c r="J285" s="318"/>
      <c r="K285" s="319">
        <f t="shared" si="39"/>
        <v>0</v>
      </c>
      <c r="L285" s="320" t="str">
        <f t="shared" si="34"/>
        <v/>
      </c>
      <c r="T285" s="344"/>
      <c r="U285" s="345"/>
      <c r="V285" s="346"/>
    </row>
    <row r="286">
      <c r="A286" s="339"/>
      <c r="B286" s="313"/>
      <c r="C286" s="314"/>
      <c r="D286" s="315" t="str">
        <f t="shared" si="35"/>
        <v/>
      </c>
      <c r="E286" s="315" t="str">
        <f t="shared" si="36"/>
        <v/>
      </c>
      <c r="F286" s="316"/>
      <c r="G286" s="317"/>
      <c r="H286" s="318"/>
      <c r="I286" s="318"/>
      <c r="J286" s="318"/>
      <c r="K286" s="319">
        <f t="shared" si="39"/>
        <v>0</v>
      </c>
      <c r="L286" s="320" t="str">
        <f t="shared" si="34"/>
        <v/>
      </c>
      <c r="T286" s="344"/>
      <c r="U286" s="345"/>
      <c r="V286" s="346"/>
    </row>
    <row r="287">
      <c r="A287" s="339"/>
      <c r="B287" s="313"/>
      <c r="C287" s="314"/>
      <c r="D287" s="315" t="str">
        <f t="shared" si="35"/>
        <v/>
      </c>
      <c r="E287" s="315" t="str">
        <f t="shared" si="36"/>
        <v/>
      </c>
      <c r="F287" s="316"/>
      <c r="G287" s="317"/>
      <c r="H287" s="318"/>
      <c r="I287" s="318"/>
      <c r="J287" s="318"/>
      <c r="K287" s="319">
        <f t="shared" si="39"/>
        <v>0</v>
      </c>
      <c r="L287" s="320" t="str">
        <f t="shared" si="34"/>
        <v/>
      </c>
      <c r="T287" s="344"/>
      <c r="U287" s="345"/>
      <c r="V287" s="346"/>
    </row>
    <row r="288">
      <c r="A288" s="339"/>
      <c r="B288" s="313"/>
      <c r="C288" s="314"/>
      <c r="D288" s="315" t="str">
        <f t="shared" si="35"/>
        <v/>
      </c>
      <c r="E288" s="315" t="str">
        <f t="shared" si="36"/>
        <v/>
      </c>
      <c r="F288" s="316"/>
      <c r="G288" s="317"/>
      <c r="H288" s="318"/>
      <c r="I288" s="318"/>
      <c r="J288" s="318"/>
      <c r="K288" s="319">
        <f t="shared" si="39"/>
        <v>0</v>
      </c>
      <c r="L288" s="320" t="str">
        <f t="shared" si="34"/>
        <v/>
      </c>
      <c r="T288" s="344"/>
      <c r="U288" s="345"/>
      <c r="V288" s="346"/>
    </row>
    <row r="289">
      <c r="A289" s="339"/>
      <c r="B289" s="313"/>
      <c r="C289" s="314"/>
      <c r="D289" s="315" t="str">
        <f t="shared" si="35"/>
        <v/>
      </c>
      <c r="E289" s="315" t="str">
        <f t="shared" si="36"/>
        <v/>
      </c>
      <c r="F289" s="316"/>
      <c r="G289" s="317"/>
      <c r="H289" s="318"/>
      <c r="I289" s="318"/>
      <c r="J289" s="318"/>
      <c r="K289" s="319">
        <f t="shared" si="39"/>
        <v>0</v>
      </c>
      <c r="L289" s="320" t="str">
        <f t="shared" si="34"/>
        <v/>
      </c>
      <c r="T289" s="344"/>
      <c r="U289" s="345"/>
      <c r="V289" s="346"/>
    </row>
    <row r="290">
      <c r="A290" s="339"/>
      <c r="B290" s="313"/>
      <c r="C290" s="314"/>
      <c r="D290" s="315" t="str">
        <f t="shared" si="35"/>
        <v/>
      </c>
      <c r="E290" s="315" t="str">
        <f t="shared" si="36"/>
        <v/>
      </c>
      <c r="F290" s="316"/>
      <c r="G290" s="317"/>
      <c r="H290" s="318"/>
      <c r="I290" s="318"/>
      <c r="J290" s="318"/>
      <c r="K290" s="319">
        <f t="shared" si="39"/>
        <v>0</v>
      </c>
      <c r="L290" s="320" t="str">
        <f t="shared" si="34"/>
        <v/>
      </c>
      <c r="T290" s="344"/>
      <c r="U290" s="345"/>
      <c r="V290" s="346"/>
    </row>
    <row r="291">
      <c r="A291" s="339"/>
      <c r="B291" s="313"/>
      <c r="C291" s="314"/>
      <c r="D291" s="315" t="str">
        <f t="shared" si="35"/>
        <v/>
      </c>
      <c r="E291" s="315" t="str">
        <f t="shared" si="36"/>
        <v/>
      </c>
      <c r="F291" s="316"/>
      <c r="G291" s="317"/>
      <c r="H291" s="318"/>
      <c r="I291" s="318"/>
      <c r="J291" s="318"/>
      <c r="K291" s="319">
        <f t="shared" si="39"/>
        <v>0</v>
      </c>
      <c r="L291" s="320" t="str">
        <f t="shared" si="34"/>
        <v/>
      </c>
      <c r="T291" s="344"/>
      <c r="U291" s="345"/>
      <c r="V291" s="346"/>
    </row>
    <row r="292">
      <c r="A292" s="339"/>
      <c r="B292" s="313"/>
      <c r="C292" s="314"/>
      <c r="D292" s="315" t="str">
        <f t="shared" si="35"/>
        <v/>
      </c>
      <c r="E292" s="315" t="str">
        <f t="shared" si="36"/>
        <v/>
      </c>
      <c r="F292" s="318"/>
      <c r="G292" s="318"/>
      <c r="H292" s="318"/>
      <c r="I292" s="318"/>
      <c r="J292" s="318"/>
      <c r="K292" s="319">
        <f t="shared" si="39"/>
        <v>0</v>
      </c>
      <c r="L292" s="320" t="str">
        <f t="shared" si="34"/>
        <v/>
      </c>
      <c r="M292" s="239"/>
      <c r="T292" s="344"/>
      <c r="U292" s="345"/>
      <c r="V292" s="346"/>
    </row>
    <row r="293">
      <c r="A293" s="339"/>
      <c r="B293" s="313"/>
      <c r="C293" s="314"/>
      <c r="D293" s="315" t="str">
        <f t="shared" si="35"/>
        <v/>
      </c>
      <c r="E293" s="315" t="str">
        <f t="shared" si="36"/>
        <v/>
      </c>
      <c r="F293" s="316"/>
      <c r="G293" s="317"/>
      <c r="H293" s="318"/>
      <c r="I293" s="318"/>
      <c r="J293" s="318"/>
      <c r="K293" s="319">
        <f t="shared" si="39"/>
        <v>0</v>
      </c>
      <c r="L293" s="320" t="str">
        <f t="shared" si="34"/>
        <v/>
      </c>
      <c r="T293" s="344"/>
      <c r="U293" s="345"/>
      <c r="V293" s="346"/>
    </row>
    <row r="294">
      <c r="A294" s="339"/>
      <c r="B294" s="313"/>
      <c r="C294" s="314"/>
      <c r="D294" s="315" t="str">
        <f t="shared" si="35"/>
        <v/>
      </c>
      <c r="E294" s="315" t="str">
        <f t="shared" si="36"/>
        <v/>
      </c>
      <c r="F294" s="316"/>
      <c r="G294" s="317"/>
      <c r="H294" s="318"/>
      <c r="I294" s="318"/>
      <c r="J294" s="318"/>
      <c r="K294" s="319">
        <f t="shared" si="39"/>
        <v>0</v>
      </c>
      <c r="L294" s="320" t="str">
        <f t="shared" si="34"/>
        <v/>
      </c>
      <c r="T294" s="344"/>
      <c r="U294" s="345"/>
      <c r="V294" s="346"/>
    </row>
    <row r="295">
      <c r="A295" s="339"/>
      <c r="B295" s="313"/>
      <c r="C295" s="314"/>
      <c r="D295" s="315" t="str">
        <f t="shared" si="35"/>
        <v/>
      </c>
      <c r="E295" s="315" t="str">
        <f t="shared" si="36"/>
        <v/>
      </c>
      <c r="F295" s="316"/>
      <c r="G295" s="317"/>
      <c r="H295" s="318"/>
      <c r="I295" s="318"/>
      <c r="J295" s="318"/>
      <c r="K295" s="319">
        <f t="shared" si="39"/>
        <v>0</v>
      </c>
      <c r="L295" s="320" t="str">
        <f t="shared" si="34"/>
        <v/>
      </c>
      <c r="T295" s="344"/>
      <c r="U295" s="345"/>
      <c r="V295" s="346"/>
    </row>
    <row r="296">
      <c r="A296" s="339"/>
      <c r="B296" s="313"/>
      <c r="C296" s="314"/>
      <c r="D296" s="315" t="str">
        <f t="shared" si="35"/>
        <v/>
      </c>
      <c r="E296" s="315" t="str">
        <f t="shared" si="36"/>
        <v/>
      </c>
      <c r="F296" s="316"/>
      <c r="G296" s="317"/>
      <c r="H296" s="318"/>
      <c r="I296" s="318"/>
      <c r="J296" s="318"/>
      <c r="K296" s="319">
        <f t="shared" si="39"/>
        <v>0</v>
      </c>
      <c r="L296" s="320" t="str">
        <f t="shared" si="34"/>
        <v/>
      </c>
      <c r="T296" s="344"/>
      <c r="U296" s="345"/>
      <c r="V296" s="346"/>
    </row>
    <row r="297">
      <c r="A297" s="339"/>
      <c r="B297" s="313"/>
      <c r="C297" s="314"/>
      <c r="D297" s="315" t="str">
        <f t="shared" si="35"/>
        <v/>
      </c>
      <c r="E297" s="315" t="str">
        <f t="shared" si="36"/>
        <v/>
      </c>
      <c r="F297" s="316"/>
      <c r="G297" s="317"/>
      <c r="H297" s="318"/>
      <c r="I297" s="318"/>
      <c r="J297" s="318"/>
      <c r="K297" s="319">
        <f t="shared" si="39"/>
        <v>0</v>
      </c>
      <c r="L297" s="320" t="str">
        <f t="shared" si="34"/>
        <v/>
      </c>
      <c r="T297" s="344"/>
      <c r="U297" s="345"/>
      <c r="V297" s="346"/>
    </row>
    <row r="298">
      <c r="A298" s="339"/>
      <c r="B298" s="313"/>
      <c r="C298" s="314"/>
      <c r="D298" s="315" t="str">
        <f t="shared" si="35"/>
        <v/>
      </c>
      <c r="E298" s="315" t="str">
        <f t="shared" si="36"/>
        <v/>
      </c>
      <c r="F298" s="316"/>
      <c r="G298" s="317"/>
      <c r="H298" s="318"/>
      <c r="I298" s="318"/>
      <c r="J298" s="318"/>
      <c r="K298" s="319">
        <f t="shared" si="39"/>
        <v>0</v>
      </c>
      <c r="L298" s="320" t="str">
        <f t="shared" si="34"/>
        <v/>
      </c>
      <c r="T298" s="344"/>
      <c r="U298" s="345"/>
      <c r="V298" s="346"/>
    </row>
    <row r="299">
      <c r="A299" s="339"/>
      <c r="B299" s="313"/>
      <c r="C299" s="314"/>
      <c r="D299" s="315" t="str">
        <f t="shared" si="35"/>
        <v/>
      </c>
      <c r="E299" s="315" t="str">
        <f t="shared" si="36"/>
        <v/>
      </c>
      <c r="F299" s="316"/>
      <c r="G299" s="317"/>
      <c r="H299" s="318"/>
      <c r="I299" s="318"/>
      <c r="J299" s="318"/>
      <c r="K299" s="319">
        <f t="shared" si="39"/>
        <v>0</v>
      </c>
      <c r="L299" s="320" t="str">
        <f t="shared" si="34"/>
        <v/>
      </c>
      <c r="T299" s="344"/>
      <c r="U299" s="345"/>
      <c r="V299" s="346"/>
    </row>
    <row r="300">
      <c r="A300" s="339"/>
      <c r="B300" s="313"/>
      <c r="C300" s="314"/>
      <c r="D300" s="315" t="str">
        <f t="shared" si="35"/>
        <v/>
      </c>
      <c r="E300" s="315" t="str">
        <f t="shared" si="36"/>
        <v/>
      </c>
      <c r="F300" s="318"/>
      <c r="G300" s="318"/>
      <c r="H300" s="318"/>
      <c r="I300" s="318"/>
      <c r="J300" s="318"/>
      <c r="K300" s="319">
        <f t="shared" si="39"/>
        <v>0</v>
      </c>
      <c r="L300" s="320" t="str">
        <f t="shared" si="34"/>
        <v/>
      </c>
      <c r="M300" s="239"/>
      <c r="T300" s="344"/>
      <c r="U300" s="345"/>
      <c r="V300" s="346"/>
    </row>
    <row r="301">
      <c r="A301" s="339"/>
      <c r="B301" s="313"/>
      <c r="C301" s="314"/>
      <c r="D301" s="315" t="str">
        <f t="shared" si="35"/>
        <v/>
      </c>
      <c r="E301" s="315" t="str">
        <f t="shared" si="36"/>
        <v/>
      </c>
      <c r="F301" s="316"/>
      <c r="G301" s="317"/>
      <c r="H301" s="318"/>
      <c r="I301" s="318"/>
      <c r="J301" s="318"/>
      <c r="K301" s="319">
        <f t="shared" si="39"/>
        <v>0</v>
      </c>
      <c r="L301" s="320" t="str">
        <f t="shared" si="34"/>
        <v/>
      </c>
      <c r="T301" s="344"/>
      <c r="U301" s="345"/>
      <c r="V301" s="346"/>
    </row>
    <row r="302">
      <c r="A302" s="339"/>
      <c r="B302" s="313"/>
      <c r="C302" s="314"/>
      <c r="D302" s="315" t="str">
        <f t="shared" si="35"/>
        <v/>
      </c>
      <c r="E302" s="315" t="str">
        <f t="shared" si="36"/>
        <v/>
      </c>
      <c r="F302" s="316"/>
      <c r="G302" s="317"/>
      <c r="H302" s="318"/>
      <c r="I302" s="318"/>
      <c r="J302" s="318"/>
      <c r="K302" s="319">
        <f t="shared" si="39"/>
        <v>0</v>
      </c>
      <c r="L302" s="320" t="str">
        <f t="shared" si="34"/>
        <v/>
      </c>
      <c r="T302" s="344"/>
      <c r="U302" s="345"/>
      <c r="V302" s="346"/>
    </row>
    <row r="303">
      <c r="A303" s="339"/>
      <c r="B303" s="313"/>
      <c r="C303" s="314"/>
      <c r="D303" s="315" t="str">
        <f t="shared" si="35"/>
        <v/>
      </c>
      <c r="E303" s="315" t="str">
        <f t="shared" si="36"/>
        <v/>
      </c>
      <c r="F303" s="316"/>
      <c r="G303" s="317"/>
      <c r="H303" s="318"/>
      <c r="I303" s="318"/>
      <c r="J303" s="318"/>
      <c r="K303" s="319">
        <f t="shared" si="39"/>
        <v>0</v>
      </c>
      <c r="L303" s="320" t="str">
        <f t="shared" si="34"/>
        <v/>
      </c>
      <c r="T303" s="344"/>
      <c r="U303" s="345"/>
      <c r="V303" s="346"/>
    </row>
    <row r="304">
      <c r="A304" s="339"/>
      <c r="B304" s="313"/>
      <c r="C304" s="314"/>
      <c r="D304" s="315" t="str">
        <f t="shared" si="35"/>
        <v/>
      </c>
      <c r="E304" s="315" t="str">
        <f t="shared" si="36"/>
        <v/>
      </c>
      <c r="F304" s="316"/>
      <c r="G304" s="317"/>
      <c r="H304" s="318"/>
      <c r="I304" s="318"/>
      <c r="J304" s="318"/>
      <c r="K304" s="319">
        <f t="shared" si="39"/>
        <v>0</v>
      </c>
      <c r="L304" s="320" t="str">
        <f t="shared" si="34"/>
        <v/>
      </c>
      <c r="T304" s="344"/>
      <c r="U304" s="345"/>
      <c r="V304" s="346"/>
    </row>
    <row r="305">
      <c r="A305" s="339"/>
      <c r="B305" s="313"/>
      <c r="C305" s="314"/>
      <c r="D305" s="315" t="str">
        <f t="shared" si="35"/>
        <v/>
      </c>
      <c r="E305" s="315" t="str">
        <f t="shared" si="36"/>
        <v/>
      </c>
      <c r="F305" s="316"/>
      <c r="G305" s="317"/>
      <c r="H305" s="318"/>
      <c r="I305" s="318"/>
      <c r="J305" s="318"/>
      <c r="K305" s="319">
        <f t="shared" si="39"/>
        <v>0</v>
      </c>
      <c r="L305" s="320" t="str">
        <f t="shared" si="34"/>
        <v/>
      </c>
      <c r="T305" s="344"/>
      <c r="U305" s="345"/>
      <c r="V305" s="346"/>
    </row>
    <row r="306">
      <c r="A306" s="339"/>
      <c r="B306" s="313"/>
      <c r="C306" s="314"/>
      <c r="D306" s="315" t="str">
        <f t="shared" si="35"/>
        <v/>
      </c>
      <c r="E306" s="315" t="str">
        <f t="shared" si="36"/>
        <v/>
      </c>
      <c r="F306" s="316"/>
      <c r="G306" s="316"/>
      <c r="H306" s="318"/>
      <c r="I306" s="318"/>
      <c r="J306" s="318"/>
      <c r="K306" s="319">
        <f t="shared" si="39"/>
        <v>0</v>
      </c>
      <c r="L306" s="320" t="str">
        <f t="shared" si="34"/>
        <v/>
      </c>
      <c r="M306" s="239">
        <f>K306-L306</f>
        <v>0</v>
      </c>
      <c r="T306" s="344"/>
      <c r="U306" s="345"/>
      <c r="V306" s="346"/>
    </row>
    <row r="307">
      <c r="A307" s="339"/>
      <c r="B307" s="313"/>
      <c r="C307" s="314"/>
      <c r="D307" s="315" t="str">
        <f t="shared" si="35"/>
        <v/>
      </c>
      <c r="E307" s="315" t="str">
        <f t="shared" si="36"/>
        <v/>
      </c>
      <c r="F307" s="316"/>
      <c r="G307" s="317"/>
      <c r="H307" s="318"/>
      <c r="I307" s="318"/>
      <c r="J307" s="318"/>
      <c r="K307" s="319">
        <f t="shared" si="39"/>
        <v>0</v>
      </c>
      <c r="L307" s="320" t="str">
        <f t="shared" si="34"/>
        <v/>
      </c>
      <c r="T307" s="344"/>
      <c r="U307" s="345"/>
      <c r="V307" s="346"/>
    </row>
    <row r="308">
      <c r="A308" s="339"/>
      <c r="B308" s="313"/>
      <c r="C308" s="314"/>
      <c r="D308" s="315" t="str">
        <f t="shared" si="35"/>
        <v/>
      </c>
      <c r="E308" s="315" t="str">
        <f t="shared" si="36"/>
        <v/>
      </c>
      <c r="F308" s="316"/>
      <c r="G308" s="317"/>
      <c r="H308" s="318"/>
      <c r="I308" s="318"/>
      <c r="J308" s="318"/>
      <c r="K308" s="319">
        <f t="shared" si="39"/>
        <v>0</v>
      </c>
      <c r="L308" s="320" t="str">
        <f t="shared" si="34"/>
        <v/>
      </c>
      <c r="T308" s="344"/>
      <c r="U308" s="345"/>
      <c r="V308" s="346"/>
    </row>
    <row r="309">
      <c r="A309" s="339"/>
      <c r="B309" s="313"/>
      <c r="C309" s="314"/>
      <c r="D309" s="315" t="str">
        <f t="shared" si="35"/>
        <v/>
      </c>
      <c r="E309" s="315" t="str">
        <f t="shared" si="36"/>
        <v/>
      </c>
      <c r="F309" s="316"/>
      <c r="G309" s="317"/>
      <c r="H309" s="318"/>
      <c r="I309" s="318"/>
      <c r="J309" s="318"/>
      <c r="K309" s="319">
        <f t="shared" si="39"/>
        <v>0</v>
      </c>
      <c r="L309" s="320" t="str">
        <f t="shared" si="34"/>
        <v/>
      </c>
      <c r="T309" s="344"/>
      <c r="U309" s="345"/>
      <c r="V309" s="346"/>
    </row>
    <row r="310">
      <c r="A310" s="339"/>
      <c r="B310" s="313"/>
      <c r="C310" s="314"/>
      <c r="D310" s="315" t="str">
        <f t="shared" si="35"/>
        <v/>
      </c>
      <c r="E310" s="315" t="str">
        <f t="shared" si="36"/>
        <v/>
      </c>
      <c r="F310" s="318"/>
      <c r="G310" s="318"/>
      <c r="H310" s="318"/>
      <c r="I310" s="318"/>
      <c r="J310" s="318"/>
      <c r="K310" s="319">
        <f t="shared" si="39"/>
        <v>0</v>
      </c>
      <c r="L310" s="320" t="str">
        <f t="shared" si="34"/>
        <v/>
      </c>
      <c r="M310" s="239"/>
      <c r="T310" s="344"/>
      <c r="U310" s="345"/>
      <c r="V310" s="346"/>
    </row>
    <row r="311">
      <c r="A311" s="339"/>
      <c r="B311" s="313"/>
      <c r="C311" s="314"/>
      <c r="D311" s="315" t="str">
        <f t="shared" si="35"/>
        <v/>
      </c>
      <c r="E311" s="315" t="str">
        <f t="shared" si="36"/>
        <v/>
      </c>
      <c r="F311" s="316"/>
      <c r="G311" s="317"/>
      <c r="H311" s="318"/>
      <c r="I311" s="318"/>
      <c r="J311" s="318"/>
      <c r="K311" s="319">
        <f t="shared" si="39"/>
        <v>0</v>
      </c>
      <c r="L311" s="320" t="str">
        <f t="shared" si="34"/>
        <v/>
      </c>
      <c r="T311" s="344"/>
      <c r="U311" s="345"/>
      <c r="V311" s="346"/>
    </row>
    <row r="312">
      <c r="A312" s="339"/>
      <c r="B312" s="313"/>
      <c r="C312" s="314"/>
      <c r="D312" s="315" t="str">
        <f t="shared" si="35"/>
        <v/>
      </c>
      <c r="E312" s="315" t="str">
        <f t="shared" si="36"/>
        <v/>
      </c>
      <c r="F312" s="316"/>
      <c r="G312" s="317"/>
      <c r="H312" s="318"/>
      <c r="I312" s="318"/>
      <c r="J312" s="318"/>
      <c r="K312" s="319">
        <f t="shared" si="39"/>
        <v>0</v>
      </c>
      <c r="L312" s="320" t="str">
        <f t="shared" si="34"/>
        <v/>
      </c>
      <c r="T312" s="344"/>
      <c r="U312" s="345"/>
      <c r="V312" s="346"/>
    </row>
    <row r="313">
      <c r="A313" s="339"/>
      <c r="B313" s="313"/>
      <c r="C313" s="314"/>
      <c r="D313" s="315" t="str">
        <f t="shared" si="35"/>
        <v/>
      </c>
      <c r="E313" s="315" t="str">
        <f t="shared" si="36"/>
        <v/>
      </c>
      <c r="F313" s="316"/>
      <c r="G313" s="317"/>
      <c r="H313" s="318"/>
      <c r="I313" s="318"/>
      <c r="J313" s="318"/>
      <c r="K313" s="319">
        <f t="shared" si="39"/>
        <v>0</v>
      </c>
      <c r="L313" s="320" t="str">
        <f t="shared" si="34"/>
        <v/>
      </c>
      <c r="T313" s="344"/>
      <c r="U313" s="345"/>
      <c r="V313" s="346"/>
    </row>
    <row r="314">
      <c r="A314" s="339"/>
      <c r="B314" s="313"/>
      <c r="C314" s="314"/>
      <c r="D314" s="315" t="str">
        <f t="shared" si="35"/>
        <v/>
      </c>
      <c r="E314" s="315" t="str">
        <f t="shared" si="36"/>
        <v/>
      </c>
      <c r="F314" s="316"/>
      <c r="G314" s="317"/>
      <c r="H314" s="318"/>
      <c r="I314" s="318"/>
      <c r="J314" s="318"/>
      <c r="K314" s="319">
        <f t="shared" si="39"/>
        <v>0</v>
      </c>
      <c r="L314" s="320" t="str">
        <f t="shared" si="34"/>
        <v/>
      </c>
      <c r="T314" s="344"/>
      <c r="U314" s="345"/>
      <c r="V314" s="346"/>
    </row>
    <row r="315">
      <c r="A315" s="339"/>
      <c r="B315" s="313"/>
      <c r="C315" s="314"/>
      <c r="D315" s="315" t="str">
        <f t="shared" si="35"/>
        <v/>
      </c>
      <c r="E315" s="315" t="str">
        <f t="shared" si="36"/>
        <v/>
      </c>
      <c r="F315" s="316"/>
      <c r="G315" s="316"/>
      <c r="H315" s="318"/>
      <c r="I315" s="318"/>
      <c r="J315" s="318"/>
      <c r="K315" s="319">
        <f t="shared" si="39"/>
        <v>0</v>
      </c>
      <c r="L315" s="320" t="str">
        <f t="shared" si="34"/>
        <v/>
      </c>
      <c r="M315" s="239"/>
      <c r="T315" s="344"/>
      <c r="U315" s="345"/>
      <c r="V315" s="346"/>
    </row>
    <row r="316">
      <c r="A316" s="339"/>
      <c r="B316" s="313"/>
      <c r="C316" s="314"/>
      <c r="D316" s="315" t="str">
        <f t="shared" si="35"/>
        <v/>
      </c>
      <c r="E316" s="315" t="str">
        <f t="shared" si="36"/>
        <v/>
      </c>
      <c r="F316" s="316"/>
      <c r="G316" s="317"/>
      <c r="H316" s="318"/>
      <c r="I316" s="318"/>
      <c r="J316" s="318"/>
      <c r="K316" s="319">
        <f t="shared" si="39"/>
        <v>0</v>
      </c>
      <c r="L316" s="320" t="str">
        <f t="shared" si="34"/>
        <v/>
      </c>
      <c r="T316" s="344"/>
      <c r="U316" s="345"/>
      <c r="V316" s="346"/>
    </row>
    <row r="317">
      <c r="A317" s="339"/>
      <c r="B317" s="313"/>
      <c r="C317" s="314"/>
      <c r="D317" s="315" t="str">
        <f t="shared" si="35"/>
        <v/>
      </c>
      <c r="E317" s="315" t="str">
        <f t="shared" si="36"/>
        <v/>
      </c>
      <c r="F317" s="316"/>
      <c r="G317" s="317"/>
      <c r="H317" s="318"/>
      <c r="I317" s="318"/>
      <c r="J317" s="318"/>
      <c r="K317" s="319">
        <f t="shared" si="39"/>
        <v>0</v>
      </c>
      <c r="L317" s="320" t="str">
        <f t="shared" si="34"/>
        <v/>
      </c>
      <c r="T317" s="344"/>
      <c r="U317" s="345"/>
      <c r="V317" s="346"/>
    </row>
    <row r="318">
      <c r="A318" s="339"/>
      <c r="B318" s="313"/>
      <c r="C318" s="314"/>
      <c r="D318" s="315" t="str">
        <f t="shared" si="35"/>
        <v/>
      </c>
      <c r="E318" s="315" t="str">
        <f t="shared" si="36"/>
        <v/>
      </c>
      <c r="F318" s="316"/>
      <c r="G318" s="317"/>
      <c r="H318" s="318"/>
      <c r="I318" s="318"/>
      <c r="J318" s="318"/>
      <c r="K318" s="319">
        <f t="shared" si="39"/>
        <v>0</v>
      </c>
      <c r="L318" s="320" t="str">
        <f t="shared" si="34"/>
        <v/>
      </c>
      <c r="T318" s="344"/>
      <c r="U318" s="345"/>
      <c r="V318" s="346"/>
    </row>
    <row r="319">
      <c r="A319" s="339"/>
      <c r="B319" s="313"/>
      <c r="C319" s="314"/>
      <c r="D319" s="315" t="str">
        <f t="shared" si="35"/>
        <v/>
      </c>
      <c r="E319" s="315" t="str">
        <f t="shared" si="36"/>
        <v/>
      </c>
      <c r="F319" s="316"/>
      <c r="G319" s="317"/>
      <c r="H319" s="318"/>
      <c r="I319" s="318"/>
      <c r="J319" s="318"/>
      <c r="K319" s="319">
        <f t="shared" si="39"/>
        <v>0</v>
      </c>
      <c r="L319" s="320" t="str">
        <f t="shared" si="34"/>
        <v/>
      </c>
      <c r="T319" s="344"/>
      <c r="U319" s="345"/>
      <c r="V319" s="346"/>
    </row>
    <row r="320">
      <c r="A320" s="339"/>
      <c r="B320" s="313"/>
      <c r="C320" s="314"/>
      <c r="D320" s="315" t="str">
        <f t="shared" si="35"/>
        <v/>
      </c>
      <c r="E320" s="315" t="str">
        <f t="shared" si="36"/>
        <v/>
      </c>
      <c r="F320" s="337"/>
      <c r="G320" s="337"/>
      <c r="H320" s="337"/>
      <c r="I320" s="337"/>
      <c r="J320" s="337"/>
      <c r="K320" s="319">
        <f t="shared" si="39"/>
        <v>0</v>
      </c>
      <c r="L320" s="320" t="str">
        <f t="shared" si="34"/>
        <v/>
      </c>
      <c r="M320" s="239"/>
      <c r="T320" s="344"/>
      <c r="U320" s="345"/>
      <c r="V320" s="346"/>
    </row>
    <row r="321">
      <c r="A321" s="339"/>
      <c r="B321" s="313"/>
      <c r="C321" s="314"/>
      <c r="D321" s="315" t="str">
        <f t="shared" si="35"/>
        <v/>
      </c>
      <c r="E321" s="315" t="str">
        <f t="shared" si="36"/>
        <v/>
      </c>
      <c r="F321" s="316"/>
      <c r="G321" s="317"/>
      <c r="H321" s="318"/>
      <c r="I321" s="318"/>
      <c r="J321" s="318"/>
      <c r="K321" s="319">
        <f t="shared" si="39"/>
        <v>0</v>
      </c>
      <c r="L321" s="320" t="str">
        <f t="shared" si="34"/>
        <v/>
      </c>
      <c r="T321" s="344"/>
      <c r="U321" s="345"/>
      <c r="V321" s="346"/>
    </row>
    <row r="322">
      <c r="A322" s="339"/>
      <c r="B322" s="313"/>
      <c r="C322" s="314"/>
      <c r="D322" s="315" t="str">
        <f t="shared" si="35"/>
        <v/>
      </c>
      <c r="E322" s="315" t="str">
        <f t="shared" si="36"/>
        <v/>
      </c>
      <c r="F322" s="316"/>
      <c r="G322" s="317"/>
      <c r="H322" s="318"/>
      <c r="I322" s="318"/>
      <c r="J322" s="318"/>
      <c r="K322" s="319">
        <f t="shared" si="39"/>
        <v>0</v>
      </c>
      <c r="L322" s="320" t="str">
        <f t="shared" si="34"/>
        <v/>
      </c>
      <c r="T322" s="344"/>
      <c r="U322" s="345"/>
      <c r="V322" s="346"/>
    </row>
    <row r="323">
      <c r="A323" s="339"/>
      <c r="B323" s="313"/>
      <c r="C323" s="314"/>
      <c r="D323" s="315" t="str">
        <f t="shared" si="35"/>
        <v/>
      </c>
      <c r="E323" s="315" t="str">
        <f t="shared" si="36"/>
        <v/>
      </c>
      <c r="F323" s="316"/>
      <c r="G323" s="317"/>
      <c r="H323" s="318"/>
      <c r="I323" s="318"/>
      <c r="J323" s="318"/>
      <c r="K323" s="319">
        <f t="shared" si="39"/>
        <v>0</v>
      </c>
      <c r="L323" s="320" t="str">
        <f t="shared" si="34"/>
        <v/>
      </c>
      <c r="T323" s="344"/>
      <c r="U323" s="345"/>
      <c r="V323" s="346"/>
    </row>
    <row r="324">
      <c r="A324" s="339"/>
      <c r="B324" s="313"/>
      <c r="C324" s="314"/>
      <c r="D324" s="315" t="str">
        <f t="shared" si="35"/>
        <v/>
      </c>
      <c r="E324" s="315" t="str">
        <f t="shared" si="36"/>
        <v/>
      </c>
      <c r="F324" s="318"/>
      <c r="G324" s="318"/>
      <c r="H324" s="318"/>
      <c r="I324" s="318"/>
      <c r="J324" s="318"/>
      <c r="K324" s="319">
        <f t="shared" si="39"/>
        <v>0</v>
      </c>
      <c r="L324" s="320" t="str">
        <f t="shared" si="34"/>
        <v/>
      </c>
      <c r="M324" s="239"/>
      <c r="T324" s="344"/>
      <c r="U324" s="345"/>
      <c r="V324" s="346"/>
    </row>
    <row r="325">
      <c r="A325" s="339"/>
      <c r="B325" s="313"/>
      <c r="C325" s="314"/>
      <c r="D325" s="315" t="str">
        <f t="shared" si="35"/>
        <v/>
      </c>
      <c r="E325" s="315" t="str">
        <f t="shared" si="36"/>
        <v/>
      </c>
      <c r="F325" s="316"/>
      <c r="G325" s="317"/>
      <c r="H325" s="318"/>
      <c r="I325" s="318"/>
      <c r="J325" s="318"/>
      <c r="K325" s="319">
        <f t="shared" si="39"/>
        <v>0</v>
      </c>
      <c r="L325" s="320" t="str">
        <f t="shared" si="34"/>
        <v/>
      </c>
      <c r="T325" s="344"/>
      <c r="U325" s="345"/>
      <c r="V325" s="346"/>
    </row>
    <row r="326">
      <c r="A326" s="339"/>
      <c r="B326" s="313"/>
      <c r="C326" s="314"/>
      <c r="D326" s="315" t="str">
        <f t="shared" si="35"/>
        <v/>
      </c>
      <c r="E326" s="315" t="str">
        <f t="shared" si="36"/>
        <v/>
      </c>
      <c r="F326" s="316"/>
      <c r="G326" s="317"/>
      <c r="H326" s="318"/>
      <c r="I326" s="318"/>
      <c r="J326" s="318"/>
      <c r="K326" s="319">
        <f t="shared" si="39"/>
        <v>0</v>
      </c>
      <c r="L326" s="320" t="str">
        <f t="shared" si="34"/>
        <v/>
      </c>
      <c r="T326" s="344"/>
      <c r="U326" s="345"/>
      <c r="V326" s="346"/>
    </row>
    <row r="327">
      <c r="A327" s="339"/>
      <c r="B327" s="313"/>
      <c r="C327" s="314"/>
      <c r="D327" s="315" t="str">
        <f t="shared" si="35"/>
        <v/>
      </c>
      <c r="E327" s="315" t="str">
        <f t="shared" si="36"/>
        <v/>
      </c>
      <c r="F327" s="316"/>
      <c r="G327" s="317"/>
      <c r="H327" s="318"/>
      <c r="I327" s="318"/>
      <c r="J327" s="318"/>
      <c r="K327" s="319">
        <f t="shared" si="39"/>
        <v>0</v>
      </c>
      <c r="L327" s="320" t="str">
        <f t="shared" si="34"/>
        <v/>
      </c>
      <c r="T327" s="344"/>
      <c r="U327" s="345"/>
      <c r="V327" s="346"/>
    </row>
    <row r="328">
      <c r="A328" s="339"/>
      <c r="B328" s="313"/>
      <c r="C328" s="314"/>
      <c r="D328" s="315" t="str">
        <f t="shared" si="35"/>
        <v/>
      </c>
      <c r="E328" s="315" t="str">
        <f t="shared" si="36"/>
        <v/>
      </c>
      <c r="F328" s="316"/>
      <c r="G328" s="316"/>
      <c r="H328" s="318"/>
      <c r="I328" s="318"/>
      <c r="J328" s="318"/>
      <c r="K328" s="319">
        <f t="shared" si="39"/>
        <v>0</v>
      </c>
      <c r="L328" s="320" t="str">
        <f t="shared" si="34"/>
        <v/>
      </c>
      <c r="M328" s="341">
        <f>K328-L328</f>
        <v>0</v>
      </c>
      <c r="T328" s="344"/>
      <c r="U328" s="345"/>
      <c r="V328" s="346"/>
    </row>
    <row r="329">
      <c r="A329" s="339"/>
      <c r="B329" s="313"/>
      <c r="C329" s="314"/>
      <c r="D329" s="315" t="str">
        <f t="shared" si="35"/>
        <v/>
      </c>
      <c r="E329" s="315" t="str">
        <f t="shared" si="36"/>
        <v/>
      </c>
      <c r="F329" s="318"/>
      <c r="G329" s="318"/>
      <c r="H329" s="318"/>
      <c r="I329" s="318"/>
      <c r="J329" s="318"/>
      <c r="K329" s="319">
        <f t="shared" si="39"/>
        <v>0</v>
      </c>
      <c r="L329" s="320" t="str">
        <f t="shared" si="34"/>
        <v/>
      </c>
      <c r="M329" s="239"/>
      <c r="T329" s="344"/>
      <c r="U329" s="345"/>
      <c r="V329" s="346"/>
    </row>
    <row r="330">
      <c r="A330" s="339"/>
      <c r="B330" s="313"/>
      <c r="C330" s="314"/>
      <c r="D330" s="315" t="str">
        <f t="shared" si="35"/>
        <v/>
      </c>
      <c r="E330" s="315" t="str">
        <f t="shared" si="36"/>
        <v/>
      </c>
      <c r="F330" s="316"/>
      <c r="G330" s="317"/>
      <c r="H330" s="318"/>
      <c r="I330" s="318"/>
      <c r="J330" s="318"/>
      <c r="K330" s="319">
        <f t="shared" si="39"/>
        <v>0</v>
      </c>
      <c r="L330" s="320" t="str">
        <f t="shared" si="34"/>
        <v/>
      </c>
      <c r="T330" s="344"/>
      <c r="U330" s="345"/>
      <c r="V330" s="346"/>
    </row>
    <row r="331">
      <c r="A331" s="339"/>
      <c r="B331" s="313"/>
      <c r="C331" s="314"/>
      <c r="D331" s="315" t="str">
        <f t="shared" si="35"/>
        <v/>
      </c>
      <c r="E331" s="315" t="str">
        <f t="shared" si="36"/>
        <v/>
      </c>
      <c r="F331" s="316"/>
      <c r="G331" s="317"/>
      <c r="H331" s="318"/>
      <c r="I331" s="318"/>
      <c r="J331" s="318"/>
      <c r="K331" s="319">
        <f t="shared" si="39"/>
        <v>0</v>
      </c>
      <c r="L331" s="320" t="str">
        <f t="shared" si="34"/>
        <v/>
      </c>
      <c r="T331" s="344"/>
      <c r="U331" s="345"/>
      <c r="V331" s="346"/>
    </row>
    <row r="332">
      <c r="A332" s="339"/>
      <c r="B332" s="313"/>
      <c r="C332" s="314"/>
      <c r="D332" s="315" t="str">
        <f t="shared" si="35"/>
        <v/>
      </c>
      <c r="E332" s="315" t="str">
        <f t="shared" si="36"/>
        <v/>
      </c>
      <c r="F332" s="316"/>
      <c r="G332" s="317"/>
      <c r="H332" s="318"/>
      <c r="I332" s="318"/>
      <c r="J332" s="318"/>
      <c r="K332" s="319">
        <f t="shared" si="39"/>
        <v>0</v>
      </c>
      <c r="L332" s="320" t="str">
        <f t="shared" si="34"/>
        <v/>
      </c>
      <c r="T332" s="344"/>
      <c r="U332" s="345"/>
      <c r="V332" s="346"/>
    </row>
    <row r="333">
      <c r="A333" s="339"/>
      <c r="B333" s="313"/>
      <c r="C333" s="314"/>
      <c r="D333" s="315" t="str">
        <f t="shared" si="35"/>
        <v/>
      </c>
      <c r="E333" s="315" t="str">
        <f t="shared" si="36"/>
        <v/>
      </c>
      <c r="F333" s="316"/>
      <c r="G333" s="317"/>
      <c r="H333" s="318"/>
      <c r="I333" s="318"/>
      <c r="J333" s="318"/>
      <c r="K333" s="319">
        <f t="shared" si="39"/>
        <v>0</v>
      </c>
      <c r="L333" s="320" t="str">
        <f t="shared" si="34"/>
        <v/>
      </c>
      <c r="T333" s="344"/>
      <c r="U333" s="345"/>
      <c r="V333" s="346"/>
    </row>
    <row r="334">
      <c r="A334" s="339"/>
      <c r="B334" s="313"/>
      <c r="C334" s="314"/>
      <c r="D334" s="315" t="str">
        <f t="shared" si="35"/>
        <v/>
      </c>
      <c r="E334" s="315" t="str">
        <f t="shared" si="36"/>
        <v/>
      </c>
      <c r="F334" s="316"/>
      <c r="G334" s="317"/>
      <c r="H334" s="318"/>
      <c r="I334" s="318"/>
      <c r="J334" s="318"/>
      <c r="K334" s="319">
        <f t="shared" si="39"/>
        <v>0</v>
      </c>
      <c r="L334" s="320" t="str">
        <f t="shared" si="34"/>
        <v/>
      </c>
      <c r="T334" s="344"/>
      <c r="U334" s="345"/>
      <c r="V334" s="346"/>
    </row>
    <row r="335">
      <c r="A335" s="339"/>
      <c r="B335" s="313"/>
      <c r="C335" s="314"/>
      <c r="D335" s="315" t="str">
        <f t="shared" si="35"/>
        <v/>
      </c>
      <c r="E335" s="315" t="str">
        <f t="shared" si="36"/>
        <v/>
      </c>
      <c r="F335" s="316"/>
      <c r="G335" s="317"/>
      <c r="H335" s="318"/>
      <c r="I335" s="318"/>
      <c r="J335" s="318"/>
      <c r="K335" s="319">
        <f t="shared" si="39"/>
        <v>0</v>
      </c>
      <c r="L335" s="320" t="str">
        <f t="shared" si="34"/>
        <v/>
      </c>
      <c r="T335" s="344"/>
      <c r="U335" s="345"/>
      <c r="V335" s="346"/>
    </row>
    <row r="336">
      <c r="A336" s="339"/>
      <c r="B336" s="313"/>
      <c r="C336" s="314"/>
      <c r="D336" s="315" t="str">
        <f t="shared" si="35"/>
        <v/>
      </c>
      <c r="E336" s="315" t="str">
        <f t="shared" si="36"/>
        <v/>
      </c>
      <c r="F336" s="316"/>
      <c r="G336" s="317"/>
      <c r="H336" s="318"/>
      <c r="I336" s="318"/>
      <c r="J336" s="318"/>
      <c r="K336" s="319">
        <f t="shared" si="39"/>
        <v>0</v>
      </c>
      <c r="L336" s="320" t="str">
        <f t="shared" si="34"/>
        <v/>
      </c>
      <c r="T336" s="344"/>
      <c r="U336" s="345"/>
      <c r="V336" s="346"/>
    </row>
    <row r="337">
      <c r="A337" s="339"/>
      <c r="B337" s="313"/>
      <c r="C337" s="314"/>
      <c r="D337" s="315" t="str">
        <f t="shared" si="35"/>
        <v/>
      </c>
      <c r="E337" s="315" t="str">
        <f t="shared" si="36"/>
        <v/>
      </c>
      <c r="F337" s="316"/>
      <c r="G337" s="317"/>
      <c r="H337" s="318"/>
      <c r="I337" s="318"/>
      <c r="J337" s="318"/>
      <c r="K337" s="319">
        <f t="shared" si="39"/>
        <v>0</v>
      </c>
      <c r="L337" s="320" t="str">
        <f t="shared" si="34"/>
        <v/>
      </c>
      <c r="T337" s="344"/>
      <c r="U337" s="345"/>
      <c r="V337" s="346"/>
    </row>
    <row r="338">
      <c r="A338" s="339"/>
      <c r="B338" s="313"/>
      <c r="C338" s="314"/>
      <c r="D338" s="315" t="str">
        <f t="shared" si="35"/>
        <v/>
      </c>
      <c r="E338" s="315" t="str">
        <f t="shared" si="36"/>
        <v/>
      </c>
      <c r="F338" s="316"/>
      <c r="G338" s="317"/>
      <c r="H338" s="318"/>
      <c r="I338" s="318"/>
      <c r="J338" s="318"/>
      <c r="K338" s="319">
        <f t="shared" si="39"/>
        <v>0</v>
      </c>
      <c r="L338" s="320" t="str">
        <f t="shared" si="34"/>
        <v/>
      </c>
      <c r="T338" s="344"/>
      <c r="U338" s="345"/>
      <c r="V338" s="346"/>
    </row>
    <row r="339">
      <c r="A339" s="339"/>
      <c r="B339" s="313"/>
      <c r="C339" s="314"/>
      <c r="D339" s="315" t="str">
        <f t="shared" si="35"/>
        <v/>
      </c>
      <c r="E339" s="315" t="str">
        <f t="shared" si="36"/>
        <v/>
      </c>
      <c r="F339" s="316"/>
      <c r="G339" s="317"/>
      <c r="H339" s="318"/>
      <c r="I339" s="318"/>
      <c r="J339" s="318"/>
      <c r="K339" s="319">
        <f t="shared" si="39"/>
        <v>0</v>
      </c>
      <c r="L339" s="320" t="str">
        <f t="shared" si="34"/>
        <v/>
      </c>
      <c r="T339" s="344"/>
      <c r="U339" s="345"/>
      <c r="V339" s="346"/>
    </row>
    <row r="340">
      <c r="A340" s="339"/>
      <c r="B340" s="313"/>
      <c r="C340" s="314"/>
      <c r="D340" s="315" t="str">
        <f t="shared" si="35"/>
        <v/>
      </c>
      <c r="E340" s="315" t="str">
        <f t="shared" si="36"/>
        <v/>
      </c>
      <c r="F340" s="316"/>
      <c r="G340" s="317"/>
      <c r="H340" s="318"/>
      <c r="I340" s="318"/>
      <c r="J340" s="318"/>
      <c r="K340" s="319">
        <f t="shared" si="39"/>
        <v>0</v>
      </c>
      <c r="L340" s="320" t="str">
        <f t="shared" si="34"/>
        <v/>
      </c>
      <c r="T340" s="344"/>
      <c r="U340" s="345"/>
      <c r="V340" s="346"/>
    </row>
    <row r="341">
      <c r="A341" s="339"/>
      <c r="B341" s="313"/>
      <c r="C341" s="314"/>
      <c r="D341" s="315" t="str">
        <f t="shared" si="35"/>
        <v/>
      </c>
      <c r="E341" s="315" t="str">
        <f t="shared" si="36"/>
        <v/>
      </c>
      <c r="F341" s="316"/>
      <c r="G341" s="317"/>
      <c r="H341" s="318"/>
      <c r="I341" s="318"/>
      <c r="J341" s="318"/>
      <c r="K341" s="319">
        <f t="shared" si="39"/>
        <v>0</v>
      </c>
      <c r="L341" s="320" t="str">
        <f t="shared" si="34"/>
        <v/>
      </c>
      <c r="T341" s="344"/>
      <c r="U341" s="345"/>
      <c r="V341" s="346"/>
    </row>
    <row r="342">
      <c r="A342" s="339"/>
      <c r="B342" s="313"/>
      <c r="C342" s="314"/>
      <c r="D342" s="315" t="str">
        <f t="shared" si="35"/>
        <v/>
      </c>
      <c r="E342" s="315" t="str">
        <f t="shared" si="36"/>
        <v/>
      </c>
      <c r="F342" s="316"/>
      <c r="G342" s="317"/>
      <c r="H342" s="318"/>
      <c r="I342" s="318"/>
      <c r="J342" s="318"/>
      <c r="K342" s="319">
        <f t="shared" si="39"/>
        <v>0</v>
      </c>
      <c r="L342" s="320" t="str">
        <f t="shared" si="34"/>
        <v/>
      </c>
      <c r="T342" s="344"/>
      <c r="U342" s="345"/>
      <c r="V342" s="346"/>
    </row>
    <row r="343">
      <c r="A343" s="339"/>
      <c r="B343" s="313"/>
      <c r="C343" s="314"/>
      <c r="D343" s="315" t="str">
        <f t="shared" si="35"/>
        <v/>
      </c>
      <c r="E343" s="315" t="str">
        <f t="shared" si="36"/>
        <v/>
      </c>
      <c r="F343" s="316"/>
      <c r="G343" s="317"/>
      <c r="H343" s="318"/>
      <c r="I343" s="318"/>
      <c r="J343" s="318"/>
      <c r="K343" s="319">
        <f t="shared" si="39"/>
        <v>0</v>
      </c>
      <c r="L343" s="320" t="str">
        <f t="shared" si="34"/>
        <v/>
      </c>
      <c r="T343" s="344"/>
      <c r="U343" s="345"/>
      <c r="V343" s="346"/>
    </row>
    <row r="344">
      <c r="A344" s="339"/>
      <c r="B344" s="313"/>
      <c r="C344" s="314"/>
      <c r="D344" s="315" t="str">
        <f t="shared" si="35"/>
        <v/>
      </c>
      <c r="E344" s="315" t="str">
        <f t="shared" si="36"/>
        <v/>
      </c>
      <c r="F344" s="316"/>
      <c r="G344" s="317"/>
      <c r="H344" s="318"/>
      <c r="I344" s="318"/>
      <c r="J344" s="318"/>
      <c r="K344" s="319">
        <f t="shared" si="39"/>
        <v>0</v>
      </c>
      <c r="L344" s="320" t="str">
        <f t="shared" si="34"/>
        <v/>
      </c>
      <c r="T344" s="344"/>
      <c r="U344" s="345"/>
      <c r="V344" s="346"/>
    </row>
    <row r="345">
      <c r="A345" s="339"/>
      <c r="B345" s="313"/>
      <c r="C345" s="314"/>
      <c r="D345" s="315" t="str">
        <f t="shared" si="35"/>
        <v/>
      </c>
      <c r="E345" s="315" t="str">
        <f t="shared" si="36"/>
        <v/>
      </c>
      <c r="F345" s="316"/>
      <c r="G345" s="317"/>
      <c r="H345" s="318"/>
      <c r="I345" s="318"/>
      <c r="J345" s="318"/>
      <c r="K345" s="319">
        <f t="shared" si="39"/>
        <v>0</v>
      </c>
      <c r="L345" s="320" t="str">
        <f t="shared" si="34"/>
        <v/>
      </c>
      <c r="T345" s="344"/>
      <c r="U345" s="345"/>
      <c r="V345" s="346"/>
    </row>
    <row r="346">
      <c r="A346" s="339"/>
      <c r="B346" s="313"/>
      <c r="C346" s="314"/>
      <c r="D346" s="315" t="str">
        <f t="shared" si="35"/>
        <v/>
      </c>
      <c r="E346" s="315" t="str">
        <f t="shared" si="36"/>
        <v/>
      </c>
      <c r="F346" s="316"/>
      <c r="G346" s="317"/>
      <c r="H346" s="318"/>
      <c r="I346" s="318"/>
      <c r="J346" s="318"/>
      <c r="K346" s="319">
        <f t="shared" si="39"/>
        <v>0</v>
      </c>
      <c r="L346" s="320" t="str">
        <f t="shared" si="34"/>
        <v/>
      </c>
      <c r="T346" s="344"/>
      <c r="U346" s="345"/>
      <c r="V346" s="346"/>
    </row>
    <row r="347">
      <c r="A347" s="339"/>
      <c r="B347" s="313"/>
      <c r="C347" s="314"/>
      <c r="D347" s="315" t="str">
        <f t="shared" si="35"/>
        <v/>
      </c>
      <c r="E347" s="315" t="str">
        <f t="shared" si="36"/>
        <v/>
      </c>
      <c r="F347" s="316"/>
      <c r="G347" s="317"/>
      <c r="H347" s="318"/>
      <c r="I347" s="318"/>
      <c r="J347" s="318"/>
      <c r="K347" s="319">
        <f t="shared" si="39"/>
        <v>0</v>
      </c>
      <c r="L347" s="320" t="str">
        <f t="shared" si="34"/>
        <v/>
      </c>
      <c r="T347" s="344"/>
      <c r="U347" s="345"/>
      <c r="V347" s="346"/>
    </row>
    <row r="348">
      <c r="A348" s="339"/>
      <c r="B348" s="313"/>
      <c r="C348" s="314"/>
      <c r="D348" s="315" t="str">
        <f t="shared" si="35"/>
        <v/>
      </c>
      <c r="E348" s="315" t="str">
        <f t="shared" si="36"/>
        <v/>
      </c>
      <c r="F348" s="316"/>
      <c r="G348" s="317"/>
      <c r="H348" s="318"/>
      <c r="I348" s="318"/>
      <c r="J348" s="318"/>
      <c r="K348" s="319">
        <f t="shared" si="39"/>
        <v>0</v>
      </c>
      <c r="L348" s="320" t="str">
        <f t="shared" si="34"/>
        <v/>
      </c>
      <c r="T348" s="344"/>
      <c r="U348" s="345"/>
      <c r="V348" s="346"/>
    </row>
    <row r="349">
      <c r="A349" s="339"/>
      <c r="B349" s="313"/>
      <c r="C349" s="314"/>
      <c r="D349" s="315" t="str">
        <f t="shared" si="35"/>
        <v/>
      </c>
      <c r="E349" s="315" t="str">
        <f t="shared" si="36"/>
        <v/>
      </c>
      <c r="F349" s="316"/>
      <c r="G349" s="317"/>
      <c r="H349" s="318"/>
      <c r="I349" s="318"/>
      <c r="J349" s="318"/>
      <c r="K349" s="319">
        <f t="shared" si="39"/>
        <v>0</v>
      </c>
      <c r="L349" s="320" t="str">
        <f t="shared" si="34"/>
        <v/>
      </c>
      <c r="T349" s="344"/>
      <c r="U349" s="345"/>
      <c r="V349" s="346"/>
    </row>
    <row r="350">
      <c r="A350" s="339"/>
      <c r="B350" s="313"/>
      <c r="C350" s="314"/>
      <c r="D350" s="315" t="str">
        <f t="shared" si="35"/>
        <v/>
      </c>
      <c r="E350" s="315" t="str">
        <f t="shared" si="36"/>
        <v/>
      </c>
      <c r="F350" s="316"/>
      <c r="G350" s="316"/>
      <c r="H350" s="318"/>
      <c r="I350" s="318"/>
      <c r="J350" s="318"/>
      <c r="K350" s="319">
        <f t="shared" si="39"/>
        <v>0</v>
      </c>
      <c r="L350" s="320" t="str">
        <f t="shared" si="34"/>
        <v/>
      </c>
      <c r="M350" s="239">
        <f>K350-L350</f>
        <v>0</v>
      </c>
      <c r="T350" s="344"/>
      <c r="U350" s="345"/>
      <c r="V350" s="346"/>
    </row>
    <row r="351">
      <c r="A351" s="339"/>
      <c r="B351" s="313"/>
      <c r="C351" s="314"/>
      <c r="D351" s="315" t="str">
        <f t="shared" si="35"/>
        <v/>
      </c>
      <c r="E351" s="315" t="str">
        <f t="shared" si="36"/>
        <v/>
      </c>
      <c r="F351" s="316"/>
      <c r="G351" s="316"/>
      <c r="H351" s="316"/>
      <c r="I351" s="316"/>
      <c r="J351" s="316"/>
      <c r="K351" s="319">
        <f t="shared" si="39"/>
        <v>0</v>
      </c>
      <c r="L351" s="320" t="str">
        <f t="shared" si="34"/>
        <v/>
      </c>
      <c r="T351" s="344"/>
      <c r="U351" s="345"/>
      <c r="V351" s="346"/>
    </row>
    <row r="352">
      <c r="A352" s="339"/>
      <c r="B352" s="313"/>
      <c r="C352" s="314"/>
      <c r="D352" s="315" t="str">
        <f t="shared" si="35"/>
        <v/>
      </c>
      <c r="E352" s="315" t="str">
        <f t="shared" si="36"/>
        <v/>
      </c>
      <c r="F352" s="316"/>
      <c r="G352" s="317"/>
      <c r="H352" s="318"/>
      <c r="I352" s="318"/>
      <c r="J352" s="318"/>
      <c r="K352" s="319">
        <f t="shared" si="39"/>
        <v>0</v>
      </c>
      <c r="L352" s="320" t="str">
        <f t="shared" si="34"/>
        <v/>
      </c>
      <c r="T352" s="344"/>
      <c r="U352" s="345"/>
      <c r="V352" s="346"/>
    </row>
    <row r="353">
      <c r="A353" s="339"/>
      <c r="B353" s="313"/>
      <c r="C353" s="314"/>
      <c r="D353" s="315" t="str">
        <f t="shared" si="35"/>
        <v/>
      </c>
      <c r="E353" s="315" t="str">
        <f t="shared" si="36"/>
        <v/>
      </c>
      <c r="F353" s="316"/>
      <c r="G353" s="317"/>
      <c r="H353" s="318"/>
      <c r="I353" s="318"/>
      <c r="J353" s="318"/>
      <c r="K353" s="319">
        <f t="shared" si="39"/>
        <v>0</v>
      </c>
      <c r="L353" s="320" t="str">
        <f t="shared" si="34"/>
        <v/>
      </c>
      <c r="T353" s="344"/>
      <c r="U353" s="345"/>
      <c r="V353" s="346"/>
    </row>
    <row r="354">
      <c r="A354" s="339"/>
      <c r="B354" s="313"/>
      <c r="C354" s="314"/>
      <c r="D354" s="315" t="str">
        <f t="shared" si="35"/>
        <v/>
      </c>
      <c r="E354" s="315" t="str">
        <f t="shared" si="36"/>
        <v/>
      </c>
      <c r="F354" s="316"/>
      <c r="G354" s="316"/>
      <c r="H354" s="318"/>
      <c r="I354" s="318"/>
      <c r="J354" s="318"/>
      <c r="K354" s="319">
        <f t="shared" si="39"/>
        <v>0</v>
      </c>
      <c r="L354" s="320" t="str">
        <f t="shared" si="34"/>
        <v/>
      </c>
      <c r="M354" s="239"/>
      <c r="T354" s="344"/>
      <c r="U354" s="345"/>
      <c r="V354" s="346"/>
    </row>
    <row r="355">
      <c r="A355" s="339"/>
      <c r="B355" s="313"/>
      <c r="C355" s="314"/>
      <c r="D355" s="315" t="str">
        <f t="shared" si="35"/>
        <v/>
      </c>
      <c r="E355" s="315" t="str">
        <f t="shared" si="36"/>
        <v/>
      </c>
      <c r="F355" s="316"/>
      <c r="G355" s="317"/>
      <c r="H355" s="318"/>
      <c r="I355" s="318"/>
      <c r="J355" s="318"/>
      <c r="K355" s="319">
        <f t="shared" si="39"/>
        <v>0</v>
      </c>
      <c r="L355" s="320" t="str">
        <f t="shared" si="34"/>
        <v/>
      </c>
      <c r="T355" s="344"/>
      <c r="U355" s="345"/>
      <c r="V355" s="346"/>
    </row>
    <row r="356">
      <c r="A356" s="339"/>
      <c r="B356" s="313"/>
      <c r="C356" s="314"/>
      <c r="D356" s="315" t="str">
        <f t="shared" si="35"/>
        <v/>
      </c>
      <c r="E356" s="315" t="str">
        <f t="shared" si="36"/>
        <v/>
      </c>
      <c r="F356" s="318"/>
      <c r="G356" s="318"/>
      <c r="H356" s="318"/>
      <c r="I356" s="318"/>
      <c r="J356" s="318"/>
      <c r="K356" s="319">
        <f t="shared" si="39"/>
        <v>0</v>
      </c>
      <c r="L356" s="320" t="str">
        <f t="shared" si="34"/>
        <v/>
      </c>
      <c r="M356" s="239"/>
      <c r="T356" s="344"/>
      <c r="U356" s="345"/>
      <c r="V356" s="346"/>
    </row>
    <row r="357">
      <c r="A357" s="339"/>
      <c r="B357" s="313"/>
      <c r="C357" s="314"/>
      <c r="D357" s="315" t="str">
        <f t="shared" si="35"/>
        <v/>
      </c>
      <c r="E357" s="315" t="str">
        <f t="shared" si="36"/>
        <v/>
      </c>
      <c r="F357" s="316"/>
      <c r="G357" s="317"/>
      <c r="H357" s="318"/>
      <c r="I357" s="318"/>
      <c r="J357" s="318"/>
      <c r="K357" s="319">
        <f t="shared" si="39"/>
        <v>0</v>
      </c>
      <c r="L357" s="320" t="str">
        <f t="shared" si="34"/>
        <v/>
      </c>
      <c r="T357" s="344"/>
      <c r="U357" s="345"/>
      <c r="V357" s="346"/>
    </row>
    <row r="358">
      <c r="A358" s="339"/>
      <c r="B358" s="313"/>
      <c r="C358" s="314"/>
      <c r="D358" s="315" t="str">
        <f t="shared" si="35"/>
        <v/>
      </c>
      <c r="E358" s="315" t="str">
        <f t="shared" si="36"/>
        <v/>
      </c>
      <c r="F358" s="316"/>
      <c r="G358" s="317"/>
      <c r="H358" s="318"/>
      <c r="I358" s="318"/>
      <c r="J358" s="318"/>
      <c r="K358" s="319">
        <f t="shared" si="39"/>
        <v>0</v>
      </c>
      <c r="L358" s="320" t="str">
        <f t="shared" si="34"/>
        <v/>
      </c>
      <c r="T358" s="344"/>
      <c r="U358" s="345"/>
      <c r="V358" s="346"/>
    </row>
    <row r="359">
      <c r="A359" s="339"/>
      <c r="B359" s="313"/>
      <c r="C359" s="314"/>
      <c r="D359" s="315" t="str">
        <f t="shared" si="35"/>
        <v/>
      </c>
      <c r="E359" s="315" t="str">
        <f t="shared" si="36"/>
        <v/>
      </c>
      <c r="F359" s="316"/>
      <c r="G359" s="317"/>
      <c r="H359" s="318"/>
      <c r="I359" s="318"/>
      <c r="J359" s="318"/>
      <c r="K359" s="319">
        <f t="shared" si="39"/>
        <v>0</v>
      </c>
      <c r="L359" s="320" t="str">
        <f t="shared" si="34"/>
        <v/>
      </c>
      <c r="T359" s="344"/>
      <c r="U359" s="345"/>
      <c r="V359" s="346"/>
    </row>
    <row r="360">
      <c r="A360" s="339"/>
      <c r="B360" s="313"/>
      <c r="C360" s="314"/>
      <c r="D360" s="315" t="str">
        <f t="shared" si="35"/>
        <v/>
      </c>
      <c r="E360" s="315" t="str">
        <f t="shared" si="36"/>
        <v/>
      </c>
      <c r="F360" s="316"/>
      <c r="G360" s="317"/>
      <c r="H360" s="318"/>
      <c r="I360" s="318"/>
      <c r="J360" s="318"/>
      <c r="K360" s="319">
        <f t="shared" si="39"/>
        <v>0</v>
      </c>
      <c r="L360" s="320" t="str">
        <f t="shared" si="34"/>
        <v/>
      </c>
      <c r="T360" s="344"/>
      <c r="U360" s="345"/>
      <c r="V360" s="346"/>
    </row>
    <row r="361">
      <c r="A361" s="339"/>
      <c r="B361" s="313"/>
      <c r="C361" s="314"/>
      <c r="D361" s="315" t="str">
        <f t="shared" si="35"/>
        <v/>
      </c>
      <c r="E361" s="315" t="str">
        <f t="shared" si="36"/>
        <v/>
      </c>
      <c r="F361" s="316"/>
      <c r="G361" s="317"/>
      <c r="H361" s="318"/>
      <c r="I361" s="318"/>
      <c r="J361" s="318"/>
      <c r="K361" s="319">
        <f t="shared" si="39"/>
        <v>0</v>
      </c>
      <c r="L361" s="320" t="str">
        <f t="shared" si="34"/>
        <v/>
      </c>
      <c r="T361" s="344"/>
      <c r="U361" s="345"/>
      <c r="V361" s="346"/>
    </row>
    <row r="362">
      <c r="A362" s="339"/>
      <c r="B362" s="313"/>
      <c r="C362" s="314"/>
      <c r="D362" s="315" t="str">
        <f t="shared" si="35"/>
        <v/>
      </c>
      <c r="E362" s="315" t="str">
        <f t="shared" si="36"/>
        <v/>
      </c>
      <c r="F362" s="318"/>
      <c r="G362" s="318"/>
      <c r="H362" s="318"/>
      <c r="I362" s="318"/>
      <c r="J362" s="318"/>
      <c r="K362" s="319">
        <f t="shared" si="39"/>
        <v>0</v>
      </c>
      <c r="L362" s="320" t="str">
        <f t="shared" si="34"/>
        <v/>
      </c>
      <c r="M362" s="239"/>
      <c r="T362" s="344"/>
      <c r="U362" s="345"/>
      <c r="V362" s="346"/>
    </row>
    <row r="363">
      <c r="A363" s="339"/>
      <c r="B363" s="313"/>
      <c r="C363" s="314"/>
      <c r="D363" s="315" t="str">
        <f t="shared" si="35"/>
        <v/>
      </c>
      <c r="E363" s="315" t="str">
        <f t="shared" si="36"/>
        <v/>
      </c>
      <c r="F363" s="316"/>
      <c r="G363" s="317"/>
      <c r="H363" s="318"/>
      <c r="I363" s="318"/>
      <c r="J363" s="318"/>
      <c r="K363" s="319">
        <f t="shared" si="39"/>
        <v>0</v>
      </c>
      <c r="L363" s="320" t="str">
        <f t="shared" si="34"/>
        <v/>
      </c>
      <c r="T363" s="344"/>
      <c r="U363" s="345"/>
      <c r="V363" s="346"/>
    </row>
    <row r="364">
      <c r="A364" s="339"/>
      <c r="B364" s="313"/>
      <c r="C364" s="314"/>
      <c r="D364" s="315" t="str">
        <f t="shared" si="35"/>
        <v/>
      </c>
      <c r="E364" s="315" t="str">
        <f t="shared" si="36"/>
        <v/>
      </c>
      <c r="F364" s="316"/>
      <c r="G364" s="317"/>
      <c r="H364" s="318"/>
      <c r="I364" s="318"/>
      <c r="J364" s="318"/>
      <c r="K364" s="319">
        <f t="shared" si="39"/>
        <v>0</v>
      </c>
      <c r="L364" s="320" t="str">
        <f t="shared" si="34"/>
        <v/>
      </c>
      <c r="T364" s="344"/>
      <c r="U364" s="345"/>
      <c r="V364" s="346"/>
    </row>
    <row r="365">
      <c r="A365" s="339"/>
      <c r="B365" s="313"/>
      <c r="C365" s="314"/>
      <c r="D365" s="315" t="str">
        <f t="shared" si="35"/>
        <v/>
      </c>
      <c r="E365" s="315" t="str">
        <f t="shared" si="36"/>
        <v/>
      </c>
      <c r="F365" s="316"/>
      <c r="G365" s="317"/>
      <c r="H365" s="318"/>
      <c r="I365" s="318"/>
      <c r="J365" s="318"/>
      <c r="K365" s="319">
        <f t="shared" si="39"/>
        <v>0</v>
      </c>
      <c r="L365" s="320" t="str">
        <f t="shared" si="34"/>
        <v/>
      </c>
      <c r="T365" s="344"/>
      <c r="U365" s="345"/>
      <c r="V365" s="346"/>
    </row>
    <row r="366">
      <c r="A366" s="339"/>
      <c r="B366" s="313"/>
      <c r="C366" s="314"/>
      <c r="D366" s="315" t="str">
        <f t="shared" si="35"/>
        <v/>
      </c>
      <c r="E366" s="315" t="str">
        <f t="shared" si="36"/>
        <v/>
      </c>
      <c r="F366" s="318"/>
      <c r="G366" s="318"/>
      <c r="H366" s="318"/>
      <c r="I366" s="318"/>
      <c r="J366" s="318"/>
      <c r="K366" s="319">
        <f t="shared" si="39"/>
        <v>0</v>
      </c>
      <c r="L366" s="320" t="str">
        <f t="shared" si="34"/>
        <v/>
      </c>
      <c r="M366" s="239"/>
      <c r="T366" s="344"/>
      <c r="U366" s="345"/>
      <c r="V366" s="346"/>
    </row>
    <row r="367">
      <c r="A367" s="339"/>
      <c r="B367" s="313"/>
      <c r="C367" s="314"/>
      <c r="D367" s="315" t="str">
        <f t="shared" si="35"/>
        <v/>
      </c>
      <c r="E367" s="315" t="str">
        <f t="shared" si="36"/>
        <v/>
      </c>
      <c r="F367" s="316"/>
      <c r="G367" s="317"/>
      <c r="H367" s="318"/>
      <c r="I367" s="318"/>
      <c r="J367" s="318"/>
      <c r="K367" s="319">
        <f t="shared" si="39"/>
        <v>0</v>
      </c>
      <c r="L367" s="320" t="str">
        <f t="shared" si="34"/>
        <v/>
      </c>
      <c r="T367" s="344"/>
      <c r="U367" s="345"/>
      <c r="V367" s="346"/>
    </row>
    <row r="368">
      <c r="A368" s="339"/>
      <c r="B368" s="313"/>
      <c r="C368" s="314"/>
      <c r="D368" s="315" t="str">
        <f t="shared" si="35"/>
        <v/>
      </c>
      <c r="E368" s="315" t="str">
        <f t="shared" si="36"/>
        <v/>
      </c>
      <c r="F368" s="316"/>
      <c r="G368" s="317"/>
      <c r="H368" s="318"/>
      <c r="I368" s="318"/>
      <c r="J368" s="318"/>
      <c r="K368" s="319">
        <f t="shared" si="39"/>
        <v>0</v>
      </c>
      <c r="L368" s="320" t="str">
        <f t="shared" si="34"/>
        <v/>
      </c>
      <c r="T368" s="344"/>
      <c r="U368" s="345"/>
      <c r="V368" s="346"/>
    </row>
    <row r="369">
      <c r="A369" s="339"/>
      <c r="B369" s="313"/>
      <c r="C369" s="314"/>
      <c r="D369" s="315" t="str">
        <f t="shared" si="35"/>
        <v/>
      </c>
      <c r="E369" s="315" t="str">
        <f t="shared" si="36"/>
        <v/>
      </c>
      <c r="F369" s="316"/>
      <c r="G369" s="317"/>
      <c r="H369" s="318"/>
      <c r="I369" s="318"/>
      <c r="J369" s="318"/>
      <c r="K369" s="319">
        <f t="shared" si="39"/>
        <v>0</v>
      </c>
      <c r="L369" s="320" t="str">
        <f t="shared" si="34"/>
        <v/>
      </c>
      <c r="M369" s="341"/>
      <c r="T369" s="344"/>
      <c r="U369" s="345"/>
      <c r="V369" s="346"/>
    </row>
    <row r="370">
      <c r="A370" s="339"/>
      <c r="B370" s="313"/>
      <c r="C370" s="314"/>
      <c r="D370" s="315" t="str">
        <f t="shared" si="35"/>
        <v/>
      </c>
      <c r="E370" s="315" t="str">
        <f t="shared" si="36"/>
        <v/>
      </c>
      <c r="F370" s="316"/>
      <c r="G370" s="317"/>
      <c r="H370" s="318"/>
      <c r="I370" s="318"/>
      <c r="J370" s="318"/>
      <c r="K370" s="319">
        <f t="shared" si="39"/>
        <v>0</v>
      </c>
      <c r="L370" s="320" t="str">
        <f t="shared" si="34"/>
        <v/>
      </c>
      <c r="T370" s="344"/>
      <c r="U370" s="345"/>
      <c r="V370" s="346"/>
    </row>
    <row r="371">
      <c r="A371" s="339"/>
      <c r="B371" s="313"/>
      <c r="C371" s="314"/>
      <c r="D371" s="315" t="str">
        <f t="shared" si="35"/>
        <v/>
      </c>
      <c r="E371" s="315" t="str">
        <f t="shared" si="36"/>
        <v/>
      </c>
      <c r="F371" s="316"/>
      <c r="G371" s="316"/>
      <c r="H371" s="318"/>
      <c r="I371" s="318"/>
      <c r="J371" s="318"/>
      <c r="K371" s="319">
        <f t="shared" si="39"/>
        <v>0</v>
      </c>
      <c r="L371" s="320" t="str">
        <f t="shared" si="34"/>
        <v/>
      </c>
      <c r="M371" s="239"/>
      <c r="T371" s="344"/>
      <c r="U371" s="345"/>
      <c r="V371" s="346"/>
    </row>
    <row r="372">
      <c r="A372" s="339"/>
      <c r="B372" s="313"/>
      <c r="C372" s="314"/>
      <c r="D372" s="315" t="str">
        <f t="shared" si="35"/>
        <v/>
      </c>
      <c r="E372" s="315" t="str">
        <f t="shared" si="36"/>
        <v/>
      </c>
      <c r="F372" s="316"/>
      <c r="G372" s="317"/>
      <c r="H372" s="318"/>
      <c r="I372" s="318"/>
      <c r="J372" s="318"/>
      <c r="K372" s="319">
        <f t="shared" si="39"/>
        <v>0</v>
      </c>
      <c r="L372" s="320" t="str">
        <f t="shared" si="34"/>
        <v/>
      </c>
      <c r="T372" s="344"/>
      <c r="U372" s="345"/>
      <c r="V372" s="346"/>
    </row>
    <row r="373">
      <c r="A373" s="339"/>
      <c r="B373" s="313"/>
      <c r="C373" s="314"/>
      <c r="D373" s="315" t="str">
        <f t="shared" si="35"/>
        <v/>
      </c>
      <c r="E373" s="315" t="str">
        <f t="shared" si="36"/>
        <v/>
      </c>
      <c r="F373" s="318"/>
      <c r="G373" s="318"/>
      <c r="H373" s="318"/>
      <c r="I373" s="318"/>
      <c r="J373" s="318"/>
      <c r="K373" s="319">
        <f t="shared" si="39"/>
        <v>0</v>
      </c>
      <c r="L373" s="320" t="str">
        <f t="shared" si="34"/>
        <v/>
      </c>
      <c r="M373" s="239"/>
      <c r="T373" s="344"/>
      <c r="U373" s="345"/>
      <c r="V373" s="346"/>
    </row>
    <row r="374">
      <c r="A374" s="339"/>
      <c r="B374" s="313"/>
      <c r="C374" s="314"/>
      <c r="D374" s="315" t="str">
        <f t="shared" si="35"/>
        <v/>
      </c>
      <c r="E374" s="315" t="str">
        <f t="shared" si="36"/>
        <v/>
      </c>
      <c r="F374" s="316"/>
      <c r="G374" s="317"/>
      <c r="H374" s="318"/>
      <c r="I374" s="318"/>
      <c r="J374" s="318"/>
      <c r="K374" s="319">
        <f t="shared" si="39"/>
        <v>0</v>
      </c>
      <c r="L374" s="320" t="str">
        <f t="shared" si="34"/>
        <v/>
      </c>
      <c r="T374" s="344"/>
      <c r="U374" s="345"/>
      <c r="V374" s="346"/>
    </row>
    <row r="375">
      <c r="A375" s="339"/>
      <c r="B375" s="313"/>
      <c r="C375" s="314"/>
      <c r="D375" s="315" t="str">
        <f t="shared" si="35"/>
        <v/>
      </c>
      <c r="E375" s="315" t="str">
        <f t="shared" si="36"/>
        <v/>
      </c>
      <c r="F375" s="316"/>
      <c r="G375" s="317"/>
      <c r="H375" s="318"/>
      <c r="I375" s="318"/>
      <c r="J375" s="318"/>
      <c r="K375" s="319">
        <f t="shared" si="39"/>
        <v>0</v>
      </c>
      <c r="L375" s="320" t="str">
        <f t="shared" si="34"/>
        <v/>
      </c>
      <c r="T375" s="344"/>
      <c r="U375" s="345"/>
      <c r="V375" s="346"/>
    </row>
    <row r="376">
      <c r="A376" s="339"/>
      <c r="B376" s="313"/>
      <c r="C376" s="314"/>
      <c r="D376" s="315" t="str">
        <f t="shared" si="35"/>
        <v/>
      </c>
      <c r="E376" s="315" t="str">
        <f t="shared" si="36"/>
        <v/>
      </c>
      <c r="F376" s="316"/>
      <c r="G376" s="317"/>
      <c r="H376" s="318"/>
      <c r="I376" s="318"/>
      <c r="J376" s="318"/>
      <c r="K376" s="319">
        <f t="shared" si="39"/>
        <v>0</v>
      </c>
      <c r="L376" s="320" t="str">
        <f t="shared" si="34"/>
        <v/>
      </c>
      <c r="T376" s="344"/>
      <c r="U376" s="345"/>
      <c r="V376" s="346"/>
    </row>
    <row r="377">
      <c r="A377" s="339"/>
      <c r="B377" s="313"/>
      <c r="C377" s="314"/>
      <c r="D377" s="315" t="str">
        <f t="shared" si="35"/>
        <v/>
      </c>
      <c r="E377" s="315" t="str">
        <f t="shared" si="36"/>
        <v/>
      </c>
      <c r="F377" s="316"/>
      <c r="G377" s="317"/>
      <c r="H377" s="318"/>
      <c r="I377" s="318"/>
      <c r="J377" s="318"/>
      <c r="K377" s="319">
        <f t="shared" si="39"/>
        <v>0</v>
      </c>
      <c r="L377" s="320" t="str">
        <f t="shared" si="34"/>
        <v/>
      </c>
      <c r="T377" s="344"/>
      <c r="U377" s="345"/>
      <c r="V377" s="346"/>
    </row>
    <row r="378">
      <c r="A378" s="339"/>
      <c r="B378" s="313"/>
      <c r="C378" s="314"/>
      <c r="D378" s="315" t="str">
        <f t="shared" si="35"/>
        <v/>
      </c>
      <c r="E378" s="315" t="str">
        <f t="shared" si="36"/>
        <v/>
      </c>
      <c r="F378" s="316"/>
      <c r="G378" s="317"/>
      <c r="H378" s="318"/>
      <c r="I378" s="318"/>
      <c r="J378" s="318"/>
      <c r="K378" s="319">
        <f t="shared" si="39"/>
        <v>0</v>
      </c>
      <c r="L378" s="320" t="str">
        <f t="shared" si="34"/>
        <v/>
      </c>
      <c r="T378" s="344"/>
      <c r="U378" s="345"/>
      <c r="V378" s="346"/>
    </row>
    <row r="379">
      <c r="A379" s="339"/>
      <c r="B379" s="313"/>
      <c r="C379" s="314"/>
      <c r="D379" s="315" t="str">
        <f t="shared" si="35"/>
        <v/>
      </c>
      <c r="E379" s="315" t="str">
        <f t="shared" si="36"/>
        <v/>
      </c>
      <c r="F379" s="316"/>
      <c r="G379" s="317"/>
      <c r="H379" s="318"/>
      <c r="I379" s="318"/>
      <c r="J379" s="318"/>
      <c r="K379" s="319">
        <f t="shared" si="39"/>
        <v>0</v>
      </c>
      <c r="L379" s="320" t="str">
        <f t="shared" si="34"/>
        <v/>
      </c>
      <c r="T379" s="344"/>
      <c r="U379" s="345"/>
      <c r="V379" s="346"/>
    </row>
    <row r="380">
      <c r="A380" s="339"/>
      <c r="B380" s="313"/>
      <c r="C380" s="314"/>
      <c r="D380" s="315" t="str">
        <f t="shared" si="35"/>
        <v/>
      </c>
      <c r="E380" s="315" t="str">
        <f t="shared" si="36"/>
        <v/>
      </c>
      <c r="F380" s="316"/>
      <c r="G380" s="317"/>
      <c r="H380" s="318"/>
      <c r="I380" s="318"/>
      <c r="J380" s="318"/>
      <c r="K380" s="319">
        <f t="shared" si="39"/>
        <v>0</v>
      </c>
      <c r="L380" s="320" t="str">
        <f t="shared" si="34"/>
        <v/>
      </c>
      <c r="T380" s="344"/>
      <c r="U380" s="345"/>
      <c r="V380" s="346"/>
    </row>
    <row r="381">
      <c r="A381" s="339"/>
      <c r="B381" s="313"/>
      <c r="C381" s="314"/>
      <c r="D381" s="315" t="str">
        <f t="shared" si="35"/>
        <v/>
      </c>
      <c r="E381" s="315" t="str">
        <f t="shared" si="36"/>
        <v/>
      </c>
      <c r="F381" s="316"/>
      <c r="G381" s="317"/>
      <c r="H381" s="318"/>
      <c r="I381" s="318"/>
      <c r="J381" s="318"/>
      <c r="K381" s="319">
        <f t="shared" si="39"/>
        <v>0</v>
      </c>
      <c r="L381" s="320" t="str">
        <f t="shared" si="34"/>
        <v/>
      </c>
      <c r="T381" s="344"/>
      <c r="U381" s="345"/>
      <c r="V381" s="346"/>
    </row>
    <row r="382">
      <c r="A382" s="339"/>
      <c r="B382" s="313"/>
      <c r="C382" s="314"/>
      <c r="D382" s="315" t="str">
        <f t="shared" si="35"/>
        <v/>
      </c>
      <c r="E382" s="315" t="str">
        <f t="shared" si="36"/>
        <v/>
      </c>
      <c r="F382" s="316"/>
      <c r="G382" s="317"/>
      <c r="H382" s="318"/>
      <c r="I382" s="318"/>
      <c r="J382" s="318"/>
      <c r="K382" s="319">
        <f t="shared" si="39"/>
        <v>0</v>
      </c>
      <c r="L382" s="320" t="str">
        <f t="shared" si="34"/>
        <v/>
      </c>
      <c r="T382" s="344"/>
      <c r="U382" s="345"/>
      <c r="V382" s="346"/>
    </row>
    <row r="383">
      <c r="A383" s="339"/>
      <c r="B383" s="313"/>
      <c r="C383" s="314"/>
      <c r="D383" s="315" t="str">
        <f t="shared" si="35"/>
        <v/>
      </c>
      <c r="E383" s="315" t="str">
        <f t="shared" si="36"/>
        <v/>
      </c>
      <c r="F383" s="316"/>
      <c r="G383" s="317"/>
      <c r="H383" s="318"/>
      <c r="I383" s="318"/>
      <c r="J383" s="318"/>
      <c r="K383" s="319">
        <f t="shared" si="39"/>
        <v>0</v>
      </c>
      <c r="L383" s="320" t="str">
        <f t="shared" si="34"/>
        <v/>
      </c>
      <c r="T383" s="344"/>
      <c r="U383" s="345"/>
      <c r="V383" s="346"/>
    </row>
    <row r="384">
      <c r="A384" s="339"/>
      <c r="B384" s="313"/>
      <c r="C384" s="314"/>
      <c r="D384" s="315" t="str">
        <f t="shared" si="35"/>
        <v/>
      </c>
      <c r="E384" s="315" t="str">
        <f t="shared" si="36"/>
        <v/>
      </c>
      <c r="F384" s="316"/>
      <c r="G384" s="317"/>
      <c r="H384" s="318"/>
      <c r="I384" s="318"/>
      <c r="J384" s="318"/>
      <c r="K384" s="319">
        <f t="shared" si="39"/>
        <v>0</v>
      </c>
      <c r="L384" s="320" t="str">
        <f t="shared" si="34"/>
        <v/>
      </c>
      <c r="T384" s="344"/>
      <c r="U384" s="345"/>
      <c r="V384" s="346"/>
    </row>
    <row r="385">
      <c r="A385" s="339"/>
      <c r="B385" s="313"/>
      <c r="C385" s="314"/>
      <c r="D385" s="315" t="str">
        <f t="shared" si="35"/>
        <v/>
      </c>
      <c r="E385" s="315" t="str">
        <f t="shared" si="36"/>
        <v/>
      </c>
      <c r="F385" s="316"/>
      <c r="G385" s="317"/>
      <c r="H385" s="318"/>
      <c r="I385" s="318"/>
      <c r="J385" s="318"/>
      <c r="K385" s="319">
        <f t="shared" si="39"/>
        <v>0</v>
      </c>
      <c r="L385" s="320" t="str">
        <f t="shared" si="34"/>
        <v/>
      </c>
      <c r="T385" s="344"/>
      <c r="U385" s="345"/>
      <c r="V385" s="346"/>
    </row>
    <row r="386">
      <c r="A386" s="339"/>
      <c r="B386" s="313"/>
      <c r="C386" s="314"/>
      <c r="D386" s="315" t="str">
        <f t="shared" si="35"/>
        <v/>
      </c>
      <c r="E386" s="315" t="str">
        <f t="shared" si="36"/>
        <v/>
      </c>
      <c r="F386" s="316"/>
      <c r="G386" s="317"/>
      <c r="H386" s="318"/>
      <c r="I386" s="318"/>
      <c r="J386" s="318"/>
      <c r="K386" s="319">
        <f t="shared" si="39"/>
        <v>0</v>
      </c>
      <c r="L386" s="320" t="str">
        <f t="shared" si="34"/>
        <v/>
      </c>
      <c r="T386" s="344"/>
      <c r="U386" s="345"/>
      <c r="V386" s="346"/>
    </row>
    <row r="387">
      <c r="A387" s="339"/>
      <c r="B387" s="313"/>
      <c r="C387" s="314"/>
      <c r="D387" s="315" t="str">
        <f t="shared" si="35"/>
        <v/>
      </c>
      <c r="E387" s="315" t="str">
        <f t="shared" si="36"/>
        <v/>
      </c>
      <c r="F387" s="316"/>
      <c r="G387" s="317"/>
      <c r="H387" s="318"/>
      <c r="I387" s="318"/>
      <c r="J387" s="318"/>
      <c r="K387" s="319">
        <f t="shared" si="39"/>
        <v>0</v>
      </c>
      <c r="L387" s="320" t="str">
        <f t="shared" si="34"/>
        <v/>
      </c>
      <c r="T387" s="344"/>
      <c r="U387" s="345"/>
      <c r="V387" s="346"/>
    </row>
    <row r="388">
      <c r="A388" s="339"/>
      <c r="B388" s="313"/>
      <c r="C388" s="314"/>
      <c r="D388" s="315" t="str">
        <f t="shared" si="35"/>
        <v/>
      </c>
      <c r="E388" s="315" t="str">
        <f t="shared" si="36"/>
        <v/>
      </c>
      <c r="F388" s="316"/>
      <c r="G388" s="317"/>
      <c r="H388" s="318"/>
      <c r="I388" s="318"/>
      <c r="J388" s="318"/>
      <c r="K388" s="319">
        <f t="shared" si="39"/>
        <v>0</v>
      </c>
      <c r="L388" s="320" t="str">
        <f t="shared" si="34"/>
        <v/>
      </c>
      <c r="T388" s="344"/>
      <c r="U388" s="345"/>
      <c r="V388" s="346"/>
    </row>
    <row r="389">
      <c r="A389" s="339"/>
      <c r="B389" s="313"/>
      <c r="C389" s="314"/>
      <c r="D389" s="315" t="str">
        <f t="shared" si="35"/>
        <v/>
      </c>
      <c r="E389" s="315" t="str">
        <f t="shared" si="36"/>
        <v/>
      </c>
      <c r="F389" s="316"/>
      <c r="G389" s="317"/>
      <c r="H389" s="318"/>
      <c r="I389" s="318"/>
      <c r="J389" s="318"/>
      <c r="K389" s="319">
        <f t="shared" si="39"/>
        <v>0</v>
      </c>
      <c r="L389" s="320" t="str">
        <f t="shared" si="34"/>
        <v/>
      </c>
      <c r="T389" s="344"/>
      <c r="U389" s="345"/>
      <c r="V389" s="346"/>
    </row>
    <row r="390">
      <c r="A390" s="339"/>
      <c r="B390" s="313"/>
      <c r="C390" s="314"/>
      <c r="D390" s="315" t="str">
        <f t="shared" si="35"/>
        <v/>
      </c>
      <c r="E390" s="315" t="str">
        <f t="shared" si="36"/>
        <v/>
      </c>
      <c r="F390" s="316"/>
      <c r="G390" s="317"/>
      <c r="H390" s="318"/>
      <c r="I390" s="318"/>
      <c r="J390" s="318"/>
      <c r="K390" s="319">
        <f t="shared" si="39"/>
        <v>0</v>
      </c>
      <c r="L390" s="320" t="str">
        <f t="shared" si="34"/>
        <v/>
      </c>
      <c r="T390" s="344"/>
      <c r="U390" s="345"/>
      <c r="V390" s="346"/>
    </row>
    <row r="391">
      <c r="A391" s="339"/>
      <c r="B391" s="313"/>
      <c r="C391" s="314"/>
      <c r="D391" s="315" t="str">
        <f t="shared" si="35"/>
        <v/>
      </c>
      <c r="E391" s="315" t="str">
        <f t="shared" si="36"/>
        <v/>
      </c>
      <c r="F391" s="316"/>
      <c r="G391" s="317"/>
      <c r="H391" s="318"/>
      <c r="I391" s="318"/>
      <c r="J391" s="318"/>
      <c r="K391" s="319">
        <f t="shared" si="39"/>
        <v>0</v>
      </c>
      <c r="L391" s="320" t="str">
        <f t="shared" si="34"/>
        <v/>
      </c>
      <c r="T391" s="344"/>
      <c r="U391" s="345"/>
      <c r="V391" s="346"/>
    </row>
    <row r="392">
      <c r="A392" s="339"/>
      <c r="B392" s="313"/>
      <c r="C392" s="314"/>
      <c r="D392" s="315" t="str">
        <f t="shared" si="35"/>
        <v/>
      </c>
      <c r="E392" s="315" t="str">
        <f t="shared" si="36"/>
        <v/>
      </c>
      <c r="F392" s="316"/>
      <c r="G392" s="317"/>
      <c r="H392" s="318"/>
      <c r="I392" s="318"/>
      <c r="J392" s="318"/>
      <c r="K392" s="319">
        <f t="shared" si="39"/>
        <v>0</v>
      </c>
      <c r="L392" s="320" t="str">
        <f t="shared" si="34"/>
        <v/>
      </c>
      <c r="T392" s="344"/>
      <c r="U392" s="345"/>
      <c r="V392" s="346"/>
    </row>
    <row r="393">
      <c r="A393" s="339"/>
      <c r="B393" s="313"/>
      <c r="C393" s="314"/>
      <c r="D393" s="315" t="str">
        <f t="shared" si="35"/>
        <v/>
      </c>
      <c r="E393" s="315" t="str">
        <f t="shared" si="36"/>
        <v/>
      </c>
      <c r="F393" s="316"/>
      <c r="G393" s="317"/>
      <c r="H393" s="318"/>
      <c r="I393" s="318"/>
      <c r="J393" s="318"/>
      <c r="K393" s="319">
        <f t="shared" si="39"/>
        <v>0</v>
      </c>
      <c r="L393" s="320" t="str">
        <f t="shared" si="34"/>
        <v/>
      </c>
      <c r="T393" s="344"/>
      <c r="U393" s="345"/>
      <c r="V393" s="346"/>
    </row>
    <row r="394">
      <c r="A394" s="339"/>
      <c r="B394" s="313"/>
      <c r="C394" s="314"/>
      <c r="D394" s="315" t="str">
        <f t="shared" si="35"/>
        <v/>
      </c>
      <c r="E394" s="315" t="str">
        <f t="shared" si="36"/>
        <v/>
      </c>
      <c r="F394" s="316"/>
      <c r="G394" s="316"/>
      <c r="H394" s="318"/>
      <c r="I394" s="318"/>
      <c r="J394" s="318"/>
      <c r="K394" s="319">
        <f t="shared" si="39"/>
        <v>0</v>
      </c>
      <c r="L394" s="320" t="str">
        <f t="shared" si="34"/>
        <v/>
      </c>
      <c r="M394" s="239"/>
      <c r="T394" s="344"/>
      <c r="U394" s="345"/>
      <c r="V394" s="346"/>
    </row>
    <row r="395">
      <c r="A395" s="339"/>
      <c r="B395" s="313"/>
      <c r="C395" s="314"/>
      <c r="D395" s="315" t="str">
        <f t="shared" si="35"/>
        <v/>
      </c>
      <c r="E395" s="315" t="str">
        <f t="shared" si="36"/>
        <v/>
      </c>
      <c r="F395" s="316"/>
      <c r="G395" s="317"/>
      <c r="H395" s="318"/>
      <c r="I395" s="318"/>
      <c r="J395" s="318"/>
      <c r="K395" s="319">
        <f t="shared" si="39"/>
        <v>0</v>
      </c>
      <c r="L395" s="320" t="str">
        <f t="shared" si="34"/>
        <v/>
      </c>
      <c r="T395" s="344"/>
      <c r="U395" s="345"/>
      <c r="V395" s="346"/>
    </row>
    <row r="396">
      <c r="A396" s="339"/>
      <c r="B396" s="313"/>
      <c r="C396" s="314"/>
      <c r="D396" s="315" t="str">
        <f t="shared" si="35"/>
        <v/>
      </c>
      <c r="E396" s="315" t="str">
        <f t="shared" si="36"/>
        <v/>
      </c>
      <c r="F396" s="318"/>
      <c r="G396" s="318"/>
      <c r="H396" s="318"/>
      <c r="I396" s="318"/>
      <c r="J396" s="318"/>
      <c r="K396" s="319">
        <f t="shared" si="39"/>
        <v>0</v>
      </c>
      <c r="L396" s="320" t="str">
        <f t="shared" si="34"/>
        <v/>
      </c>
      <c r="M396" s="239"/>
      <c r="T396" s="344"/>
      <c r="U396" s="345"/>
      <c r="V396" s="346"/>
    </row>
    <row r="397">
      <c r="A397" s="339"/>
      <c r="B397" s="313"/>
      <c r="C397" s="314"/>
      <c r="D397" s="315" t="str">
        <f t="shared" si="35"/>
        <v/>
      </c>
      <c r="E397" s="315" t="str">
        <f t="shared" si="36"/>
        <v/>
      </c>
      <c r="F397" s="316"/>
      <c r="G397" s="317"/>
      <c r="H397" s="318"/>
      <c r="I397" s="318"/>
      <c r="J397" s="318"/>
      <c r="K397" s="319">
        <f t="shared" si="39"/>
        <v>0</v>
      </c>
      <c r="L397" s="320" t="str">
        <f t="shared" si="34"/>
        <v/>
      </c>
      <c r="T397" s="344"/>
      <c r="U397" s="345"/>
      <c r="V397" s="346"/>
    </row>
    <row r="398">
      <c r="A398" s="339"/>
      <c r="B398" s="313"/>
      <c r="C398" s="314"/>
      <c r="D398" s="315" t="str">
        <f t="shared" si="35"/>
        <v/>
      </c>
      <c r="E398" s="315" t="str">
        <f t="shared" si="36"/>
        <v/>
      </c>
      <c r="F398" s="316"/>
      <c r="G398" s="317"/>
      <c r="H398" s="318"/>
      <c r="I398" s="318"/>
      <c r="J398" s="318"/>
      <c r="K398" s="319">
        <f t="shared" si="39"/>
        <v>0</v>
      </c>
      <c r="L398" s="320" t="str">
        <f t="shared" si="34"/>
        <v/>
      </c>
      <c r="T398" s="344"/>
      <c r="U398" s="345"/>
      <c r="V398" s="346"/>
    </row>
    <row r="399">
      <c r="A399" s="339"/>
      <c r="B399" s="313"/>
      <c r="C399" s="314"/>
      <c r="D399" s="315" t="str">
        <f t="shared" si="35"/>
        <v/>
      </c>
      <c r="E399" s="315" t="str">
        <f t="shared" si="36"/>
        <v/>
      </c>
      <c r="F399" s="316"/>
      <c r="G399" s="317"/>
      <c r="H399" s="318"/>
      <c r="I399" s="318"/>
      <c r="J399" s="318"/>
      <c r="K399" s="319">
        <f t="shared" si="39"/>
        <v>0</v>
      </c>
      <c r="L399" s="320" t="str">
        <f t="shared" si="34"/>
        <v/>
      </c>
      <c r="T399" s="344"/>
      <c r="U399" s="345"/>
      <c r="V399" s="346"/>
    </row>
    <row r="400">
      <c r="A400" s="339"/>
      <c r="B400" s="313"/>
      <c r="C400" s="314"/>
      <c r="D400" s="315" t="str">
        <f t="shared" si="35"/>
        <v/>
      </c>
      <c r="E400" s="315" t="str">
        <f t="shared" si="36"/>
        <v/>
      </c>
      <c r="F400" s="316"/>
      <c r="G400" s="317"/>
      <c r="H400" s="318"/>
      <c r="I400" s="318"/>
      <c r="J400" s="318"/>
      <c r="K400" s="319">
        <f t="shared" si="39"/>
        <v>0</v>
      </c>
      <c r="L400" s="320" t="str">
        <f t="shared" si="34"/>
        <v/>
      </c>
      <c r="T400" s="344"/>
      <c r="U400" s="345"/>
      <c r="V400" s="346"/>
    </row>
    <row r="401">
      <c r="A401" s="339"/>
      <c r="B401" s="313"/>
      <c r="C401" s="314"/>
      <c r="D401" s="315" t="str">
        <f t="shared" si="35"/>
        <v/>
      </c>
      <c r="E401" s="315" t="str">
        <f t="shared" si="36"/>
        <v/>
      </c>
      <c r="F401" s="318"/>
      <c r="G401" s="318"/>
      <c r="H401" s="318"/>
      <c r="I401" s="318"/>
      <c r="J401" s="318"/>
      <c r="K401" s="319">
        <f t="shared" si="39"/>
        <v>0</v>
      </c>
      <c r="L401" s="320" t="str">
        <f t="shared" si="34"/>
        <v/>
      </c>
      <c r="M401" s="239"/>
      <c r="T401" s="344"/>
      <c r="U401" s="345"/>
      <c r="V401" s="346"/>
    </row>
    <row r="402">
      <c r="A402" s="339"/>
      <c r="B402" s="313"/>
      <c r="C402" s="314"/>
      <c r="D402" s="315" t="str">
        <f t="shared" si="35"/>
        <v/>
      </c>
      <c r="E402" s="315" t="str">
        <f t="shared" si="36"/>
        <v/>
      </c>
      <c r="F402" s="318"/>
      <c r="G402" s="318"/>
      <c r="H402" s="318"/>
      <c r="I402" s="318"/>
      <c r="J402" s="318"/>
      <c r="K402" s="319">
        <f t="shared" si="39"/>
        <v>0</v>
      </c>
      <c r="L402" s="320" t="str">
        <f t="shared" si="34"/>
        <v/>
      </c>
      <c r="M402" s="239"/>
      <c r="T402" s="344"/>
      <c r="U402" s="345"/>
      <c r="V402" s="346"/>
    </row>
    <row r="403">
      <c r="A403" s="339"/>
      <c r="B403" s="313"/>
      <c r="C403" s="314"/>
      <c r="D403" s="315" t="str">
        <f t="shared" si="35"/>
        <v/>
      </c>
      <c r="E403" s="315" t="str">
        <f t="shared" si="36"/>
        <v/>
      </c>
      <c r="F403" s="316"/>
      <c r="G403" s="317"/>
      <c r="H403" s="318"/>
      <c r="I403" s="318"/>
      <c r="J403" s="318"/>
      <c r="K403" s="319">
        <f t="shared" si="39"/>
        <v>0</v>
      </c>
      <c r="L403" s="320" t="str">
        <f t="shared" si="34"/>
        <v/>
      </c>
      <c r="T403" s="344"/>
      <c r="U403" s="345"/>
      <c r="V403" s="346"/>
    </row>
    <row r="404">
      <c r="A404" s="339"/>
      <c r="B404" s="313"/>
      <c r="C404" s="314"/>
      <c r="D404" s="315" t="str">
        <f t="shared" si="35"/>
        <v/>
      </c>
      <c r="E404" s="315" t="str">
        <f t="shared" si="36"/>
        <v/>
      </c>
      <c r="F404" s="316"/>
      <c r="G404" s="317"/>
      <c r="H404" s="318"/>
      <c r="I404" s="318"/>
      <c r="J404" s="318"/>
      <c r="K404" s="319">
        <f t="shared" si="39"/>
        <v>0</v>
      </c>
      <c r="L404" s="320" t="str">
        <f t="shared" si="34"/>
        <v/>
      </c>
      <c r="T404" s="344"/>
      <c r="U404" s="345"/>
      <c r="V404" s="346"/>
    </row>
    <row r="405">
      <c r="A405" s="339"/>
      <c r="B405" s="313"/>
      <c r="C405" s="314"/>
      <c r="D405" s="315" t="str">
        <f t="shared" si="35"/>
        <v/>
      </c>
      <c r="E405" s="315" t="str">
        <f t="shared" si="36"/>
        <v/>
      </c>
      <c r="F405" s="316"/>
      <c r="G405" s="317"/>
      <c r="H405" s="318"/>
      <c r="I405" s="318"/>
      <c r="J405" s="318"/>
      <c r="K405" s="319">
        <f t="shared" si="39"/>
        <v>0</v>
      </c>
      <c r="L405" s="320" t="str">
        <f t="shared" si="34"/>
        <v/>
      </c>
      <c r="T405" s="344"/>
      <c r="U405" s="345"/>
      <c r="V405" s="346"/>
    </row>
    <row r="406">
      <c r="A406" s="339"/>
      <c r="B406" s="313"/>
      <c r="C406" s="314"/>
      <c r="D406" s="315" t="str">
        <f t="shared" si="35"/>
        <v/>
      </c>
      <c r="E406" s="315" t="str">
        <f t="shared" si="36"/>
        <v/>
      </c>
      <c r="F406" s="316"/>
      <c r="G406" s="316"/>
      <c r="H406" s="316"/>
      <c r="I406" s="316"/>
      <c r="J406" s="316"/>
      <c r="K406" s="319">
        <f t="shared" si="39"/>
        <v>0</v>
      </c>
      <c r="L406" s="320" t="str">
        <f t="shared" si="34"/>
        <v/>
      </c>
      <c r="M406" s="239"/>
      <c r="T406" s="344"/>
      <c r="U406" s="345"/>
      <c r="V406" s="346"/>
    </row>
    <row r="407">
      <c r="A407" s="339"/>
      <c r="B407" s="313"/>
      <c r="C407" s="314"/>
      <c r="D407" s="315" t="str">
        <f t="shared" si="35"/>
        <v/>
      </c>
      <c r="E407" s="315" t="str">
        <f t="shared" si="36"/>
        <v/>
      </c>
      <c r="F407" s="316"/>
      <c r="G407" s="317"/>
      <c r="H407" s="318"/>
      <c r="I407" s="318"/>
      <c r="J407" s="318"/>
      <c r="K407" s="319">
        <f t="shared" si="39"/>
        <v>0</v>
      </c>
      <c r="L407" s="320" t="str">
        <f t="shared" si="34"/>
        <v/>
      </c>
      <c r="T407" s="344"/>
      <c r="U407" s="345"/>
      <c r="V407" s="346"/>
    </row>
    <row r="408">
      <c r="A408" s="339"/>
      <c r="B408" s="313"/>
      <c r="C408" s="314"/>
      <c r="D408" s="315" t="str">
        <f t="shared" si="35"/>
        <v/>
      </c>
      <c r="E408" s="315" t="str">
        <f t="shared" si="36"/>
        <v/>
      </c>
      <c r="F408" s="316"/>
      <c r="G408" s="317"/>
      <c r="H408" s="318"/>
      <c r="I408" s="318"/>
      <c r="J408" s="318"/>
      <c r="K408" s="319">
        <f t="shared" si="39"/>
        <v>0</v>
      </c>
      <c r="L408" s="320" t="str">
        <f t="shared" si="34"/>
        <v/>
      </c>
      <c r="T408" s="344"/>
      <c r="U408" s="345"/>
      <c r="V408" s="346"/>
    </row>
    <row r="409">
      <c r="A409" s="339"/>
      <c r="B409" s="313"/>
      <c r="C409" s="314"/>
      <c r="D409" s="315" t="str">
        <f t="shared" si="35"/>
        <v/>
      </c>
      <c r="E409" s="315" t="str">
        <f t="shared" si="36"/>
        <v/>
      </c>
      <c r="F409" s="316"/>
      <c r="G409" s="317"/>
      <c r="H409" s="318"/>
      <c r="I409" s="318"/>
      <c r="J409" s="318"/>
      <c r="K409" s="319">
        <f t="shared" si="39"/>
        <v>0</v>
      </c>
      <c r="L409" s="320" t="str">
        <f t="shared" si="34"/>
        <v/>
      </c>
      <c r="T409" s="344"/>
      <c r="U409" s="345"/>
      <c r="V409" s="346"/>
    </row>
    <row r="410">
      <c r="A410" s="339"/>
      <c r="B410" s="313"/>
      <c r="C410" s="314"/>
      <c r="D410" s="315" t="str">
        <f t="shared" si="35"/>
        <v/>
      </c>
      <c r="E410" s="315" t="str">
        <f t="shared" si="36"/>
        <v/>
      </c>
      <c r="F410" s="316"/>
      <c r="G410" s="317"/>
      <c r="H410" s="318"/>
      <c r="I410" s="318"/>
      <c r="J410" s="318"/>
      <c r="K410" s="319">
        <f t="shared" si="39"/>
        <v>0</v>
      </c>
      <c r="L410" s="320" t="str">
        <f t="shared" si="34"/>
        <v/>
      </c>
      <c r="T410" s="344"/>
      <c r="U410" s="345"/>
      <c r="V410" s="346"/>
    </row>
    <row r="411">
      <c r="A411" s="339"/>
      <c r="B411" s="313"/>
      <c r="C411" s="314"/>
      <c r="D411" s="315" t="str">
        <f t="shared" si="35"/>
        <v/>
      </c>
      <c r="E411" s="315" t="str">
        <f t="shared" si="36"/>
        <v/>
      </c>
      <c r="F411" s="316"/>
      <c r="G411" s="317"/>
      <c r="H411" s="318"/>
      <c r="I411" s="318"/>
      <c r="J411" s="318"/>
      <c r="K411" s="319">
        <f t="shared" si="39"/>
        <v>0</v>
      </c>
      <c r="L411" s="320" t="str">
        <f t="shared" si="34"/>
        <v/>
      </c>
      <c r="T411" s="344"/>
      <c r="U411" s="345"/>
      <c r="V411" s="346"/>
    </row>
    <row r="412">
      <c r="A412" s="339"/>
      <c r="B412" s="313"/>
      <c r="C412" s="314"/>
      <c r="D412" s="315" t="str">
        <f t="shared" si="35"/>
        <v/>
      </c>
      <c r="E412" s="315" t="str">
        <f t="shared" si="36"/>
        <v/>
      </c>
      <c r="F412" s="318"/>
      <c r="G412" s="318"/>
      <c r="H412" s="318"/>
      <c r="I412" s="318"/>
      <c r="J412" s="318"/>
      <c r="K412" s="319">
        <f t="shared" si="39"/>
        <v>0</v>
      </c>
      <c r="L412" s="320" t="str">
        <f t="shared" si="34"/>
        <v/>
      </c>
      <c r="M412" s="239"/>
      <c r="T412" s="344"/>
      <c r="U412" s="345"/>
      <c r="V412" s="346"/>
    </row>
    <row r="413">
      <c r="A413" s="339"/>
      <c r="B413" s="313"/>
      <c r="C413" s="314"/>
      <c r="D413" s="315" t="str">
        <f t="shared" si="35"/>
        <v/>
      </c>
      <c r="E413" s="315" t="str">
        <f t="shared" si="36"/>
        <v/>
      </c>
      <c r="F413" s="316"/>
      <c r="G413" s="317"/>
      <c r="H413" s="318"/>
      <c r="I413" s="318"/>
      <c r="J413" s="318"/>
      <c r="K413" s="319">
        <f t="shared" si="39"/>
        <v>0</v>
      </c>
      <c r="L413" s="320" t="str">
        <f t="shared" si="34"/>
        <v/>
      </c>
      <c r="T413" s="344"/>
      <c r="U413" s="345"/>
      <c r="V413" s="346"/>
    </row>
    <row r="414">
      <c r="A414" s="339"/>
      <c r="B414" s="313"/>
      <c r="C414" s="314"/>
      <c r="D414" s="315" t="str">
        <f t="shared" si="35"/>
        <v/>
      </c>
      <c r="E414" s="315" t="str">
        <f t="shared" si="36"/>
        <v/>
      </c>
      <c r="F414" s="316"/>
      <c r="G414" s="317"/>
      <c r="H414" s="318"/>
      <c r="I414" s="318"/>
      <c r="J414" s="318"/>
      <c r="K414" s="319">
        <f t="shared" si="39"/>
        <v>0</v>
      </c>
      <c r="L414" s="320" t="str">
        <f t="shared" si="34"/>
        <v/>
      </c>
      <c r="T414" s="344"/>
      <c r="U414" s="345"/>
      <c r="V414" s="346"/>
    </row>
    <row r="415">
      <c r="A415" s="339"/>
      <c r="B415" s="313"/>
      <c r="C415" s="314"/>
      <c r="D415" s="315" t="str">
        <f t="shared" si="35"/>
        <v/>
      </c>
      <c r="E415" s="315" t="str">
        <f t="shared" si="36"/>
        <v/>
      </c>
      <c r="F415" s="316"/>
      <c r="G415" s="317"/>
      <c r="H415" s="318"/>
      <c r="I415" s="318"/>
      <c r="J415" s="318"/>
      <c r="K415" s="319">
        <f t="shared" si="39"/>
        <v>0</v>
      </c>
      <c r="L415" s="320" t="str">
        <f t="shared" si="34"/>
        <v/>
      </c>
      <c r="T415" s="344"/>
      <c r="U415" s="345"/>
      <c r="V415" s="346"/>
    </row>
    <row r="416">
      <c r="A416" s="339"/>
      <c r="B416" s="313"/>
      <c r="C416" s="314"/>
      <c r="D416" s="315" t="str">
        <f t="shared" si="35"/>
        <v/>
      </c>
      <c r="E416" s="315" t="str">
        <f t="shared" si="36"/>
        <v/>
      </c>
      <c r="F416" s="316"/>
      <c r="G416" s="317"/>
      <c r="H416" s="318"/>
      <c r="I416" s="318"/>
      <c r="J416" s="318"/>
      <c r="K416" s="319">
        <f t="shared" si="39"/>
        <v>0</v>
      </c>
      <c r="L416" s="320" t="str">
        <f t="shared" si="34"/>
        <v/>
      </c>
      <c r="T416" s="344"/>
      <c r="U416" s="345"/>
      <c r="V416" s="346"/>
    </row>
    <row r="417">
      <c r="A417" s="339"/>
      <c r="B417" s="313"/>
      <c r="C417" s="314"/>
      <c r="D417" s="315" t="str">
        <f t="shared" si="35"/>
        <v/>
      </c>
      <c r="E417" s="315" t="str">
        <f t="shared" si="36"/>
        <v/>
      </c>
      <c r="F417" s="316"/>
      <c r="G417" s="317"/>
      <c r="H417" s="318"/>
      <c r="I417" s="318"/>
      <c r="J417" s="318"/>
      <c r="K417" s="319">
        <f t="shared" si="39"/>
        <v>0</v>
      </c>
      <c r="L417" s="320" t="str">
        <f t="shared" si="34"/>
        <v/>
      </c>
      <c r="T417" s="344"/>
      <c r="U417" s="345"/>
      <c r="V417" s="346"/>
    </row>
    <row r="418">
      <c r="A418" s="339"/>
      <c r="B418" s="313"/>
      <c r="C418" s="314"/>
      <c r="D418" s="315" t="str">
        <f t="shared" si="35"/>
        <v/>
      </c>
      <c r="E418" s="315" t="str">
        <f t="shared" si="36"/>
        <v/>
      </c>
      <c r="F418" s="316"/>
      <c r="G418" s="317"/>
      <c r="H418" s="318"/>
      <c r="I418" s="318"/>
      <c r="J418" s="318"/>
      <c r="K418" s="319">
        <f t="shared" si="39"/>
        <v>0</v>
      </c>
      <c r="L418" s="320" t="str">
        <f t="shared" si="34"/>
        <v/>
      </c>
      <c r="T418" s="344"/>
      <c r="U418" s="345"/>
      <c r="V418" s="346"/>
    </row>
    <row r="419">
      <c r="A419" s="339"/>
      <c r="B419" s="313"/>
      <c r="C419" s="314"/>
      <c r="D419" s="315" t="str">
        <f t="shared" si="35"/>
        <v/>
      </c>
      <c r="E419" s="315" t="str">
        <f t="shared" si="36"/>
        <v/>
      </c>
      <c r="F419" s="318"/>
      <c r="G419" s="318"/>
      <c r="H419" s="318"/>
      <c r="I419" s="318"/>
      <c r="J419" s="318"/>
      <c r="K419" s="319">
        <f t="shared" si="39"/>
        <v>0</v>
      </c>
      <c r="L419" s="320" t="str">
        <f t="shared" si="34"/>
        <v/>
      </c>
      <c r="M419" s="239"/>
      <c r="T419" s="344"/>
      <c r="U419" s="345"/>
      <c r="V419" s="346"/>
    </row>
    <row r="420">
      <c r="A420" s="339"/>
      <c r="B420" s="313"/>
      <c r="C420" s="314"/>
      <c r="D420" s="315" t="str">
        <f t="shared" si="35"/>
        <v/>
      </c>
      <c r="E420" s="315" t="str">
        <f t="shared" si="36"/>
        <v/>
      </c>
      <c r="F420" s="316"/>
      <c r="G420" s="317"/>
      <c r="H420" s="318"/>
      <c r="I420" s="318"/>
      <c r="J420" s="318"/>
      <c r="K420" s="319">
        <f t="shared" si="39"/>
        <v>0</v>
      </c>
      <c r="L420" s="320" t="str">
        <f t="shared" si="34"/>
        <v/>
      </c>
      <c r="T420" s="344"/>
      <c r="U420" s="345"/>
      <c r="V420" s="346"/>
    </row>
    <row r="421">
      <c r="A421" s="339"/>
      <c r="B421" s="313"/>
      <c r="C421" s="314"/>
      <c r="D421" s="315" t="str">
        <f t="shared" si="35"/>
        <v/>
      </c>
      <c r="E421" s="315" t="str">
        <f t="shared" si="36"/>
        <v/>
      </c>
      <c r="F421" s="316"/>
      <c r="G421" s="317"/>
      <c r="H421" s="318"/>
      <c r="I421" s="318"/>
      <c r="J421" s="318"/>
      <c r="K421" s="319">
        <f t="shared" si="39"/>
        <v>0</v>
      </c>
      <c r="L421" s="320" t="str">
        <f t="shared" si="34"/>
        <v/>
      </c>
      <c r="T421" s="344"/>
      <c r="U421" s="345"/>
      <c r="V421" s="346"/>
    </row>
    <row r="422">
      <c r="A422" s="339"/>
      <c r="B422" s="313"/>
      <c r="C422" s="314"/>
      <c r="D422" s="315" t="str">
        <f t="shared" si="35"/>
        <v/>
      </c>
      <c r="E422" s="315" t="str">
        <f t="shared" si="36"/>
        <v/>
      </c>
      <c r="F422" s="316"/>
      <c r="G422" s="317"/>
      <c r="H422" s="318"/>
      <c r="I422" s="318"/>
      <c r="J422" s="318"/>
      <c r="K422" s="319">
        <f t="shared" si="39"/>
        <v>0</v>
      </c>
      <c r="L422" s="320" t="str">
        <f t="shared" si="34"/>
        <v/>
      </c>
      <c r="T422" s="344"/>
      <c r="U422" s="345"/>
      <c r="V422" s="346"/>
    </row>
    <row r="423">
      <c r="A423" s="339"/>
      <c r="B423" s="313"/>
      <c r="C423" s="314"/>
      <c r="D423" s="315" t="str">
        <f t="shared" si="35"/>
        <v/>
      </c>
      <c r="E423" s="315" t="str">
        <f t="shared" si="36"/>
        <v/>
      </c>
      <c r="F423" s="316"/>
      <c r="G423" s="317"/>
      <c r="H423" s="318"/>
      <c r="I423" s="318"/>
      <c r="J423" s="318"/>
      <c r="K423" s="319">
        <f t="shared" si="39"/>
        <v>0</v>
      </c>
      <c r="L423" s="320" t="str">
        <f t="shared" si="34"/>
        <v/>
      </c>
      <c r="T423" s="344"/>
      <c r="U423" s="345"/>
      <c r="V423" s="346"/>
    </row>
    <row r="424">
      <c r="A424" s="339"/>
      <c r="B424" s="313"/>
      <c r="C424" s="314"/>
      <c r="D424" s="315" t="str">
        <f t="shared" si="35"/>
        <v/>
      </c>
      <c r="E424" s="315" t="str">
        <f t="shared" si="36"/>
        <v/>
      </c>
      <c r="F424" s="316"/>
      <c r="G424" s="317"/>
      <c r="H424" s="318"/>
      <c r="I424" s="318"/>
      <c r="J424" s="318"/>
      <c r="K424" s="319">
        <f t="shared" si="39"/>
        <v>0</v>
      </c>
      <c r="L424" s="320" t="str">
        <f t="shared" si="34"/>
        <v/>
      </c>
      <c r="T424" s="344"/>
      <c r="U424" s="345"/>
      <c r="V424" s="346"/>
    </row>
    <row r="425">
      <c r="A425" s="339"/>
      <c r="B425" s="313"/>
      <c r="C425" s="314"/>
      <c r="D425" s="315" t="str">
        <f t="shared" si="35"/>
        <v/>
      </c>
      <c r="E425" s="315" t="str">
        <f t="shared" si="36"/>
        <v/>
      </c>
      <c r="F425" s="316"/>
      <c r="G425" s="317"/>
      <c r="H425" s="318"/>
      <c r="I425" s="318"/>
      <c r="J425" s="318"/>
      <c r="K425" s="319">
        <f t="shared" si="39"/>
        <v>0</v>
      </c>
      <c r="L425" s="320" t="str">
        <f t="shared" si="34"/>
        <v/>
      </c>
      <c r="T425" s="344"/>
      <c r="U425" s="345"/>
      <c r="V425" s="346"/>
    </row>
    <row r="426">
      <c r="A426" s="339"/>
      <c r="B426" s="313"/>
      <c r="C426" s="314"/>
      <c r="D426" s="315" t="str">
        <f t="shared" si="35"/>
        <v/>
      </c>
      <c r="E426" s="315" t="str">
        <f t="shared" si="36"/>
        <v/>
      </c>
      <c r="F426" s="316"/>
      <c r="G426" s="317"/>
      <c r="H426" s="318"/>
      <c r="I426" s="318"/>
      <c r="J426" s="318"/>
      <c r="K426" s="319">
        <f t="shared" si="39"/>
        <v>0</v>
      </c>
      <c r="L426" s="320" t="str">
        <f t="shared" si="34"/>
        <v/>
      </c>
      <c r="T426" s="344"/>
      <c r="U426" s="345"/>
      <c r="V426" s="346"/>
    </row>
    <row r="427">
      <c r="A427" s="339"/>
      <c r="B427" s="313"/>
      <c r="C427" s="314"/>
      <c r="D427" s="315" t="str">
        <f t="shared" si="35"/>
        <v/>
      </c>
      <c r="E427" s="315" t="str">
        <f t="shared" si="36"/>
        <v/>
      </c>
      <c r="F427" s="316"/>
      <c r="G427" s="317"/>
      <c r="H427" s="318"/>
      <c r="I427" s="318"/>
      <c r="J427" s="318"/>
      <c r="K427" s="319">
        <f t="shared" si="39"/>
        <v>0</v>
      </c>
      <c r="L427" s="320" t="str">
        <f t="shared" si="34"/>
        <v/>
      </c>
      <c r="T427" s="344"/>
      <c r="U427" s="345"/>
      <c r="V427" s="346"/>
    </row>
    <row r="428">
      <c r="A428" s="339"/>
      <c r="B428" s="313"/>
      <c r="C428" s="314"/>
      <c r="D428" s="315" t="str">
        <f t="shared" si="35"/>
        <v/>
      </c>
      <c r="E428" s="315" t="str">
        <f t="shared" si="36"/>
        <v/>
      </c>
      <c r="F428" s="316"/>
      <c r="G428" s="317"/>
      <c r="H428" s="318"/>
      <c r="I428" s="318"/>
      <c r="J428" s="318"/>
      <c r="K428" s="319">
        <f t="shared" si="39"/>
        <v>0</v>
      </c>
      <c r="L428" s="320" t="str">
        <f t="shared" si="34"/>
        <v/>
      </c>
      <c r="T428" s="344"/>
      <c r="U428" s="345"/>
      <c r="V428" s="346"/>
    </row>
    <row r="429">
      <c r="A429" s="339"/>
      <c r="B429" s="313"/>
      <c r="C429" s="314"/>
      <c r="D429" s="315" t="str">
        <f t="shared" si="35"/>
        <v/>
      </c>
      <c r="E429" s="315" t="str">
        <f t="shared" si="36"/>
        <v/>
      </c>
      <c r="F429" s="316"/>
      <c r="G429" s="317"/>
      <c r="H429" s="318"/>
      <c r="I429" s="318"/>
      <c r="J429" s="318"/>
      <c r="K429" s="319">
        <f t="shared" si="39"/>
        <v>0</v>
      </c>
      <c r="L429" s="320" t="str">
        <f t="shared" si="34"/>
        <v/>
      </c>
      <c r="T429" s="344"/>
      <c r="U429" s="345"/>
      <c r="V429" s="346"/>
    </row>
    <row r="430">
      <c r="A430" s="339"/>
      <c r="B430" s="313"/>
      <c r="C430" s="314"/>
      <c r="D430" s="315" t="str">
        <f t="shared" si="35"/>
        <v/>
      </c>
      <c r="E430" s="315" t="str">
        <f t="shared" si="36"/>
        <v/>
      </c>
      <c r="F430" s="316"/>
      <c r="G430" s="316"/>
      <c r="H430" s="318"/>
      <c r="I430" s="318"/>
      <c r="J430" s="318"/>
      <c r="K430" s="319">
        <f t="shared" si="39"/>
        <v>0</v>
      </c>
      <c r="L430" s="320" t="str">
        <f t="shared" si="34"/>
        <v/>
      </c>
      <c r="M430" s="239"/>
      <c r="T430" s="344"/>
      <c r="U430" s="345"/>
      <c r="V430" s="346"/>
    </row>
    <row r="431">
      <c r="A431" s="339"/>
      <c r="B431" s="313"/>
      <c r="C431" s="314"/>
      <c r="D431" s="315" t="str">
        <f t="shared" si="35"/>
        <v/>
      </c>
      <c r="E431" s="315" t="str">
        <f t="shared" si="36"/>
        <v/>
      </c>
      <c r="F431" s="316"/>
      <c r="G431" s="317"/>
      <c r="H431" s="318"/>
      <c r="I431" s="318"/>
      <c r="J431" s="318"/>
      <c r="K431" s="319">
        <f t="shared" si="39"/>
        <v>0</v>
      </c>
      <c r="L431" s="320" t="str">
        <f t="shared" si="34"/>
        <v/>
      </c>
      <c r="T431" s="344"/>
      <c r="U431" s="345"/>
      <c r="V431" s="346"/>
    </row>
    <row r="432">
      <c r="A432" s="339"/>
      <c r="B432" s="313"/>
      <c r="C432" s="314"/>
      <c r="D432" s="315" t="str">
        <f t="shared" si="35"/>
        <v/>
      </c>
      <c r="E432" s="315" t="str">
        <f t="shared" si="36"/>
        <v/>
      </c>
      <c r="F432" s="316"/>
      <c r="G432" s="317"/>
      <c r="H432" s="318"/>
      <c r="I432" s="318"/>
      <c r="J432" s="318"/>
      <c r="K432" s="319">
        <f t="shared" si="39"/>
        <v>0</v>
      </c>
      <c r="L432" s="320" t="str">
        <f t="shared" si="34"/>
        <v/>
      </c>
      <c r="T432" s="344"/>
      <c r="U432" s="345"/>
      <c r="V432" s="346"/>
    </row>
    <row r="433">
      <c r="A433" s="339"/>
      <c r="B433" s="313"/>
      <c r="C433" s="314"/>
      <c r="D433" s="315" t="str">
        <f t="shared" si="35"/>
        <v/>
      </c>
      <c r="E433" s="315" t="str">
        <f t="shared" si="36"/>
        <v/>
      </c>
      <c r="F433" s="316"/>
      <c r="G433" s="317"/>
      <c r="H433" s="318"/>
      <c r="I433" s="318"/>
      <c r="J433" s="318"/>
      <c r="K433" s="319">
        <f t="shared" si="39"/>
        <v>0</v>
      </c>
      <c r="L433" s="320" t="str">
        <f t="shared" si="34"/>
        <v/>
      </c>
      <c r="T433" s="344"/>
      <c r="U433" s="345"/>
      <c r="V433" s="346"/>
    </row>
    <row r="434">
      <c r="A434" s="339"/>
      <c r="B434" s="313"/>
      <c r="C434" s="314"/>
      <c r="D434" s="315" t="str">
        <f t="shared" si="35"/>
        <v/>
      </c>
      <c r="E434" s="315" t="str">
        <f t="shared" si="36"/>
        <v/>
      </c>
      <c r="F434" s="316"/>
      <c r="G434" s="317"/>
      <c r="H434" s="318"/>
      <c r="I434" s="318"/>
      <c r="J434" s="318"/>
      <c r="K434" s="319">
        <f t="shared" si="39"/>
        <v>0</v>
      </c>
      <c r="L434" s="320" t="str">
        <f t="shared" si="34"/>
        <v/>
      </c>
      <c r="T434" s="344"/>
      <c r="U434" s="345"/>
      <c r="V434" s="346"/>
    </row>
    <row r="435">
      <c r="A435" s="339"/>
      <c r="B435" s="313"/>
      <c r="C435" s="314"/>
      <c r="D435" s="315" t="str">
        <f t="shared" si="35"/>
        <v/>
      </c>
      <c r="E435" s="315" t="str">
        <f t="shared" si="36"/>
        <v/>
      </c>
      <c r="F435" s="316"/>
      <c r="G435" s="317"/>
      <c r="H435" s="318"/>
      <c r="I435" s="318"/>
      <c r="J435" s="318"/>
      <c r="K435" s="319">
        <f t="shared" si="39"/>
        <v>0</v>
      </c>
      <c r="L435" s="320" t="str">
        <f t="shared" si="34"/>
        <v/>
      </c>
      <c r="T435" s="344"/>
      <c r="U435" s="345"/>
      <c r="V435" s="346"/>
    </row>
    <row r="436">
      <c r="A436" s="339"/>
      <c r="B436" s="313"/>
      <c r="C436" s="314"/>
      <c r="D436" s="315" t="str">
        <f t="shared" si="35"/>
        <v/>
      </c>
      <c r="E436" s="315" t="str">
        <f t="shared" si="36"/>
        <v/>
      </c>
      <c r="F436" s="316"/>
      <c r="G436" s="317"/>
      <c r="H436" s="318"/>
      <c r="I436" s="318"/>
      <c r="J436" s="318"/>
      <c r="K436" s="319">
        <f t="shared" si="39"/>
        <v>0</v>
      </c>
      <c r="L436" s="320" t="str">
        <f t="shared" si="34"/>
        <v/>
      </c>
      <c r="T436" s="344"/>
      <c r="U436" s="345"/>
      <c r="V436" s="346"/>
    </row>
    <row r="437">
      <c r="A437" s="339"/>
      <c r="B437" s="313"/>
      <c r="C437" s="314"/>
      <c r="D437" s="315" t="str">
        <f t="shared" si="35"/>
        <v/>
      </c>
      <c r="E437" s="315" t="str">
        <f t="shared" si="36"/>
        <v/>
      </c>
      <c r="F437" s="316"/>
      <c r="G437" s="316"/>
      <c r="H437" s="318"/>
      <c r="I437" s="318"/>
      <c r="J437" s="318"/>
      <c r="K437" s="319">
        <f t="shared" si="39"/>
        <v>0</v>
      </c>
      <c r="L437" s="320" t="str">
        <f t="shared" si="34"/>
        <v/>
      </c>
      <c r="T437" s="344"/>
      <c r="U437" s="345"/>
      <c r="V437" s="346"/>
    </row>
    <row r="438">
      <c r="A438" s="339"/>
      <c r="B438" s="313"/>
      <c r="C438" s="314"/>
      <c r="D438" s="315" t="str">
        <f t="shared" si="35"/>
        <v/>
      </c>
      <c r="E438" s="315" t="str">
        <f t="shared" si="36"/>
        <v/>
      </c>
      <c r="F438" s="316"/>
      <c r="G438" s="317"/>
      <c r="H438" s="318"/>
      <c r="I438" s="318"/>
      <c r="J438" s="318"/>
      <c r="K438" s="319">
        <f t="shared" si="39"/>
        <v>0</v>
      </c>
      <c r="L438" s="320" t="str">
        <f t="shared" si="34"/>
        <v/>
      </c>
      <c r="T438" s="344"/>
      <c r="U438" s="345"/>
      <c r="V438" s="346"/>
    </row>
    <row r="439">
      <c r="A439" s="339"/>
      <c r="B439" s="313"/>
      <c r="C439" s="314"/>
      <c r="D439" s="315" t="str">
        <f t="shared" si="35"/>
        <v/>
      </c>
      <c r="E439" s="315" t="str">
        <f t="shared" si="36"/>
        <v/>
      </c>
      <c r="F439" s="318"/>
      <c r="G439" s="318"/>
      <c r="H439" s="318"/>
      <c r="I439" s="318"/>
      <c r="J439" s="318"/>
      <c r="K439" s="319">
        <f t="shared" si="39"/>
        <v>0</v>
      </c>
      <c r="L439" s="320" t="str">
        <f t="shared" si="34"/>
        <v/>
      </c>
      <c r="M439" s="239"/>
      <c r="T439" s="344"/>
      <c r="U439" s="345"/>
      <c r="V439" s="346"/>
    </row>
    <row r="440">
      <c r="A440" s="339"/>
      <c r="B440" s="313"/>
      <c r="C440" s="314"/>
      <c r="D440" s="315" t="str">
        <f t="shared" si="35"/>
        <v/>
      </c>
      <c r="E440" s="315" t="str">
        <f t="shared" si="36"/>
        <v/>
      </c>
      <c r="F440" s="318"/>
      <c r="G440" s="318"/>
      <c r="H440" s="318"/>
      <c r="I440" s="318"/>
      <c r="J440" s="318"/>
      <c r="K440" s="319">
        <f t="shared" si="39"/>
        <v>0</v>
      </c>
      <c r="L440" s="320" t="str">
        <f t="shared" si="34"/>
        <v/>
      </c>
      <c r="M440" s="239"/>
      <c r="T440" s="344"/>
      <c r="U440" s="345"/>
      <c r="V440" s="346"/>
    </row>
    <row r="441">
      <c r="A441" s="339"/>
      <c r="B441" s="313"/>
      <c r="C441" s="314"/>
      <c r="D441" s="315" t="str">
        <f t="shared" si="35"/>
        <v/>
      </c>
      <c r="E441" s="315" t="str">
        <f t="shared" si="36"/>
        <v/>
      </c>
      <c r="F441" s="316"/>
      <c r="G441" s="317"/>
      <c r="H441" s="318"/>
      <c r="I441" s="318"/>
      <c r="J441" s="318"/>
      <c r="K441" s="319">
        <f t="shared" si="39"/>
        <v>0</v>
      </c>
      <c r="L441" s="320" t="str">
        <f t="shared" si="34"/>
        <v/>
      </c>
      <c r="T441" s="344"/>
      <c r="U441" s="345"/>
      <c r="V441" s="346"/>
    </row>
    <row r="442">
      <c r="A442" s="339"/>
      <c r="B442" s="313"/>
      <c r="C442" s="314"/>
      <c r="D442" s="315" t="str">
        <f t="shared" si="35"/>
        <v/>
      </c>
      <c r="E442" s="315" t="str">
        <f t="shared" si="36"/>
        <v/>
      </c>
      <c r="F442" s="316"/>
      <c r="G442" s="317"/>
      <c r="H442" s="318"/>
      <c r="I442" s="318"/>
      <c r="J442" s="318"/>
      <c r="K442" s="319">
        <f t="shared" si="39"/>
        <v>0</v>
      </c>
      <c r="L442" s="320" t="str">
        <f t="shared" si="34"/>
        <v/>
      </c>
      <c r="T442" s="344"/>
      <c r="U442" s="345"/>
      <c r="V442" s="346"/>
    </row>
    <row r="443">
      <c r="A443" s="339"/>
      <c r="B443" s="313"/>
      <c r="C443" s="314"/>
      <c r="D443" s="315" t="str">
        <f t="shared" si="35"/>
        <v/>
      </c>
      <c r="E443" s="315" t="str">
        <f t="shared" si="36"/>
        <v/>
      </c>
      <c r="F443" s="316"/>
      <c r="G443" s="317"/>
      <c r="H443" s="318"/>
      <c r="I443" s="318"/>
      <c r="J443" s="318"/>
      <c r="K443" s="319">
        <f t="shared" si="39"/>
        <v>0</v>
      </c>
      <c r="L443" s="320" t="str">
        <f t="shared" si="34"/>
        <v/>
      </c>
      <c r="T443" s="344"/>
      <c r="U443" s="345"/>
      <c r="V443" s="346"/>
    </row>
    <row r="444">
      <c r="A444" s="339"/>
      <c r="B444" s="313"/>
      <c r="C444" s="314"/>
      <c r="D444" s="315" t="str">
        <f t="shared" si="35"/>
        <v/>
      </c>
      <c r="E444" s="315" t="str">
        <f t="shared" si="36"/>
        <v/>
      </c>
      <c r="F444" s="316"/>
      <c r="G444" s="317"/>
      <c r="H444" s="318"/>
      <c r="I444" s="318"/>
      <c r="J444" s="318"/>
      <c r="K444" s="319">
        <f t="shared" si="39"/>
        <v>0</v>
      </c>
      <c r="L444" s="320" t="str">
        <f t="shared" si="34"/>
        <v/>
      </c>
      <c r="T444" s="344"/>
      <c r="U444" s="345"/>
      <c r="V444" s="346"/>
    </row>
    <row r="445">
      <c r="A445" s="339"/>
      <c r="B445" s="313"/>
      <c r="C445" s="314"/>
      <c r="D445" s="315" t="str">
        <f t="shared" si="35"/>
        <v/>
      </c>
      <c r="E445" s="315" t="str">
        <f t="shared" si="36"/>
        <v/>
      </c>
      <c r="F445" s="316"/>
      <c r="G445" s="317"/>
      <c r="H445" s="318"/>
      <c r="I445" s="318"/>
      <c r="J445" s="318"/>
      <c r="K445" s="319">
        <f t="shared" si="39"/>
        <v>0</v>
      </c>
      <c r="L445" s="320" t="str">
        <f t="shared" si="34"/>
        <v/>
      </c>
      <c r="T445" s="344"/>
      <c r="U445" s="345"/>
      <c r="V445" s="346"/>
    </row>
    <row r="446">
      <c r="A446" s="339"/>
      <c r="B446" s="313"/>
      <c r="C446" s="314"/>
      <c r="D446" s="315" t="str">
        <f t="shared" si="35"/>
        <v/>
      </c>
      <c r="E446" s="315" t="str">
        <f t="shared" si="36"/>
        <v/>
      </c>
      <c r="F446" s="316"/>
      <c r="G446" s="317"/>
      <c r="H446" s="318"/>
      <c r="I446" s="318"/>
      <c r="J446" s="318"/>
      <c r="K446" s="319">
        <f t="shared" si="39"/>
        <v>0</v>
      </c>
      <c r="L446" s="320" t="str">
        <f t="shared" si="34"/>
        <v/>
      </c>
      <c r="T446" s="344"/>
      <c r="U446" s="345"/>
      <c r="V446" s="346"/>
    </row>
    <row r="447">
      <c r="A447" s="339"/>
      <c r="B447" s="313"/>
      <c r="C447" s="314"/>
      <c r="D447" s="315" t="str">
        <f t="shared" si="35"/>
        <v/>
      </c>
      <c r="E447" s="315" t="str">
        <f t="shared" si="36"/>
        <v/>
      </c>
      <c r="F447" s="316"/>
      <c r="G447" s="317"/>
      <c r="H447" s="318"/>
      <c r="I447" s="318"/>
      <c r="J447" s="318"/>
      <c r="K447" s="319">
        <f t="shared" si="39"/>
        <v>0</v>
      </c>
      <c r="L447" s="320" t="str">
        <f t="shared" si="34"/>
        <v/>
      </c>
      <c r="T447" s="344"/>
      <c r="U447" s="345"/>
      <c r="V447" s="346"/>
    </row>
    <row r="448">
      <c r="A448" s="339"/>
      <c r="B448" s="313"/>
      <c r="C448" s="314"/>
      <c r="D448" s="315" t="str">
        <f t="shared" si="35"/>
        <v/>
      </c>
      <c r="E448" s="315" t="str">
        <f t="shared" si="36"/>
        <v/>
      </c>
      <c r="F448" s="316"/>
      <c r="G448" s="317"/>
      <c r="H448" s="318"/>
      <c r="I448" s="318"/>
      <c r="J448" s="318"/>
      <c r="K448" s="319">
        <f t="shared" si="39"/>
        <v>0</v>
      </c>
      <c r="L448" s="320" t="str">
        <f t="shared" si="34"/>
        <v/>
      </c>
      <c r="T448" s="344"/>
      <c r="U448" s="345"/>
      <c r="V448" s="346"/>
    </row>
    <row r="449">
      <c r="A449" s="339"/>
      <c r="B449" s="313"/>
      <c r="C449" s="314"/>
      <c r="D449" s="315" t="str">
        <f t="shared" si="35"/>
        <v/>
      </c>
      <c r="E449" s="315" t="str">
        <f t="shared" si="36"/>
        <v/>
      </c>
      <c r="F449" s="316"/>
      <c r="G449" s="317"/>
      <c r="H449" s="318"/>
      <c r="I449" s="318"/>
      <c r="J449" s="318"/>
      <c r="K449" s="319">
        <f t="shared" si="39"/>
        <v>0</v>
      </c>
      <c r="L449" s="320" t="str">
        <f t="shared" si="34"/>
        <v/>
      </c>
      <c r="T449" s="344"/>
      <c r="U449" s="345"/>
      <c r="V449" s="346"/>
    </row>
    <row r="450">
      <c r="A450" s="339"/>
      <c r="B450" s="313"/>
      <c r="C450" s="314"/>
      <c r="D450" s="315" t="str">
        <f t="shared" si="35"/>
        <v/>
      </c>
      <c r="E450" s="315" t="str">
        <f t="shared" si="36"/>
        <v/>
      </c>
      <c r="F450" s="316"/>
      <c r="G450" s="317"/>
      <c r="H450" s="318"/>
      <c r="I450" s="318"/>
      <c r="J450" s="318"/>
      <c r="K450" s="319">
        <f t="shared" si="39"/>
        <v>0</v>
      </c>
      <c r="L450" s="320" t="str">
        <f t="shared" si="34"/>
        <v/>
      </c>
      <c r="M450" s="239"/>
      <c r="T450" s="344"/>
      <c r="U450" s="345"/>
      <c r="V450" s="346"/>
    </row>
    <row r="451">
      <c r="A451" s="339"/>
      <c r="B451" s="313"/>
      <c r="C451" s="314"/>
      <c r="D451" s="315" t="str">
        <f t="shared" si="35"/>
        <v/>
      </c>
      <c r="E451" s="315" t="str">
        <f t="shared" si="36"/>
        <v/>
      </c>
      <c r="F451" s="316"/>
      <c r="G451" s="317"/>
      <c r="H451" s="318"/>
      <c r="I451" s="318"/>
      <c r="J451" s="318"/>
      <c r="K451" s="319">
        <f t="shared" si="39"/>
        <v>0</v>
      </c>
      <c r="L451" s="320" t="str">
        <f t="shared" si="34"/>
        <v/>
      </c>
      <c r="T451" s="344"/>
      <c r="U451" s="345"/>
      <c r="V451" s="346"/>
    </row>
    <row r="452">
      <c r="A452" s="339"/>
      <c r="B452" s="313"/>
      <c r="C452" s="314"/>
      <c r="D452" s="315" t="str">
        <f t="shared" si="35"/>
        <v/>
      </c>
      <c r="E452" s="315" t="str">
        <f t="shared" si="36"/>
        <v/>
      </c>
      <c r="F452" s="316"/>
      <c r="G452" s="317"/>
      <c r="H452" s="318"/>
      <c r="I452" s="318"/>
      <c r="J452" s="318"/>
      <c r="K452" s="319">
        <f t="shared" si="39"/>
        <v>0</v>
      </c>
      <c r="L452" s="320" t="str">
        <f t="shared" si="34"/>
        <v/>
      </c>
      <c r="T452" s="344"/>
      <c r="U452" s="345"/>
      <c r="V452" s="346"/>
    </row>
    <row r="453">
      <c r="A453" s="339"/>
      <c r="B453" s="313"/>
      <c r="C453" s="314"/>
      <c r="D453" s="315" t="str">
        <f t="shared" si="35"/>
        <v/>
      </c>
      <c r="E453" s="315" t="str">
        <f t="shared" si="36"/>
        <v/>
      </c>
      <c r="F453" s="316"/>
      <c r="G453" s="317"/>
      <c r="H453" s="318"/>
      <c r="I453" s="318"/>
      <c r="J453" s="318"/>
      <c r="K453" s="319">
        <f t="shared" si="39"/>
        <v>0</v>
      </c>
      <c r="L453" s="320" t="str">
        <f t="shared" si="34"/>
        <v/>
      </c>
      <c r="T453" s="344"/>
      <c r="U453" s="345"/>
      <c r="V453" s="346"/>
    </row>
    <row r="454">
      <c r="A454" s="339"/>
      <c r="B454" s="313"/>
      <c r="C454" s="314"/>
      <c r="D454" s="315" t="str">
        <f t="shared" si="35"/>
        <v/>
      </c>
      <c r="E454" s="315" t="str">
        <f t="shared" si="36"/>
        <v/>
      </c>
      <c r="F454" s="316"/>
      <c r="G454" s="317"/>
      <c r="H454" s="318"/>
      <c r="I454" s="318"/>
      <c r="J454" s="318"/>
      <c r="K454" s="319">
        <f t="shared" si="39"/>
        <v>0</v>
      </c>
      <c r="L454" s="320" t="str">
        <f t="shared" si="34"/>
        <v/>
      </c>
      <c r="T454" s="344"/>
      <c r="U454" s="345"/>
      <c r="V454" s="346"/>
    </row>
    <row r="455">
      <c r="A455" s="339"/>
      <c r="B455" s="313"/>
      <c r="C455" s="314"/>
      <c r="D455" s="315" t="str">
        <f t="shared" si="35"/>
        <v/>
      </c>
      <c r="E455" s="315" t="str">
        <f t="shared" si="36"/>
        <v/>
      </c>
      <c r="F455" s="316"/>
      <c r="G455" s="317"/>
      <c r="H455" s="318"/>
      <c r="I455" s="318"/>
      <c r="J455" s="318"/>
      <c r="K455" s="319">
        <f t="shared" si="39"/>
        <v>0</v>
      </c>
      <c r="L455" s="320" t="str">
        <f t="shared" si="34"/>
        <v/>
      </c>
      <c r="T455" s="344"/>
      <c r="U455" s="345"/>
      <c r="V455" s="346"/>
    </row>
    <row r="456">
      <c r="A456" s="339"/>
      <c r="B456" s="313"/>
      <c r="C456" s="314"/>
      <c r="D456" s="315" t="str">
        <f t="shared" si="35"/>
        <v/>
      </c>
      <c r="E456" s="315" t="str">
        <f t="shared" si="36"/>
        <v/>
      </c>
      <c r="F456" s="318"/>
      <c r="G456" s="318"/>
      <c r="H456" s="318"/>
      <c r="I456" s="318"/>
      <c r="J456" s="318"/>
      <c r="K456" s="319">
        <f t="shared" si="39"/>
        <v>0</v>
      </c>
      <c r="L456" s="320" t="str">
        <f t="shared" si="34"/>
        <v/>
      </c>
      <c r="M456" s="239"/>
      <c r="T456" s="344"/>
      <c r="U456" s="345"/>
      <c r="V456" s="346"/>
    </row>
    <row r="457">
      <c r="A457" s="339"/>
      <c r="B457" s="313"/>
      <c r="C457" s="314"/>
      <c r="D457" s="315" t="str">
        <f t="shared" si="35"/>
        <v/>
      </c>
      <c r="E457" s="315" t="str">
        <f t="shared" si="36"/>
        <v/>
      </c>
      <c r="F457" s="316"/>
      <c r="G457" s="317"/>
      <c r="H457" s="318"/>
      <c r="I457" s="318"/>
      <c r="J457" s="318"/>
      <c r="K457" s="319">
        <f t="shared" si="39"/>
        <v>0</v>
      </c>
      <c r="L457" s="320" t="str">
        <f t="shared" si="34"/>
        <v/>
      </c>
      <c r="T457" s="344"/>
      <c r="U457" s="345"/>
      <c r="V457" s="346"/>
    </row>
    <row r="458">
      <c r="A458" s="339"/>
      <c r="B458" s="313"/>
      <c r="C458" s="314"/>
      <c r="D458" s="315" t="str">
        <f t="shared" si="35"/>
        <v/>
      </c>
      <c r="E458" s="315" t="str">
        <f t="shared" si="36"/>
        <v/>
      </c>
      <c r="F458" s="316"/>
      <c r="G458" s="317"/>
      <c r="H458" s="318"/>
      <c r="I458" s="318"/>
      <c r="J458" s="318"/>
      <c r="K458" s="319">
        <f t="shared" si="39"/>
        <v>0</v>
      </c>
      <c r="L458" s="320" t="str">
        <f t="shared" si="34"/>
        <v/>
      </c>
      <c r="T458" s="344"/>
      <c r="U458" s="345"/>
      <c r="V458" s="346"/>
    </row>
    <row r="459">
      <c r="A459" s="339"/>
      <c r="B459" s="313"/>
      <c r="C459" s="314"/>
      <c r="D459" s="315" t="str">
        <f t="shared" si="35"/>
        <v/>
      </c>
      <c r="E459" s="315" t="str">
        <f t="shared" si="36"/>
        <v/>
      </c>
      <c r="F459" s="316"/>
      <c r="G459" s="316"/>
      <c r="H459" s="316"/>
      <c r="I459" s="316"/>
      <c r="J459" s="316"/>
      <c r="K459" s="319">
        <f t="shared" si="39"/>
        <v>0</v>
      </c>
      <c r="L459" s="320" t="str">
        <f t="shared" si="34"/>
        <v/>
      </c>
      <c r="M459" s="239"/>
      <c r="T459" s="344"/>
      <c r="U459" s="345"/>
      <c r="V459" s="346"/>
    </row>
    <row r="460">
      <c r="A460" s="339"/>
      <c r="B460" s="313"/>
      <c r="C460" s="314"/>
      <c r="D460" s="315" t="str">
        <f t="shared" si="35"/>
        <v/>
      </c>
      <c r="E460" s="315" t="str">
        <f t="shared" si="36"/>
        <v/>
      </c>
      <c r="F460" s="316"/>
      <c r="G460" s="317"/>
      <c r="H460" s="318"/>
      <c r="I460" s="318"/>
      <c r="J460" s="318"/>
      <c r="K460" s="319">
        <f t="shared" si="39"/>
        <v>0</v>
      </c>
      <c r="L460" s="320" t="str">
        <f t="shared" si="34"/>
        <v/>
      </c>
      <c r="T460" s="344"/>
      <c r="U460" s="345"/>
      <c r="V460" s="346"/>
    </row>
    <row r="461">
      <c r="A461" s="339"/>
      <c r="B461" s="313"/>
      <c r="C461" s="314"/>
      <c r="D461" s="315" t="str">
        <f t="shared" si="35"/>
        <v/>
      </c>
      <c r="E461" s="315" t="str">
        <f t="shared" si="36"/>
        <v/>
      </c>
      <c r="F461" s="316"/>
      <c r="G461" s="317"/>
      <c r="H461" s="318"/>
      <c r="I461" s="318"/>
      <c r="J461" s="318"/>
      <c r="K461" s="319">
        <f t="shared" si="39"/>
        <v>0</v>
      </c>
      <c r="L461" s="320" t="str">
        <f t="shared" si="34"/>
        <v/>
      </c>
      <c r="T461" s="344"/>
      <c r="U461" s="345"/>
      <c r="V461" s="346"/>
    </row>
    <row r="462">
      <c r="A462" s="339"/>
      <c r="B462" s="313"/>
      <c r="C462" s="314"/>
      <c r="D462" s="315" t="str">
        <f t="shared" si="35"/>
        <v/>
      </c>
      <c r="E462" s="315" t="str">
        <f t="shared" si="36"/>
        <v/>
      </c>
      <c r="F462" s="316"/>
      <c r="G462" s="317"/>
      <c r="H462" s="318"/>
      <c r="I462" s="318"/>
      <c r="J462" s="318"/>
      <c r="K462" s="319">
        <f t="shared" si="39"/>
        <v>0</v>
      </c>
      <c r="L462" s="320" t="str">
        <f t="shared" si="34"/>
        <v/>
      </c>
      <c r="T462" s="344"/>
      <c r="U462" s="345"/>
      <c r="V462" s="346"/>
    </row>
    <row r="463">
      <c r="A463" s="339"/>
      <c r="B463" s="313"/>
      <c r="C463" s="314"/>
      <c r="D463" s="315" t="str">
        <f t="shared" si="35"/>
        <v/>
      </c>
      <c r="E463" s="315" t="str">
        <f t="shared" si="36"/>
        <v/>
      </c>
      <c r="F463" s="316"/>
      <c r="G463" s="317"/>
      <c r="H463" s="318"/>
      <c r="I463" s="318"/>
      <c r="J463" s="318"/>
      <c r="K463" s="319">
        <f t="shared" si="39"/>
        <v>0</v>
      </c>
      <c r="L463" s="320" t="str">
        <f t="shared" si="34"/>
        <v/>
      </c>
      <c r="T463" s="344"/>
      <c r="U463" s="345"/>
      <c r="V463" s="346"/>
    </row>
    <row r="464">
      <c r="A464" s="339"/>
      <c r="B464" s="313"/>
      <c r="C464" s="314"/>
      <c r="D464" s="315" t="str">
        <f t="shared" si="35"/>
        <v/>
      </c>
      <c r="E464" s="315" t="str">
        <f t="shared" si="36"/>
        <v/>
      </c>
      <c r="F464" s="316"/>
      <c r="G464" s="317"/>
      <c r="H464" s="318"/>
      <c r="I464" s="318"/>
      <c r="J464" s="318"/>
      <c r="K464" s="319">
        <f t="shared" si="39"/>
        <v>0</v>
      </c>
      <c r="L464" s="320" t="str">
        <f t="shared" si="34"/>
        <v/>
      </c>
      <c r="T464" s="344"/>
      <c r="U464" s="345"/>
      <c r="V464" s="346"/>
    </row>
    <row r="465">
      <c r="A465" s="339"/>
      <c r="B465" s="313"/>
      <c r="C465" s="314"/>
      <c r="D465" s="315" t="str">
        <f t="shared" si="35"/>
        <v/>
      </c>
      <c r="E465" s="315" t="str">
        <f t="shared" si="36"/>
        <v/>
      </c>
      <c r="F465" s="316"/>
      <c r="G465" s="317"/>
      <c r="H465" s="318"/>
      <c r="I465" s="318"/>
      <c r="J465" s="318"/>
      <c r="K465" s="319">
        <f t="shared" si="39"/>
        <v>0</v>
      </c>
      <c r="L465" s="320" t="str">
        <f t="shared" si="34"/>
        <v/>
      </c>
      <c r="T465" s="344"/>
      <c r="U465" s="345"/>
      <c r="V465" s="346"/>
    </row>
    <row r="466">
      <c r="A466" s="339"/>
      <c r="B466" s="313"/>
      <c r="C466" s="314"/>
      <c r="D466" s="315" t="str">
        <f t="shared" si="35"/>
        <v/>
      </c>
      <c r="E466" s="315" t="str">
        <f t="shared" si="36"/>
        <v/>
      </c>
      <c r="F466" s="316"/>
      <c r="G466" s="317"/>
      <c r="H466" s="318"/>
      <c r="I466" s="318"/>
      <c r="J466" s="318"/>
      <c r="K466" s="319">
        <f t="shared" si="39"/>
        <v>0</v>
      </c>
      <c r="L466" s="320" t="str">
        <f t="shared" si="34"/>
        <v/>
      </c>
      <c r="T466" s="344"/>
      <c r="U466" s="345"/>
      <c r="V466" s="346"/>
    </row>
    <row r="467">
      <c r="A467" s="339"/>
      <c r="B467" s="313"/>
      <c r="C467" s="314"/>
      <c r="D467" s="315" t="str">
        <f t="shared" si="35"/>
        <v/>
      </c>
      <c r="E467" s="315" t="str">
        <f t="shared" si="36"/>
        <v/>
      </c>
      <c r="F467" s="316"/>
      <c r="G467" s="317"/>
      <c r="H467" s="318"/>
      <c r="I467" s="318"/>
      <c r="J467" s="318"/>
      <c r="K467" s="319">
        <f t="shared" si="39"/>
        <v>0</v>
      </c>
      <c r="L467" s="320" t="str">
        <f t="shared" si="34"/>
        <v/>
      </c>
      <c r="T467" s="344"/>
      <c r="U467" s="345"/>
      <c r="V467" s="346"/>
    </row>
    <row r="468">
      <c r="A468" s="339"/>
      <c r="B468" s="313"/>
      <c r="C468" s="314"/>
      <c r="D468" s="315" t="str">
        <f t="shared" si="35"/>
        <v/>
      </c>
      <c r="E468" s="315" t="str">
        <f t="shared" si="36"/>
        <v/>
      </c>
      <c r="F468" s="316"/>
      <c r="G468" s="317"/>
      <c r="H468" s="318"/>
      <c r="I468" s="318"/>
      <c r="J468" s="318"/>
      <c r="K468" s="319">
        <f t="shared" si="39"/>
        <v>0</v>
      </c>
      <c r="L468" s="320" t="str">
        <f t="shared" si="34"/>
        <v/>
      </c>
      <c r="T468" s="344"/>
      <c r="U468" s="345"/>
      <c r="V468" s="346"/>
    </row>
    <row r="469">
      <c r="A469" s="339"/>
      <c r="B469" s="313"/>
      <c r="C469" s="314"/>
      <c r="D469" s="315" t="str">
        <f t="shared" si="35"/>
        <v/>
      </c>
      <c r="E469" s="315" t="str">
        <f t="shared" si="36"/>
        <v/>
      </c>
      <c r="F469" s="318"/>
      <c r="G469" s="318"/>
      <c r="H469" s="318"/>
      <c r="I469" s="318"/>
      <c r="J469" s="318"/>
      <c r="K469" s="319">
        <f t="shared" si="39"/>
        <v>0</v>
      </c>
      <c r="L469" s="320" t="str">
        <f t="shared" si="34"/>
        <v/>
      </c>
      <c r="M469" s="239"/>
      <c r="T469" s="344"/>
      <c r="U469" s="345"/>
      <c r="V469" s="346"/>
    </row>
    <row r="470">
      <c r="A470" s="339"/>
      <c r="B470" s="313"/>
      <c r="C470" s="314"/>
      <c r="D470" s="315" t="str">
        <f t="shared" si="35"/>
        <v/>
      </c>
      <c r="E470" s="315" t="str">
        <f t="shared" si="36"/>
        <v/>
      </c>
      <c r="F470" s="316"/>
      <c r="G470" s="317"/>
      <c r="H470" s="318"/>
      <c r="I470" s="318"/>
      <c r="J470" s="318"/>
      <c r="K470" s="319">
        <f t="shared" si="39"/>
        <v>0</v>
      </c>
      <c r="L470" s="320" t="str">
        <f t="shared" si="34"/>
        <v/>
      </c>
      <c r="T470" s="344"/>
      <c r="U470" s="345"/>
      <c r="V470" s="346"/>
    </row>
    <row r="471">
      <c r="A471" s="339"/>
      <c r="B471" s="313"/>
      <c r="C471" s="314"/>
      <c r="D471" s="315" t="str">
        <f t="shared" si="35"/>
        <v/>
      </c>
      <c r="E471" s="315" t="str">
        <f t="shared" si="36"/>
        <v/>
      </c>
      <c r="F471" s="316"/>
      <c r="G471" s="316"/>
      <c r="H471" s="318"/>
      <c r="I471" s="318"/>
      <c r="J471" s="318"/>
      <c r="K471" s="319">
        <f t="shared" si="39"/>
        <v>0</v>
      </c>
      <c r="L471" s="320" t="str">
        <f t="shared" si="34"/>
        <v/>
      </c>
      <c r="M471" s="239"/>
      <c r="T471" s="344"/>
      <c r="U471" s="345"/>
      <c r="V471" s="346"/>
    </row>
    <row r="472">
      <c r="A472" s="339"/>
      <c r="B472" s="313"/>
      <c r="C472" s="314"/>
      <c r="D472" s="315" t="str">
        <f t="shared" si="35"/>
        <v/>
      </c>
      <c r="E472" s="315" t="str">
        <f t="shared" si="36"/>
        <v/>
      </c>
      <c r="F472" s="316"/>
      <c r="G472" s="317"/>
      <c r="H472" s="318"/>
      <c r="I472" s="318"/>
      <c r="J472" s="318"/>
      <c r="K472" s="319">
        <f t="shared" si="39"/>
        <v>0</v>
      </c>
      <c r="L472" s="320" t="str">
        <f t="shared" si="34"/>
        <v/>
      </c>
      <c r="T472" s="344"/>
      <c r="U472" s="345"/>
      <c r="V472" s="346"/>
    </row>
    <row r="473">
      <c r="A473" s="339"/>
      <c r="B473" s="313"/>
      <c r="C473" s="314"/>
      <c r="D473" s="315" t="str">
        <f t="shared" si="35"/>
        <v/>
      </c>
      <c r="E473" s="315" t="str">
        <f t="shared" si="36"/>
        <v/>
      </c>
      <c r="F473" s="316"/>
      <c r="G473" s="317"/>
      <c r="H473" s="318"/>
      <c r="I473" s="318"/>
      <c r="J473" s="318"/>
      <c r="K473" s="319">
        <f t="shared" si="39"/>
        <v>0</v>
      </c>
      <c r="L473" s="320" t="str">
        <f t="shared" si="34"/>
        <v/>
      </c>
      <c r="T473" s="344"/>
      <c r="U473" s="345"/>
      <c r="V473" s="346"/>
    </row>
    <row r="474">
      <c r="A474" s="339"/>
      <c r="B474" s="313"/>
      <c r="C474" s="314"/>
      <c r="D474" s="315" t="str">
        <f t="shared" si="35"/>
        <v/>
      </c>
      <c r="E474" s="315" t="str">
        <f t="shared" si="36"/>
        <v/>
      </c>
      <c r="F474" s="318"/>
      <c r="G474" s="318"/>
      <c r="H474" s="318"/>
      <c r="I474" s="318"/>
      <c r="J474" s="318"/>
      <c r="K474" s="319">
        <f t="shared" si="39"/>
        <v>0</v>
      </c>
      <c r="L474" s="320" t="str">
        <f t="shared" si="34"/>
        <v/>
      </c>
      <c r="M474" s="239"/>
      <c r="T474" s="344"/>
      <c r="U474" s="345"/>
      <c r="V474" s="346"/>
    </row>
    <row r="475">
      <c r="A475" s="339"/>
      <c r="B475" s="313"/>
      <c r="C475" s="314"/>
      <c r="D475" s="315" t="str">
        <f t="shared" si="35"/>
        <v/>
      </c>
      <c r="E475" s="315" t="str">
        <f t="shared" si="36"/>
        <v/>
      </c>
      <c r="F475" s="316"/>
      <c r="G475" s="317"/>
      <c r="H475" s="318"/>
      <c r="I475" s="318"/>
      <c r="J475" s="318"/>
      <c r="K475" s="319">
        <f t="shared" si="39"/>
        <v>0</v>
      </c>
      <c r="L475" s="320" t="str">
        <f t="shared" si="34"/>
        <v/>
      </c>
      <c r="T475" s="344"/>
      <c r="U475" s="345"/>
      <c r="V475" s="346"/>
    </row>
    <row r="476">
      <c r="A476" s="339"/>
      <c r="B476" s="313"/>
      <c r="C476" s="314"/>
      <c r="D476" s="315" t="str">
        <f t="shared" si="35"/>
        <v/>
      </c>
      <c r="E476" s="315" t="str">
        <f t="shared" si="36"/>
        <v/>
      </c>
      <c r="F476" s="316"/>
      <c r="G476" s="317"/>
      <c r="H476" s="318"/>
      <c r="I476" s="318"/>
      <c r="J476" s="318"/>
      <c r="K476" s="319">
        <f t="shared" si="39"/>
        <v>0</v>
      </c>
      <c r="L476" s="320" t="str">
        <f t="shared" si="34"/>
        <v/>
      </c>
      <c r="T476" s="344"/>
      <c r="U476" s="345"/>
      <c r="V476" s="346"/>
    </row>
    <row r="477">
      <c r="A477" s="339"/>
      <c r="B477" s="313"/>
      <c r="C477" s="314"/>
      <c r="D477" s="315" t="str">
        <f t="shared" si="35"/>
        <v/>
      </c>
      <c r="E477" s="315" t="str">
        <f t="shared" si="36"/>
        <v/>
      </c>
      <c r="F477" s="316"/>
      <c r="G477" s="317"/>
      <c r="H477" s="318"/>
      <c r="I477" s="318"/>
      <c r="J477" s="318"/>
      <c r="K477" s="319">
        <f t="shared" si="39"/>
        <v>0</v>
      </c>
      <c r="L477" s="320" t="str">
        <f t="shared" si="34"/>
        <v/>
      </c>
      <c r="T477" s="344"/>
      <c r="U477" s="345"/>
      <c r="V477" s="346"/>
    </row>
    <row r="478">
      <c r="A478" s="339"/>
      <c r="B478" s="313"/>
      <c r="C478" s="314"/>
      <c r="D478" s="315" t="str">
        <f t="shared" si="35"/>
        <v/>
      </c>
      <c r="E478" s="315" t="str">
        <f t="shared" si="36"/>
        <v/>
      </c>
      <c r="F478" s="316"/>
      <c r="G478" s="317"/>
      <c r="H478" s="318"/>
      <c r="I478" s="318"/>
      <c r="J478" s="318"/>
      <c r="K478" s="319">
        <f t="shared" si="39"/>
        <v>0</v>
      </c>
      <c r="L478" s="320" t="str">
        <f t="shared" si="34"/>
        <v/>
      </c>
      <c r="T478" s="344"/>
      <c r="U478" s="345"/>
      <c r="V478" s="346"/>
    </row>
    <row r="479">
      <c r="A479" s="339"/>
      <c r="B479" s="313"/>
      <c r="C479" s="314"/>
      <c r="D479" s="315" t="str">
        <f t="shared" si="35"/>
        <v/>
      </c>
      <c r="E479" s="315" t="str">
        <f t="shared" si="36"/>
        <v/>
      </c>
      <c r="F479" s="316"/>
      <c r="G479" s="317"/>
      <c r="H479" s="318"/>
      <c r="I479" s="318"/>
      <c r="J479" s="318"/>
      <c r="K479" s="319">
        <f t="shared" si="39"/>
        <v>0</v>
      </c>
      <c r="L479" s="320" t="str">
        <f t="shared" si="34"/>
        <v/>
      </c>
      <c r="T479" s="344"/>
      <c r="U479" s="345"/>
      <c r="V479" s="346"/>
    </row>
    <row r="480">
      <c r="A480" s="339"/>
      <c r="B480" s="313"/>
      <c r="C480" s="314"/>
      <c r="D480" s="315" t="str">
        <f t="shared" si="35"/>
        <v/>
      </c>
      <c r="E480" s="315" t="str">
        <f t="shared" si="36"/>
        <v/>
      </c>
      <c r="F480" s="316"/>
      <c r="G480" s="317"/>
      <c r="H480" s="318"/>
      <c r="I480" s="318"/>
      <c r="J480" s="318"/>
      <c r="K480" s="319">
        <f t="shared" si="39"/>
        <v>0</v>
      </c>
      <c r="L480" s="320" t="str">
        <f t="shared" si="34"/>
        <v/>
      </c>
      <c r="T480" s="344"/>
      <c r="U480" s="345"/>
      <c r="V480" s="346"/>
    </row>
    <row r="481">
      <c r="A481" s="339"/>
      <c r="B481" s="313"/>
      <c r="C481" s="314"/>
      <c r="D481" s="315" t="str">
        <f t="shared" si="35"/>
        <v/>
      </c>
      <c r="E481" s="315" t="str">
        <f t="shared" si="36"/>
        <v/>
      </c>
      <c r="F481" s="318"/>
      <c r="G481" s="318"/>
      <c r="H481" s="318"/>
      <c r="I481" s="318"/>
      <c r="J481" s="318"/>
      <c r="K481" s="319">
        <f t="shared" si="39"/>
        <v>0</v>
      </c>
      <c r="L481" s="320" t="str">
        <f t="shared" si="34"/>
        <v/>
      </c>
      <c r="M481" s="239"/>
      <c r="T481" s="344"/>
      <c r="U481" s="345"/>
      <c r="V481" s="346"/>
    </row>
    <row r="482">
      <c r="A482" s="339"/>
      <c r="B482" s="313"/>
      <c r="C482" s="314"/>
      <c r="D482" s="315" t="str">
        <f t="shared" si="35"/>
        <v/>
      </c>
      <c r="E482" s="315" t="str">
        <f t="shared" si="36"/>
        <v/>
      </c>
      <c r="F482" s="316"/>
      <c r="G482" s="317"/>
      <c r="H482" s="318"/>
      <c r="I482" s="318"/>
      <c r="J482" s="318"/>
      <c r="K482" s="319">
        <f t="shared" si="39"/>
        <v>0</v>
      </c>
      <c r="L482" s="320" t="str">
        <f t="shared" si="34"/>
        <v/>
      </c>
      <c r="T482" s="344"/>
      <c r="U482" s="345"/>
      <c r="V482" s="346"/>
    </row>
    <row r="483">
      <c r="A483" s="339"/>
      <c r="B483" s="313"/>
      <c r="C483" s="314"/>
      <c r="D483" s="315" t="str">
        <f t="shared" si="35"/>
        <v/>
      </c>
      <c r="E483" s="315" t="str">
        <f t="shared" si="36"/>
        <v/>
      </c>
      <c r="F483" s="316"/>
      <c r="G483" s="316"/>
      <c r="H483" s="318"/>
      <c r="I483" s="318"/>
      <c r="J483" s="318"/>
      <c r="K483" s="319">
        <f t="shared" si="39"/>
        <v>0</v>
      </c>
      <c r="L483" s="320" t="str">
        <f t="shared" si="34"/>
        <v/>
      </c>
      <c r="M483" s="239"/>
      <c r="T483" s="344"/>
      <c r="U483" s="345"/>
      <c r="V483" s="346"/>
    </row>
    <row r="484">
      <c r="A484" s="339"/>
      <c r="B484" s="313"/>
      <c r="C484" s="314"/>
      <c r="D484" s="315" t="str">
        <f t="shared" si="35"/>
        <v/>
      </c>
      <c r="E484" s="315" t="str">
        <f t="shared" si="36"/>
        <v/>
      </c>
      <c r="F484" s="318"/>
      <c r="G484" s="318"/>
      <c r="H484" s="318"/>
      <c r="I484" s="318"/>
      <c r="J484" s="318"/>
      <c r="K484" s="319">
        <f t="shared" si="39"/>
        <v>0</v>
      </c>
      <c r="L484" s="320" t="str">
        <f t="shared" si="34"/>
        <v/>
      </c>
      <c r="M484" s="239"/>
      <c r="T484" s="344"/>
      <c r="U484" s="345"/>
      <c r="V484" s="346"/>
    </row>
    <row r="485">
      <c r="A485" s="339"/>
      <c r="B485" s="313"/>
      <c r="C485" s="314"/>
      <c r="D485" s="315" t="str">
        <f t="shared" si="35"/>
        <v/>
      </c>
      <c r="E485" s="315" t="str">
        <f t="shared" si="36"/>
        <v/>
      </c>
      <c r="F485" s="316"/>
      <c r="G485" s="317"/>
      <c r="H485" s="318"/>
      <c r="I485" s="318"/>
      <c r="J485" s="318"/>
      <c r="K485" s="319">
        <f t="shared" si="39"/>
        <v>0</v>
      </c>
      <c r="L485" s="320" t="str">
        <f t="shared" si="34"/>
        <v/>
      </c>
      <c r="T485" s="344"/>
      <c r="U485" s="345"/>
      <c r="V485" s="346"/>
    </row>
    <row r="486">
      <c r="A486" s="339"/>
      <c r="B486" s="313"/>
      <c r="C486" s="314"/>
      <c r="D486" s="315" t="str">
        <f t="shared" si="35"/>
        <v/>
      </c>
      <c r="E486" s="315" t="str">
        <f t="shared" si="36"/>
        <v/>
      </c>
      <c r="F486" s="316"/>
      <c r="G486" s="317"/>
      <c r="H486" s="318"/>
      <c r="I486" s="318"/>
      <c r="J486" s="318"/>
      <c r="K486" s="319">
        <f t="shared" si="39"/>
        <v>0</v>
      </c>
      <c r="L486" s="320" t="str">
        <f t="shared" si="34"/>
        <v/>
      </c>
      <c r="T486" s="344"/>
      <c r="U486" s="345"/>
      <c r="V486" s="346"/>
    </row>
    <row r="487">
      <c r="A487" s="339"/>
      <c r="B487" s="313"/>
      <c r="C487" s="314"/>
      <c r="D487" s="315" t="str">
        <f t="shared" si="35"/>
        <v/>
      </c>
      <c r="E487" s="315" t="str">
        <f t="shared" si="36"/>
        <v/>
      </c>
      <c r="F487" s="316"/>
      <c r="G487" s="317"/>
      <c r="H487" s="318"/>
      <c r="I487" s="318"/>
      <c r="J487" s="318"/>
      <c r="K487" s="319">
        <f t="shared" si="39"/>
        <v>0</v>
      </c>
      <c r="L487" s="320" t="str">
        <f t="shared" si="34"/>
        <v/>
      </c>
      <c r="T487" s="344"/>
      <c r="U487" s="345"/>
      <c r="V487" s="346"/>
    </row>
    <row r="488">
      <c r="A488" s="339"/>
      <c r="B488" s="313"/>
      <c r="C488" s="314"/>
      <c r="D488" s="315" t="str">
        <f t="shared" si="35"/>
        <v/>
      </c>
      <c r="E488" s="315" t="str">
        <f t="shared" si="36"/>
        <v/>
      </c>
      <c r="F488" s="316"/>
      <c r="G488" s="317"/>
      <c r="H488" s="318"/>
      <c r="I488" s="318"/>
      <c r="J488" s="318"/>
      <c r="K488" s="319">
        <f t="shared" si="39"/>
        <v>0</v>
      </c>
      <c r="L488" s="320" t="str">
        <f t="shared" si="34"/>
        <v/>
      </c>
      <c r="T488" s="344"/>
      <c r="U488" s="345"/>
      <c r="V488" s="346"/>
    </row>
    <row r="489">
      <c r="A489" s="339"/>
      <c r="B489" s="313"/>
      <c r="C489" s="314"/>
      <c r="D489" s="315" t="str">
        <f t="shared" si="35"/>
        <v/>
      </c>
      <c r="E489" s="315" t="str">
        <f t="shared" si="36"/>
        <v/>
      </c>
      <c r="F489" s="316"/>
      <c r="G489" s="317"/>
      <c r="H489" s="318"/>
      <c r="I489" s="318"/>
      <c r="J489" s="318"/>
      <c r="K489" s="319">
        <f t="shared" si="39"/>
        <v>0</v>
      </c>
      <c r="L489" s="320" t="str">
        <f t="shared" si="34"/>
        <v/>
      </c>
      <c r="M489" s="239"/>
      <c r="T489" s="344"/>
      <c r="U489" s="345"/>
      <c r="V489" s="346"/>
    </row>
    <row r="490">
      <c r="A490" s="339"/>
      <c r="B490" s="313"/>
      <c r="C490" s="314"/>
      <c r="D490" s="315" t="str">
        <f t="shared" si="35"/>
        <v/>
      </c>
      <c r="E490" s="315" t="str">
        <f t="shared" si="36"/>
        <v/>
      </c>
      <c r="F490" s="316"/>
      <c r="G490" s="317"/>
      <c r="H490" s="318"/>
      <c r="I490" s="318"/>
      <c r="J490" s="318"/>
      <c r="K490" s="319">
        <f t="shared" si="39"/>
        <v>0</v>
      </c>
      <c r="L490" s="320" t="str">
        <f t="shared" si="34"/>
        <v/>
      </c>
      <c r="T490" s="344"/>
      <c r="U490" s="345"/>
      <c r="V490" s="346"/>
    </row>
    <row r="491">
      <c r="A491" s="339"/>
      <c r="B491" s="313"/>
      <c r="C491" s="314"/>
      <c r="D491" s="315" t="str">
        <f t="shared" si="35"/>
        <v/>
      </c>
      <c r="E491" s="315" t="str">
        <f t="shared" si="36"/>
        <v/>
      </c>
      <c r="F491" s="316"/>
      <c r="G491" s="317"/>
      <c r="H491" s="318"/>
      <c r="I491" s="318"/>
      <c r="J491" s="318"/>
      <c r="K491" s="319">
        <f t="shared" si="39"/>
        <v>0</v>
      </c>
      <c r="L491" s="320" t="str">
        <f t="shared" si="34"/>
        <v/>
      </c>
      <c r="T491" s="344"/>
      <c r="U491" s="345"/>
      <c r="V491" s="346"/>
    </row>
    <row r="492">
      <c r="A492" s="339"/>
      <c r="B492" s="313"/>
      <c r="C492" s="314"/>
      <c r="D492" s="315" t="str">
        <f t="shared" si="35"/>
        <v/>
      </c>
      <c r="E492" s="315" t="str">
        <f t="shared" si="36"/>
        <v/>
      </c>
      <c r="F492" s="316"/>
      <c r="G492" s="317"/>
      <c r="H492" s="318"/>
      <c r="I492" s="318"/>
      <c r="J492" s="318"/>
      <c r="K492" s="319">
        <f t="shared" si="39"/>
        <v>0</v>
      </c>
      <c r="L492" s="320" t="str">
        <f t="shared" si="34"/>
        <v/>
      </c>
      <c r="T492" s="344"/>
      <c r="U492" s="345"/>
      <c r="V492" s="346"/>
    </row>
    <row r="493">
      <c r="A493" s="339"/>
      <c r="B493" s="313"/>
      <c r="C493" s="314"/>
      <c r="D493" s="315" t="str">
        <f t="shared" si="35"/>
        <v/>
      </c>
      <c r="E493" s="315" t="str">
        <f t="shared" si="36"/>
        <v/>
      </c>
      <c r="F493" s="316"/>
      <c r="G493" s="317"/>
      <c r="H493" s="318"/>
      <c r="I493" s="318"/>
      <c r="J493" s="318"/>
      <c r="K493" s="319">
        <f t="shared" si="39"/>
        <v>0</v>
      </c>
      <c r="L493" s="320" t="str">
        <f t="shared" si="34"/>
        <v/>
      </c>
      <c r="T493" s="344"/>
      <c r="U493" s="345"/>
      <c r="V493" s="346"/>
    </row>
    <row r="494">
      <c r="A494" s="339"/>
      <c r="B494" s="313"/>
      <c r="C494" s="314"/>
      <c r="D494" s="315" t="str">
        <f t="shared" si="35"/>
        <v/>
      </c>
      <c r="E494" s="315" t="str">
        <f t="shared" si="36"/>
        <v/>
      </c>
      <c r="F494" s="318"/>
      <c r="G494" s="318"/>
      <c r="H494" s="318"/>
      <c r="I494" s="318"/>
      <c r="J494" s="318"/>
      <c r="K494" s="319">
        <f t="shared" si="39"/>
        <v>0</v>
      </c>
      <c r="L494" s="320" t="str">
        <f t="shared" si="34"/>
        <v/>
      </c>
      <c r="M494" s="239"/>
      <c r="T494" s="344"/>
      <c r="U494" s="345"/>
      <c r="V494" s="346"/>
    </row>
    <row r="495">
      <c r="A495" s="339"/>
      <c r="B495" s="313"/>
      <c r="C495" s="314"/>
      <c r="D495" s="315" t="str">
        <f t="shared" si="35"/>
        <v/>
      </c>
      <c r="E495" s="315" t="str">
        <f t="shared" si="36"/>
        <v/>
      </c>
      <c r="F495" s="316"/>
      <c r="G495" s="317"/>
      <c r="H495" s="318"/>
      <c r="I495" s="318"/>
      <c r="J495" s="318"/>
      <c r="K495" s="319">
        <f t="shared" si="39"/>
        <v>0</v>
      </c>
      <c r="L495" s="320" t="str">
        <f t="shared" si="34"/>
        <v/>
      </c>
      <c r="T495" s="344"/>
      <c r="U495" s="345"/>
      <c r="V495" s="346"/>
    </row>
    <row r="496">
      <c r="A496" s="339"/>
      <c r="B496" s="313"/>
      <c r="C496" s="314"/>
      <c r="D496" s="315" t="str">
        <f t="shared" si="35"/>
        <v/>
      </c>
      <c r="E496" s="315" t="str">
        <f t="shared" si="36"/>
        <v/>
      </c>
      <c r="F496" s="316"/>
      <c r="G496" s="317"/>
      <c r="H496" s="318"/>
      <c r="I496" s="318"/>
      <c r="J496" s="318"/>
      <c r="K496" s="319">
        <f t="shared" si="39"/>
        <v>0</v>
      </c>
      <c r="L496" s="320" t="str">
        <f t="shared" si="34"/>
        <v/>
      </c>
      <c r="T496" s="344"/>
      <c r="U496" s="345"/>
      <c r="V496" s="346"/>
    </row>
    <row r="497">
      <c r="A497" s="339"/>
      <c r="B497" s="313"/>
      <c r="C497" s="314"/>
      <c r="D497" s="315" t="str">
        <f t="shared" si="35"/>
        <v/>
      </c>
      <c r="E497" s="315" t="str">
        <f t="shared" si="36"/>
        <v/>
      </c>
      <c r="F497" s="316"/>
      <c r="G497" s="317"/>
      <c r="H497" s="318"/>
      <c r="I497" s="318"/>
      <c r="J497" s="318"/>
      <c r="K497" s="319">
        <f t="shared" si="39"/>
        <v>0</v>
      </c>
      <c r="L497" s="320" t="str">
        <f t="shared" si="34"/>
        <v/>
      </c>
      <c r="T497" s="344"/>
      <c r="U497" s="345"/>
      <c r="V497" s="346"/>
    </row>
    <row r="498">
      <c r="A498" s="339"/>
      <c r="B498" s="313"/>
      <c r="C498" s="314"/>
      <c r="D498" s="315" t="str">
        <f t="shared" si="35"/>
        <v/>
      </c>
      <c r="E498" s="315" t="str">
        <f t="shared" si="36"/>
        <v/>
      </c>
      <c r="F498" s="316"/>
      <c r="G498" s="317"/>
      <c r="H498" s="318"/>
      <c r="I498" s="318"/>
      <c r="J498" s="318"/>
      <c r="K498" s="319">
        <f t="shared" si="39"/>
        <v>0</v>
      </c>
      <c r="L498" s="320" t="str">
        <f t="shared" si="34"/>
        <v/>
      </c>
      <c r="T498" s="344"/>
      <c r="U498" s="345"/>
      <c r="V498" s="346"/>
    </row>
    <row r="499">
      <c r="A499" s="339"/>
      <c r="B499" s="313"/>
      <c r="C499" s="314"/>
      <c r="D499" s="315" t="str">
        <f t="shared" si="35"/>
        <v/>
      </c>
      <c r="E499" s="315" t="str">
        <f t="shared" si="36"/>
        <v/>
      </c>
      <c r="F499" s="316"/>
      <c r="G499" s="317"/>
      <c r="H499" s="318"/>
      <c r="I499" s="318"/>
      <c r="J499" s="318"/>
      <c r="K499" s="319">
        <f t="shared" si="39"/>
        <v>0</v>
      </c>
      <c r="L499" s="320" t="str">
        <f t="shared" si="34"/>
        <v/>
      </c>
      <c r="T499" s="344"/>
      <c r="U499" s="345"/>
      <c r="V499" s="346"/>
    </row>
    <row r="500">
      <c r="A500" s="339"/>
      <c r="B500" s="313"/>
      <c r="C500" s="314"/>
      <c r="D500" s="315" t="str">
        <f t="shared" si="35"/>
        <v/>
      </c>
      <c r="E500" s="315" t="str">
        <f t="shared" si="36"/>
        <v/>
      </c>
      <c r="F500" s="316"/>
      <c r="G500" s="317"/>
      <c r="H500" s="318"/>
      <c r="I500" s="318"/>
      <c r="J500" s="318"/>
      <c r="K500" s="319">
        <f t="shared" si="39"/>
        <v>0</v>
      </c>
      <c r="L500" s="320" t="str">
        <f t="shared" si="34"/>
        <v/>
      </c>
      <c r="T500" s="344"/>
      <c r="U500" s="345"/>
      <c r="V500" s="346"/>
    </row>
    <row r="501">
      <c r="A501" s="339"/>
      <c r="B501" s="313"/>
      <c r="C501" s="314"/>
      <c r="D501" s="315" t="str">
        <f t="shared" si="35"/>
        <v/>
      </c>
      <c r="E501" s="315" t="str">
        <f t="shared" si="36"/>
        <v/>
      </c>
      <c r="F501" s="316"/>
      <c r="G501" s="317"/>
      <c r="H501" s="318"/>
      <c r="I501" s="318"/>
      <c r="J501" s="318"/>
      <c r="K501" s="319">
        <f t="shared" si="39"/>
        <v>0</v>
      </c>
      <c r="L501" s="320" t="str">
        <f t="shared" si="34"/>
        <v/>
      </c>
      <c r="T501" s="344"/>
      <c r="U501" s="345"/>
      <c r="V501" s="346"/>
    </row>
    <row r="502">
      <c r="A502" s="339"/>
      <c r="B502" s="313"/>
      <c r="C502" s="314"/>
      <c r="D502" s="315" t="str">
        <f t="shared" si="35"/>
        <v/>
      </c>
      <c r="E502" s="315" t="str">
        <f t="shared" si="36"/>
        <v/>
      </c>
      <c r="F502" s="316"/>
      <c r="G502" s="317"/>
      <c r="H502" s="318"/>
      <c r="I502" s="318"/>
      <c r="J502" s="318"/>
      <c r="K502" s="319">
        <f t="shared" si="39"/>
        <v>0</v>
      </c>
      <c r="L502" s="320" t="str">
        <f t="shared" si="34"/>
        <v/>
      </c>
      <c r="T502" s="344"/>
      <c r="U502" s="345"/>
      <c r="V502" s="346"/>
    </row>
    <row r="503">
      <c r="A503" s="339"/>
      <c r="B503" s="313"/>
      <c r="C503" s="314"/>
      <c r="D503" s="315" t="str">
        <f t="shared" si="35"/>
        <v/>
      </c>
      <c r="E503" s="315" t="str">
        <f t="shared" si="36"/>
        <v/>
      </c>
      <c r="F503" s="316"/>
      <c r="G503" s="317"/>
      <c r="H503" s="318"/>
      <c r="I503" s="318"/>
      <c r="J503" s="318"/>
      <c r="K503" s="319">
        <f t="shared" si="39"/>
        <v>0</v>
      </c>
      <c r="L503" s="320" t="str">
        <f t="shared" si="34"/>
        <v/>
      </c>
      <c r="T503" s="344"/>
      <c r="U503" s="345"/>
      <c r="V503" s="346"/>
    </row>
    <row r="504">
      <c r="A504" s="339"/>
      <c r="B504" s="313"/>
      <c r="C504" s="314"/>
      <c r="D504" s="315" t="str">
        <f t="shared" si="35"/>
        <v/>
      </c>
      <c r="E504" s="315" t="str">
        <f t="shared" si="36"/>
        <v/>
      </c>
      <c r="F504" s="316"/>
      <c r="G504" s="317"/>
      <c r="H504" s="318"/>
      <c r="I504" s="318"/>
      <c r="J504" s="318"/>
      <c r="K504" s="319">
        <f t="shared" si="39"/>
        <v>0</v>
      </c>
      <c r="L504" s="320" t="str">
        <f t="shared" si="34"/>
        <v/>
      </c>
      <c r="T504" s="344"/>
      <c r="U504" s="345"/>
      <c r="V504" s="346"/>
    </row>
    <row r="505">
      <c r="A505" s="339"/>
      <c r="B505" s="313"/>
      <c r="C505" s="314"/>
      <c r="D505" s="315" t="str">
        <f t="shared" si="35"/>
        <v/>
      </c>
      <c r="E505" s="315" t="str">
        <f t="shared" si="36"/>
        <v/>
      </c>
      <c r="F505" s="316"/>
      <c r="G505" s="317"/>
      <c r="H505" s="318"/>
      <c r="I505" s="318"/>
      <c r="J505" s="318"/>
      <c r="K505" s="319">
        <f t="shared" si="39"/>
        <v>0</v>
      </c>
      <c r="L505" s="320" t="str">
        <f t="shared" si="34"/>
        <v/>
      </c>
      <c r="T505" s="344"/>
      <c r="U505" s="345"/>
      <c r="V505" s="346"/>
    </row>
    <row r="506">
      <c r="A506" s="339"/>
      <c r="B506" s="313"/>
      <c r="C506" s="314"/>
      <c r="D506" s="315" t="str">
        <f t="shared" si="35"/>
        <v/>
      </c>
      <c r="E506" s="315" t="str">
        <f t="shared" si="36"/>
        <v/>
      </c>
      <c r="F506" s="316"/>
      <c r="G506" s="317"/>
      <c r="H506" s="318"/>
      <c r="I506" s="318"/>
      <c r="J506" s="318"/>
      <c r="K506" s="319">
        <f t="shared" si="39"/>
        <v>0</v>
      </c>
      <c r="L506" s="320" t="str">
        <f t="shared" si="34"/>
        <v/>
      </c>
      <c r="T506" s="344"/>
      <c r="U506" s="345"/>
      <c r="V506" s="346"/>
    </row>
    <row r="507">
      <c r="A507" s="339"/>
      <c r="B507" s="313"/>
      <c r="C507" s="314"/>
      <c r="D507" s="315" t="str">
        <f t="shared" si="35"/>
        <v/>
      </c>
      <c r="E507" s="315" t="str">
        <f t="shared" si="36"/>
        <v/>
      </c>
      <c r="F507" s="316"/>
      <c r="G507" s="317"/>
      <c r="H507" s="318"/>
      <c r="I507" s="318"/>
      <c r="J507" s="318"/>
      <c r="K507" s="319">
        <f t="shared" si="39"/>
        <v>0</v>
      </c>
      <c r="L507" s="320" t="str">
        <f t="shared" si="34"/>
        <v/>
      </c>
      <c r="T507" s="344"/>
      <c r="U507" s="345"/>
      <c r="V507" s="346"/>
    </row>
    <row r="508">
      <c r="A508" s="339"/>
      <c r="B508" s="313"/>
      <c r="C508" s="314"/>
      <c r="D508" s="315" t="str">
        <f t="shared" si="35"/>
        <v/>
      </c>
      <c r="E508" s="315" t="str">
        <f t="shared" si="36"/>
        <v/>
      </c>
      <c r="F508" s="316"/>
      <c r="G508" s="316"/>
      <c r="H508" s="318"/>
      <c r="I508" s="318"/>
      <c r="J508" s="318"/>
      <c r="K508" s="319">
        <f t="shared" si="39"/>
        <v>0</v>
      </c>
      <c r="L508" s="320" t="str">
        <f t="shared" si="34"/>
        <v/>
      </c>
      <c r="M508" s="239"/>
      <c r="T508" s="344"/>
      <c r="U508" s="345"/>
      <c r="V508" s="346"/>
    </row>
    <row r="509">
      <c r="A509" s="339"/>
      <c r="B509" s="313"/>
      <c r="C509" s="314"/>
      <c r="D509" s="315" t="str">
        <f t="shared" si="35"/>
        <v/>
      </c>
      <c r="E509" s="315" t="str">
        <f t="shared" si="36"/>
        <v/>
      </c>
      <c r="F509" s="316"/>
      <c r="G509" s="317"/>
      <c r="H509" s="318"/>
      <c r="I509" s="318"/>
      <c r="J509" s="318"/>
      <c r="K509" s="319">
        <f t="shared" si="39"/>
        <v>0</v>
      </c>
      <c r="L509" s="320" t="str">
        <f t="shared" si="34"/>
        <v/>
      </c>
      <c r="T509" s="344"/>
      <c r="U509" s="345"/>
      <c r="V509" s="346"/>
    </row>
    <row r="510">
      <c r="A510" s="339"/>
      <c r="B510" s="313"/>
      <c r="C510" s="314"/>
      <c r="D510" s="315" t="str">
        <f t="shared" si="35"/>
        <v/>
      </c>
      <c r="E510" s="315" t="str">
        <f t="shared" si="36"/>
        <v/>
      </c>
      <c r="F510" s="316"/>
      <c r="G510" s="317"/>
      <c r="H510" s="318"/>
      <c r="I510" s="318"/>
      <c r="J510" s="318"/>
      <c r="K510" s="319">
        <f t="shared" si="39"/>
        <v>0</v>
      </c>
      <c r="L510" s="320" t="str">
        <f t="shared" si="34"/>
        <v/>
      </c>
      <c r="T510" s="344"/>
      <c r="U510" s="345"/>
      <c r="V510" s="346"/>
    </row>
    <row r="511">
      <c r="A511" s="339"/>
      <c r="B511" s="313"/>
      <c r="C511" s="314"/>
      <c r="D511" s="315" t="str">
        <f t="shared" si="35"/>
        <v/>
      </c>
      <c r="E511" s="315" t="str">
        <f t="shared" si="36"/>
        <v/>
      </c>
      <c r="F511" s="316"/>
      <c r="G511" s="317"/>
      <c r="H511" s="318"/>
      <c r="I511" s="318"/>
      <c r="J511" s="318"/>
      <c r="K511" s="319">
        <f t="shared" si="39"/>
        <v>0</v>
      </c>
      <c r="L511" s="320" t="str">
        <f t="shared" si="34"/>
        <v/>
      </c>
      <c r="T511" s="344"/>
      <c r="U511" s="345"/>
      <c r="V511" s="346"/>
    </row>
    <row r="512">
      <c r="A512" s="339"/>
      <c r="B512" s="313"/>
      <c r="C512" s="314"/>
      <c r="D512" s="315" t="str">
        <f t="shared" si="35"/>
        <v/>
      </c>
      <c r="E512" s="315" t="str">
        <f t="shared" si="36"/>
        <v/>
      </c>
      <c r="F512" s="316"/>
      <c r="G512" s="317"/>
      <c r="H512" s="318"/>
      <c r="I512" s="318"/>
      <c r="J512" s="318"/>
      <c r="K512" s="319">
        <f t="shared" si="39"/>
        <v>0</v>
      </c>
      <c r="L512" s="320" t="str">
        <f t="shared" si="34"/>
        <v/>
      </c>
      <c r="T512" s="344"/>
      <c r="U512" s="345"/>
      <c r="V512" s="346"/>
    </row>
    <row r="513">
      <c r="A513" s="339"/>
      <c r="B513" s="313"/>
      <c r="C513" s="314"/>
      <c r="D513" s="315" t="str">
        <f t="shared" si="35"/>
        <v/>
      </c>
      <c r="E513" s="315" t="str">
        <f t="shared" si="36"/>
        <v/>
      </c>
      <c r="F513" s="316"/>
      <c r="G513" s="317"/>
      <c r="H513" s="318"/>
      <c r="I513" s="318"/>
      <c r="J513" s="318"/>
      <c r="K513" s="319">
        <f t="shared" si="39"/>
        <v>0</v>
      </c>
      <c r="L513" s="320" t="str">
        <f t="shared" si="34"/>
        <v/>
      </c>
      <c r="T513" s="344"/>
      <c r="U513" s="345"/>
      <c r="V513" s="346"/>
    </row>
    <row r="514">
      <c r="A514" s="339"/>
      <c r="B514" s="313"/>
      <c r="C514" s="314"/>
      <c r="D514" s="315" t="str">
        <f t="shared" si="35"/>
        <v/>
      </c>
      <c r="E514" s="315" t="str">
        <f t="shared" si="36"/>
        <v/>
      </c>
      <c r="F514" s="316"/>
      <c r="G514" s="317"/>
      <c r="H514" s="318"/>
      <c r="I514" s="318"/>
      <c r="J514" s="318"/>
      <c r="K514" s="319">
        <f t="shared" si="39"/>
        <v>0</v>
      </c>
      <c r="L514" s="320" t="str">
        <f t="shared" si="34"/>
        <v/>
      </c>
      <c r="T514" s="344"/>
      <c r="U514" s="345"/>
      <c r="V514" s="346"/>
    </row>
    <row r="515">
      <c r="A515" s="339"/>
      <c r="B515" s="313"/>
      <c r="C515" s="314"/>
      <c r="D515" s="315" t="str">
        <f t="shared" si="35"/>
        <v/>
      </c>
      <c r="E515" s="315" t="str">
        <f t="shared" si="36"/>
        <v/>
      </c>
      <c r="F515" s="316"/>
      <c r="G515" s="317"/>
      <c r="H515" s="318"/>
      <c r="I515" s="318"/>
      <c r="J515" s="318"/>
      <c r="K515" s="319">
        <f t="shared" si="39"/>
        <v>0</v>
      </c>
      <c r="L515" s="320" t="str">
        <f t="shared" si="34"/>
        <v/>
      </c>
      <c r="T515" s="344"/>
      <c r="U515" s="345"/>
      <c r="V515" s="346"/>
    </row>
    <row r="516">
      <c r="A516" s="339"/>
      <c r="B516" s="313"/>
      <c r="C516" s="314"/>
      <c r="D516" s="315" t="str">
        <f t="shared" si="35"/>
        <v/>
      </c>
      <c r="E516" s="315" t="str">
        <f t="shared" si="36"/>
        <v/>
      </c>
      <c r="F516" s="316"/>
      <c r="G516" s="317"/>
      <c r="H516" s="318"/>
      <c r="I516" s="318"/>
      <c r="J516" s="318"/>
      <c r="K516" s="319">
        <f t="shared" si="39"/>
        <v>0</v>
      </c>
      <c r="L516" s="320" t="str">
        <f t="shared" si="34"/>
        <v/>
      </c>
      <c r="T516" s="344"/>
      <c r="U516" s="345"/>
      <c r="V516" s="346"/>
    </row>
    <row r="517">
      <c r="A517" s="339"/>
      <c r="B517" s="313"/>
      <c r="C517" s="314"/>
      <c r="D517" s="315" t="str">
        <f t="shared" si="35"/>
        <v/>
      </c>
      <c r="E517" s="315" t="str">
        <f t="shared" si="36"/>
        <v/>
      </c>
      <c r="F517" s="316"/>
      <c r="G517" s="317"/>
      <c r="H517" s="318"/>
      <c r="I517" s="318"/>
      <c r="J517" s="318"/>
      <c r="K517" s="319">
        <f t="shared" si="39"/>
        <v>0</v>
      </c>
      <c r="L517" s="320" t="str">
        <f t="shared" si="34"/>
        <v/>
      </c>
      <c r="T517" s="344"/>
      <c r="U517" s="345"/>
      <c r="V517" s="346"/>
    </row>
    <row r="518">
      <c r="A518" s="339"/>
      <c r="B518" s="313"/>
      <c r="C518" s="314"/>
      <c r="D518" s="315" t="str">
        <f t="shared" si="35"/>
        <v/>
      </c>
      <c r="E518" s="315" t="str">
        <f t="shared" si="36"/>
        <v/>
      </c>
      <c r="F518" s="318"/>
      <c r="G518" s="318"/>
      <c r="H518" s="318"/>
      <c r="I518" s="318"/>
      <c r="J518" s="318"/>
      <c r="K518" s="319">
        <f t="shared" si="39"/>
        <v>0</v>
      </c>
      <c r="L518" s="320" t="str">
        <f t="shared" si="34"/>
        <v/>
      </c>
      <c r="M518" s="239"/>
      <c r="T518" s="344"/>
      <c r="U518" s="345"/>
      <c r="V518" s="346"/>
    </row>
    <row r="519">
      <c r="A519" s="339"/>
      <c r="B519" s="313"/>
      <c r="C519" s="314"/>
      <c r="D519" s="315" t="str">
        <f t="shared" si="35"/>
        <v/>
      </c>
      <c r="E519" s="315" t="str">
        <f t="shared" si="36"/>
        <v/>
      </c>
      <c r="F519" s="316"/>
      <c r="G519" s="316"/>
      <c r="H519" s="316"/>
      <c r="I519" s="316"/>
      <c r="J519" s="316"/>
      <c r="K519" s="319">
        <f t="shared" si="39"/>
        <v>0</v>
      </c>
      <c r="L519" s="320" t="str">
        <f t="shared" si="34"/>
        <v/>
      </c>
      <c r="M519" s="239"/>
      <c r="T519" s="344"/>
      <c r="U519" s="345"/>
      <c r="V519" s="346"/>
    </row>
    <row r="520">
      <c r="A520" s="339"/>
      <c r="B520" s="313"/>
      <c r="C520" s="314"/>
      <c r="D520" s="315" t="str">
        <f t="shared" si="35"/>
        <v/>
      </c>
      <c r="E520" s="315" t="str">
        <f t="shared" si="36"/>
        <v/>
      </c>
      <c r="F520" s="316"/>
      <c r="G520" s="317"/>
      <c r="H520" s="318"/>
      <c r="I520" s="318"/>
      <c r="J520" s="318"/>
      <c r="K520" s="319">
        <f t="shared" si="39"/>
        <v>0</v>
      </c>
      <c r="L520" s="320" t="str">
        <f t="shared" si="34"/>
        <v/>
      </c>
      <c r="T520" s="344"/>
      <c r="U520" s="345"/>
      <c r="V520" s="346"/>
    </row>
    <row r="521">
      <c r="A521" s="339"/>
      <c r="B521" s="313"/>
      <c r="C521" s="314"/>
      <c r="D521" s="315" t="str">
        <f t="shared" si="35"/>
        <v/>
      </c>
      <c r="E521" s="315" t="str">
        <f t="shared" si="36"/>
        <v/>
      </c>
      <c r="F521" s="316"/>
      <c r="G521" s="317"/>
      <c r="H521" s="318"/>
      <c r="I521" s="318"/>
      <c r="J521" s="318"/>
      <c r="K521" s="319">
        <f t="shared" si="39"/>
        <v>0</v>
      </c>
      <c r="L521" s="320" t="str">
        <f t="shared" si="34"/>
        <v/>
      </c>
      <c r="T521" s="344"/>
      <c r="U521" s="345"/>
      <c r="V521" s="346"/>
    </row>
    <row r="522">
      <c r="A522" s="339"/>
      <c r="B522" s="313"/>
      <c r="C522" s="314"/>
      <c r="D522" s="315" t="str">
        <f t="shared" si="35"/>
        <v/>
      </c>
      <c r="E522" s="315" t="str">
        <f t="shared" si="36"/>
        <v/>
      </c>
      <c r="F522" s="316"/>
      <c r="G522" s="317"/>
      <c r="H522" s="318"/>
      <c r="I522" s="318"/>
      <c r="J522" s="318"/>
      <c r="K522" s="319">
        <f t="shared" si="39"/>
        <v>0</v>
      </c>
      <c r="L522" s="320" t="str">
        <f t="shared" si="34"/>
        <v/>
      </c>
      <c r="T522" s="344"/>
      <c r="U522" s="345"/>
      <c r="V522" s="346"/>
    </row>
    <row r="523">
      <c r="A523" s="339"/>
      <c r="B523" s="313"/>
      <c r="C523" s="314"/>
      <c r="D523" s="315" t="str">
        <f t="shared" si="35"/>
        <v/>
      </c>
      <c r="E523" s="315" t="str">
        <f t="shared" si="36"/>
        <v/>
      </c>
      <c r="F523" s="318"/>
      <c r="G523" s="318"/>
      <c r="H523" s="318"/>
      <c r="I523" s="318"/>
      <c r="J523" s="318"/>
      <c r="K523" s="319">
        <f t="shared" si="39"/>
        <v>0</v>
      </c>
      <c r="L523" s="320" t="str">
        <f t="shared" si="34"/>
        <v/>
      </c>
      <c r="M523" s="239"/>
      <c r="T523" s="344"/>
      <c r="U523" s="345"/>
      <c r="V523" s="346"/>
    </row>
    <row r="524">
      <c r="A524" s="339"/>
      <c r="B524" s="313"/>
      <c r="C524" s="314"/>
      <c r="D524" s="315" t="str">
        <f t="shared" si="35"/>
        <v/>
      </c>
      <c r="E524" s="315" t="str">
        <f t="shared" si="36"/>
        <v/>
      </c>
      <c r="F524" s="316"/>
      <c r="G524" s="317"/>
      <c r="H524" s="318"/>
      <c r="I524" s="318"/>
      <c r="J524" s="318"/>
      <c r="K524" s="319">
        <f t="shared" si="39"/>
        <v>0</v>
      </c>
      <c r="L524" s="320" t="str">
        <f t="shared" si="34"/>
        <v/>
      </c>
      <c r="T524" s="344"/>
      <c r="U524" s="345"/>
      <c r="V524" s="346"/>
    </row>
    <row r="525">
      <c r="A525" s="339"/>
      <c r="B525" s="313"/>
      <c r="C525" s="314"/>
      <c r="D525" s="315" t="str">
        <f t="shared" si="35"/>
        <v/>
      </c>
      <c r="E525" s="315" t="str">
        <f t="shared" si="36"/>
        <v/>
      </c>
      <c r="F525" s="316"/>
      <c r="G525" s="317"/>
      <c r="H525" s="318"/>
      <c r="I525" s="318"/>
      <c r="J525" s="318"/>
      <c r="K525" s="319">
        <f t="shared" si="39"/>
        <v>0</v>
      </c>
      <c r="L525" s="320" t="str">
        <f t="shared" si="34"/>
        <v/>
      </c>
      <c r="T525" s="344"/>
      <c r="U525" s="345"/>
      <c r="V525" s="346"/>
    </row>
    <row r="526">
      <c r="A526" s="339"/>
      <c r="B526" s="313"/>
      <c r="C526" s="314"/>
      <c r="D526" s="315" t="str">
        <f t="shared" si="35"/>
        <v/>
      </c>
      <c r="E526" s="315" t="str">
        <f t="shared" si="36"/>
        <v/>
      </c>
      <c r="F526" s="316"/>
      <c r="G526" s="316"/>
      <c r="H526" s="318"/>
      <c r="I526" s="318"/>
      <c r="J526" s="318"/>
      <c r="K526" s="319">
        <f t="shared" si="39"/>
        <v>0</v>
      </c>
      <c r="L526" s="320" t="str">
        <f t="shared" si="34"/>
        <v/>
      </c>
      <c r="M526" s="239"/>
      <c r="T526" s="344"/>
      <c r="U526" s="345"/>
      <c r="V526" s="346"/>
    </row>
    <row r="527">
      <c r="A527" s="339"/>
      <c r="B527" s="313"/>
      <c r="C527" s="314"/>
      <c r="D527" s="315" t="str">
        <f t="shared" si="35"/>
        <v/>
      </c>
      <c r="E527" s="315" t="str">
        <f t="shared" si="36"/>
        <v/>
      </c>
      <c r="F527" s="316"/>
      <c r="G527" s="317"/>
      <c r="H527" s="318"/>
      <c r="I527" s="318"/>
      <c r="J527" s="318"/>
      <c r="K527" s="319">
        <f t="shared" si="39"/>
        <v>0</v>
      </c>
      <c r="L527" s="320" t="str">
        <f t="shared" si="34"/>
        <v/>
      </c>
      <c r="T527" s="344"/>
      <c r="U527" s="345"/>
      <c r="V527" s="346"/>
    </row>
    <row r="528">
      <c r="A528" s="339"/>
      <c r="B528" s="313"/>
      <c r="C528" s="314"/>
      <c r="D528" s="315" t="str">
        <f t="shared" si="35"/>
        <v/>
      </c>
      <c r="E528" s="315" t="str">
        <f t="shared" si="36"/>
        <v/>
      </c>
      <c r="F528" s="316"/>
      <c r="G528" s="317"/>
      <c r="H528" s="318"/>
      <c r="I528" s="318"/>
      <c r="J528" s="318"/>
      <c r="K528" s="319">
        <f t="shared" si="39"/>
        <v>0</v>
      </c>
      <c r="L528" s="320" t="str">
        <f t="shared" si="34"/>
        <v/>
      </c>
      <c r="T528" s="344"/>
      <c r="U528" s="345"/>
      <c r="V528" s="346"/>
    </row>
    <row r="529">
      <c r="A529" s="339"/>
      <c r="B529" s="313"/>
      <c r="C529" s="314"/>
      <c r="D529" s="315" t="str">
        <f t="shared" si="35"/>
        <v/>
      </c>
      <c r="E529" s="315" t="str">
        <f t="shared" si="36"/>
        <v/>
      </c>
      <c r="F529" s="316"/>
      <c r="G529" s="317"/>
      <c r="H529" s="318"/>
      <c r="I529" s="318"/>
      <c r="J529" s="318"/>
      <c r="K529" s="319">
        <f t="shared" si="39"/>
        <v>0</v>
      </c>
      <c r="L529" s="320" t="str">
        <f t="shared" si="34"/>
        <v/>
      </c>
      <c r="M529" s="239"/>
      <c r="T529" s="344"/>
      <c r="U529" s="345"/>
      <c r="V529" s="346"/>
    </row>
    <row r="530">
      <c r="A530" s="339"/>
      <c r="B530" s="313"/>
      <c r="C530" s="314"/>
      <c r="D530" s="315" t="str">
        <f t="shared" si="35"/>
        <v/>
      </c>
      <c r="E530" s="315" t="str">
        <f t="shared" si="36"/>
        <v/>
      </c>
      <c r="F530" s="316"/>
      <c r="G530" s="317"/>
      <c r="H530" s="318"/>
      <c r="I530" s="318"/>
      <c r="J530" s="318"/>
      <c r="K530" s="319">
        <f t="shared" si="39"/>
        <v>0</v>
      </c>
      <c r="L530" s="320" t="str">
        <f t="shared" si="34"/>
        <v/>
      </c>
      <c r="T530" s="344"/>
      <c r="U530" s="345"/>
      <c r="V530" s="346"/>
    </row>
    <row r="531">
      <c r="A531" s="339"/>
      <c r="B531" s="313"/>
      <c r="C531" s="314"/>
      <c r="D531" s="315" t="str">
        <f t="shared" si="35"/>
        <v/>
      </c>
      <c r="E531" s="315" t="str">
        <f t="shared" si="36"/>
        <v/>
      </c>
      <c r="F531" s="316"/>
      <c r="G531" s="317"/>
      <c r="H531" s="318"/>
      <c r="I531" s="318"/>
      <c r="J531" s="318"/>
      <c r="K531" s="319">
        <f t="shared" si="39"/>
        <v>0</v>
      </c>
      <c r="L531" s="320" t="str">
        <f t="shared" si="34"/>
        <v/>
      </c>
      <c r="T531" s="344"/>
      <c r="U531" s="345"/>
      <c r="V531" s="346"/>
    </row>
    <row r="532">
      <c r="A532" s="339"/>
      <c r="B532" s="313"/>
      <c r="C532" s="314"/>
      <c r="D532" s="315" t="str">
        <f t="shared" si="35"/>
        <v/>
      </c>
      <c r="E532" s="315" t="str">
        <f t="shared" si="36"/>
        <v/>
      </c>
      <c r="F532" s="318"/>
      <c r="G532" s="318"/>
      <c r="H532" s="318"/>
      <c r="I532" s="318"/>
      <c r="J532" s="318"/>
      <c r="K532" s="319">
        <f t="shared" si="39"/>
        <v>0</v>
      </c>
      <c r="L532" s="320" t="str">
        <f t="shared" si="34"/>
        <v/>
      </c>
      <c r="M532" s="239"/>
      <c r="T532" s="344"/>
      <c r="U532" s="345"/>
      <c r="V532" s="346"/>
    </row>
    <row r="533">
      <c r="A533" s="339"/>
      <c r="B533" s="313"/>
      <c r="C533" s="314"/>
      <c r="D533" s="315" t="str">
        <f t="shared" si="35"/>
        <v/>
      </c>
      <c r="E533" s="315" t="str">
        <f t="shared" si="36"/>
        <v/>
      </c>
      <c r="F533" s="316"/>
      <c r="G533" s="317"/>
      <c r="H533" s="318"/>
      <c r="I533" s="318"/>
      <c r="J533" s="318"/>
      <c r="K533" s="319">
        <f t="shared" si="39"/>
        <v>0</v>
      </c>
      <c r="L533" s="320" t="str">
        <f t="shared" si="34"/>
        <v/>
      </c>
      <c r="T533" s="344"/>
      <c r="U533" s="345"/>
      <c r="V533" s="346"/>
    </row>
    <row r="534">
      <c r="A534" s="339"/>
      <c r="B534" s="313"/>
      <c r="C534" s="314"/>
      <c r="D534" s="315" t="str">
        <f t="shared" si="35"/>
        <v/>
      </c>
      <c r="E534" s="315" t="str">
        <f t="shared" si="36"/>
        <v/>
      </c>
      <c r="F534" s="316"/>
      <c r="G534" s="317"/>
      <c r="H534" s="318"/>
      <c r="I534" s="318"/>
      <c r="J534" s="318"/>
      <c r="K534" s="319">
        <f t="shared" si="39"/>
        <v>0</v>
      </c>
      <c r="L534" s="320" t="str">
        <f t="shared" si="34"/>
        <v/>
      </c>
      <c r="T534" s="344"/>
      <c r="U534" s="345"/>
      <c r="V534" s="346"/>
    </row>
    <row r="535">
      <c r="A535" s="339"/>
      <c r="B535" s="313"/>
      <c r="C535" s="314"/>
      <c r="D535" s="315" t="str">
        <f t="shared" si="35"/>
        <v/>
      </c>
      <c r="E535" s="315" t="str">
        <f t="shared" si="36"/>
        <v/>
      </c>
      <c r="F535" s="316"/>
      <c r="G535" s="317"/>
      <c r="H535" s="318"/>
      <c r="I535" s="318"/>
      <c r="J535" s="318"/>
      <c r="K535" s="319">
        <f t="shared" si="39"/>
        <v>0</v>
      </c>
      <c r="L535" s="320" t="str">
        <f t="shared" si="34"/>
        <v/>
      </c>
      <c r="T535" s="344"/>
      <c r="U535" s="345"/>
      <c r="V535" s="346"/>
    </row>
    <row r="536">
      <c r="A536" s="339"/>
      <c r="B536" s="313"/>
      <c r="C536" s="314"/>
      <c r="D536" s="315" t="str">
        <f t="shared" si="35"/>
        <v/>
      </c>
      <c r="E536" s="315" t="str">
        <f t="shared" si="36"/>
        <v/>
      </c>
      <c r="F536" s="318"/>
      <c r="G536" s="318"/>
      <c r="H536" s="318"/>
      <c r="I536" s="318"/>
      <c r="J536" s="318"/>
      <c r="K536" s="319">
        <f t="shared" si="39"/>
        <v>0</v>
      </c>
      <c r="L536" s="320" t="str">
        <f t="shared" si="34"/>
        <v/>
      </c>
      <c r="M536" s="239"/>
      <c r="T536" s="344"/>
      <c r="U536" s="345"/>
      <c r="V536" s="346"/>
    </row>
    <row r="537">
      <c r="A537" s="339"/>
      <c r="B537" s="313"/>
      <c r="C537" s="314"/>
      <c r="D537" s="315" t="str">
        <f t="shared" si="35"/>
        <v/>
      </c>
      <c r="E537" s="315" t="str">
        <f t="shared" si="36"/>
        <v/>
      </c>
      <c r="F537" s="316"/>
      <c r="G537" s="317"/>
      <c r="H537" s="318"/>
      <c r="I537" s="318"/>
      <c r="J537" s="318"/>
      <c r="K537" s="319">
        <f t="shared" si="39"/>
        <v>0</v>
      </c>
      <c r="L537" s="320" t="str">
        <f t="shared" si="34"/>
        <v/>
      </c>
      <c r="T537" s="344"/>
      <c r="U537" s="345"/>
      <c r="V537" s="346"/>
    </row>
    <row r="538">
      <c r="A538" s="339"/>
      <c r="B538" s="313"/>
      <c r="C538" s="314"/>
      <c r="D538" s="315" t="str">
        <f t="shared" si="35"/>
        <v/>
      </c>
      <c r="E538" s="315" t="str">
        <f t="shared" si="36"/>
        <v/>
      </c>
      <c r="F538" s="316"/>
      <c r="G538" s="317"/>
      <c r="H538" s="318"/>
      <c r="I538" s="318"/>
      <c r="J538" s="318"/>
      <c r="K538" s="319">
        <f t="shared" si="39"/>
        <v>0</v>
      </c>
      <c r="L538" s="320" t="str">
        <f t="shared" si="34"/>
        <v/>
      </c>
      <c r="T538" s="344"/>
      <c r="U538" s="345"/>
      <c r="V538" s="346"/>
    </row>
    <row r="539">
      <c r="A539" s="339"/>
      <c r="B539" s="313"/>
      <c r="C539" s="314"/>
      <c r="D539" s="315" t="str">
        <f t="shared" si="35"/>
        <v/>
      </c>
      <c r="E539" s="315" t="str">
        <f t="shared" si="36"/>
        <v/>
      </c>
      <c r="F539" s="316"/>
      <c r="G539" s="317"/>
      <c r="H539" s="318"/>
      <c r="I539" s="318"/>
      <c r="J539" s="318"/>
      <c r="K539" s="319">
        <f t="shared" si="39"/>
        <v>0</v>
      </c>
      <c r="L539" s="320" t="str">
        <f t="shared" si="34"/>
        <v/>
      </c>
      <c r="T539" s="344"/>
      <c r="U539" s="345"/>
      <c r="V539" s="346"/>
    </row>
    <row r="540">
      <c r="A540" s="339"/>
      <c r="B540" s="313"/>
      <c r="C540" s="314"/>
      <c r="D540" s="315" t="str">
        <f t="shared" si="35"/>
        <v/>
      </c>
      <c r="E540" s="315" t="str">
        <f t="shared" si="36"/>
        <v/>
      </c>
      <c r="F540" s="316"/>
      <c r="G540" s="317"/>
      <c r="H540" s="318"/>
      <c r="I540" s="318"/>
      <c r="J540" s="318"/>
      <c r="K540" s="319">
        <f t="shared" si="39"/>
        <v>0</v>
      </c>
      <c r="L540" s="320" t="str">
        <f t="shared" si="34"/>
        <v/>
      </c>
      <c r="T540" s="344"/>
      <c r="U540" s="345"/>
      <c r="V540" s="346"/>
    </row>
    <row r="541">
      <c r="A541" s="339"/>
      <c r="B541" s="313"/>
      <c r="C541" s="314"/>
      <c r="D541" s="315" t="str">
        <f t="shared" si="35"/>
        <v/>
      </c>
      <c r="E541" s="315" t="str">
        <f t="shared" si="36"/>
        <v/>
      </c>
      <c r="F541" s="316"/>
      <c r="G541" s="317"/>
      <c r="H541" s="318"/>
      <c r="I541" s="318"/>
      <c r="J541" s="318"/>
      <c r="K541" s="319">
        <f t="shared" si="39"/>
        <v>0</v>
      </c>
      <c r="L541" s="320" t="str">
        <f t="shared" si="34"/>
        <v/>
      </c>
      <c r="T541" s="344"/>
      <c r="U541" s="345"/>
      <c r="V541" s="346"/>
    </row>
    <row r="542">
      <c r="A542" s="339"/>
      <c r="B542" s="313"/>
      <c r="C542" s="314"/>
      <c r="D542" s="315" t="str">
        <f t="shared" si="35"/>
        <v/>
      </c>
      <c r="E542" s="315" t="str">
        <f t="shared" si="36"/>
        <v/>
      </c>
      <c r="F542" s="316"/>
      <c r="G542" s="317"/>
      <c r="H542" s="318"/>
      <c r="I542" s="318"/>
      <c r="J542" s="318"/>
      <c r="K542" s="319">
        <f t="shared" si="39"/>
        <v>0</v>
      </c>
      <c r="L542" s="320" t="str">
        <f t="shared" si="34"/>
        <v/>
      </c>
      <c r="T542" s="344"/>
      <c r="U542" s="345"/>
      <c r="V542" s="346"/>
    </row>
    <row r="543">
      <c r="A543" s="339"/>
      <c r="B543" s="313"/>
      <c r="C543" s="314"/>
      <c r="D543" s="315" t="str">
        <f t="shared" si="35"/>
        <v/>
      </c>
      <c r="E543" s="315" t="str">
        <f t="shared" si="36"/>
        <v/>
      </c>
      <c r="F543" s="316"/>
      <c r="G543" s="317"/>
      <c r="H543" s="318"/>
      <c r="I543" s="318"/>
      <c r="J543" s="318"/>
      <c r="K543" s="319">
        <f t="shared" si="39"/>
        <v>0</v>
      </c>
      <c r="L543" s="320" t="str">
        <f t="shared" si="34"/>
        <v/>
      </c>
      <c r="T543" s="344"/>
      <c r="U543" s="345"/>
      <c r="V543" s="346"/>
    </row>
    <row r="544">
      <c r="A544" s="339"/>
      <c r="B544" s="313"/>
      <c r="C544" s="314"/>
      <c r="D544" s="315" t="str">
        <f t="shared" si="35"/>
        <v/>
      </c>
      <c r="E544" s="315" t="str">
        <f t="shared" si="36"/>
        <v/>
      </c>
      <c r="F544" s="316"/>
      <c r="G544" s="317"/>
      <c r="H544" s="318"/>
      <c r="I544" s="318"/>
      <c r="J544" s="318"/>
      <c r="K544" s="319">
        <f t="shared" si="39"/>
        <v>0</v>
      </c>
      <c r="L544" s="320" t="str">
        <f t="shared" si="34"/>
        <v/>
      </c>
      <c r="T544" s="344"/>
      <c r="U544" s="345"/>
      <c r="V544" s="346"/>
    </row>
    <row r="545">
      <c r="A545" s="339"/>
      <c r="B545" s="313"/>
      <c r="C545" s="314"/>
      <c r="D545" s="315" t="str">
        <f t="shared" si="35"/>
        <v/>
      </c>
      <c r="E545" s="315" t="str">
        <f t="shared" si="36"/>
        <v/>
      </c>
      <c r="F545" s="316"/>
      <c r="G545" s="317"/>
      <c r="H545" s="318"/>
      <c r="I545" s="318"/>
      <c r="J545" s="318"/>
      <c r="K545" s="319">
        <f t="shared" si="39"/>
        <v>0</v>
      </c>
      <c r="L545" s="320" t="str">
        <f t="shared" si="34"/>
        <v/>
      </c>
      <c r="T545" s="344"/>
      <c r="U545" s="345"/>
      <c r="V545" s="346"/>
    </row>
    <row r="546">
      <c r="A546" s="339"/>
      <c r="B546" s="313"/>
      <c r="C546" s="314"/>
      <c r="D546" s="315" t="str">
        <f t="shared" si="35"/>
        <v/>
      </c>
      <c r="E546" s="315" t="str">
        <f t="shared" si="36"/>
        <v/>
      </c>
      <c r="F546" s="316"/>
      <c r="G546" s="317"/>
      <c r="H546" s="318"/>
      <c r="I546" s="318"/>
      <c r="J546" s="318"/>
      <c r="K546" s="319">
        <f t="shared" si="39"/>
        <v>0</v>
      </c>
      <c r="L546" s="320" t="str">
        <f t="shared" si="34"/>
        <v/>
      </c>
      <c r="T546" s="344"/>
      <c r="U546" s="345"/>
      <c r="V546" s="346"/>
    </row>
    <row r="547">
      <c r="A547" s="339"/>
      <c r="B547" s="313"/>
      <c r="C547" s="314"/>
      <c r="D547" s="315" t="str">
        <f t="shared" si="35"/>
        <v/>
      </c>
      <c r="E547" s="315" t="str">
        <f t="shared" si="36"/>
        <v/>
      </c>
      <c r="F547" s="316"/>
      <c r="G547" s="317"/>
      <c r="H547" s="318"/>
      <c r="I547" s="318"/>
      <c r="J547" s="318"/>
      <c r="K547" s="319">
        <f t="shared" si="39"/>
        <v>0</v>
      </c>
      <c r="L547" s="320" t="str">
        <f t="shared" si="34"/>
        <v/>
      </c>
      <c r="T547" s="344"/>
      <c r="U547" s="345"/>
      <c r="V547" s="346"/>
    </row>
    <row r="548">
      <c r="A548" s="339"/>
      <c r="B548" s="313"/>
      <c r="C548" s="314"/>
      <c r="D548" s="315" t="str">
        <f t="shared" si="35"/>
        <v/>
      </c>
      <c r="E548" s="315" t="str">
        <f t="shared" si="36"/>
        <v/>
      </c>
      <c r="F548" s="316"/>
      <c r="G548" s="317"/>
      <c r="H548" s="318"/>
      <c r="I548" s="318"/>
      <c r="J548" s="318"/>
      <c r="K548" s="319">
        <f t="shared" si="39"/>
        <v>0</v>
      </c>
      <c r="L548" s="320" t="str">
        <f t="shared" si="34"/>
        <v/>
      </c>
      <c r="T548" s="344"/>
      <c r="U548" s="345"/>
      <c r="V548" s="346"/>
    </row>
    <row r="549">
      <c r="A549" s="339"/>
      <c r="B549" s="313"/>
      <c r="C549" s="314"/>
      <c r="D549" s="315" t="str">
        <f t="shared" si="35"/>
        <v/>
      </c>
      <c r="E549" s="315" t="str">
        <f t="shared" si="36"/>
        <v/>
      </c>
      <c r="F549" s="316"/>
      <c r="G549" s="317"/>
      <c r="H549" s="318"/>
      <c r="I549" s="318"/>
      <c r="J549" s="318"/>
      <c r="K549" s="319">
        <f t="shared" si="39"/>
        <v>0</v>
      </c>
      <c r="L549" s="320" t="str">
        <f t="shared" si="34"/>
        <v/>
      </c>
      <c r="T549" s="344"/>
      <c r="U549" s="345"/>
      <c r="V549" s="346"/>
    </row>
    <row r="550">
      <c r="A550" s="339"/>
      <c r="B550" s="313"/>
      <c r="C550" s="314"/>
      <c r="D550" s="315" t="str">
        <f t="shared" si="35"/>
        <v/>
      </c>
      <c r="E550" s="315" t="str">
        <f t="shared" si="36"/>
        <v/>
      </c>
      <c r="F550" s="316"/>
      <c r="G550" s="317"/>
      <c r="H550" s="318"/>
      <c r="I550" s="318"/>
      <c r="J550" s="318"/>
      <c r="K550" s="319">
        <f t="shared" si="39"/>
        <v>0</v>
      </c>
      <c r="L550" s="320" t="str">
        <f t="shared" si="34"/>
        <v/>
      </c>
      <c r="T550" s="344"/>
      <c r="U550" s="345"/>
      <c r="V550" s="346"/>
    </row>
    <row r="551">
      <c r="A551" s="339"/>
      <c r="B551" s="313"/>
      <c r="C551" s="314"/>
      <c r="D551" s="315" t="str">
        <f t="shared" si="35"/>
        <v/>
      </c>
      <c r="E551" s="315" t="str">
        <f t="shared" si="36"/>
        <v/>
      </c>
      <c r="F551" s="316"/>
      <c r="G551" s="316"/>
      <c r="H551" s="318"/>
      <c r="I551" s="318"/>
      <c r="J551" s="318"/>
      <c r="K551" s="319">
        <f t="shared" si="39"/>
        <v>0</v>
      </c>
      <c r="L551" s="320" t="str">
        <f t="shared" si="34"/>
        <v/>
      </c>
      <c r="M551" s="239"/>
      <c r="T551" s="344"/>
      <c r="U551" s="345"/>
      <c r="V551" s="346"/>
    </row>
    <row r="552">
      <c r="A552" s="339"/>
      <c r="B552" s="313"/>
      <c r="C552" s="314"/>
      <c r="D552" s="315" t="str">
        <f t="shared" si="35"/>
        <v/>
      </c>
      <c r="E552" s="315" t="str">
        <f t="shared" si="36"/>
        <v/>
      </c>
      <c r="F552" s="316"/>
      <c r="G552" s="317"/>
      <c r="H552" s="318"/>
      <c r="I552" s="318"/>
      <c r="J552" s="318"/>
      <c r="K552" s="319">
        <f t="shared" si="39"/>
        <v>0</v>
      </c>
      <c r="L552" s="320" t="str">
        <f t="shared" si="34"/>
        <v/>
      </c>
      <c r="T552" s="344"/>
      <c r="U552" s="345"/>
      <c r="V552" s="346"/>
    </row>
    <row r="553">
      <c r="A553" s="339"/>
      <c r="B553" s="313"/>
      <c r="C553" s="314"/>
      <c r="D553" s="315" t="str">
        <f t="shared" si="35"/>
        <v/>
      </c>
      <c r="E553" s="315" t="str">
        <f t="shared" si="36"/>
        <v/>
      </c>
      <c r="F553" s="316"/>
      <c r="G553" s="317"/>
      <c r="H553" s="318"/>
      <c r="I553" s="318"/>
      <c r="J553" s="318"/>
      <c r="K553" s="319">
        <f t="shared" si="39"/>
        <v>0</v>
      </c>
      <c r="L553" s="320" t="str">
        <f t="shared" si="34"/>
        <v/>
      </c>
      <c r="T553" s="344"/>
      <c r="U553" s="345"/>
      <c r="V553" s="346"/>
    </row>
    <row r="554">
      <c r="A554" s="339"/>
      <c r="B554" s="313"/>
      <c r="C554" s="314"/>
      <c r="D554" s="315" t="str">
        <f t="shared" si="35"/>
        <v/>
      </c>
      <c r="E554" s="315" t="str">
        <f t="shared" si="36"/>
        <v/>
      </c>
      <c r="F554" s="316"/>
      <c r="G554" s="317"/>
      <c r="H554" s="318"/>
      <c r="I554" s="318"/>
      <c r="J554" s="318"/>
      <c r="K554" s="319">
        <f t="shared" si="39"/>
        <v>0</v>
      </c>
      <c r="L554" s="320" t="str">
        <f t="shared" si="34"/>
        <v/>
      </c>
      <c r="M554" s="282"/>
      <c r="T554" s="344"/>
      <c r="U554" s="345"/>
      <c r="V554" s="346"/>
    </row>
    <row r="555">
      <c r="A555" s="339"/>
      <c r="B555" s="313"/>
      <c r="C555" s="314"/>
      <c r="D555" s="315" t="str">
        <f t="shared" si="35"/>
        <v/>
      </c>
      <c r="E555" s="315" t="str">
        <f t="shared" si="36"/>
        <v/>
      </c>
      <c r="F555" s="318"/>
      <c r="G555" s="318"/>
      <c r="H555" s="318"/>
      <c r="I555" s="318"/>
      <c r="J555" s="318"/>
      <c r="K555" s="319">
        <f t="shared" si="39"/>
        <v>0</v>
      </c>
      <c r="L555" s="320" t="str">
        <f t="shared" si="34"/>
        <v/>
      </c>
      <c r="M555" s="239"/>
      <c r="T555" s="344"/>
      <c r="U555" s="345"/>
      <c r="V555" s="346"/>
    </row>
    <row r="556">
      <c r="A556" s="339"/>
      <c r="B556" s="313"/>
      <c r="C556" s="314"/>
      <c r="D556" s="315" t="str">
        <f t="shared" si="35"/>
        <v/>
      </c>
      <c r="E556" s="315" t="str">
        <f t="shared" si="36"/>
        <v/>
      </c>
      <c r="F556" s="316"/>
      <c r="G556" s="317"/>
      <c r="H556" s="318"/>
      <c r="I556" s="318"/>
      <c r="J556" s="318"/>
      <c r="K556" s="319">
        <f t="shared" si="39"/>
        <v>0</v>
      </c>
      <c r="L556" s="320" t="str">
        <f t="shared" si="34"/>
        <v/>
      </c>
      <c r="T556" s="344"/>
      <c r="U556" s="345"/>
      <c r="V556" s="346"/>
    </row>
    <row r="557">
      <c r="A557" s="339"/>
      <c r="B557" s="313"/>
      <c r="C557" s="314"/>
      <c r="D557" s="315" t="str">
        <f t="shared" si="35"/>
        <v/>
      </c>
      <c r="E557" s="315" t="str">
        <f t="shared" si="36"/>
        <v/>
      </c>
      <c r="F557" s="316"/>
      <c r="G557" s="317"/>
      <c r="H557" s="318"/>
      <c r="I557" s="318"/>
      <c r="J557" s="318"/>
      <c r="K557" s="319">
        <f t="shared" si="39"/>
        <v>0</v>
      </c>
      <c r="L557" s="320" t="str">
        <f t="shared" si="34"/>
        <v/>
      </c>
      <c r="T557" s="344"/>
      <c r="U557" s="345"/>
      <c r="V557" s="346"/>
    </row>
    <row r="558">
      <c r="A558" s="339"/>
      <c r="B558" s="313"/>
      <c r="C558" s="314"/>
      <c r="D558" s="315" t="str">
        <f t="shared" si="35"/>
        <v/>
      </c>
      <c r="E558" s="315" t="str">
        <f t="shared" si="36"/>
        <v/>
      </c>
      <c r="F558" s="316"/>
      <c r="G558" s="317"/>
      <c r="H558" s="318"/>
      <c r="I558" s="318"/>
      <c r="J558" s="318"/>
      <c r="K558" s="319">
        <f t="shared" si="39"/>
        <v>0</v>
      </c>
      <c r="L558" s="320" t="str">
        <f t="shared" si="34"/>
        <v/>
      </c>
      <c r="T558" s="344"/>
      <c r="U558" s="345"/>
      <c r="V558" s="346"/>
    </row>
    <row r="559">
      <c r="A559" s="339"/>
      <c r="B559" s="313"/>
      <c r="C559" s="314"/>
      <c r="D559" s="315" t="str">
        <f t="shared" si="35"/>
        <v/>
      </c>
      <c r="E559" s="315" t="str">
        <f t="shared" si="36"/>
        <v/>
      </c>
      <c r="F559" s="316"/>
      <c r="G559" s="317"/>
      <c r="H559" s="318"/>
      <c r="I559" s="318"/>
      <c r="J559" s="318"/>
      <c r="K559" s="319">
        <f t="shared" si="39"/>
        <v>0</v>
      </c>
      <c r="L559" s="320" t="str">
        <f t="shared" si="34"/>
        <v/>
      </c>
      <c r="T559" s="344"/>
      <c r="U559" s="345"/>
      <c r="V559" s="346"/>
    </row>
    <row r="560">
      <c r="A560" s="339"/>
      <c r="B560" s="313"/>
      <c r="C560" s="314"/>
      <c r="D560" s="315" t="str">
        <f t="shared" si="35"/>
        <v/>
      </c>
      <c r="E560" s="315" t="str">
        <f t="shared" si="36"/>
        <v/>
      </c>
      <c r="F560" s="316"/>
      <c r="G560" s="317"/>
      <c r="H560" s="318"/>
      <c r="I560" s="318"/>
      <c r="J560" s="318"/>
      <c r="K560" s="319">
        <f t="shared" si="39"/>
        <v>0</v>
      </c>
      <c r="L560" s="320" t="str">
        <f t="shared" si="34"/>
        <v/>
      </c>
      <c r="T560" s="344"/>
      <c r="U560" s="345"/>
      <c r="V560" s="346"/>
    </row>
    <row r="561">
      <c r="A561" s="339"/>
      <c r="B561" s="313"/>
      <c r="C561" s="314"/>
      <c r="D561" s="315" t="str">
        <f t="shared" si="35"/>
        <v/>
      </c>
      <c r="E561" s="315" t="str">
        <f t="shared" si="36"/>
        <v/>
      </c>
      <c r="F561" s="316"/>
      <c r="G561" s="317"/>
      <c r="H561" s="318"/>
      <c r="I561" s="318"/>
      <c r="J561" s="318"/>
      <c r="K561" s="319">
        <f t="shared" si="39"/>
        <v>0</v>
      </c>
      <c r="L561" s="320" t="str">
        <f t="shared" si="34"/>
        <v/>
      </c>
      <c r="T561" s="344"/>
      <c r="U561" s="345"/>
      <c r="V561" s="346"/>
    </row>
    <row r="562">
      <c r="A562" s="339"/>
      <c r="B562" s="313"/>
      <c r="C562" s="314"/>
      <c r="D562" s="315" t="str">
        <f t="shared" si="35"/>
        <v/>
      </c>
      <c r="E562" s="315" t="str">
        <f t="shared" si="36"/>
        <v/>
      </c>
      <c r="F562" s="316"/>
      <c r="G562" s="317"/>
      <c r="H562" s="318"/>
      <c r="I562" s="318"/>
      <c r="J562" s="318"/>
      <c r="K562" s="319">
        <f t="shared" si="39"/>
        <v>0</v>
      </c>
      <c r="L562" s="320" t="str">
        <f t="shared" si="34"/>
        <v/>
      </c>
      <c r="T562" s="344"/>
      <c r="U562" s="345"/>
      <c r="V562" s="346"/>
    </row>
    <row r="563">
      <c r="A563" s="339"/>
      <c r="B563" s="313"/>
      <c r="C563" s="314"/>
      <c r="D563" s="315" t="str">
        <f t="shared" si="35"/>
        <v/>
      </c>
      <c r="E563" s="315" t="str">
        <f t="shared" si="36"/>
        <v/>
      </c>
      <c r="F563" s="316"/>
      <c r="G563" s="317"/>
      <c r="H563" s="318"/>
      <c r="I563" s="318"/>
      <c r="J563" s="318"/>
      <c r="K563" s="319">
        <f t="shared" si="39"/>
        <v>0</v>
      </c>
      <c r="L563" s="320" t="str">
        <f t="shared" si="34"/>
        <v/>
      </c>
      <c r="T563" s="344"/>
      <c r="U563" s="345"/>
      <c r="V563" s="346"/>
    </row>
    <row r="564">
      <c r="A564" s="339"/>
      <c r="B564" s="313"/>
      <c r="C564" s="314"/>
      <c r="D564" s="315" t="str">
        <f t="shared" si="35"/>
        <v/>
      </c>
      <c r="E564" s="315" t="str">
        <f t="shared" si="36"/>
        <v/>
      </c>
      <c r="F564" s="318"/>
      <c r="G564" s="318"/>
      <c r="H564" s="318"/>
      <c r="I564" s="318"/>
      <c r="J564" s="318"/>
      <c r="K564" s="319">
        <f t="shared" si="39"/>
        <v>0</v>
      </c>
      <c r="L564" s="320" t="str">
        <f t="shared" si="34"/>
        <v/>
      </c>
      <c r="M564" s="239"/>
      <c r="T564" s="344"/>
      <c r="U564" s="345"/>
      <c r="V564" s="346"/>
    </row>
    <row r="565">
      <c r="A565" s="339"/>
      <c r="B565" s="313"/>
      <c r="C565" s="314"/>
      <c r="D565" s="315" t="str">
        <f t="shared" si="35"/>
        <v/>
      </c>
      <c r="E565" s="315" t="str">
        <f t="shared" si="36"/>
        <v/>
      </c>
      <c r="F565" s="316"/>
      <c r="G565" s="317"/>
      <c r="H565" s="318"/>
      <c r="I565" s="318"/>
      <c r="J565" s="318"/>
      <c r="K565" s="319">
        <f t="shared" si="39"/>
        <v>0</v>
      </c>
      <c r="L565" s="320" t="str">
        <f t="shared" si="34"/>
        <v/>
      </c>
      <c r="T565" s="344"/>
      <c r="U565" s="345"/>
      <c r="V565" s="346"/>
    </row>
    <row r="566">
      <c r="A566" s="339"/>
      <c r="B566" s="313"/>
      <c r="C566" s="314"/>
      <c r="D566" s="315" t="str">
        <f t="shared" si="35"/>
        <v/>
      </c>
      <c r="E566" s="315" t="str">
        <f t="shared" si="36"/>
        <v/>
      </c>
      <c r="F566" s="316"/>
      <c r="G566" s="317"/>
      <c r="H566" s="318"/>
      <c r="I566" s="318"/>
      <c r="J566" s="318"/>
      <c r="K566" s="319">
        <f t="shared" si="39"/>
        <v>0</v>
      </c>
      <c r="L566" s="320" t="str">
        <f t="shared" si="34"/>
        <v/>
      </c>
      <c r="T566" s="344"/>
      <c r="U566" s="345"/>
      <c r="V566" s="346"/>
    </row>
    <row r="567">
      <c r="A567" s="339"/>
      <c r="B567" s="313"/>
      <c r="C567" s="314"/>
      <c r="D567" s="315" t="str">
        <f t="shared" si="35"/>
        <v/>
      </c>
      <c r="E567" s="315" t="str">
        <f t="shared" si="36"/>
        <v/>
      </c>
      <c r="F567" s="318"/>
      <c r="G567" s="318"/>
      <c r="H567" s="318"/>
      <c r="I567" s="318"/>
      <c r="J567" s="318"/>
      <c r="K567" s="319">
        <f t="shared" si="39"/>
        <v>0</v>
      </c>
      <c r="L567" s="320" t="str">
        <f t="shared" si="34"/>
        <v/>
      </c>
      <c r="M567" s="239"/>
      <c r="T567" s="344"/>
      <c r="U567" s="345"/>
      <c r="V567" s="346"/>
    </row>
    <row r="568">
      <c r="A568" s="339"/>
      <c r="B568" s="313"/>
      <c r="C568" s="314"/>
      <c r="D568" s="315" t="str">
        <f t="shared" si="35"/>
        <v/>
      </c>
      <c r="E568" s="315" t="str">
        <f t="shared" si="36"/>
        <v/>
      </c>
      <c r="F568" s="316"/>
      <c r="G568" s="317"/>
      <c r="H568" s="318"/>
      <c r="I568" s="318"/>
      <c r="J568" s="318"/>
      <c r="K568" s="319">
        <f t="shared" si="39"/>
        <v>0</v>
      </c>
      <c r="L568" s="320" t="str">
        <f t="shared" si="34"/>
        <v/>
      </c>
      <c r="T568" s="344"/>
      <c r="U568" s="345"/>
      <c r="V568" s="346"/>
    </row>
    <row r="569">
      <c r="A569" s="339"/>
      <c r="B569" s="313"/>
      <c r="C569" s="314"/>
      <c r="D569" s="315" t="str">
        <f t="shared" si="35"/>
        <v/>
      </c>
      <c r="E569" s="315" t="str">
        <f t="shared" si="36"/>
        <v/>
      </c>
      <c r="F569" s="316"/>
      <c r="G569" s="317"/>
      <c r="H569" s="318"/>
      <c r="I569" s="318"/>
      <c r="J569" s="318"/>
      <c r="K569" s="319">
        <f t="shared" si="39"/>
        <v>0</v>
      </c>
      <c r="L569" s="320" t="str">
        <f t="shared" si="34"/>
        <v/>
      </c>
      <c r="T569" s="344"/>
      <c r="U569" s="345"/>
      <c r="V569" s="346"/>
    </row>
    <row r="570">
      <c r="A570" s="339"/>
      <c r="B570" s="313"/>
      <c r="C570" s="314"/>
      <c r="D570" s="315" t="str">
        <f t="shared" si="35"/>
        <v/>
      </c>
      <c r="E570" s="315" t="str">
        <f t="shared" si="36"/>
        <v/>
      </c>
      <c r="F570" s="316"/>
      <c r="G570" s="317"/>
      <c r="H570" s="318"/>
      <c r="I570" s="318"/>
      <c r="J570" s="318"/>
      <c r="K570" s="319">
        <f t="shared" si="39"/>
        <v>0</v>
      </c>
      <c r="L570" s="320" t="str">
        <f t="shared" si="34"/>
        <v/>
      </c>
      <c r="T570" s="344"/>
      <c r="U570" s="345"/>
      <c r="V570" s="346"/>
    </row>
    <row r="571">
      <c r="A571" s="339"/>
      <c r="B571" s="313"/>
      <c r="C571" s="314"/>
      <c r="D571" s="315" t="str">
        <f t="shared" si="35"/>
        <v/>
      </c>
      <c r="E571" s="315" t="str">
        <f t="shared" si="36"/>
        <v/>
      </c>
      <c r="F571" s="316"/>
      <c r="G571" s="317"/>
      <c r="H571" s="318"/>
      <c r="I571" s="318"/>
      <c r="J571" s="318"/>
      <c r="K571" s="319">
        <f t="shared" si="39"/>
        <v>0</v>
      </c>
      <c r="L571" s="320" t="str">
        <f t="shared" si="34"/>
        <v/>
      </c>
      <c r="T571" s="344"/>
      <c r="U571" s="345"/>
      <c r="V571" s="346"/>
    </row>
    <row r="572">
      <c r="A572" s="339"/>
      <c r="B572" s="313"/>
      <c r="C572" s="314"/>
      <c r="D572" s="315" t="str">
        <f t="shared" si="35"/>
        <v/>
      </c>
      <c r="E572" s="315" t="str">
        <f t="shared" si="36"/>
        <v/>
      </c>
      <c r="F572" s="316"/>
      <c r="G572" s="317"/>
      <c r="H572" s="318"/>
      <c r="I572" s="318"/>
      <c r="J572" s="318"/>
      <c r="K572" s="319">
        <f t="shared" si="39"/>
        <v>0</v>
      </c>
      <c r="L572" s="320" t="str">
        <f t="shared" si="34"/>
        <v/>
      </c>
      <c r="T572" s="344"/>
      <c r="U572" s="345"/>
      <c r="V572" s="346"/>
    </row>
    <row r="573">
      <c r="A573" s="339"/>
      <c r="B573" s="313"/>
      <c r="C573" s="314"/>
      <c r="D573" s="315" t="str">
        <f t="shared" si="35"/>
        <v/>
      </c>
      <c r="E573" s="315" t="str">
        <f t="shared" si="36"/>
        <v/>
      </c>
      <c r="F573" s="316"/>
      <c r="G573" s="317"/>
      <c r="H573" s="318"/>
      <c r="I573" s="318"/>
      <c r="J573" s="318"/>
      <c r="K573" s="319">
        <f t="shared" si="39"/>
        <v>0</v>
      </c>
      <c r="L573" s="320" t="str">
        <f t="shared" si="34"/>
        <v/>
      </c>
      <c r="T573" s="344"/>
      <c r="U573" s="345"/>
      <c r="V573" s="346"/>
    </row>
    <row r="574">
      <c r="A574" s="339"/>
      <c r="B574" s="313"/>
      <c r="C574" s="314"/>
      <c r="D574" s="315" t="str">
        <f t="shared" si="35"/>
        <v/>
      </c>
      <c r="E574" s="315" t="str">
        <f t="shared" si="36"/>
        <v/>
      </c>
      <c r="F574" s="316"/>
      <c r="G574" s="316"/>
      <c r="H574" s="318"/>
      <c r="I574" s="318"/>
      <c r="J574" s="318"/>
      <c r="K574" s="319">
        <f t="shared" si="39"/>
        <v>0</v>
      </c>
      <c r="L574" s="320" t="str">
        <f t="shared" si="34"/>
        <v/>
      </c>
      <c r="M574" s="239"/>
      <c r="T574" s="344"/>
      <c r="U574" s="345"/>
      <c r="V574" s="346"/>
    </row>
    <row r="575">
      <c r="A575" s="339"/>
      <c r="B575" s="313"/>
      <c r="C575" s="314"/>
      <c r="D575" s="315" t="str">
        <f t="shared" si="35"/>
        <v/>
      </c>
      <c r="E575" s="315" t="str">
        <f t="shared" si="36"/>
        <v/>
      </c>
      <c r="F575" s="316"/>
      <c r="G575" s="317"/>
      <c r="H575" s="318"/>
      <c r="I575" s="318"/>
      <c r="J575" s="318"/>
      <c r="K575" s="319">
        <f t="shared" si="39"/>
        <v>0</v>
      </c>
      <c r="L575" s="320" t="str">
        <f t="shared" si="34"/>
        <v/>
      </c>
      <c r="T575" s="344"/>
      <c r="U575" s="345"/>
      <c r="V575" s="346"/>
    </row>
    <row r="576">
      <c r="A576" s="339"/>
      <c r="B576" s="313"/>
      <c r="C576" s="314"/>
      <c r="D576" s="315" t="str">
        <f t="shared" si="35"/>
        <v/>
      </c>
      <c r="E576" s="315" t="str">
        <f t="shared" si="36"/>
        <v/>
      </c>
      <c r="F576" s="318"/>
      <c r="G576" s="318"/>
      <c r="H576" s="318"/>
      <c r="I576" s="318"/>
      <c r="J576" s="318"/>
      <c r="K576" s="319">
        <f t="shared" si="39"/>
        <v>0</v>
      </c>
      <c r="L576" s="320" t="str">
        <f t="shared" si="34"/>
        <v/>
      </c>
      <c r="M576" s="239"/>
      <c r="T576" s="344"/>
      <c r="U576" s="345"/>
      <c r="V576" s="346"/>
    </row>
    <row r="577">
      <c r="A577" s="339"/>
      <c r="B577" s="313"/>
      <c r="C577" s="314"/>
      <c r="D577" s="315" t="str">
        <f t="shared" si="35"/>
        <v/>
      </c>
      <c r="E577" s="315" t="str">
        <f t="shared" si="36"/>
        <v/>
      </c>
      <c r="F577" s="318"/>
      <c r="G577" s="318"/>
      <c r="H577" s="318"/>
      <c r="I577" s="318"/>
      <c r="J577" s="318"/>
      <c r="K577" s="319">
        <f t="shared" si="39"/>
        <v>0</v>
      </c>
      <c r="L577" s="320" t="str">
        <f t="shared" si="34"/>
        <v/>
      </c>
      <c r="M577" s="239"/>
      <c r="T577" s="344"/>
      <c r="U577" s="345"/>
      <c r="V577" s="346"/>
    </row>
    <row r="578">
      <c r="A578" s="339"/>
      <c r="B578" s="313"/>
      <c r="C578" s="314"/>
      <c r="D578" s="315" t="str">
        <f t="shared" si="35"/>
        <v/>
      </c>
      <c r="E578" s="315" t="str">
        <f t="shared" si="36"/>
        <v/>
      </c>
      <c r="F578" s="316"/>
      <c r="G578" s="317"/>
      <c r="H578" s="318"/>
      <c r="I578" s="318"/>
      <c r="J578" s="318"/>
      <c r="K578" s="319">
        <f t="shared" si="39"/>
        <v>0</v>
      </c>
      <c r="L578" s="320" t="str">
        <f t="shared" si="34"/>
        <v/>
      </c>
      <c r="T578" s="344"/>
      <c r="U578" s="345"/>
      <c r="V578" s="346"/>
    </row>
    <row r="579">
      <c r="A579" s="339"/>
      <c r="B579" s="313"/>
      <c r="C579" s="314"/>
      <c r="D579" s="315" t="str">
        <f t="shared" si="35"/>
        <v/>
      </c>
      <c r="E579" s="315" t="str">
        <f t="shared" si="36"/>
        <v/>
      </c>
      <c r="F579" s="316"/>
      <c r="G579" s="317"/>
      <c r="H579" s="318"/>
      <c r="I579" s="318"/>
      <c r="J579" s="318"/>
      <c r="K579" s="319">
        <f t="shared" si="39"/>
        <v>0</v>
      </c>
      <c r="L579" s="320" t="str">
        <f t="shared" si="34"/>
        <v/>
      </c>
      <c r="T579" s="344"/>
      <c r="U579" s="345"/>
      <c r="V579" s="346"/>
    </row>
    <row r="580">
      <c r="A580" s="339"/>
      <c r="B580" s="313"/>
      <c r="C580" s="314"/>
      <c r="D580" s="315" t="str">
        <f t="shared" si="35"/>
        <v/>
      </c>
      <c r="E580" s="315" t="str">
        <f t="shared" si="36"/>
        <v/>
      </c>
      <c r="F580" s="316"/>
      <c r="G580" s="317"/>
      <c r="H580" s="318"/>
      <c r="I580" s="318"/>
      <c r="J580" s="318"/>
      <c r="K580" s="319">
        <f t="shared" si="39"/>
        <v>0</v>
      </c>
      <c r="L580" s="320" t="str">
        <f t="shared" si="34"/>
        <v/>
      </c>
      <c r="T580" s="344"/>
      <c r="U580" s="345"/>
      <c r="V580" s="346"/>
    </row>
    <row r="581">
      <c r="A581" s="339"/>
      <c r="B581" s="313"/>
      <c r="C581" s="314"/>
      <c r="D581" s="315" t="str">
        <f t="shared" si="35"/>
        <v/>
      </c>
      <c r="E581" s="315" t="str">
        <f t="shared" si="36"/>
        <v/>
      </c>
      <c r="F581" s="316"/>
      <c r="G581" s="317"/>
      <c r="H581" s="318"/>
      <c r="I581" s="318"/>
      <c r="J581" s="318"/>
      <c r="K581" s="319">
        <f t="shared" si="39"/>
        <v>0</v>
      </c>
      <c r="L581" s="320" t="str">
        <f t="shared" si="34"/>
        <v/>
      </c>
      <c r="T581" s="344"/>
      <c r="U581" s="345"/>
      <c r="V581" s="346"/>
    </row>
    <row r="582">
      <c r="A582" s="339"/>
      <c r="B582" s="313"/>
      <c r="C582" s="314"/>
      <c r="D582" s="315" t="str">
        <f t="shared" si="35"/>
        <v/>
      </c>
      <c r="E582" s="315" t="str">
        <f t="shared" si="36"/>
        <v/>
      </c>
      <c r="F582" s="316"/>
      <c r="G582" s="317"/>
      <c r="H582" s="318"/>
      <c r="I582" s="318"/>
      <c r="J582" s="318"/>
      <c r="K582" s="319">
        <f t="shared" si="39"/>
        <v>0</v>
      </c>
      <c r="L582" s="320" t="str">
        <f t="shared" si="34"/>
        <v/>
      </c>
      <c r="T582" s="344"/>
      <c r="U582" s="345"/>
      <c r="V582" s="346"/>
    </row>
    <row r="583">
      <c r="A583" s="339"/>
      <c r="B583" s="313"/>
      <c r="C583" s="314"/>
      <c r="D583" s="315" t="str">
        <f t="shared" si="35"/>
        <v/>
      </c>
      <c r="E583" s="315" t="str">
        <f t="shared" si="36"/>
        <v/>
      </c>
      <c r="F583" s="316"/>
      <c r="G583" s="317"/>
      <c r="H583" s="318"/>
      <c r="I583" s="318"/>
      <c r="J583" s="318"/>
      <c r="K583" s="319">
        <f t="shared" si="39"/>
        <v>0</v>
      </c>
      <c r="L583" s="320" t="str">
        <f t="shared" si="34"/>
        <v/>
      </c>
      <c r="T583" s="344"/>
      <c r="U583" s="345"/>
      <c r="V583" s="346"/>
    </row>
    <row r="584">
      <c r="A584" s="339"/>
      <c r="B584" s="313"/>
      <c r="C584" s="314"/>
      <c r="D584" s="315" t="str">
        <f t="shared" si="35"/>
        <v/>
      </c>
      <c r="E584" s="315" t="str">
        <f t="shared" si="36"/>
        <v/>
      </c>
      <c r="F584" s="316"/>
      <c r="G584" s="317"/>
      <c r="H584" s="318"/>
      <c r="I584" s="318"/>
      <c r="J584" s="318"/>
      <c r="K584" s="319">
        <f t="shared" si="39"/>
        <v>0</v>
      </c>
      <c r="L584" s="320" t="str">
        <f t="shared" si="34"/>
        <v/>
      </c>
      <c r="T584" s="344"/>
      <c r="U584" s="345"/>
      <c r="V584" s="346"/>
    </row>
    <row r="585">
      <c r="A585" s="339"/>
      <c r="B585" s="313"/>
      <c r="C585" s="314"/>
      <c r="D585" s="315" t="str">
        <f t="shared" si="35"/>
        <v/>
      </c>
      <c r="E585" s="315" t="str">
        <f t="shared" si="36"/>
        <v/>
      </c>
      <c r="F585" s="316"/>
      <c r="G585" s="317"/>
      <c r="H585" s="318"/>
      <c r="I585" s="318"/>
      <c r="J585" s="318"/>
      <c r="K585" s="319">
        <f t="shared" si="39"/>
        <v>0</v>
      </c>
      <c r="L585" s="320" t="str">
        <f t="shared" si="34"/>
        <v/>
      </c>
      <c r="T585" s="344"/>
      <c r="U585" s="345"/>
      <c r="V585" s="346"/>
    </row>
    <row r="586">
      <c r="A586" s="339"/>
      <c r="B586" s="313"/>
      <c r="C586" s="314"/>
      <c r="D586" s="315" t="str">
        <f t="shared" si="35"/>
        <v/>
      </c>
      <c r="E586" s="315" t="str">
        <f t="shared" si="36"/>
        <v/>
      </c>
      <c r="F586" s="316"/>
      <c r="G586" s="317"/>
      <c r="H586" s="318"/>
      <c r="I586" s="318"/>
      <c r="J586" s="318"/>
      <c r="K586" s="319">
        <f t="shared" si="39"/>
        <v>0</v>
      </c>
      <c r="L586" s="320" t="str">
        <f t="shared" si="34"/>
        <v/>
      </c>
      <c r="T586" s="344"/>
      <c r="U586" s="345"/>
      <c r="V586" s="346"/>
    </row>
    <row r="587">
      <c r="A587" s="339"/>
      <c r="B587" s="313"/>
      <c r="C587" s="314"/>
      <c r="D587" s="315" t="str">
        <f t="shared" si="35"/>
        <v/>
      </c>
      <c r="E587" s="315" t="str">
        <f t="shared" si="36"/>
        <v/>
      </c>
      <c r="F587" s="316"/>
      <c r="G587" s="317"/>
      <c r="H587" s="318"/>
      <c r="I587" s="318"/>
      <c r="J587" s="318"/>
      <c r="K587" s="319">
        <f t="shared" si="39"/>
        <v>0</v>
      </c>
      <c r="L587" s="320" t="str">
        <f t="shared" si="34"/>
        <v/>
      </c>
      <c r="T587" s="344"/>
      <c r="U587" s="345"/>
      <c r="V587" s="346"/>
    </row>
    <row r="588">
      <c r="A588" s="339"/>
      <c r="B588" s="313"/>
      <c r="C588" s="314"/>
      <c r="D588" s="315" t="str">
        <f t="shared" si="35"/>
        <v/>
      </c>
      <c r="E588" s="315" t="str">
        <f t="shared" si="36"/>
        <v/>
      </c>
      <c r="F588" s="316"/>
      <c r="G588" s="317"/>
      <c r="H588" s="318"/>
      <c r="I588" s="318"/>
      <c r="J588" s="318"/>
      <c r="K588" s="319">
        <f t="shared" si="39"/>
        <v>0</v>
      </c>
      <c r="L588" s="320" t="str">
        <f t="shared" si="34"/>
        <v/>
      </c>
      <c r="T588" s="344"/>
      <c r="U588" s="345"/>
      <c r="V588" s="346"/>
    </row>
    <row r="589">
      <c r="A589" s="339"/>
      <c r="B589" s="313"/>
      <c r="C589" s="314"/>
      <c r="D589" s="315" t="str">
        <f t="shared" si="35"/>
        <v/>
      </c>
      <c r="E589" s="315" t="str">
        <f t="shared" si="36"/>
        <v/>
      </c>
      <c r="F589" s="316"/>
      <c r="G589" s="317"/>
      <c r="H589" s="318"/>
      <c r="I589" s="318"/>
      <c r="J589" s="318"/>
      <c r="K589" s="319">
        <f t="shared" si="39"/>
        <v>0</v>
      </c>
      <c r="L589" s="320" t="str">
        <f t="shared" si="34"/>
        <v/>
      </c>
      <c r="T589" s="344"/>
      <c r="U589" s="345"/>
      <c r="V589" s="346"/>
    </row>
    <row r="590">
      <c r="A590" s="339"/>
      <c r="B590" s="313"/>
      <c r="C590" s="314"/>
      <c r="D590" s="315" t="str">
        <f t="shared" si="35"/>
        <v/>
      </c>
      <c r="E590" s="315" t="str">
        <f t="shared" si="36"/>
        <v/>
      </c>
      <c r="F590" s="316"/>
      <c r="G590" s="317"/>
      <c r="H590" s="318"/>
      <c r="I590" s="318"/>
      <c r="J590" s="318"/>
      <c r="K590" s="319">
        <f t="shared" si="39"/>
        <v>0</v>
      </c>
      <c r="L590" s="320" t="str">
        <f t="shared" si="34"/>
        <v/>
      </c>
      <c r="T590" s="344"/>
      <c r="U590" s="345"/>
      <c r="V590" s="346"/>
    </row>
    <row r="591">
      <c r="A591" s="339"/>
      <c r="B591" s="313"/>
      <c r="C591" s="314"/>
      <c r="D591" s="315" t="str">
        <f t="shared" si="35"/>
        <v/>
      </c>
      <c r="E591" s="315" t="str">
        <f t="shared" si="36"/>
        <v/>
      </c>
      <c r="F591" s="316"/>
      <c r="G591" s="317"/>
      <c r="H591" s="318"/>
      <c r="I591" s="318"/>
      <c r="J591" s="318"/>
      <c r="K591" s="319">
        <f t="shared" si="39"/>
        <v>0</v>
      </c>
      <c r="L591" s="320" t="str">
        <f t="shared" si="34"/>
        <v/>
      </c>
      <c r="T591" s="344"/>
      <c r="U591" s="345"/>
      <c r="V591" s="346"/>
    </row>
    <row r="592">
      <c r="A592" s="339"/>
      <c r="B592" s="313"/>
      <c r="C592" s="314"/>
      <c r="D592" s="315" t="str">
        <f t="shared" si="35"/>
        <v/>
      </c>
      <c r="E592" s="315" t="str">
        <f t="shared" si="36"/>
        <v/>
      </c>
      <c r="F592" s="316"/>
      <c r="G592" s="317"/>
      <c r="H592" s="318"/>
      <c r="I592" s="318"/>
      <c r="J592" s="318"/>
      <c r="K592" s="319">
        <f t="shared" si="39"/>
        <v>0</v>
      </c>
      <c r="L592" s="320" t="str">
        <f t="shared" si="34"/>
        <v/>
      </c>
      <c r="T592" s="344"/>
      <c r="U592" s="345"/>
      <c r="V592" s="346"/>
    </row>
    <row r="593">
      <c r="A593" s="339"/>
      <c r="B593" s="313"/>
      <c r="C593" s="314"/>
      <c r="D593" s="315" t="str">
        <f t="shared" si="35"/>
        <v/>
      </c>
      <c r="E593" s="315" t="str">
        <f t="shared" si="36"/>
        <v/>
      </c>
      <c r="F593" s="316"/>
      <c r="G593" s="316"/>
      <c r="H593" s="318"/>
      <c r="I593" s="318"/>
      <c r="J593" s="318"/>
      <c r="K593" s="319">
        <f t="shared" si="39"/>
        <v>0</v>
      </c>
      <c r="L593" s="320" t="str">
        <f t="shared" si="34"/>
        <v/>
      </c>
      <c r="M593" s="239"/>
      <c r="T593" s="344"/>
      <c r="U593" s="345"/>
      <c r="V593" s="346"/>
    </row>
    <row r="594">
      <c r="A594" s="339"/>
      <c r="B594" s="313"/>
      <c r="C594" s="314"/>
      <c r="D594" s="315" t="str">
        <f t="shared" si="35"/>
        <v/>
      </c>
      <c r="E594" s="315" t="str">
        <f t="shared" si="36"/>
        <v/>
      </c>
      <c r="F594" s="316"/>
      <c r="G594" s="317"/>
      <c r="H594" s="318"/>
      <c r="I594" s="318"/>
      <c r="J594" s="318"/>
      <c r="K594" s="319">
        <f t="shared" si="39"/>
        <v>0</v>
      </c>
      <c r="L594" s="320" t="str">
        <f t="shared" si="34"/>
        <v/>
      </c>
      <c r="T594" s="344"/>
      <c r="U594" s="345"/>
      <c r="V594" s="346"/>
    </row>
    <row r="595">
      <c r="A595" s="339"/>
      <c r="B595" s="313"/>
      <c r="C595" s="314"/>
      <c r="D595" s="315" t="str">
        <f t="shared" si="35"/>
        <v/>
      </c>
      <c r="E595" s="315" t="str">
        <f t="shared" si="36"/>
        <v/>
      </c>
      <c r="F595" s="316"/>
      <c r="G595" s="317"/>
      <c r="H595" s="318"/>
      <c r="I595" s="318"/>
      <c r="J595" s="318"/>
      <c r="K595" s="319">
        <f t="shared" si="39"/>
        <v>0</v>
      </c>
      <c r="L595" s="320" t="str">
        <f t="shared" si="34"/>
        <v/>
      </c>
      <c r="T595" s="344"/>
      <c r="U595" s="345"/>
      <c r="V595" s="346"/>
    </row>
    <row r="596">
      <c r="A596" s="339"/>
      <c r="B596" s="313"/>
      <c r="C596" s="314"/>
      <c r="D596" s="315" t="str">
        <f t="shared" si="35"/>
        <v/>
      </c>
      <c r="E596" s="315" t="str">
        <f t="shared" si="36"/>
        <v/>
      </c>
      <c r="F596" s="316"/>
      <c r="G596" s="317"/>
      <c r="H596" s="318"/>
      <c r="I596" s="318"/>
      <c r="J596" s="318"/>
      <c r="K596" s="319">
        <f t="shared" si="39"/>
        <v>0</v>
      </c>
      <c r="L596" s="320" t="str">
        <f t="shared" si="34"/>
        <v/>
      </c>
      <c r="T596" s="344"/>
      <c r="U596" s="345"/>
      <c r="V596" s="346"/>
    </row>
    <row r="597">
      <c r="A597" s="339"/>
      <c r="B597" s="313"/>
      <c r="C597" s="314"/>
      <c r="D597" s="315" t="str">
        <f t="shared" si="35"/>
        <v/>
      </c>
      <c r="E597" s="315" t="str">
        <f t="shared" si="36"/>
        <v/>
      </c>
      <c r="F597" s="318"/>
      <c r="G597" s="318"/>
      <c r="H597" s="318"/>
      <c r="I597" s="318"/>
      <c r="J597" s="318"/>
      <c r="K597" s="319">
        <f t="shared" si="39"/>
        <v>0</v>
      </c>
      <c r="L597" s="320" t="str">
        <f t="shared" si="34"/>
        <v/>
      </c>
      <c r="T597" s="344"/>
      <c r="U597" s="345"/>
      <c r="V597" s="346"/>
    </row>
    <row r="598">
      <c r="A598" s="339"/>
      <c r="B598" s="313"/>
      <c r="C598" s="314"/>
      <c r="D598" s="315" t="str">
        <f t="shared" si="35"/>
        <v/>
      </c>
      <c r="E598" s="315" t="str">
        <f t="shared" si="36"/>
        <v/>
      </c>
      <c r="F598" s="316"/>
      <c r="G598" s="317"/>
      <c r="H598" s="318"/>
      <c r="I598" s="318"/>
      <c r="J598" s="318"/>
      <c r="K598" s="319">
        <f t="shared" si="39"/>
        <v>0</v>
      </c>
      <c r="L598" s="320" t="str">
        <f t="shared" si="34"/>
        <v/>
      </c>
      <c r="T598" s="344"/>
      <c r="U598" s="345"/>
      <c r="V598" s="346"/>
    </row>
    <row r="599">
      <c r="A599" s="339"/>
      <c r="B599" s="313"/>
      <c r="C599" s="314"/>
      <c r="D599" s="315" t="str">
        <f t="shared" si="35"/>
        <v/>
      </c>
      <c r="E599" s="315" t="str">
        <f t="shared" si="36"/>
        <v/>
      </c>
      <c r="F599" s="316"/>
      <c r="G599" s="317"/>
      <c r="H599" s="318"/>
      <c r="I599" s="318"/>
      <c r="J599" s="318"/>
      <c r="K599" s="319">
        <f t="shared" si="39"/>
        <v>0</v>
      </c>
      <c r="L599" s="320" t="str">
        <f t="shared" si="34"/>
        <v/>
      </c>
      <c r="T599" s="344"/>
      <c r="U599" s="345"/>
      <c r="V599" s="346"/>
    </row>
    <row r="600">
      <c r="A600" s="339"/>
      <c r="B600" s="313"/>
      <c r="C600" s="314"/>
      <c r="D600" s="315" t="str">
        <f t="shared" si="35"/>
        <v/>
      </c>
      <c r="E600" s="315" t="str">
        <f t="shared" si="36"/>
        <v/>
      </c>
      <c r="F600" s="316"/>
      <c r="G600" s="317"/>
      <c r="H600" s="318"/>
      <c r="I600" s="318"/>
      <c r="J600" s="318"/>
      <c r="K600" s="319">
        <f t="shared" si="39"/>
        <v>0</v>
      </c>
      <c r="L600" s="320" t="str">
        <f t="shared" si="34"/>
        <v/>
      </c>
      <c r="T600" s="344"/>
      <c r="U600" s="345"/>
      <c r="V600" s="346"/>
    </row>
    <row r="601">
      <c r="A601" s="339"/>
      <c r="B601" s="313"/>
      <c r="C601" s="314"/>
      <c r="D601" s="315" t="str">
        <f t="shared" si="35"/>
        <v/>
      </c>
      <c r="E601" s="315" t="str">
        <f t="shared" si="36"/>
        <v/>
      </c>
      <c r="F601" s="316"/>
      <c r="G601" s="317"/>
      <c r="H601" s="318"/>
      <c r="I601" s="318"/>
      <c r="J601" s="318"/>
      <c r="K601" s="319">
        <f t="shared" si="39"/>
        <v>0</v>
      </c>
      <c r="L601" s="320" t="str">
        <f t="shared" si="34"/>
        <v/>
      </c>
      <c r="T601" s="344"/>
      <c r="U601" s="345"/>
      <c r="V601" s="346"/>
    </row>
    <row r="602">
      <c r="A602" s="339"/>
      <c r="B602" s="313"/>
      <c r="C602" s="314"/>
      <c r="D602" s="315" t="str">
        <f t="shared" si="35"/>
        <v/>
      </c>
      <c r="E602" s="315" t="str">
        <f t="shared" si="36"/>
        <v/>
      </c>
      <c r="F602" s="318"/>
      <c r="G602" s="318"/>
      <c r="H602" s="318"/>
      <c r="I602" s="318"/>
      <c r="J602" s="318"/>
      <c r="K602" s="319">
        <f t="shared" si="39"/>
        <v>0</v>
      </c>
      <c r="L602" s="320" t="str">
        <f t="shared" si="34"/>
        <v/>
      </c>
      <c r="M602" s="239"/>
      <c r="T602" s="344"/>
      <c r="U602" s="345"/>
      <c r="V602" s="346"/>
    </row>
    <row r="603">
      <c r="A603" s="339"/>
      <c r="B603" s="313"/>
      <c r="C603" s="314"/>
      <c r="D603" s="315" t="str">
        <f t="shared" si="35"/>
        <v/>
      </c>
      <c r="E603" s="315" t="str">
        <f t="shared" si="36"/>
        <v/>
      </c>
      <c r="F603" s="316"/>
      <c r="G603" s="317"/>
      <c r="H603" s="318"/>
      <c r="I603" s="318"/>
      <c r="J603" s="318"/>
      <c r="K603" s="319">
        <f t="shared" si="39"/>
        <v>0</v>
      </c>
      <c r="L603" s="320" t="str">
        <f t="shared" si="34"/>
        <v/>
      </c>
      <c r="T603" s="344"/>
      <c r="U603" s="345"/>
      <c r="V603" s="346"/>
    </row>
    <row r="604">
      <c r="A604" s="339"/>
      <c r="B604" s="313"/>
      <c r="C604" s="314"/>
      <c r="D604" s="315" t="str">
        <f t="shared" si="35"/>
        <v/>
      </c>
      <c r="E604" s="315" t="str">
        <f t="shared" si="36"/>
        <v/>
      </c>
      <c r="F604" s="316"/>
      <c r="G604" s="317"/>
      <c r="H604" s="318"/>
      <c r="I604" s="318"/>
      <c r="J604" s="318"/>
      <c r="K604" s="319">
        <f t="shared" si="39"/>
        <v>0</v>
      </c>
      <c r="L604" s="320" t="str">
        <f t="shared" si="34"/>
        <v/>
      </c>
      <c r="T604" s="344"/>
      <c r="U604" s="345"/>
      <c r="V604" s="346"/>
    </row>
    <row r="605">
      <c r="A605" s="339"/>
      <c r="B605" s="313"/>
      <c r="C605" s="314"/>
      <c r="D605" s="315" t="str">
        <f t="shared" si="35"/>
        <v/>
      </c>
      <c r="E605" s="315" t="str">
        <f t="shared" si="36"/>
        <v/>
      </c>
      <c r="F605" s="316"/>
      <c r="G605" s="317"/>
      <c r="H605" s="318"/>
      <c r="I605" s="318"/>
      <c r="J605" s="318"/>
      <c r="K605" s="319">
        <f t="shared" si="39"/>
        <v>0</v>
      </c>
      <c r="L605" s="320" t="str">
        <f t="shared" si="34"/>
        <v/>
      </c>
      <c r="T605" s="344"/>
      <c r="U605" s="345"/>
      <c r="V605" s="346"/>
    </row>
    <row r="606">
      <c r="A606" s="339"/>
      <c r="B606" s="313"/>
      <c r="C606" s="314"/>
      <c r="D606" s="315" t="str">
        <f t="shared" si="35"/>
        <v/>
      </c>
      <c r="E606" s="315" t="str">
        <f t="shared" si="36"/>
        <v/>
      </c>
      <c r="F606" s="316"/>
      <c r="G606" s="317"/>
      <c r="H606" s="318"/>
      <c r="I606" s="318"/>
      <c r="J606" s="318"/>
      <c r="K606" s="319">
        <f t="shared" si="39"/>
        <v>0</v>
      </c>
      <c r="L606" s="320" t="str">
        <f t="shared" si="34"/>
        <v/>
      </c>
      <c r="T606" s="344"/>
      <c r="U606" s="345"/>
      <c r="V606" s="346"/>
    </row>
    <row r="607">
      <c r="A607" s="339"/>
      <c r="B607" s="313"/>
      <c r="C607" s="314"/>
      <c r="D607" s="315" t="str">
        <f t="shared" si="35"/>
        <v/>
      </c>
      <c r="E607" s="315" t="str">
        <f t="shared" si="36"/>
        <v/>
      </c>
      <c r="F607" s="316"/>
      <c r="G607" s="317"/>
      <c r="H607" s="318"/>
      <c r="I607" s="318"/>
      <c r="J607" s="318"/>
      <c r="K607" s="319">
        <f t="shared" si="39"/>
        <v>0</v>
      </c>
      <c r="L607" s="320" t="str">
        <f t="shared" si="34"/>
        <v/>
      </c>
      <c r="T607" s="344"/>
      <c r="U607" s="345"/>
      <c r="V607" s="346"/>
    </row>
    <row r="608">
      <c r="A608" s="339"/>
      <c r="B608" s="313"/>
      <c r="C608" s="314"/>
      <c r="D608" s="315" t="str">
        <f t="shared" si="35"/>
        <v/>
      </c>
      <c r="E608" s="315" t="str">
        <f t="shared" si="36"/>
        <v/>
      </c>
      <c r="F608" s="316"/>
      <c r="G608" s="317"/>
      <c r="H608" s="318"/>
      <c r="I608" s="318"/>
      <c r="J608" s="318"/>
      <c r="K608" s="319">
        <f t="shared" si="39"/>
        <v>0</v>
      </c>
      <c r="L608" s="320" t="str">
        <f t="shared" si="34"/>
        <v/>
      </c>
      <c r="T608" s="344"/>
      <c r="U608" s="345"/>
      <c r="V608" s="346"/>
    </row>
    <row r="609">
      <c r="A609" s="339"/>
      <c r="B609" s="313"/>
      <c r="C609" s="314"/>
      <c r="D609" s="315" t="str">
        <f t="shared" si="35"/>
        <v/>
      </c>
      <c r="E609" s="315" t="str">
        <f t="shared" si="36"/>
        <v/>
      </c>
      <c r="F609" s="316"/>
      <c r="G609" s="317"/>
      <c r="H609" s="318"/>
      <c r="I609" s="318"/>
      <c r="J609" s="318"/>
      <c r="K609" s="319">
        <f t="shared" si="39"/>
        <v>0</v>
      </c>
      <c r="L609" s="320" t="str">
        <f t="shared" si="34"/>
        <v/>
      </c>
      <c r="T609" s="344"/>
      <c r="U609" s="345"/>
      <c r="V609" s="346"/>
    </row>
    <row r="610">
      <c r="A610" s="339"/>
      <c r="B610" s="313"/>
      <c r="C610" s="314"/>
      <c r="D610" s="315" t="str">
        <f t="shared" si="35"/>
        <v/>
      </c>
      <c r="E610" s="315" t="str">
        <f t="shared" si="36"/>
        <v/>
      </c>
      <c r="F610" s="316"/>
      <c r="G610" s="317"/>
      <c r="H610" s="318"/>
      <c r="I610" s="318"/>
      <c r="J610" s="318"/>
      <c r="K610" s="319">
        <f t="shared" si="39"/>
        <v>0</v>
      </c>
      <c r="L610" s="320" t="str">
        <f t="shared" si="34"/>
        <v/>
      </c>
      <c r="T610" s="344"/>
      <c r="U610" s="345"/>
      <c r="V610" s="346"/>
    </row>
    <row r="611">
      <c r="A611" s="339"/>
      <c r="B611" s="313"/>
      <c r="C611" s="314"/>
      <c r="D611" s="315" t="str">
        <f t="shared" si="35"/>
        <v/>
      </c>
      <c r="E611" s="315" t="str">
        <f t="shared" si="36"/>
        <v/>
      </c>
      <c r="F611" s="316"/>
      <c r="G611" s="317"/>
      <c r="H611" s="318"/>
      <c r="I611" s="318"/>
      <c r="J611" s="318"/>
      <c r="K611" s="319">
        <f t="shared" si="39"/>
        <v>0</v>
      </c>
      <c r="L611" s="320" t="str">
        <f t="shared" si="34"/>
        <v/>
      </c>
      <c r="M611" s="239"/>
      <c r="T611" s="344"/>
      <c r="U611" s="345"/>
      <c r="V611" s="346"/>
    </row>
    <row r="612">
      <c r="A612" s="339"/>
      <c r="B612" s="313"/>
      <c r="C612" s="314"/>
      <c r="D612" s="315" t="str">
        <f t="shared" si="35"/>
        <v/>
      </c>
      <c r="E612" s="315" t="str">
        <f t="shared" si="36"/>
        <v/>
      </c>
      <c r="F612" s="318"/>
      <c r="G612" s="318"/>
      <c r="H612" s="318"/>
      <c r="I612" s="318"/>
      <c r="J612" s="318"/>
      <c r="K612" s="319">
        <f t="shared" si="39"/>
        <v>0</v>
      </c>
      <c r="L612" s="320" t="str">
        <f t="shared" si="34"/>
        <v/>
      </c>
      <c r="M612" s="239"/>
      <c r="T612" s="344"/>
      <c r="U612" s="345"/>
      <c r="V612" s="346"/>
    </row>
    <row r="613">
      <c r="A613" s="339"/>
      <c r="B613" s="313"/>
      <c r="C613" s="314"/>
      <c r="D613" s="315" t="str">
        <f t="shared" si="35"/>
        <v/>
      </c>
      <c r="E613" s="315" t="str">
        <f t="shared" si="36"/>
        <v/>
      </c>
      <c r="F613" s="316"/>
      <c r="G613" s="317"/>
      <c r="H613" s="318"/>
      <c r="I613" s="318"/>
      <c r="J613" s="318"/>
      <c r="K613" s="319">
        <f t="shared" si="39"/>
        <v>0</v>
      </c>
      <c r="L613" s="320" t="str">
        <f t="shared" si="34"/>
        <v/>
      </c>
      <c r="T613" s="344"/>
      <c r="U613" s="345"/>
      <c r="V613" s="346"/>
    </row>
    <row r="614">
      <c r="A614" s="339"/>
      <c r="B614" s="313"/>
      <c r="C614" s="314"/>
      <c r="D614" s="315" t="str">
        <f t="shared" si="35"/>
        <v/>
      </c>
      <c r="E614" s="315" t="str">
        <f t="shared" si="36"/>
        <v/>
      </c>
      <c r="F614" s="316"/>
      <c r="G614" s="317"/>
      <c r="H614" s="318"/>
      <c r="I614" s="318"/>
      <c r="J614" s="318"/>
      <c r="K614" s="319">
        <f t="shared" si="39"/>
        <v>0</v>
      </c>
      <c r="L614" s="320" t="str">
        <f t="shared" si="34"/>
        <v/>
      </c>
      <c r="T614" s="344"/>
      <c r="U614" s="345"/>
      <c r="V614" s="346"/>
    </row>
    <row r="615">
      <c r="A615" s="339"/>
      <c r="B615" s="313"/>
      <c r="C615" s="314"/>
      <c r="D615" s="315" t="str">
        <f t="shared" si="35"/>
        <v/>
      </c>
      <c r="E615" s="315" t="str">
        <f t="shared" si="36"/>
        <v/>
      </c>
      <c r="F615" s="318"/>
      <c r="G615" s="318"/>
      <c r="H615" s="318"/>
      <c r="I615" s="318"/>
      <c r="J615" s="318"/>
      <c r="K615" s="319">
        <f t="shared" si="39"/>
        <v>0</v>
      </c>
      <c r="L615" s="320" t="str">
        <f t="shared" si="34"/>
        <v/>
      </c>
      <c r="M615" s="239"/>
      <c r="T615" s="344"/>
      <c r="U615" s="345"/>
      <c r="V615" s="346"/>
    </row>
    <row r="616">
      <c r="A616" s="339"/>
      <c r="B616" s="313"/>
      <c r="C616" s="314"/>
      <c r="D616" s="315" t="str">
        <f t="shared" si="35"/>
        <v/>
      </c>
      <c r="E616" s="315" t="str">
        <f t="shared" si="36"/>
        <v/>
      </c>
      <c r="F616" s="316"/>
      <c r="G616" s="317"/>
      <c r="H616" s="318"/>
      <c r="I616" s="318"/>
      <c r="J616" s="318"/>
      <c r="K616" s="319">
        <f t="shared" si="39"/>
        <v>0</v>
      </c>
      <c r="L616" s="320" t="str">
        <f t="shared" si="34"/>
        <v/>
      </c>
      <c r="T616" s="344"/>
      <c r="U616" s="345"/>
      <c r="V616" s="346"/>
    </row>
    <row r="617">
      <c r="A617" s="339"/>
      <c r="B617" s="313"/>
      <c r="C617" s="314"/>
      <c r="D617" s="315" t="str">
        <f t="shared" si="35"/>
        <v/>
      </c>
      <c r="E617" s="315" t="str">
        <f t="shared" si="36"/>
        <v/>
      </c>
      <c r="F617" s="316"/>
      <c r="G617" s="317"/>
      <c r="H617" s="318"/>
      <c r="I617" s="318"/>
      <c r="J617" s="318"/>
      <c r="K617" s="319">
        <f t="shared" si="39"/>
        <v>0</v>
      </c>
      <c r="L617" s="320" t="str">
        <f t="shared" si="34"/>
        <v/>
      </c>
      <c r="T617" s="344"/>
      <c r="U617" s="345"/>
      <c r="V617" s="346"/>
    </row>
    <row r="618">
      <c r="A618" s="339"/>
      <c r="B618" s="313"/>
      <c r="C618" s="314"/>
      <c r="D618" s="315" t="str">
        <f t="shared" si="35"/>
        <v/>
      </c>
      <c r="E618" s="315" t="str">
        <f t="shared" si="36"/>
        <v/>
      </c>
      <c r="F618" s="318"/>
      <c r="G618" s="318"/>
      <c r="H618" s="318"/>
      <c r="I618" s="318"/>
      <c r="J618" s="318"/>
      <c r="K618" s="319">
        <f t="shared" si="39"/>
        <v>0</v>
      </c>
      <c r="L618" s="320" t="str">
        <f t="shared" si="34"/>
        <v/>
      </c>
      <c r="M618" s="239"/>
      <c r="T618" s="344"/>
      <c r="U618" s="345"/>
      <c r="V618" s="346"/>
    </row>
    <row r="619">
      <c r="A619" s="339"/>
      <c r="B619" s="313"/>
      <c r="C619" s="314"/>
      <c r="D619" s="315" t="str">
        <f t="shared" si="35"/>
        <v/>
      </c>
      <c r="E619" s="315" t="str">
        <f t="shared" si="36"/>
        <v/>
      </c>
      <c r="F619" s="316"/>
      <c r="G619" s="317"/>
      <c r="H619" s="318"/>
      <c r="I619" s="318"/>
      <c r="J619" s="318"/>
      <c r="K619" s="319">
        <f t="shared" si="39"/>
        <v>0</v>
      </c>
      <c r="L619" s="320" t="str">
        <f t="shared" si="34"/>
        <v/>
      </c>
      <c r="T619" s="344"/>
      <c r="U619" s="345"/>
      <c r="V619" s="346"/>
    </row>
    <row r="620">
      <c r="A620" s="339"/>
      <c r="B620" s="313"/>
      <c r="C620" s="314"/>
      <c r="D620" s="315" t="str">
        <f t="shared" si="35"/>
        <v/>
      </c>
      <c r="E620" s="315" t="str">
        <f t="shared" si="36"/>
        <v/>
      </c>
      <c r="F620" s="316"/>
      <c r="G620" s="317"/>
      <c r="H620" s="318"/>
      <c r="I620" s="318"/>
      <c r="J620" s="318"/>
      <c r="K620" s="319">
        <f t="shared" si="39"/>
        <v>0</v>
      </c>
      <c r="L620" s="320" t="str">
        <f t="shared" si="34"/>
        <v/>
      </c>
      <c r="T620" s="344"/>
      <c r="U620" s="345"/>
      <c r="V620" s="346"/>
    </row>
    <row r="621">
      <c r="A621" s="339"/>
      <c r="B621" s="313"/>
      <c r="C621" s="314"/>
      <c r="D621" s="315" t="str">
        <f t="shared" si="35"/>
        <v/>
      </c>
      <c r="E621" s="315" t="str">
        <f t="shared" si="36"/>
        <v/>
      </c>
      <c r="F621" s="316"/>
      <c r="G621" s="317"/>
      <c r="H621" s="318"/>
      <c r="I621" s="318"/>
      <c r="J621" s="318"/>
      <c r="K621" s="319">
        <f t="shared" si="39"/>
        <v>0</v>
      </c>
      <c r="L621" s="320" t="str">
        <f t="shared" si="34"/>
        <v/>
      </c>
      <c r="T621" s="344"/>
      <c r="U621" s="345"/>
      <c r="V621" s="346"/>
    </row>
    <row r="622">
      <c r="A622" s="339"/>
      <c r="B622" s="313"/>
      <c r="C622" s="314"/>
      <c r="D622" s="315" t="str">
        <f t="shared" si="35"/>
        <v/>
      </c>
      <c r="E622" s="315" t="str">
        <f t="shared" si="36"/>
        <v/>
      </c>
      <c r="F622" s="318"/>
      <c r="G622" s="318"/>
      <c r="H622" s="318"/>
      <c r="I622" s="318"/>
      <c r="J622" s="318"/>
      <c r="K622" s="319">
        <f t="shared" si="39"/>
        <v>0</v>
      </c>
      <c r="L622" s="320" t="str">
        <f t="shared" si="34"/>
        <v/>
      </c>
      <c r="M622" s="239"/>
      <c r="T622" s="344"/>
      <c r="U622" s="345"/>
      <c r="V622" s="346"/>
    </row>
    <row r="623">
      <c r="A623" s="339"/>
      <c r="B623" s="313"/>
      <c r="C623" s="314"/>
      <c r="D623" s="315" t="str">
        <f t="shared" si="35"/>
        <v/>
      </c>
      <c r="E623" s="315" t="str">
        <f t="shared" si="36"/>
        <v/>
      </c>
      <c r="F623" s="316"/>
      <c r="G623" s="317"/>
      <c r="H623" s="318"/>
      <c r="I623" s="318"/>
      <c r="J623" s="318"/>
      <c r="K623" s="319">
        <f t="shared" si="39"/>
        <v>0</v>
      </c>
      <c r="L623" s="320" t="str">
        <f t="shared" si="34"/>
        <v/>
      </c>
      <c r="T623" s="344"/>
      <c r="U623" s="345"/>
      <c r="V623" s="346"/>
    </row>
    <row r="624">
      <c r="A624" s="339"/>
      <c r="B624" s="313"/>
      <c r="C624" s="314"/>
      <c r="D624" s="315" t="str">
        <f t="shared" si="35"/>
        <v/>
      </c>
      <c r="E624" s="315" t="str">
        <f t="shared" si="36"/>
        <v/>
      </c>
      <c r="F624" s="316"/>
      <c r="G624" s="317"/>
      <c r="H624" s="318"/>
      <c r="I624" s="318"/>
      <c r="J624" s="318"/>
      <c r="K624" s="319">
        <f t="shared" si="39"/>
        <v>0</v>
      </c>
      <c r="L624" s="320" t="str">
        <f t="shared" si="34"/>
        <v/>
      </c>
      <c r="T624" s="344"/>
      <c r="U624" s="345"/>
      <c r="V624" s="346"/>
    </row>
    <row r="625">
      <c r="A625" s="339"/>
      <c r="B625" s="313"/>
      <c r="C625" s="314"/>
      <c r="D625" s="315" t="str">
        <f t="shared" si="35"/>
        <v/>
      </c>
      <c r="E625" s="315" t="str">
        <f t="shared" si="36"/>
        <v/>
      </c>
      <c r="F625" s="316"/>
      <c r="G625" s="317"/>
      <c r="H625" s="318"/>
      <c r="I625" s="318"/>
      <c r="J625" s="318"/>
      <c r="K625" s="319">
        <f t="shared" si="39"/>
        <v>0</v>
      </c>
      <c r="L625" s="320" t="str">
        <f t="shared" si="34"/>
        <v/>
      </c>
      <c r="T625" s="344"/>
      <c r="U625" s="345"/>
      <c r="V625" s="346"/>
    </row>
    <row r="626">
      <c r="A626" s="339"/>
      <c r="B626" s="313"/>
      <c r="C626" s="314"/>
      <c r="D626" s="315" t="str">
        <f t="shared" si="35"/>
        <v/>
      </c>
      <c r="E626" s="315" t="str">
        <f t="shared" si="36"/>
        <v/>
      </c>
      <c r="F626" s="316"/>
      <c r="G626" s="316"/>
      <c r="H626" s="316"/>
      <c r="I626" s="316"/>
      <c r="J626" s="316"/>
      <c r="K626" s="319">
        <f t="shared" si="39"/>
        <v>0</v>
      </c>
      <c r="L626" s="320" t="str">
        <f t="shared" si="34"/>
        <v/>
      </c>
      <c r="M626" s="239"/>
      <c r="T626" s="344"/>
      <c r="U626" s="345"/>
      <c r="V626" s="346"/>
    </row>
    <row r="627">
      <c r="A627" s="339"/>
      <c r="B627" s="313"/>
      <c r="C627" s="314"/>
      <c r="D627" s="315" t="str">
        <f t="shared" si="35"/>
        <v/>
      </c>
      <c r="E627" s="315" t="str">
        <f t="shared" si="36"/>
        <v/>
      </c>
      <c r="F627" s="316"/>
      <c r="G627" s="317"/>
      <c r="H627" s="318"/>
      <c r="I627" s="318"/>
      <c r="J627" s="318"/>
      <c r="K627" s="319">
        <f t="shared" si="39"/>
        <v>0</v>
      </c>
      <c r="L627" s="320" t="str">
        <f t="shared" si="34"/>
        <v/>
      </c>
      <c r="T627" s="344"/>
      <c r="U627" s="345"/>
      <c r="V627" s="346"/>
    </row>
    <row r="628">
      <c r="A628" s="339"/>
      <c r="B628" s="313"/>
      <c r="C628" s="314"/>
      <c r="D628" s="315" t="str">
        <f t="shared" si="35"/>
        <v/>
      </c>
      <c r="E628" s="315" t="str">
        <f t="shared" si="36"/>
        <v/>
      </c>
      <c r="F628" s="316"/>
      <c r="G628" s="317"/>
      <c r="H628" s="318"/>
      <c r="I628" s="318"/>
      <c r="J628" s="318"/>
      <c r="K628" s="319">
        <f t="shared" si="39"/>
        <v>0</v>
      </c>
      <c r="L628" s="320" t="str">
        <f t="shared" si="34"/>
        <v/>
      </c>
      <c r="T628" s="344"/>
      <c r="U628" s="345"/>
      <c r="V628" s="346"/>
    </row>
    <row r="629">
      <c r="A629" s="339"/>
      <c r="B629" s="313"/>
      <c r="C629" s="314"/>
      <c r="D629" s="315" t="str">
        <f t="shared" si="35"/>
        <v/>
      </c>
      <c r="E629" s="315" t="str">
        <f t="shared" si="36"/>
        <v/>
      </c>
      <c r="F629" s="316"/>
      <c r="G629" s="317"/>
      <c r="H629" s="318"/>
      <c r="I629" s="318"/>
      <c r="J629" s="318"/>
      <c r="K629" s="319">
        <f t="shared" si="39"/>
        <v>0</v>
      </c>
      <c r="L629" s="320" t="str">
        <f t="shared" si="34"/>
        <v/>
      </c>
      <c r="T629" s="344"/>
      <c r="U629" s="345"/>
      <c r="V629" s="346"/>
    </row>
    <row r="630">
      <c r="A630" s="339"/>
      <c r="B630" s="313"/>
      <c r="C630" s="314"/>
      <c r="D630" s="315" t="str">
        <f t="shared" si="35"/>
        <v/>
      </c>
      <c r="E630" s="315" t="str">
        <f t="shared" si="36"/>
        <v/>
      </c>
      <c r="F630" s="316"/>
      <c r="G630" s="317"/>
      <c r="H630" s="318"/>
      <c r="I630" s="318"/>
      <c r="J630" s="318"/>
      <c r="K630" s="319">
        <f t="shared" si="39"/>
        <v>0</v>
      </c>
      <c r="L630" s="320" t="str">
        <f t="shared" si="34"/>
        <v/>
      </c>
      <c r="T630" s="344"/>
      <c r="U630" s="345"/>
      <c r="V630" s="346"/>
    </row>
    <row r="631">
      <c r="A631" s="339"/>
      <c r="B631" s="313"/>
      <c r="C631" s="314"/>
      <c r="D631" s="315" t="str">
        <f t="shared" si="35"/>
        <v/>
      </c>
      <c r="E631" s="315" t="str">
        <f t="shared" si="36"/>
        <v/>
      </c>
      <c r="F631" s="316"/>
      <c r="G631" s="317"/>
      <c r="H631" s="318"/>
      <c r="I631" s="318"/>
      <c r="J631" s="318"/>
      <c r="K631" s="319">
        <f t="shared" si="39"/>
        <v>0</v>
      </c>
      <c r="L631" s="320" t="str">
        <f t="shared" si="34"/>
        <v/>
      </c>
      <c r="T631" s="344"/>
      <c r="U631" s="345"/>
      <c r="V631" s="346"/>
    </row>
    <row r="632">
      <c r="A632" s="339"/>
      <c r="B632" s="313"/>
      <c r="C632" s="314"/>
      <c r="D632" s="315" t="str">
        <f t="shared" si="35"/>
        <v/>
      </c>
      <c r="E632" s="315" t="str">
        <f t="shared" si="36"/>
        <v/>
      </c>
      <c r="F632" s="316"/>
      <c r="G632" s="317"/>
      <c r="H632" s="318"/>
      <c r="I632" s="318"/>
      <c r="J632" s="318"/>
      <c r="K632" s="319">
        <f t="shared" si="39"/>
        <v>0</v>
      </c>
      <c r="L632" s="320" t="str">
        <f t="shared" si="34"/>
        <v/>
      </c>
      <c r="T632" s="344"/>
      <c r="U632" s="345"/>
      <c r="V632" s="346"/>
    </row>
    <row r="633">
      <c r="A633" s="339"/>
      <c r="B633" s="313"/>
      <c r="C633" s="314"/>
      <c r="D633" s="315" t="str">
        <f t="shared" si="35"/>
        <v/>
      </c>
      <c r="E633" s="315" t="str">
        <f t="shared" si="36"/>
        <v/>
      </c>
      <c r="F633" s="316"/>
      <c r="G633" s="317"/>
      <c r="H633" s="318"/>
      <c r="I633" s="318"/>
      <c r="J633" s="318"/>
      <c r="K633" s="319">
        <f t="shared" si="39"/>
        <v>0</v>
      </c>
      <c r="L633" s="320" t="str">
        <f t="shared" si="34"/>
        <v/>
      </c>
      <c r="T633" s="344"/>
      <c r="U633" s="345"/>
      <c r="V633" s="346"/>
    </row>
    <row r="634">
      <c r="A634" s="339"/>
      <c r="B634" s="313"/>
      <c r="C634" s="314"/>
      <c r="D634" s="315" t="str">
        <f t="shared" si="35"/>
        <v/>
      </c>
      <c r="E634" s="315" t="str">
        <f t="shared" si="36"/>
        <v/>
      </c>
      <c r="F634" s="316"/>
      <c r="G634" s="317"/>
      <c r="H634" s="318"/>
      <c r="I634" s="318"/>
      <c r="J634" s="318"/>
      <c r="K634" s="319">
        <f t="shared" si="39"/>
        <v>0</v>
      </c>
      <c r="L634" s="320" t="str">
        <f t="shared" si="34"/>
        <v/>
      </c>
      <c r="T634" s="344"/>
      <c r="U634" s="345"/>
      <c r="V634" s="346"/>
    </row>
    <row r="635">
      <c r="A635" s="339"/>
      <c r="B635" s="313"/>
      <c r="C635" s="314"/>
      <c r="D635" s="315" t="str">
        <f t="shared" si="35"/>
        <v/>
      </c>
      <c r="E635" s="315" t="str">
        <f t="shared" si="36"/>
        <v/>
      </c>
      <c r="F635" s="316"/>
      <c r="G635" s="317"/>
      <c r="H635" s="318"/>
      <c r="I635" s="318"/>
      <c r="J635" s="318"/>
      <c r="K635" s="319">
        <f t="shared" si="39"/>
        <v>0</v>
      </c>
      <c r="L635" s="320" t="str">
        <f t="shared" si="34"/>
        <v/>
      </c>
      <c r="T635" s="344"/>
      <c r="U635" s="345"/>
      <c r="V635" s="346"/>
    </row>
    <row r="636">
      <c r="A636" s="339"/>
      <c r="B636" s="313"/>
      <c r="C636" s="314"/>
      <c r="D636" s="315" t="str">
        <f t="shared" si="35"/>
        <v/>
      </c>
      <c r="E636" s="315" t="str">
        <f t="shared" si="36"/>
        <v/>
      </c>
      <c r="F636" s="316"/>
      <c r="G636" s="317"/>
      <c r="H636" s="318"/>
      <c r="I636" s="318"/>
      <c r="J636" s="318"/>
      <c r="K636" s="319">
        <f t="shared" si="39"/>
        <v>0</v>
      </c>
      <c r="L636" s="320" t="str">
        <f t="shared" si="34"/>
        <v/>
      </c>
      <c r="T636" s="344"/>
      <c r="U636" s="345"/>
      <c r="V636" s="346"/>
    </row>
    <row r="637">
      <c r="A637" s="339"/>
      <c r="B637" s="313"/>
      <c r="C637" s="314"/>
      <c r="D637" s="315" t="str">
        <f t="shared" si="35"/>
        <v/>
      </c>
      <c r="E637" s="315" t="str">
        <f t="shared" si="36"/>
        <v/>
      </c>
      <c r="F637" s="316"/>
      <c r="G637" s="316"/>
      <c r="H637" s="318"/>
      <c r="I637" s="318"/>
      <c r="J637" s="318"/>
      <c r="K637" s="319">
        <f t="shared" si="39"/>
        <v>0</v>
      </c>
      <c r="L637" s="320" t="str">
        <f t="shared" si="34"/>
        <v/>
      </c>
      <c r="M637" s="239"/>
      <c r="T637" s="344"/>
      <c r="U637" s="345"/>
      <c r="V637" s="346"/>
    </row>
    <row r="638">
      <c r="A638" s="339"/>
      <c r="B638" s="313"/>
      <c r="C638" s="314"/>
      <c r="D638" s="315" t="str">
        <f t="shared" si="35"/>
        <v/>
      </c>
      <c r="E638" s="315" t="str">
        <f t="shared" si="36"/>
        <v/>
      </c>
      <c r="F638" s="316"/>
      <c r="G638" s="317"/>
      <c r="H638" s="318"/>
      <c r="I638" s="318"/>
      <c r="J638" s="318"/>
      <c r="K638" s="319">
        <f t="shared" si="39"/>
        <v>0</v>
      </c>
      <c r="L638" s="320" t="str">
        <f t="shared" si="34"/>
        <v/>
      </c>
      <c r="T638" s="344"/>
      <c r="U638" s="345"/>
      <c r="V638" s="346"/>
    </row>
    <row r="639">
      <c r="A639" s="339"/>
      <c r="B639" s="313"/>
      <c r="C639" s="314"/>
      <c r="D639" s="315" t="str">
        <f t="shared" si="35"/>
        <v/>
      </c>
      <c r="E639" s="315" t="str">
        <f t="shared" si="36"/>
        <v/>
      </c>
      <c r="F639" s="318"/>
      <c r="G639" s="318"/>
      <c r="H639" s="318"/>
      <c r="I639" s="318"/>
      <c r="J639" s="318"/>
      <c r="K639" s="319">
        <f t="shared" si="39"/>
        <v>0</v>
      </c>
      <c r="L639" s="320" t="str">
        <f t="shared" si="34"/>
        <v/>
      </c>
      <c r="M639" s="239"/>
      <c r="T639" s="344"/>
      <c r="U639" s="345"/>
      <c r="V639" s="346"/>
    </row>
    <row r="640">
      <c r="A640" s="339"/>
      <c r="B640" s="313"/>
      <c r="C640" s="314"/>
      <c r="D640" s="315" t="str">
        <f t="shared" si="35"/>
        <v/>
      </c>
      <c r="E640" s="315" t="str">
        <f t="shared" si="36"/>
        <v/>
      </c>
      <c r="F640" s="316"/>
      <c r="G640" s="317"/>
      <c r="H640" s="318"/>
      <c r="I640" s="318"/>
      <c r="J640" s="318"/>
      <c r="K640" s="319">
        <f t="shared" si="39"/>
        <v>0</v>
      </c>
      <c r="L640" s="320" t="str">
        <f t="shared" si="34"/>
        <v/>
      </c>
      <c r="T640" s="344"/>
      <c r="U640" s="345"/>
      <c r="V640" s="346"/>
    </row>
    <row r="641">
      <c r="A641" s="339"/>
      <c r="B641" s="313"/>
      <c r="C641" s="314"/>
      <c r="D641" s="315" t="str">
        <f t="shared" si="35"/>
        <v/>
      </c>
      <c r="E641" s="315" t="str">
        <f t="shared" si="36"/>
        <v/>
      </c>
      <c r="F641" s="316"/>
      <c r="G641" s="317"/>
      <c r="H641" s="318"/>
      <c r="I641" s="318"/>
      <c r="J641" s="318"/>
      <c r="K641" s="319">
        <f t="shared" si="39"/>
        <v>0</v>
      </c>
      <c r="L641" s="320" t="str">
        <f t="shared" si="34"/>
        <v/>
      </c>
      <c r="T641" s="344"/>
      <c r="U641" s="345"/>
      <c r="V641" s="346"/>
    </row>
    <row r="642">
      <c r="A642" s="339"/>
      <c r="B642" s="313"/>
      <c r="C642" s="314"/>
      <c r="D642" s="315" t="str">
        <f t="shared" si="35"/>
        <v/>
      </c>
      <c r="E642" s="315" t="str">
        <f t="shared" si="36"/>
        <v/>
      </c>
      <c r="F642" s="316"/>
      <c r="G642" s="317"/>
      <c r="H642" s="318"/>
      <c r="I642" s="318"/>
      <c r="J642" s="318"/>
      <c r="K642" s="319">
        <f t="shared" si="39"/>
        <v>0</v>
      </c>
      <c r="L642" s="320" t="str">
        <f t="shared" si="34"/>
        <v/>
      </c>
      <c r="T642" s="344"/>
      <c r="U642" s="345"/>
      <c r="V642" s="346"/>
    </row>
    <row r="643">
      <c r="A643" s="339"/>
      <c r="B643" s="313"/>
      <c r="C643" s="314"/>
      <c r="D643" s="315" t="str">
        <f t="shared" si="35"/>
        <v/>
      </c>
      <c r="E643" s="315" t="str">
        <f t="shared" si="36"/>
        <v/>
      </c>
      <c r="F643" s="316"/>
      <c r="G643" s="317"/>
      <c r="H643" s="318"/>
      <c r="I643" s="318"/>
      <c r="J643" s="318"/>
      <c r="K643" s="319">
        <f t="shared" si="39"/>
        <v>0</v>
      </c>
      <c r="L643" s="320" t="str">
        <f t="shared" si="34"/>
        <v/>
      </c>
      <c r="T643" s="344"/>
      <c r="U643" s="345"/>
      <c r="V643" s="346"/>
    </row>
    <row r="644">
      <c r="A644" s="339"/>
      <c r="B644" s="313"/>
      <c r="C644" s="314"/>
      <c r="D644" s="315" t="str">
        <f t="shared" si="35"/>
        <v/>
      </c>
      <c r="E644" s="315" t="str">
        <f t="shared" si="36"/>
        <v/>
      </c>
      <c r="F644" s="316"/>
      <c r="G644" s="317"/>
      <c r="H644" s="318"/>
      <c r="I644" s="318"/>
      <c r="J644" s="318"/>
      <c r="K644" s="319">
        <f t="shared" si="39"/>
        <v>0</v>
      </c>
      <c r="L644" s="320" t="str">
        <f t="shared" si="34"/>
        <v/>
      </c>
      <c r="T644" s="344"/>
      <c r="U644" s="345"/>
      <c r="V644" s="346"/>
    </row>
    <row r="645">
      <c r="A645" s="339"/>
      <c r="B645" s="313"/>
      <c r="C645" s="314"/>
      <c r="D645" s="315" t="str">
        <f t="shared" si="35"/>
        <v/>
      </c>
      <c r="E645" s="315" t="str">
        <f t="shared" si="36"/>
        <v/>
      </c>
      <c r="F645" s="316"/>
      <c r="G645" s="317"/>
      <c r="H645" s="318"/>
      <c r="I645" s="318"/>
      <c r="J645" s="318"/>
      <c r="K645" s="319">
        <f t="shared" si="39"/>
        <v>0</v>
      </c>
      <c r="L645" s="320" t="str">
        <f t="shared" si="34"/>
        <v/>
      </c>
      <c r="T645" s="344"/>
      <c r="U645" s="345"/>
      <c r="V645" s="346"/>
    </row>
    <row r="646">
      <c r="A646" s="339"/>
      <c r="B646" s="313"/>
      <c r="C646" s="314"/>
      <c r="D646" s="315" t="str">
        <f t="shared" si="35"/>
        <v/>
      </c>
      <c r="E646" s="315" t="str">
        <f t="shared" si="36"/>
        <v/>
      </c>
      <c r="F646" s="316"/>
      <c r="G646" s="317"/>
      <c r="H646" s="318"/>
      <c r="I646" s="318"/>
      <c r="J646" s="318"/>
      <c r="K646" s="319">
        <f t="shared" si="39"/>
        <v>0</v>
      </c>
      <c r="L646" s="320" t="str">
        <f t="shared" si="34"/>
        <v/>
      </c>
      <c r="T646" s="344"/>
      <c r="U646" s="345"/>
      <c r="V646" s="346"/>
    </row>
    <row r="647">
      <c r="A647" s="339"/>
      <c r="B647" s="313"/>
      <c r="C647" s="314"/>
      <c r="D647" s="315" t="str">
        <f t="shared" si="35"/>
        <v/>
      </c>
      <c r="E647" s="315" t="str">
        <f t="shared" si="36"/>
        <v/>
      </c>
      <c r="F647" s="316"/>
      <c r="G647" s="317"/>
      <c r="H647" s="318"/>
      <c r="I647" s="318"/>
      <c r="J647" s="318"/>
      <c r="K647" s="319">
        <f t="shared" si="39"/>
        <v>0</v>
      </c>
      <c r="L647" s="320" t="str">
        <f t="shared" si="34"/>
        <v/>
      </c>
      <c r="T647" s="344"/>
      <c r="U647" s="345"/>
      <c r="V647" s="346"/>
    </row>
    <row r="648">
      <c r="A648" s="339"/>
      <c r="B648" s="313"/>
      <c r="C648" s="314"/>
      <c r="D648" s="315" t="str">
        <f t="shared" si="35"/>
        <v/>
      </c>
      <c r="E648" s="315" t="str">
        <f t="shared" si="36"/>
        <v/>
      </c>
      <c r="F648" s="316"/>
      <c r="G648" s="317"/>
      <c r="H648" s="318"/>
      <c r="I648" s="318"/>
      <c r="J648" s="318"/>
      <c r="K648" s="319">
        <f t="shared" si="39"/>
        <v>0</v>
      </c>
      <c r="L648" s="320" t="str">
        <f t="shared" si="34"/>
        <v/>
      </c>
      <c r="T648" s="344"/>
      <c r="U648" s="345"/>
      <c r="V648" s="346"/>
    </row>
    <row r="649">
      <c r="A649" s="339"/>
      <c r="B649" s="313"/>
      <c r="C649" s="314"/>
      <c r="D649" s="315" t="str">
        <f t="shared" si="35"/>
        <v/>
      </c>
      <c r="E649" s="315" t="str">
        <f t="shared" si="36"/>
        <v/>
      </c>
      <c r="F649" s="316"/>
      <c r="G649" s="317"/>
      <c r="H649" s="318"/>
      <c r="I649" s="318"/>
      <c r="J649" s="318"/>
      <c r="K649" s="319">
        <f t="shared" si="39"/>
        <v>0</v>
      </c>
      <c r="L649" s="320" t="str">
        <f t="shared" si="34"/>
        <v/>
      </c>
      <c r="T649" s="344"/>
      <c r="U649" s="345"/>
      <c r="V649" s="346"/>
    </row>
    <row r="650">
      <c r="A650" s="339"/>
      <c r="B650" s="313"/>
      <c r="C650" s="314"/>
      <c r="D650" s="315" t="str">
        <f t="shared" si="35"/>
        <v/>
      </c>
      <c r="E650" s="315" t="str">
        <f t="shared" si="36"/>
        <v/>
      </c>
      <c r="F650" s="316"/>
      <c r="G650" s="317"/>
      <c r="H650" s="318"/>
      <c r="I650" s="318"/>
      <c r="J650" s="318"/>
      <c r="K650" s="319">
        <f t="shared" si="39"/>
        <v>0</v>
      </c>
      <c r="L650" s="320" t="str">
        <f t="shared" si="34"/>
        <v/>
      </c>
      <c r="T650" s="344"/>
      <c r="U650" s="345"/>
      <c r="V650" s="346"/>
    </row>
    <row r="651">
      <c r="A651" s="339"/>
      <c r="B651" s="313"/>
      <c r="C651" s="314"/>
      <c r="D651" s="315" t="str">
        <f t="shared" si="35"/>
        <v/>
      </c>
      <c r="E651" s="315" t="str">
        <f t="shared" si="36"/>
        <v/>
      </c>
      <c r="F651" s="316"/>
      <c r="G651" s="317"/>
      <c r="H651" s="318"/>
      <c r="I651" s="318"/>
      <c r="J651" s="318"/>
      <c r="K651" s="319">
        <f t="shared" si="39"/>
        <v>0</v>
      </c>
      <c r="L651" s="320" t="str">
        <f t="shared" si="34"/>
        <v/>
      </c>
      <c r="T651" s="344"/>
      <c r="U651" s="345"/>
      <c r="V651" s="346"/>
    </row>
    <row r="652">
      <c r="A652" s="339"/>
      <c r="B652" s="313"/>
      <c r="C652" s="314"/>
      <c r="D652" s="315" t="str">
        <f t="shared" si="35"/>
        <v/>
      </c>
      <c r="E652" s="315" t="str">
        <f t="shared" si="36"/>
        <v/>
      </c>
      <c r="F652" s="316"/>
      <c r="G652" s="317"/>
      <c r="H652" s="318"/>
      <c r="I652" s="318"/>
      <c r="J652" s="318"/>
      <c r="K652" s="319">
        <f t="shared" si="39"/>
        <v>0</v>
      </c>
      <c r="L652" s="320" t="str">
        <f t="shared" si="34"/>
        <v/>
      </c>
      <c r="T652" s="344"/>
      <c r="U652" s="345"/>
      <c r="V652" s="346"/>
    </row>
    <row r="653">
      <c r="A653" s="339"/>
      <c r="B653" s="313"/>
      <c r="C653" s="314"/>
      <c r="D653" s="315" t="str">
        <f t="shared" si="35"/>
        <v/>
      </c>
      <c r="E653" s="315" t="str">
        <f t="shared" si="36"/>
        <v/>
      </c>
      <c r="F653" s="316"/>
      <c r="G653" s="317"/>
      <c r="H653" s="318"/>
      <c r="I653" s="318"/>
      <c r="J653" s="318"/>
      <c r="K653" s="319">
        <f t="shared" si="39"/>
        <v>0</v>
      </c>
      <c r="L653" s="320" t="str">
        <f t="shared" si="34"/>
        <v/>
      </c>
      <c r="T653" s="344"/>
      <c r="U653" s="345"/>
      <c r="V653" s="346"/>
    </row>
    <row r="654">
      <c r="A654" s="339"/>
      <c r="B654" s="313"/>
      <c r="C654" s="314"/>
      <c r="D654" s="315" t="str">
        <f t="shared" si="35"/>
        <v/>
      </c>
      <c r="E654" s="315" t="str">
        <f t="shared" si="36"/>
        <v/>
      </c>
      <c r="F654" s="316"/>
      <c r="G654" s="317"/>
      <c r="H654" s="318"/>
      <c r="I654" s="318"/>
      <c r="J654" s="318"/>
      <c r="K654" s="319">
        <f t="shared" si="39"/>
        <v>0</v>
      </c>
      <c r="L654" s="320" t="str">
        <f t="shared" si="34"/>
        <v/>
      </c>
      <c r="T654" s="344"/>
      <c r="U654" s="345"/>
      <c r="V654" s="346"/>
    </row>
    <row r="655">
      <c r="A655" s="339"/>
      <c r="B655" s="313"/>
      <c r="C655" s="314"/>
      <c r="D655" s="315" t="str">
        <f t="shared" si="35"/>
        <v/>
      </c>
      <c r="E655" s="315" t="str">
        <f t="shared" si="36"/>
        <v/>
      </c>
      <c r="F655" s="316"/>
      <c r="G655" s="317"/>
      <c r="H655" s="318"/>
      <c r="I655" s="318"/>
      <c r="J655" s="318"/>
      <c r="K655" s="319">
        <f t="shared" si="39"/>
        <v>0</v>
      </c>
      <c r="L655" s="320" t="str">
        <f t="shared" si="34"/>
        <v/>
      </c>
      <c r="T655" s="344"/>
      <c r="U655" s="345"/>
      <c r="V655" s="346"/>
    </row>
    <row r="656">
      <c r="A656" s="339"/>
      <c r="B656" s="313"/>
      <c r="C656" s="314"/>
      <c r="D656" s="315" t="str">
        <f t="shared" si="35"/>
        <v/>
      </c>
      <c r="E656" s="315" t="str">
        <f t="shared" si="36"/>
        <v/>
      </c>
      <c r="F656" s="316"/>
      <c r="G656" s="317"/>
      <c r="H656" s="318"/>
      <c r="I656" s="318"/>
      <c r="J656" s="318"/>
      <c r="K656" s="319">
        <f t="shared" si="39"/>
        <v>0</v>
      </c>
      <c r="L656" s="320" t="str">
        <f t="shared" si="34"/>
        <v/>
      </c>
      <c r="M656" s="239"/>
      <c r="T656" s="344"/>
      <c r="U656" s="345"/>
      <c r="V656" s="346"/>
    </row>
    <row r="657">
      <c r="A657" s="339"/>
      <c r="B657" s="313"/>
      <c r="C657" s="314"/>
      <c r="D657" s="315" t="str">
        <f t="shared" si="35"/>
        <v/>
      </c>
      <c r="E657" s="315" t="str">
        <f t="shared" si="36"/>
        <v/>
      </c>
      <c r="F657" s="318"/>
      <c r="G657" s="318"/>
      <c r="H657" s="318"/>
      <c r="I657" s="318"/>
      <c r="J657" s="318"/>
      <c r="K657" s="319">
        <f t="shared" si="39"/>
        <v>0</v>
      </c>
      <c r="L657" s="320" t="str">
        <f t="shared" si="34"/>
        <v/>
      </c>
      <c r="M657" s="239"/>
      <c r="T657" s="344"/>
      <c r="U657" s="345"/>
      <c r="V657" s="346"/>
    </row>
    <row r="658">
      <c r="A658" s="339"/>
      <c r="B658" s="313"/>
      <c r="C658" s="314"/>
      <c r="D658" s="315" t="str">
        <f t="shared" si="35"/>
        <v/>
      </c>
      <c r="E658" s="315" t="str">
        <f t="shared" si="36"/>
        <v/>
      </c>
      <c r="F658" s="316"/>
      <c r="G658" s="317"/>
      <c r="H658" s="318"/>
      <c r="I658" s="318"/>
      <c r="J658" s="318"/>
      <c r="K658" s="319">
        <f t="shared" si="39"/>
        <v>0</v>
      </c>
      <c r="L658" s="320" t="str">
        <f t="shared" si="34"/>
        <v/>
      </c>
      <c r="T658" s="344"/>
      <c r="U658" s="345"/>
      <c r="V658" s="346"/>
    </row>
    <row r="659">
      <c r="A659" s="339"/>
      <c r="B659" s="313"/>
      <c r="C659" s="314"/>
      <c r="D659" s="315" t="str">
        <f t="shared" si="35"/>
        <v/>
      </c>
      <c r="E659" s="315" t="str">
        <f t="shared" si="36"/>
        <v/>
      </c>
      <c r="F659" s="316"/>
      <c r="G659" s="317"/>
      <c r="H659" s="318"/>
      <c r="I659" s="318"/>
      <c r="J659" s="318"/>
      <c r="K659" s="319">
        <f t="shared" si="39"/>
        <v>0</v>
      </c>
      <c r="L659" s="320" t="str">
        <f t="shared" si="34"/>
        <v/>
      </c>
      <c r="T659" s="344"/>
      <c r="U659" s="345"/>
      <c r="V659" s="346"/>
    </row>
    <row r="660">
      <c r="A660" s="339"/>
      <c r="B660" s="313"/>
      <c r="C660" s="314"/>
      <c r="D660" s="315" t="str">
        <f t="shared" si="35"/>
        <v/>
      </c>
      <c r="E660" s="315" t="str">
        <f t="shared" si="36"/>
        <v/>
      </c>
      <c r="F660" s="316"/>
      <c r="G660" s="317"/>
      <c r="H660" s="318"/>
      <c r="I660" s="318"/>
      <c r="J660" s="318"/>
      <c r="K660" s="319">
        <f t="shared" si="39"/>
        <v>0</v>
      </c>
      <c r="L660" s="320" t="str">
        <f t="shared" si="34"/>
        <v/>
      </c>
      <c r="T660" s="344"/>
      <c r="U660" s="345"/>
      <c r="V660" s="346"/>
    </row>
    <row r="661">
      <c r="A661" s="339"/>
      <c r="B661" s="313"/>
      <c r="C661" s="314"/>
      <c r="D661" s="315" t="str">
        <f t="shared" si="35"/>
        <v/>
      </c>
      <c r="E661" s="315" t="str">
        <f t="shared" si="36"/>
        <v/>
      </c>
      <c r="F661" s="316"/>
      <c r="G661" s="317"/>
      <c r="H661" s="318"/>
      <c r="I661" s="318"/>
      <c r="J661" s="318"/>
      <c r="K661" s="319">
        <f t="shared" si="39"/>
        <v>0</v>
      </c>
      <c r="L661" s="320" t="str">
        <f t="shared" si="34"/>
        <v/>
      </c>
      <c r="T661" s="344"/>
      <c r="U661" s="345"/>
      <c r="V661" s="346"/>
    </row>
    <row r="662">
      <c r="A662" s="339"/>
      <c r="B662" s="313"/>
      <c r="C662" s="314"/>
      <c r="D662" s="315" t="str">
        <f t="shared" si="35"/>
        <v/>
      </c>
      <c r="E662" s="315" t="str">
        <f t="shared" si="36"/>
        <v/>
      </c>
      <c r="F662" s="316"/>
      <c r="G662" s="317"/>
      <c r="H662" s="318"/>
      <c r="I662" s="318"/>
      <c r="J662" s="318"/>
      <c r="K662" s="319">
        <f t="shared" si="39"/>
        <v>0</v>
      </c>
      <c r="L662" s="320" t="str">
        <f t="shared" si="34"/>
        <v/>
      </c>
      <c r="T662" s="344"/>
      <c r="U662" s="345"/>
      <c r="V662" s="346"/>
    </row>
    <row r="663">
      <c r="A663" s="339"/>
      <c r="B663" s="313"/>
      <c r="C663" s="314"/>
      <c r="D663" s="315" t="str">
        <f t="shared" si="35"/>
        <v/>
      </c>
      <c r="E663" s="315" t="str">
        <f t="shared" si="36"/>
        <v/>
      </c>
      <c r="F663" s="318"/>
      <c r="G663" s="318"/>
      <c r="H663" s="318"/>
      <c r="I663" s="318"/>
      <c r="J663" s="318"/>
      <c r="K663" s="319">
        <f t="shared" si="39"/>
        <v>0</v>
      </c>
      <c r="L663" s="320" t="str">
        <f t="shared" si="34"/>
        <v/>
      </c>
      <c r="M663" s="239"/>
      <c r="T663" s="344"/>
      <c r="U663" s="345"/>
      <c r="V663" s="346"/>
    </row>
    <row r="664">
      <c r="A664" s="339"/>
      <c r="B664" s="313"/>
      <c r="C664" s="314"/>
      <c r="D664" s="315" t="str">
        <f t="shared" si="35"/>
        <v/>
      </c>
      <c r="E664" s="315" t="str">
        <f t="shared" si="36"/>
        <v/>
      </c>
      <c r="F664" s="316"/>
      <c r="G664" s="317"/>
      <c r="H664" s="318"/>
      <c r="I664" s="318"/>
      <c r="J664" s="318"/>
      <c r="K664" s="319">
        <f t="shared" si="39"/>
        <v>0</v>
      </c>
      <c r="L664" s="320" t="str">
        <f t="shared" si="34"/>
        <v/>
      </c>
      <c r="T664" s="344"/>
      <c r="U664" s="345"/>
      <c r="V664" s="346"/>
    </row>
    <row r="665">
      <c r="A665" s="339"/>
      <c r="B665" s="313"/>
      <c r="C665" s="314"/>
      <c r="D665" s="315" t="str">
        <f t="shared" si="35"/>
        <v/>
      </c>
      <c r="E665" s="315" t="str">
        <f t="shared" si="36"/>
        <v/>
      </c>
      <c r="F665" s="318"/>
      <c r="G665" s="318"/>
      <c r="H665" s="318"/>
      <c r="I665" s="318"/>
      <c r="J665" s="318"/>
      <c r="K665" s="319">
        <f t="shared" si="39"/>
        <v>0</v>
      </c>
      <c r="L665" s="320" t="str">
        <f t="shared" si="34"/>
        <v/>
      </c>
      <c r="M665" s="239"/>
      <c r="T665" s="344"/>
      <c r="U665" s="345"/>
      <c r="V665" s="346"/>
    </row>
    <row r="666">
      <c r="A666" s="339"/>
      <c r="B666" s="313"/>
      <c r="C666" s="314"/>
      <c r="D666" s="315" t="str">
        <f t="shared" si="35"/>
        <v/>
      </c>
      <c r="E666" s="315" t="str">
        <f t="shared" si="36"/>
        <v/>
      </c>
      <c r="F666" s="316"/>
      <c r="G666" s="317"/>
      <c r="H666" s="318"/>
      <c r="I666" s="318"/>
      <c r="J666" s="318"/>
      <c r="K666" s="319">
        <f t="shared" si="39"/>
        <v>0</v>
      </c>
      <c r="L666" s="320" t="str">
        <f t="shared" si="34"/>
        <v/>
      </c>
      <c r="T666" s="344"/>
      <c r="U666" s="345"/>
      <c r="V666" s="346"/>
    </row>
    <row r="667">
      <c r="A667" s="339"/>
      <c r="B667" s="313"/>
      <c r="C667" s="314"/>
      <c r="D667" s="315" t="str">
        <f t="shared" si="35"/>
        <v/>
      </c>
      <c r="E667" s="315" t="str">
        <f t="shared" si="36"/>
        <v/>
      </c>
      <c r="F667" s="316"/>
      <c r="G667" s="317"/>
      <c r="H667" s="318"/>
      <c r="I667" s="318"/>
      <c r="J667" s="318"/>
      <c r="K667" s="319">
        <f t="shared" si="39"/>
        <v>0</v>
      </c>
      <c r="L667" s="320" t="str">
        <f t="shared" si="34"/>
        <v/>
      </c>
      <c r="T667" s="344"/>
      <c r="U667" s="345"/>
      <c r="V667" s="346"/>
    </row>
    <row r="668">
      <c r="A668" s="339"/>
      <c r="B668" s="313"/>
      <c r="C668" s="314"/>
      <c r="D668" s="315" t="str">
        <f t="shared" si="35"/>
        <v/>
      </c>
      <c r="E668" s="315" t="str">
        <f t="shared" si="36"/>
        <v/>
      </c>
      <c r="F668" s="316"/>
      <c r="G668" s="317"/>
      <c r="H668" s="318"/>
      <c r="I668" s="318"/>
      <c r="J668" s="318"/>
      <c r="K668" s="319">
        <f t="shared" si="39"/>
        <v>0</v>
      </c>
      <c r="L668" s="320" t="str">
        <f t="shared" si="34"/>
        <v/>
      </c>
      <c r="T668" s="344"/>
      <c r="U668" s="345"/>
      <c r="V668" s="346"/>
    </row>
    <row r="669">
      <c r="A669" s="339"/>
      <c r="B669" s="313"/>
      <c r="C669" s="314"/>
      <c r="D669" s="315" t="str">
        <f t="shared" si="35"/>
        <v/>
      </c>
      <c r="E669" s="315" t="str">
        <f t="shared" si="36"/>
        <v/>
      </c>
      <c r="F669" s="316"/>
      <c r="G669" s="317"/>
      <c r="H669" s="318"/>
      <c r="I669" s="318"/>
      <c r="J669" s="318"/>
      <c r="K669" s="319">
        <f t="shared" si="39"/>
        <v>0</v>
      </c>
      <c r="L669" s="320" t="str">
        <f t="shared" si="34"/>
        <v/>
      </c>
      <c r="T669" s="344"/>
      <c r="U669" s="345"/>
      <c r="V669" s="346"/>
    </row>
    <row r="670">
      <c r="A670" s="339"/>
      <c r="B670" s="313"/>
      <c r="C670" s="314"/>
      <c r="D670" s="315" t="str">
        <f t="shared" si="35"/>
        <v/>
      </c>
      <c r="E670" s="315" t="str">
        <f t="shared" si="36"/>
        <v/>
      </c>
      <c r="F670" s="316"/>
      <c r="G670" s="317"/>
      <c r="H670" s="318"/>
      <c r="I670" s="318"/>
      <c r="J670" s="318"/>
      <c r="K670" s="319">
        <f t="shared" si="39"/>
        <v>0</v>
      </c>
      <c r="L670" s="320" t="str">
        <f t="shared" si="34"/>
        <v/>
      </c>
      <c r="T670" s="344"/>
      <c r="U670" s="345"/>
      <c r="V670" s="346"/>
    </row>
    <row r="671">
      <c r="A671" s="339"/>
      <c r="B671" s="313"/>
      <c r="C671" s="314"/>
      <c r="D671" s="315" t="str">
        <f t="shared" si="35"/>
        <v/>
      </c>
      <c r="E671" s="315" t="str">
        <f t="shared" si="36"/>
        <v/>
      </c>
      <c r="F671" s="318"/>
      <c r="G671" s="318"/>
      <c r="H671" s="318"/>
      <c r="I671" s="318"/>
      <c r="J671" s="318"/>
      <c r="K671" s="319">
        <f t="shared" si="39"/>
        <v>0</v>
      </c>
      <c r="L671" s="320" t="str">
        <f t="shared" si="34"/>
        <v/>
      </c>
      <c r="M671" s="239"/>
      <c r="T671" s="344"/>
      <c r="U671" s="345"/>
      <c r="V671" s="346"/>
    </row>
    <row r="672">
      <c r="A672" s="339"/>
      <c r="B672" s="313"/>
      <c r="C672" s="314"/>
      <c r="D672" s="315" t="str">
        <f t="shared" si="35"/>
        <v/>
      </c>
      <c r="E672" s="315" t="str">
        <f t="shared" si="36"/>
        <v/>
      </c>
      <c r="F672" s="316"/>
      <c r="G672" s="317"/>
      <c r="H672" s="318"/>
      <c r="I672" s="318"/>
      <c r="J672" s="318"/>
      <c r="K672" s="319">
        <f t="shared" si="39"/>
        <v>0</v>
      </c>
      <c r="L672" s="320" t="str">
        <f t="shared" si="34"/>
        <v/>
      </c>
      <c r="T672" s="344"/>
      <c r="U672" s="345"/>
      <c r="V672" s="346"/>
    </row>
    <row r="673">
      <c r="A673" s="339"/>
      <c r="B673" s="313"/>
      <c r="C673" s="314"/>
      <c r="D673" s="315" t="str">
        <f t="shared" si="35"/>
        <v/>
      </c>
      <c r="E673" s="315" t="str">
        <f t="shared" si="36"/>
        <v/>
      </c>
      <c r="F673" s="316"/>
      <c r="G673" s="317"/>
      <c r="H673" s="318"/>
      <c r="I673" s="318"/>
      <c r="J673" s="318"/>
      <c r="K673" s="319">
        <f t="shared" si="39"/>
        <v>0</v>
      </c>
      <c r="L673" s="320" t="str">
        <f t="shared" si="34"/>
        <v/>
      </c>
      <c r="T673" s="344"/>
      <c r="U673" s="345"/>
      <c r="V673" s="346"/>
    </row>
    <row r="674">
      <c r="A674" s="339"/>
      <c r="B674" s="313"/>
      <c r="C674" s="314"/>
      <c r="D674" s="315" t="str">
        <f t="shared" si="35"/>
        <v/>
      </c>
      <c r="E674" s="315" t="str">
        <f t="shared" si="36"/>
        <v/>
      </c>
      <c r="F674" s="316"/>
      <c r="G674" s="317"/>
      <c r="H674" s="318"/>
      <c r="I674" s="318"/>
      <c r="J674" s="318"/>
      <c r="K674" s="319">
        <f t="shared" si="39"/>
        <v>0</v>
      </c>
      <c r="L674" s="320" t="str">
        <f t="shared" si="34"/>
        <v/>
      </c>
      <c r="T674" s="344"/>
      <c r="U674" s="345"/>
      <c r="V674" s="346"/>
    </row>
    <row r="675">
      <c r="A675" s="339"/>
      <c r="B675" s="313"/>
      <c r="C675" s="314"/>
      <c r="D675" s="315" t="str">
        <f t="shared" si="35"/>
        <v/>
      </c>
      <c r="E675" s="315" t="str">
        <f t="shared" si="36"/>
        <v/>
      </c>
      <c r="F675" s="316"/>
      <c r="G675" s="317"/>
      <c r="H675" s="318"/>
      <c r="I675" s="318"/>
      <c r="J675" s="318"/>
      <c r="K675" s="319">
        <f t="shared" si="39"/>
        <v>0</v>
      </c>
      <c r="L675" s="320" t="str">
        <f t="shared" si="34"/>
        <v/>
      </c>
      <c r="T675" s="344"/>
      <c r="U675" s="345"/>
      <c r="V675" s="346"/>
    </row>
    <row r="676">
      <c r="A676" s="339"/>
      <c r="B676" s="313"/>
      <c r="C676" s="314"/>
      <c r="D676" s="315" t="str">
        <f t="shared" si="35"/>
        <v/>
      </c>
      <c r="E676" s="315" t="str">
        <f t="shared" si="36"/>
        <v/>
      </c>
      <c r="F676" s="316"/>
      <c r="G676" s="316"/>
      <c r="H676" s="316"/>
      <c r="I676" s="316"/>
      <c r="J676" s="316"/>
      <c r="K676" s="319">
        <f t="shared" si="39"/>
        <v>0</v>
      </c>
      <c r="L676" s="320" t="str">
        <f t="shared" si="34"/>
        <v/>
      </c>
      <c r="M676" s="239"/>
      <c r="T676" s="344"/>
      <c r="U676" s="345"/>
      <c r="V676" s="346"/>
    </row>
    <row r="677">
      <c r="A677" s="339"/>
      <c r="B677" s="313"/>
      <c r="C677" s="314"/>
      <c r="D677" s="315" t="str">
        <f t="shared" si="35"/>
        <v/>
      </c>
      <c r="E677" s="315" t="str">
        <f t="shared" si="36"/>
        <v/>
      </c>
      <c r="F677" s="316"/>
      <c r="G677" s="317"/>
      <c r="H677" s="318"/>
      <c r="I677" s="318"/>
      <c r="J677" s="318"/>
      <c r="K677" s="319">
        <f t="shared" si="39"/>
        <v>0</v>
      </c>
      <c r="L677" s="320" t="str">
        <f t="shared" si="34"/>
        <v/>
      </c>
      <c r="T677" s="344"/>
      <c r="U677" s="345"/>
      <c r="V677" s="346"/>
    </row>
    <row r="678">
      <c r="A678" s="339"/>
      <c r="B678" s="313"/>
      <c r="C678" s="314"/>
      <c r="D678" s="315" t="str">
        <f t="shared" si="35"/>
        <v/>
      </c>
      <c r="E678" s="315" t="str">
        <f t="shared" si="36"/>
        <v/>
      </c>
      <c r="F678" s="316"/>
      <c r="G678" s="317"/>
      <c r="H678" s="318"/>
      <c r="I678" s="318"/>
      <c r="J678" s="318"/>
      <c r="K678" s="319">
        <f t="shared" si="39"/>
        <v>0</v>
      </c>
      <c r="L678" s="320" t="str">
        <f t="shared" si="34"/>
        <v/>
      </c>
      <c r="T678" s="344"/>
      <c r="U678" s="345"/>
      <c r="V678" s="346"/>
    </row>
    <row r="679">
      <c r="A679" s="339"/>
      <c r="B679" s="313"/>
      <c r="C679" s="314"/>
      <c r="D679" s="315" t="str">
        <f t="shared" si="35"/>
        <v/>
      </c>
      <c r="E679" s="315" t="str">
        <f t="shared" si="36"/>
        <v/>
      </c>
      <c r="F679" s="316"/>
      <c r="G679" s="317"/>
      <c r="H679" s="318"/>
      <c r="I679" s="318"/>
      <c r="J679" s="318"/>
      <c r="K679" s="319">
        <f t="shared" si="39"/>
        <v>0</v>
      </c>
      <c r="L679" s="320" t="str">
        <f t="shared" si="34"/>
        <v/>
      </c>
      <c r="T679" s="344"/>
      <c r="U679" s="345"/>
      <c r="V679" s="346"/>
    </row>
    <row r="680">
      <c r="A680" s="339"/>
      <c r="B680" s="313"/>
      <c r="C680" s="314"/>
      <c r="D680" s="315" t="str">
        <f t="shared" si="35"/>
        <v/>
      </c>
      <c r="E680" s="315" t="str">
        <f t="shared" si="36"/>
        <v/>
      </c>
      <c r="F680" s="316"/>
      <c r="G680" s="317"/>
      <c r="H680" s="318"/>
      <c r="I680" s="318"/>
      <c r="J680" s="318"/>
      <c r="K680" s="319">
        <f t="shared" si="39"/>
        <v>0</v>
      </c>
      <c r="L680" s="320" t="str">
        <f t="shared" si="34"/>
        <v/>
      </c>
      <c r="T680" s="344"/>
      <c r="U680" s="345"/>
      <c r="V680" s="346"/>
    </row>
    <row r="681">
      <c r="A681" s="339"/>
      <c r="B681" s="313"/>
      <c r="C681" s="314"/>
      <c r="D681" s="315" t="str">
        <f t="shared" si="35"/>
        <v/>
      </c>
      <c r="E681" s="315" t="str">
        <f t="shared" si="36"/>
        <v/>
      </c>
      <c r="F681" s="316"/>
      <c r="G681" s="317"/>
      <c r="H681" s="318"/>
      <c r="I681" s="318"/>
      <c r="J681" s="318"/>
      <c r="K681" s="319">
        <f t="shared" si="39"/>
        <v>0</v>
      </c>
      <c r="L681" s="320" t="str">
        <f t="shared" si="34"/>
        <v/>
      </c>
      <c r="T681" s="344"/>
      <c r="U681" s="345"/>
      <c r="V681" s="346"/>
    </row>
    <row r="682">
      <c r="A682" s="339"/>
      <c r="B682" s="313"/>
      <c r="C682" s="314"/>
      <c r="D682" s="315" t="str">
        <f t="shared" si="35"/>
        <v/>
      </c>
      <c r="E682" s="315" t="str">
        <f t="shared" si="36"/>
        <v/>
      </c>
      <c r="F682" s="316"/>
      <c r="G682" s="317"/>
      <c r="H682" s="318"/>
      <c r="I682" s="318"/>
      <c r="J682" s="318"/>
      <c r="K682" s="319">
        <f t="shared" si="39"/>
        <v>0</v>
      </c>
      <c r="L682" s="320" t="str">
        <f t="shared" si="34"/>
        <v/>
      </c>
      <c r="T682" s="344"/>
      <c r="U682" s="345"/>
      <c r="V682" s="346"/>
    </row>
    <row r="683">
      <c r="A683" s="339"/>
      <c r="B683" s="313"/>
      <c r="C683" s="314"/>
      <c r="D683" s="315" t="str">
        <f t="shared" si="35"/>
        <v/>
      </c>
      <c r="E683" s="315" t="str">
        <f t="shared" si="36"/>
        <v/>
      </c>
      <c r="F683" s="316"/>
      <c r="G683" s="316"/>
      <c r="H683" s="318"/>
      <c r="I683" s="318"/>
      <c r="J683" s="318"/>
      <c r="K683" s="319">
        <f t="shared" si="39"/>
        <v>0</v>
      </c>
      <c r="L683" s="320" t="str">
        <f t="shared" si="34"/>
        <v/>
      </c>
      <c r="M683" s="239"/>
      <c r="T683" s="344"/>
      <c r="U683" s="345"/>
      <c r="V683" s="346"/>
    </row>
    <row r="684">
      <c r="A684" s="339"/>
      <c r="B684" s="313"/>
      <c r="C684" s="314"/>
      <c r="D684" s="315" t="str">
        <f t="shared" si="35"/>
        <v/>
      </c>
      <c r="E684" s="315" t="str">
        <f t="shared" si="36"/>
        <v/>
      </c>
      <c r="F684" s="316"/>
      <c r="G684" s="317"/>
      <c r="H684" s="318"/>
      <c r="I684" s="318"/>
      <c r="J684" s="318"/>
      <c r="K684" s="319">
        <f t="shared" si="39"/>
        <v>0</v>
      </c>
      <c r="L684" s="320" t="str">
        <f t="shared" si="34"/>
        <v/>
      </c>
      <c r="T684" s="344"/>
      <c r="U684" s="345"/>
      <c r="V684" s="346"/>
    </row>
    <row r="685">
      <c r="A685" s="339"/>
      <c r="B685" s="313"/>
      <c r="C685" s="314"/>
      <c r="D685" s="315" t="str">
        <f t="shared" si="35"/>
        <v/>
      </c>
      <c r="E685" s="315" t="str">
        <f t="shared" si="36"/>
        <v/>
      </c>
      <c r="F685" s="316"/>
      <c r="G685" s="317"/>
      <c r="H685" s="318"/>
      <c r="I685" s="318"/>
      <c r="J685" s="318"/>
      <c r="K685" s="319">
        <f t="shared" si="39"/>
        <v>0</v>
      </c>
      <c r="L685" s="320" t="str">
        <f t="shared" si="34"/>
        <v/>
      </c>
      <c r="T685" s="344"/>
      <c r="U685" s="345"/>
      <c r="V685" s="346"/>
    </row>
    <row r="686">
      <c r="A686" s="339"/>
      <c r="B686" s="313"/>
      <c r="C686" s="314"/>
      <c r="D686" s="315" t="str">
        <f t="shared" si="35"/>
        <v/>
      </c>
      <c r="E686" s="315" t="str">
        <f t="shared" si="36"/>
        <v/>
      </c>
      <c r="F686" s="318"/>
      <c r="G686" s="318"/>
      <c r="H686" s="318"/>
      <c r="I686" s="318"/>
      <c r="J686" s="318"/>
      <c r="K686" s="319">
        <f t="shared" si="39"/>
        <v>0</v>
      </c>
      <c r="L686" s="320" t="str">
        <f t="shared" si="34"/>
        <v/>
      </c>
      <c r="M686" s="239"/>
      <c r="T686" s="344"/>
      <c r="U686" s="345"/>
      <c r="V686" s="346"/>
    </row>
    <row r="687">
      <c r="A687" s="339"/>
      <c r="B687" s="313"/>
      <c r="C687" s="314"/>
      <c r="D687" s="315" t="str">
        <f t="shared" si="35"/>
        <v/>
      </c>
      <c r="E687" s="315" t="str">
        <f t="shared" si="36"/>
        <v/>
      </c>
      <c r="F687" s="316"/>
      <c r="G687" s="317"/>
      <c r="H687" s="318"/>
      <c r="I687" s="318"/>
      <c r="J687" s="318"/>
      <c r="K687" s="319">
        <f t="shared" si="39"/>
        <v>0</v>
      </c>
      <c r="L687" s="320" t="str">
        <f t="shared" si="34"/>
        <v/>
      </c>
      <c r="T687" s="344"/>
      <c r="U687" s="345"/>
      <c r="V687" s="346"/>
    </row>
    <row r="688">
      <c r="A688" s="339"/>
      <c r="B688" s="313"/>
      <c r="C688" s="314"/>
      <c r="D688" s="315" t="str">
        <f t="shared" si="35"/>
        <v/>
      </c>
      <c r="E688" s="315" t="str">
        <f t="shared" si="36"/>
        <v/>
      </c>
      <c r="F688" s="316"/>
      <c r="G688" s="317"/>
      <c r="H688" s="318"/>
      <c r="I688" s="318"/>
      <c r="J688" s="318"/>
      <c r="K688" s="319">
        <f t="shared" si="39"/>
        <v>0</v>
      </c>
      <c r="L688" s="320" t="str">
        <f t="shared" si="34"/>
        <v/>
      </c>
      <c r="T688" s="344"/>
      <c r="U688" s="345"/>
      <c r="V688" s="346"/>
    </row>
    <row r="689">
      <c r="A689" s="339"/>
      <c r="B689" s="313"/>
      <c r="C689" s="314"/>
      <c r="D689" s="315" t="str">
        <f t="shared" si="35"/>
        <v/>
      </c>
      <c r="E689" s="315" t="str">
        <f t="shared" si="36"/>
        <v/>
      </c>
      <c r="F689" s="316"/>
      <c r="G689" s="317"/>
      <c r="H689" s="318"/>
      <c r="I689" s="318"/>
      <c r="J689" s="318"/>
      <c r="K689" s="319">
        <f t="shared" si="39"/>
        <v>0</v>
      </c>
      <c r="L689" s="320" t="str">
        <f t="shared" si="34"/>
        <v/>
      </c>
      <c r="T689" s="344"/>
      <c r="U689" s="345"/>
      <c r="V689" s="346"/>
    </row>
    <row r="690">
      <c r="A690" s="339"/>
      <c r="B690" s="313"/>
      <c r="C690" s="314"/>
      <c r="D690" s="315" t="str">
        <f t="shared" si="35"/>
        <v/>
      </c>
      <c r="E690" s="315" t="str">
        <f t="shared" si="36"/>
        <v/>
      </c>
      <c r="F690" s="316"/>
      <c r="G690" s="317"/>
      <c r="H690" s="318"/>
      <c r="I690" s="318"/>
      <c r="J690" s="318"/>
      <c r="K690" s="319">
        <f t="shared" si="39"/>
        <v>0</v>
      </c>
      <c r="L690" s="320" t="str">
        <f t="shared" si="34"/>
        <v/>
      </c>
      <c r="T690" s="344"/>
      <c r="U690" s="345"/>
      <c r="V690" s="346"/>
    </row>
    <row r="691">
      <c r="A691" s="339"/>
      <c r="B691" s="313"/>
      <c r="C691" s="314"/>
      <c r="D691" s="315" t="str">
        <f t="shared" si="35"/>
        <v/>
      </c>
      <c r="E691" s="315" t="str">
        <f t="shared" si="36"/>
        <v/>
      </c>
      <c r="F691" s="316"/>
      <c r="G691" s="317"/>
      <c r="H691" s="318"/>
      <c r="I691" s="318"/>
      <c r="J691" s="318"/>
      <c r="K691" s="319">
        <f t="shared" si="39"/>
        <v>0</v>
      </c>
      <c r="L691" s="320" t="str">
        <f t="shared" si="34"/>
        <v/>
      </c>
      <c r="T691" s="344"/>
      <c r="U691" s="345"/>
      <c r="V691" s="346"/>
    </row>
    <row r="692">
      <c r="A692" s="339"/>
      <c r="B692" s="313"/>
      <c r="C692" s="314"/>
      <c r="D692" s="315" t="str">
        <f t="shared" si="35"/>
        <v/>
      </c>
      <c r="E692" s="315" t="str">
        <f t="shared" si="36"/>
        <v/>
      </c>
      <c r="F692" s="316"/>
      <c r="G692" s="317"/>
      <c r="H692" s="318"/>
      <c r="I692" s="318"/>
      <c r="J692" s="318"/>
      <c r="K692" s="319">
        <f t="shared" si="39"/>
        <v>0</v>
      </c>
      <c r="L692" s="320" t="str">
        <f t="shared" si="34"/>
        <v/>
      </c>
      <c r="T692" s="344"/>
      <c r="U692" s="345"/>
      <c r="V692" s="346"/>
    </row>
    <row r="693">
      <c r="A693" s="339"/>
      <c r="B693" s="313"/>
      <c r="C693" s="314"/>
      <c r="D693" s="315" t="str">
        <f t="shared" si="35"/>
        <v/>
      </c>
      <c r="E693" s="315" t="str">
        <f t="shared" si="36"/>
        <v/>
      </c>
      <c r="F693" s="316"/>
      <c r="G693" s="317"/>
      <c r="H693" s="318"/>
      <c r="I693" s="318"/>
      <c r="J693" s="318"/>
      <c r="K693" s="319">
        <f t="shared" si="39"/>
        <v>0</v>
      </c>
      <c r="L693" s="320" t="str">
        <f t="shared" si="34"/>
        <v/>
      </c>
      <c r="T693" s="344"/>
      <c r="U693" s="345"/>
      <c r="V693" s="346"/>
    </row>
    <row r="694">
      <c r="A694" s="339"/>
      <c r="B694" s="313"/>
      <c r="C694" s="314"/>
      <c r="D694" s="315" t="str">
        <f t="shared" si="35"/>
        <v/>
      </c>
      <c r="E694" s="315" t="str">
        <f t="shared" si="36"/>
        <v/>
      </c>
      <c r="F694" s="316"/>
      <c r="G694" s="317"/>
      <c r="H694" s="318"/>
      <c r="I694" s="318"/>
      <c r="J694" s="318"/>
      <c r="K694" s="319">
        <f t="shared" si="39"/>
        <v>0</v>
      </c>
      <c r="L694" s="320" t="str">
        <f t="shared" si="34"/>
        <v/>
      </c>
      <c r="T694" s="344"/>
      <c r="U694" s="345"/>
      <c r="V694" s="346"/>
    </row>
    <row r="695">
      <c r="A695" s="339"/>
      <c r="B695" s="313"/>
      <c r="C695" s="314"/>
      <c r="D695" s="315" t="str">
        <f t="shared" si="35"/>
        <v/>
      </c>
      <c r="E695" s="315" t="str">
        <f t="shared" si="36"/>
        <v/>
      </c>
      <c r="F695" s="318"/>
      <c r="G695" s="318"/>
      <c r="H695" s="318"/>
      <c r="I695" s="318"/>
      <c r="J695" s="318"/>
      <c r="K695" s="319">
        <f t="shared" si="39"/>
        <v>0</v>
      </c>
      <c r="L695" s="320" t="str">
        <f t="shared" si="34"/>
        <v/>
      </c>
      <c r="M695" s="239"/>
      <c r="T695" s="344"/>
      <c r="U695" s="345"/>
      <c r="V695" s="346"/>
    </row>
    <row r="696">
      <c r="A696" s="339"/>
      <c r="B696" s="313"/>
      <c r="C696" s="314"/>
      <c r="D696" s="315" t="str">
        <f t="shared" si="35"/>
        <v/>
      </c>
      <c r="E696" s="315" t="str">
        <f t="shared" si="36"/>
        <v/>
      </c>
      <c r="F696" s="316"/>
      <c r="G696" s="317"/>
      <c r="H696" s="318"/>
      <c r="I696" s="318"/>
      <c r="J696" s="318"/>
      <c r="K696" s="319">
        <f t="shared" si="39"/>
        <v>0</v>
      </c>
      <c r="L696" s="320" t="str">
        <f t="shared" si="34"/>
        <v/>
      </c>
      <c r="T696" s="344"/>
      <c r="U696" s="345"/>
      <c r="V696" s="346"/>
    </row>
    <row r="697">
      <c r="A697" s="339"/>
      <c r="B697" s="313"/>
      <c r="C697" s="314"/>
      <c r="D697" s="315" t="str">
        <f t="shared" si="35"/>
        <v/>
      </c>
      <c r="E697" s="315" t="str">
        <f t="shared" si="36"/>
        <v/>
      </c>
      <c r="F697" s="316"/>
      <c r="G697" s="317"/>
      <c r="H697" s="318"/>
      <c r="I697" s="318"/>
      <c r="J697" s="318"/>
      <c r="K697" s="319">
        <f t="shared" si="39"/>
        <v>0</v>
      </c>
      <c r="L697" s="320" t="str">
        <f t="shared" si="34"/>
        <v/>
      </c>
      <c r="T697" s="344"/>
      <c r="U697" s="345"/>
      <c r="V697" s="346"/>
    </row>
    <row r="698">
      <c r="A698" s="339"/>
      <c r="B698" s="313"/>
      <c r="C698" s="314"/>
      <c r="D698" s="315" t="str">
        <f t="shared" si="35"/>
        <v/>
      </c>
      <c r="E698" s="315" t="str">
        <f t="shared" si="36"/>
        <v/>
      </c>
      <c r="F698" s="316"/>
      <c r="G698" s="317"/>
      <c r="H698" s="318"/>
      <c r="I698" s="318"/>
      <c r="J698" s="318"/>
      <c r="K698" s="319">
        <f t="shared" si="39"/>
        <v>0</v>
      </c>
      <c r="L698" s="320" t="str">
        <f t="shared" si="34"/>
        <v/>
      </c>
      <c r="M698" s="239"/>
      <c r="T698" s="344"/>
      <c r="U698" s="345"/>
      <c r="V698" s="346"/>
    </row>
    <row r="699">
      <c r="A699" s="339"/>
      <c r="B699" s="313"/>
      <c r="C699" s="314"/>
      <c r="D699" s="315" t="str">
        <f t="shared" si="35"/>
        <v/>
      </c>
      <c r="E699" s="315" t="str">
        <f t="shared" si="36"/>
        <v/>
      </c>
      <c r="F699" s="316"/>
      <c r="G699" s="317"/>
      <c r="H699" s="318"/>
      <c r="I699" s="318"/>
      <c r="J699" s="318"/>
      <c r="K699" s="319">
        <f t="shared" si="39"/>
        <v>0</v>
      </c>
      <c r="L699" s="320" t="str">
        <f t="shared" si="34"/>
        <v/>
      </c>
      <c r="T699" s="344"/>
      <c r="U699" s="345"/>
      <c r="V699" s="346"/>
    </row>
    <row r="700">
      <c r="A700" s="339"/>
      <c r="B700" s="313"/>
      <c r="C700" s="314"/>
      <c r="D700" s="315" t="str">
        <f t="shared" si="35"/>
        <v/>
      </c>
      <c r="E700" s="315" t="str">
        <f t="shared" si="36"/>
        <v/>
      </c>
      <c r="F700" s="316"/>
      <c r="G700" s="317"/>
      <c r="H700" s="318"/>
      <c r="I700" s="318"/>
      <c r="J700" s="318"/>
      <c r="K700" s="319">
        <f t="shared" si="39"/>
        <v>0</v>
      </c>
      <c r="L700" s="320" t="str">
        <f t="shared" si="34"/>
        <v/>
      </c>
      <c r="T700" s="344"/>
      <c r="U700" s="345"/>
      <c r="V700" s="346"/>
    </row>
    <row r="701">
      <c r="A701" s="339"/>
      <c r="B701" s="313"/>
      <c r="C701" s="314"/>
      <c r="D701" s="315" t="str">
        <f t="shared" si="35"/>
        <v/>
      </c>
      <c r="E701" s="315" t="str">
        <f t="shared" si="36"/>
        <v/>
      </c>
      <c r="F701" s="316"/>
      <c r="G701" s="317"/>
      <c r="H701" s="318"/>
      <c r="I701" s="318"/>
      <c r="J701" s="318"/>
      <c r="K701" s="319">
        <f t="shared" si="39"/>
        <v>0</v>
      </c>
      <c r="L701" s="320" t="str">
        <f t="shared" si="34"/>
        <v/>
      </c>
      <c r="T701" s="344"/>
      <c r="U701" s="345"/>
      <c r="V701" s="346"/>
    </row>
    <row r="702">
      <c r="A702" s="339"/>
      <c r="B702" s="313"/>
      <c r="C702" s="314"/>
      <c r="D702" s="315" t="str">
        <f t="shared" si="35"/>
        <v/>
      </c>
      <c r="E702" s="315" t="str">
        <f t="shared" si="36"/>
        <v/>
      </c>
      <c r="F702" s="318"/>
      <c r="G702" s="318"/>
      <c r="H702" s="318"/>
      <c r="I702" s="318"/>
      <c r="J702" s="318"/>
      <c r="K702" s="319">
        <f t="shared" si="39"/>
        <v>0</v>
      </c>
      <c r="L702" s="320" t="str">
        <f t="shared" si="34"/>
        <v/>
      </c>
      <c r="M702" s="239"/>
      <c r="T702" s="344"/>
      <c r="U702" s="345"/>
      <c r="V702" s="346"/>
    </row>
    <row r="703">
      <c r="A703" s="339"/>
      <c r="B703" s="313"/>
      <c r="C703" s="314"/>
      <c r="D703" s="315" t="str">
        <f t="shared" si="35"/>
        <v/>
      </c>
      <c r="E703" s="315" t="str">
        <f t="shared" si="36"/>
        <v/>
      </c>
      <c r="F703" s="316"/>
      <c r="G703" s="317"/>
      <c r="H703" s="318"/>
      <c r="I703" s="318"/>
      <c r="J703" s="318"/>
      <c r="K703" s="319">
        <f t="shared" si="39"/>
        <v>0</v>
      </c>
      <c r="L703" s="320" t="str">
        <f t="shared" si="34"/>
        <v/>
      </c>
      <c r="T703" s="344"/>
      <c r="U703" s="345"/>
      <c r="V703" s="346"/>
    </row>
    <row r="704">
      <c r="A704" s="339"/>
      <c r="B704" s="313"/>
      <c r="C704" s="314"/>
      <c r="D704" s="315" t="str">
        <f t="shared" si="35"/>
        <v/>
      </c>
      <c r="E704" s="315" t="str">
        <f t="shared" si="36"/>
        <v/>
      </c>
      <c r="F704" s="316"/>
      <c r="G704" s="317"/>
      <c r="H704" s="318"/>
      <c r="I704" s="318"/>
      <c r="J704" s="318"/>
      <c r="K704" s="319">
        <f t="shared" si="39"/>
        <v>0</v>
      </c>
      <c r="L704" s="320" t="str">
        <f t="shared" si="34"/>
        <v/>
      </c>
      <c r="T704" s="344"/>
      <c r="U704" s="345"/>
      <c r="V704" s="346"/>
    </row>
    <row r="705">
      <c r="A705" s="339"/>
      <c r="B705" s="313"/>
      <c r="C705" s="314"/>
      <c r="D705" s="315" t="str">
        <f t="shared" si="35"/>
        <v/>
      </c>
      <c r="E705" s="315" t="str">
        <f t="shared" si="36"/>
        <v/>
      </c>
      <c r="F705" s="316"/>
      <c r="G705" s="317"/>
      <c r="H705" s="318"/>
      <c r="I705" s="318"/>
      <c r="J705" s="318"/>
      <c r="K705" s="319">
        <f t="shared" si="39"/>
        <v>0</v>
      </c>
      <c r="L705" s="320" t="str">
        <f t="shared" si="34"/>
        <v/>
      </c>
      <c r="T705" s="344"/>
      <c r="U705" s="345"/>
      <c r="V705" s="346"/>
    </row>
    <row r="706">
      <c r="A706" s="339"/>
      <c r="B706" s="313"/>
      <c r="C706" s="314"/>
      <c r="D706" s="315" t="str">
        <f t="shared" si="35"/>
        <v/>
      </c>
      <c r="E706" s="315" t="str">
        <f t="shared" si="36"/>
        <v/>
      </c>
      <c r="F706" s="316"/>
      <c r="G706" s="317"/>
      <c r="H706" s="318"/>
      <c r="I706" s="318"/>
      <c r="J706" s="318"/>
      <c r="K706" s="319">
        <f t="shared" si="39"/>
        <v>0</v>
      </c>
      <c r="L706" s="320" t="str">
        <f t="shared" si="34"/>
        <v/>
      </c>
      <c r="T706" s="344"/>
      <c r="U706" s="345"/>
      <c r="V706" s="346"/>
    </row>
    <row r="707">
      <c r="A707" s="339"/>
      <c r="B707" s="313"/>
      <c r="C707" s="314"/>
      <c r="D707" s="315" t="str">
        <f t="shared" si="35"/>
        <v/>
      </c>
      <c r="E707" s="315" t="str">
        <f t="shared" si="36"/>
        <v/>
      </c>
      <c r="F707" s="316"/>
      <c r="G707" s="317"/>
      <c r="H707" s="318"/>
      <c r="I707" s="318"/>
      <c r="J707" s="318"/>
      <c r="K707" s="319">
        <f t="shared" si="39"/>
        <v>0</v>
      </c>
      <c r="L707" s="320" t="str">
        <f t="shared" si="34"/>
        <v/>
      </c>
      <c r="T707" s="344"/>
      <c r="U707" s="345"/>
      <c r="V707" s="346"/>
    </row>
    <row r="708">
      <c r="A708" s="339"/>
      <c r="B708" s="313"/>
      <c r="C708" s="314"/>
      <c r="D708" s="315" t="str">
        <f t="shared" si="35"/>
        <v/>
      </c>
      <c r="E708" s="315" t="str">
        <f t="shared" si="36"/>
        <v/>
      </c>
      <c r="F708" s="316"/>
      <c r="G708" s="317"/>
      <c r="H708" s="318"/>
      <c r="I708" s="318"/>
      <c r="J708" s="318"/>
      <c r="K708" s="319">
        <f t="shared" si="39"/>
        <v>0</v>
      </c>
      <c r="L708" s="320" t="str">
        <f t="shared" si="34"/>
        <v/>
      </c>
      <c r="T708" s="344"/>
      <c r="U708" s="345"/>
      <c r="V708" s="346"/>
    </row>
    <row r="709">
      <c r="A709" s="339"/>
      <c r="B709" s="313"/>
      <c r="C709" s="314"/>
      <c r="D709" s="315" t="str">
        <f t="shared" si="35"/>
        <v/>
      </c>
      <c r="E709" s="315" t="str">
        <f t="shared" si="36"/>
        <v/>
      </c>
      <c r="F709" s="316"/>
      <c r="G709" s="317"/>
      <c r="H709" s="318"/>
      <c r="I709" s="318"/>
      <c r="J709" s="318"/>
      <c r="K709" s="319">
        <f t="shared" si="39"/>
        <v>0</v>
      </c>
      <c r="L709" s="320" t="str">
        <f t="shared" si="34"/>
        <v/>
      </c>
      <c r="T709" s="344"/>
      <c r="U709" s="345"/>
      <c r="V709" s="346"/>
    </row>
    <row r="710">
      <c r="A710" s="339"/>
      <c r="B710" s="313"/>
      <c r="C710" s="314"/>
      <c r="D710" s="315" t="str">
        <f t="shared" si="35"/>
        <v/>
      </c>
      <c r="E710" s="315" t="str">
        <f t="shared" si="36"/>
        <v/>
      </c>
      <c r="F710" s="316"/>
      <c r="G710" s="317"/>
      <c r="H710" s="318"/>
      <c r="I710" s="318"/>
      <c r="J710" s="318"/>
      <c r="K710" s="319">
        <f t="shared" si="39"/>
        <v>0</v>
      </c>
      <c r="L710" s="320" t="str">
        <f t="shared" si="34"/>
        <v/>
      </c>
      <c r="T710" s="344"/>
      <c r="U710" s="345"/>
      <c r="V710" s="346"/>
    </row>
    <row r="711">
      <c r="A711" s="339"/>
      <c r="B711" s="313"/>
      <c r="C711" s="314"/>
      <c r="D711" s="315" t="str">
        <f t="shared" si="35"/>
        <v/>
      </c>
      <c r="E711" s="315" t="str">
        <f t="shared" si="36"/>
        <v/>
      </c>
      <c r="F711" s="316"/>
      <c r="G711" s="317"/>
      <c r="H711" s="318"/>
      <c r="I711" s="318"/>
      <c r="J711" s="318"/>
      <c r="K711" s="319">
        <f t="shared" si="39"/>
        <v>0</v>
      </c>
      <c r="L711" s="320" t="str">
        <f t="shared" si="34"/>
        <v/>
      </c>
      <c r="T711" s="344"/>
      <c r="U711" s="345"/>
      <c r="V711" s="346"/>
    </row>
    <row r="712">
      <c r="A712" s="339"/>
      <c r="B712" s="313"/>
      <c r="C712" s="314"/>
      <c r="D712" s="315" t="str">
        <f t="shared" si="35"/>
        <v/>
      </c>
      <c r="E712" s="315" t="str">
        <f t="shared" si="36"/>
        <v/>
      </c>
      <c r="F712" s="316"/>
      <c r="G712" s="317"/>
      <c r="H712" s="318"/>
      <c r="I712" s="318"/>
      <c r="J712" s="318"/>
      <c r="K712" s="319">
        <f t="shared" si="39"/>
        <v>0</v>
      </c>
      <c r="L712" s="320" t="str">
        <f t="shared" si="34"/>
        <v/>
      </c>
      <c r="T712" s="344"/>
      <c r="U712" s="345"/>
      <c r="V712" s="346"/>
    </row>
    <row r="713">
      <c r="A713" s="339"/>
      <c r="B713" s="313"/>
      <c r="C713" s="314"/>
      <c r="D713" s="315" t="str">
        <f t="shared" si="35"/>
        <v/>
      </c>
      <c r="E713" s="315" t="str">
        <f t="shared" si="36"/>
        <v/>
      </c>
      <c r="F713" s="316"/>
      <c r="G713" s="317"/>
      <c r="H713" s="318"/>
      <c r="I713" s="318"/>
      <c r="J713" s="318"/>
      <c r="K713" s="319">
        <f t="shared" si="39"/>
        <v>0</v>
      </c>
      <c r="L713" s="320" t="str">
        <f t="shared" si="34"/>
        <v/>
      </c>
      <c r="T713" s="344"/>
      <c r="U713" s="345"/>
      <c r="V713" s="346"/>
    </row>
    <row r="714">
      <c r="A714" s="339"/>
      <c r="B714" s="313"/>
      <c r="C714" s="314"/>
      <c r="D714" s="315" t="str">
        <f t="shared" si="35"/>
        <v/>
      </c>
      <c r="E714" s="315" t="str">
        <f t="shared" si="36"/>
        <v/>
      </c>
      <c r="F714" s="316"/>
      <c r="G714" s="317"/>
      <c r="H714" s="318"/>
      <c r="I714" s="318"/>
      <c r="J714" s="318"/>
      <c r="K714" s="319">
        <f t="shared" si="39"/>
        <v>0</v>
      </c>
      <c r="L714" s="320" t="str">
        <f t="shared" si="34"/>
        <v/>
      </c>
      <c r="T714" s="344"/>
      <c r="U714" s="345"/>
      <c r="V714" s="346"/>
    </row>
    <row r="715">
      <c r="A715" s="339"/>
      <c r="B715" s="313"/>
      <c r="C715" s="314"/>
      <c r="D715" s="315" t="str">
        <f t="shared" si="35"/>
        <v/>
      </c>
      <c r="E715" s="315" t="str">
        <f t="shared" si="36"/>
        <v/>
      </c>
      <c r="F715" s="316"/>
      <c r="G715" s="317"/>
      <c r="H715" s="318"/>
      <c r="I715" s="318"/>
      <c r="J715" s="318"/>
      <c r="K715" s="319">
        <f t="shared" si="39"/>
        <v>0</v>
      </c>
      <c r="L715" s="320" t="str">
        <f t="shared" si="34"/>
        <v/>
      </c>
      <c r="T715" s="344"/>
      <c r="U715" s="345"/>
      <c r="V715" s="346"/>
    </row>
    <row r="716">
      <c r="A716" s="339"/>
      <c r="B716" s="313"/>
      <c r="C716" s="314"/>
      <c r="D716" s="315" t="str">
        <f t="shared" si="35"/>
        <v/>
      </c>
      <c r="E716" s="315" t="str">
        <f t="shared" si="36"/>
        <v/>
      </c>
      <c r="F716" s="318"/>
      <c r="G716" s="318"/>
      <c r="H716" s="318"/>
      <c r="I716" s="318"/>
      <c r="J716" s="318"/>
      <c r="K716" s="319">
        <f t="shared" si="39"/>
        <v>0</v>
      </c>
      <c r="L716" s="320" t="str">
        <f t="shared" si="34"/>
        <v/>
      </c>
      <c r="M716" s="239"/>
      <c r="T716" s="344"/>
      <c r="U716" s="345"/>
      <c r="V716" s="346"/>
    </row>
    <row r="717">
      <c r="A717" s="339"/>
      <c r="B717" s="313"/>
      <c r="C717" s="314"/>
      <c r="D717" s="315" t="str">
        <f t="shared" si="35"/>
        <v/>
      </c>
      <c r="E717" s="315" t="str">
        <f t="shared" si="36"/>
        <v/>
      </c>
      <c r="F717" s="316"/>
      <c r="G717" s="317"/>
      <c r="H717" s="318"/>
      <c r="I717" s="318"/>
      <c r="J717" s="318"/>
      <c r="K717" s="319">
        <f t="shared" si="39"/>
        <v>0</v>
      </c>
      <c r="L717" s="320" t="str">
        <f t="shared" si="34"/>
        <v/>
      </c>
      <c r="T717" s="344"/>
      <c r="U717" s="345"/>
      <c r="V717" s="346"/>
    </row>
    <row r="718">
      <c r="A718" s="339"/>
      <c r="B718" s="313"/>
      <c r="C718" s="314"/>
      <c r="D718" s="315" t="str">
        <f t="shared" si="35"/>
        <v/>
      </c>
      <c r="E718" s="315" t="str">
        <f t="shared" si="36"/>
        <v/>
      </c>
      <c r="F718" s="316"/>
      <c r="G718" s="317"/>
      <c r="H718" s="318"/>
      <c r="I718" s="318"/>
      <c r="J718" s="318"/>
      <c r="K718" s="319">
        <f t="shared" si="39"/>
        <v>0</v>
      </c>
      <c r="L718" s="320" t="str">
        <f t="shared" si="34"/>
        <v/>
      </c>
      <c r="T718" s="344"/>
      <c r="U718" s="345"/>
      <c r="V718" s="346"/>
    </row>
    <row r="719">
      <c r="A719" s="339"/>
      <c r="B719" s="313"/>
      <c r="C719" s="314"/>
      <c r="D719" s="315" t="str">
        <f t="shared" si="35"/>
        <v/>
      </c>
      <c r="E719" s="315" t="str">
        <f t="shared" si="36"/>
        <v/>
      </c>
      <c r="F719" s="316"/>
      <c r="G719" s="317"/>
      <c r="H719" s="318"/>
      <c r="I719" s="318"/>
      <c r="J719" s="318"/>
      <c r="K719" s="319">
        <f t="shared" si="39"/>
        <v>0</v>
      </c>
      <c r="L719" s="320" t="str">
        <f t="shared" si="34"/>
        <v/>
      </c>
      <c r="T719" s="344"/>
      <c r="U719" s="345"/>
      <c r="V719" s="346"/>
    </row>
    <row r="720">
      <c r="A720" s="339"/>
      <c r="B720" s="313"/>
      <c r="C720" s="314"/>
      <c r="D720" s="315" t="str">
        <f t="shared" si="35"/>
        <v/>
      </c>
      <c r="E720" s="315" t="str">
        <f t="shared" si="36"/>
        <v/>
      </c>
      <c r="F720" s="316"/>
      <c r="G720" s="317"/>
      <c r="H720" s="318"/>
      <c r="I720" s="318"/>
      <c r="J720" s="318"/>
      <c r="K720" s="319">
        <f t="shared" si="39"/>
        <v>0</v>
      </c>
      <c r="L720" s="320" t="str">
        <f t="shared" si="34"/>
        <v/>
      </c>
      <c r="T720" s="344"/>
      <c r="U720" s="345"/>
      <c r="V720" s="346"/>
    </row>
    <row r="721">
      <c r="A721" s="339"/>
      <c r="B721" s="313"/>
      <c r="C721" s="314"/>
      <c r="D721" s="315" t="str">
        <f t="shared" si="35"/>
        <v/>
      </c>
      <c r="E721" s="315" t="str">
        <f t="shared" si="36"/>
        <v/>
      </c>
      <c r="F721" s="316"/>
      <c r="G721" s="317"/>
      <c r="H721" s="318"/>
      <c r="I721" s="318"/>
      <c r="J721" s="318"/>
      <c r="K721" s="319">
        <f t="shared" si="39"/>
        <v>0</v>
      </c>
      <c r="L721" s="320" t="str">
        <f t="shared" si="34"/>
        <v/>
      </c>
      <c r="T721" s="344"/>
      <c r="U721" s="345"/>
      <c r="V721" s="346"/>
    </row>
    <row r="722">
      <c r="A722" s="339"/>
      <c r="B722" s="313"/>
      <c r="C722" s="314"/>
      <c r="D722" s="315" t="str">
        <f t="shared" si="35"/>
        <v/>
      </c>
      <c r="E722" s="315" t="str">
        <f t="shared" si="36"/>
        <v/>
      </c>
      <c r="F722" s="316"/>
      <c r="G722" s="317"/>
      <c r="H722" s="318"/>
      <c r="I722" s="318"/>
      <c r="J722" s="318"/>
      <c r="K722" s="319">
        <f t="shared" si="39"/>
        <v>0</v>
      </c>
      <c r="L722" s="320" t="str">
        <f t="shared" si="34"/>
        <v/>
      </c>
      <c r="T722" s="344"/>
      <c r="U722" s="345"/>
      <c r="V722" s="346"/>
    </row>
    <row r="723">
      <c r="A723" s="339"/>
      <c r="B723" s="313"/>
      <c r="C723" s="314"/>
      <c r="D723" s="315" t="str">
        <f t="shared" si="35"/>
        <v/>
      </c>
      <c r="E723" s="315" t="str">
        <f t="shared" si="36"/>
        <v/>
      </c>
      <c r="F723" s="316"/>
      <c r="G723" s="316"/>
      <c r="H723" s="318"/>
      <c r="I723" s="318"/>
      <c r="J723" s="318"/>
      <c r="K723" s="319">
        <f t="shared" si="39"/>
        <v>0</v>
      </c>
      <c r="L723" s="320" t="str">
        <f t="shared" si="34"/>
        <v/>
      </c>
      <c r="M723" s="239"/>
      <c r="T723" s="344"/>
      <c r="U723" s="345"/>
      <c r="V723" s="346"/>
    </row>
    <row r="724">
      <c r="A724" s="339"/>
      <c r="B724" s="313"/>
      <c r="C724" s="314"/>
      <c r="D724" s="315" t="str">
        <f t="shared" si="35"/>
        <v/>
      </c>
      <c r="E724" s="315" t="str">
        <f t="shared" si="36"/>
        <v/>
      </c>
      <c r="F724" s="316"/>
      <c r="G724" s="317"/>
      <c r="H724" s="318"/>
      <c r="I724" s="318"/>
      <c r="J724" s="318"/>
      <c r="K724" s="319">
        <f t="shared" si="39"/>
        <v>0</v>
      </c>
      <c r="L724" s="320" t="str">
        <f t="shared" si="34"/>
        <v/>
      </c>
      <c r="T724" s="344"/>
      <c r="U724" s="345"/>
      <c r="V724" s="346"/>
    </row>
    <row r="725">
      <c r="A725" s="339"/>
      <c r="B725" s="313"/>
      <c r="C725" s="314"/>
      <c r="D725" s="315" t="str">
        <f t="shared" si="35"/>
        <v/>
      </c>
      <c r="E725" s="315" t="str">
        <f t="shared" si="36"/>
        <v/>
      </c>
      <c r="F725" s="316"/>
      <c r="G725" s="317"/>
      <c r="H725" s="318"/>
      <c r="I725" s="318"/>
      <c r="J725" s="318"/>
      <c r="K725" s="319">
        <f t="shared" si="39"/>
        <v>0</v>
      </c>
      <c r="L725" s="320" t="str">
        <f t="shared" si="34"/>
        <v/>
      </c>
      <c r="T725" s="344"/>
      <c r="U725" s="345"/>
      <c r="V725" s="346"/>
    </row>
    <row r="726">
      <c r="A726" s="339"/>
      <c r="B726" s="313"/>
      <c r="C726" s="314"/>
      <c r="D726" s="315" t="str">
        <f t="shared" si="35"/>
        <v/>
      </c>
      <c r="E726" s="315" t="str">
        <f t="shared" si="36"/>
        <v/>
      </c>
      <c r="F726" s="318"/>
      <c r="G726" s="318"/>
      <c r="H726" s="318"/>
      <c r="I726" s="318"/>
      <c r="J726" s="318"/>
      <c r="K726" s="319">
        <f t="shared" si="39"/>
        <v>0</v>
      </c>
      <c r="L726" s="320" t="str">
        <f t="shared" si="34"/>
        <v/>
      </c>
      <c r="M726" s="239"/>
      <c r="T726" s="344"/>
      <c r="U726" s="345"/>
      <c r="V726" s="346"/>
    </row>
    <row r="727">
      <c r="A727" s="339"/>
      <c r="B727" s="313"/>
      <c r="C727" s="314"/>
      <c r="D727" s="315" t="str">
        <f t="shared" si="35"/>
        <v/>
      </c>
      <c r="E727" s="315" t="str">
        <f t="shared" si="36"/>
        <v/>
      </c>
      <c r="F727" s="316"/>
      <c r="G727" s="317"/>
      <c r="H727" s="318"/>
      <c r="I727" s="318"/>
      <c r="J727" s="318"/>
      <c r="K727" s="319">
        <f t="shared" si="39"/>
        <v>0</v>
      </c>
      <c r="L727" s="320" t="str">
        <f t="shared" si="34"/>
        <v/>
      </c>
      <c r="T727" s="344"/>
      <c r="U727" s="345"/>
      <c r="V727" s="346"/>
    </row>
    <row r="728">
      <c r="A728" s="339"/>
      <c r="B728" s="313"/>
      <c r="C728" s="314"/>
      <c r="D728" s="315" t="str">
        <f t="shared" si="35"/>
        <v/>
      </c>
      <c r="E728" s="315" t="str">
        <f t="shared" si="36"/>
        <v/>
      </c>
      <c r="F728" s="316"/>
      <c r="G728" s="317"/>
      <c r="H728" s="318"/>
      <c r="I728" s="318"/>
      <c r="J728" s="318"/>
      <c r="K728" s="319">
        <f t="shared" si="39"/>
        <v>0</v>
      </c>
      <c r="L728" s="320" t="str">
        <f t="shared" si="34"/>
        <v/>
      </c>
      <c r="T728" s="344"/>
      <c r="U728" s="345"/>
      <c r="V728" s="346"/>
    </row>
    <row r="729">
      <c r="A729" s="339"/>
      <c r="B729" s="313"/>
      <c r="C729" s="314"/>
      <c r="D729" s="315" t="str">
        <f t="shared" si="35"/>
        <v/>
      </c>
      <c r="E729" s="315" t="str">
        <f t="shared" si="36"/>
        <v/>
      </c>
      <c r="F729" s="316"/>
      <c r="G729" s="317"/>
      <c r="H729" s="318"/>
      <c r="I729" s="318"/>
      <c r="J729" s="318"/>
      <c r="K729" s="319">
        <f t="shared" si="39"/>
        <v>0</v>
      </c>
      <c r="L729" s="320" t="str">
        <f t="shared" si="34"/>
        <v/>
      </c>
      <c r="T729" s="344"/>
      <c r="U729" s="345"/>
      <c r="V729" s="346"/>
    </row>
    <row r="730">
      <c r="A730" s="339"/>
      <c r="B730" s="313"/>
      <c r="C730" s="314"/>
      <c r="D730" s="315" t="str">
        <f t="shared" si="35"/>
        <v/>
      </c>
      <c r="E730" s="315" t="str">
        <f t="shared" si="36"/>
        <v/>
      </c>
      <c r="F730" s="318"/>
      <c r="G730" s="318"/>
      <c r="H730" s="318"/>
      <c r="I730" s="318"/>
      <c r="J730" s="318"/>
      <c r="K730" s="319">
        <f t="shared" si="39"/>
        <v>0</v>
      </c>
      <c r="L730" s="320" t="str">
        <f t="shared" si="34"/>
        <v/>
      </c>
      <c r="M730" s="239"/>
      <c r="T730" s="344"/>
      <c r="U730" s="345"/>
      <c r="V730" s="346"/>
    </row>
    <row r="731">
      <c r="A731" s="339"/>
      <c r="B731" s="313"/>
      <c r="C731" s="314"/>
      <c r="D731" s="315" t="str">
        <f t="shared" si="35"/>
        <v/>
      </c>
      <c r="E731" s="315" t="str">
        <f t="shared" si="36"/>
        <v/>
      </c>
      <c r="F731" s="316"/>
      <c r="G731" s="317"/>
      <c r="H731" s="318"/>
      <c r="I731" s="318"/>
      <c r="J731" s="318"/>
      <c r="K731" s="319">
        <f t="shared" si="39"/>
        <v>0</v>
      </c>
      <c r="L731" s="320" t="str">
        <f t="shared" si="34"/>
        <v/>
      </c>
      <c r="T731" s="344"/>
      <c r="U731" s="345"/>
      <c r="V731" s="346"/>
    </row>
    <row r="732">
      <c r="A732" s="339"/>
      <c r="B732" s="313"/>
      <c r="C732" s="314"/>
      <c r="D732" s="315" t="str">
        <f t="shared" si="35"/>
        <v/>
      </c>
      <c r="E732" s="315" t="str">
        <f t="shared" si="36"/>
        <v/>
      </c>
      <c r="F732" s="316"/>
      <c r="G732" s="317"/>
      <c r="H732" s="318"/>
      <c r="I732" s="318"/>
      <c r="J732" s="318"/>
      <c r="K732" s="319">
        <f t="shared" si="39"/>
        <v>0</v>
      </c>
      <c r="L732" s="320" t="str">
        <f t="shared" si="34"/>
        <v/>
      </c>
      <c r="T732" s="344"/>
      <c r="U732" s="345"/>
      <c r="V732" s="346"/>
    </row>
    <row r="733">
      <c r="A733" s="339"/>
      <c r="B733" s="313"/>
      <c r="C733" s="314"/>
      <c r="D733" s="315" t="str">
        <f t="shared" si="35"/>
        <v/>
      </c>
      <c r="E733" s="315" t="str">
        <f t="shared" si="36"/>
        <v/>
      </c>
      <c r="F733" s="318"/>
      <c r="G733" s="318"/>
      <c r="H733" s="318"/>
      <c r="I733" s="318"/>
      <c r="J733" s="318"/>
      <c r="K733" s="319">
        <f t="shared" si="39"/>
        <v>0</v>
      </c>
      <c r="L733" s="320" t="str">
        <f t="shared" si="34"/>
        <v/>
      </c>
      <c r="M733" s="239"/>
      <c r="T733" s="344"/>
      <c r="U733" s="345"/>
      <c r="V733" s="346"/>
    </row>
    <row r="734">
      <c r="A734" s="339"/>
      <c r="B734" s="313"/>
      <c r="C734" s="314"/>
      <c r="D734" s="315" t="str">
        <f t="shared" si="35"/>
        <v/>
      </c>
      <c r="E734" s="315" t="str">
        <f t="shared" si="36"/>
        <v/>
      </c>
      <c r="F734" s="316"/>
      <c r="G734" s="317"/>
      <c r="H734" s="318"/>
      <c r="I734" s="318"/>
      <c r="J734" s="318"/>
      <c r="K734" s="319">
        <f t="shared" si="39"/>
        <v>0</v>
      </c>
      <c r="L734" s="320" t="str">
        <f t="shared" si="34"/>
        <v/>
      </c>
      <c r="T734" s="344"/>
      <c r="U734" s="345"/>
      <c r="V734" s="346"/>
    </row>
    <row r="735">
      <c r="A735" s="339"/>
      <c r="B735" s="313"/>
      <c r="C735" s="314"/>
      <c r="D735" s="315" t="str">
        <f t="shared" si="35"/>
        <v/>
      </c>
      <c r="E735" s="315" t="str">
        <f t="shared" si="36"/>
        <v/>
      </c>
      <c r="F735" s="316"/>
      <c r="G735" s="317"/>
      <c r="H735" s="318"/>
      <c r="I735" s="318"/>
      <c r="J735" s="318"/>
      <c r="K735" s="319">
        <f t="shared" si="39"/>
        <v>0</v>
      </c>
      <c r="L735" s="320" t="str">
        <f t="shared" si="34"/>
        <v/>
      </c>
      <c r="M735" s="239"/>
      <c r="T735" s="344"/>
      <c r="U735" s="345"/>
      <c r="V735" s="346"/>
    </row>
    <row r="736">
      <c r="A736" s="339"/>
      <c r="B736" s="313"/>
      <c r="C736" s="314"/>
      <c r="D736" s="315" t="str">
        <f t="shared" si="35"/>
        <v/>
      </c>
      <c r="E736" s="315" t="str">
        <f t="shared" si="36"/>
        <v/>
      </c>
      <c r="F736" s="316"/>
      <c r="G736" s="317"/>
      <c r="H736" s="318"/>
      <c r="I736" s="318"/>
      <c r="J736" s="318"/>
      <c r="K736" s="319">
        <f t="shared" si="39"/>
        <v>0</v>
      </c>
      <c r="L736" s="320" t="str">
        <f t="shared" si="34"/>
        <v/>
      </c>
      <c r="T736" s="344"/>
      <c r="U736" s="345"/>
      <c r="V736" s="346"/>
    </row>
    <row r="737">
      <c r="A737" s="339"/>
      <c r="B737" s="313"/>
      <c r="C737" s="314"/>
      <c r="D737" s="315" t="str">
        <f t="shared" si="35"/>
        <v/>
      </c>
      <c r="E737" s="315" t="str">
        <f t="shared" si="36"/>
        <v/>
      </c>
      <c r="F737" s="316"/>
      <c r="G737" s="317"/>
      <c r="H737" s="318"/>
      <c r="I737" s="318"/>
      <c r="J737" s="318"/>
      <c r="K737" s="319">
        <f t="shared" si="39"/>
        <v>0</v>
      </c>
      <c r="L737" s="320" t="str">
        <f t="shared" si="34"/>
        <v/>
      </c>
      <c r="T737" s="344"/>
      <c r="U737" s="345"/>
      <c r="V737" s="346"/>
    </row>
    <row r="738">
      <c r="A738" s="339"/>
      <c r="B738" s="313"/>
      <c r="C738" s="314"/>
      <c r="D738" s="315" t="str">
        <f t="shared" si="35"/>
        <v/>
      </c>
      <c r="E738" s="315" t="str">
        <f t="shared" si="36"/>
        <v/>
      </c>
      <c r="F738" s="316"/>
      <c r="G738" s="317"/>
      <c r="H738" s="318"/>
      <c r="I738" s="318"/>
      <c r="J738" s="318"/>
      <c r="K738" s="319">
        <f t="shared" si="39"/>
        <v>0</v>
      </c>
      <c r="L738" s="320" t="str">
        <f t="shared" si="34"/>
        <v/>
      </c>
      <c r="T738" s="344"/>
      <c r="U738" s="345"/>
      <c r="V738" s="346"/>
    </row>
    <row r="739">
      <c r="A739" s="339"/>
      <c r="B739" s="313"/>
      <c r="C739" s="314"/>
      <c r="D739" s="315" t="str">
        <f t="shared" si="35"/>
        <v/>
      </c>
      <c r="E739" s="315" t="str">
        <f t="shared" si="36"/>
        <v/>
      </c>
      <c r="F739" s="316"/>
      <c r="G739" s="317"/>
      <c r="H739" s="318"/>
      <c r="I739" s="318"/>
      <c r="J739" s="318"/>
      <c r="K739" s="319">
        <f t="shared" si="39"/>
        <v>0</v>
      </c>
      <c r="L739" s="320" t="str">
        <f t="shared" si="34"/>
        <v/>
      </c>
      <c r="T739" s="344"/>
      <c r="U739" s="345"/>
      <c r="V739" s="346"/>
    </row>
    <row r="740">
      <c r="A740" s="339"/>
      <c r="B740" s="313"/>
      <c r="C740" s="314"/>
      <c r="D740" s="315" t="str">
        <f t="shared" si="35"/>
        <v/>
      </c>
      <c r="E740" s="315" t="str">
        <f t="shared" si="36"/>
        <v/>
      </c>
      <c r="F740" s="316"/>
      <c r="G740" s="317"/>
      <c r="H740" s="318"/>
      <c r="I740" s="318"/>
      <c r="J740" s="318"/>
      <c r="K740" s="319">
        <f t="shared" si="39"/>
        <v>0</v>
      </c>
      <c r="L740" s="320" t="str">
        <f t="shared" si="34"/>
        <v/>
      </c>
      <c r="T740" s="344"/>
      <c r="U740" s="345"/>
      <c r="V740" s="346"/>
    </row>
    <row r="741">
      <c r="A741" s="339"/>
      <c r="B741" s="313"/>
      <c r="C741" s="314"/>
      <c r="D741" s="315" t="str">
        <f t="shared" si="35"/>
        <v/>
      </c>
      <c r="E741" s="315" t="str">
        <f t="shared" si="36"/>
        <v/>
      </c>
      <c r="F741" s="316"/>
      <c r="G741" s="317"/>
      <c r="H741" s="318"/>
      <c r="I741" s="318"/>
      <c r="J741" s="318"/>
      <c r="K741" s="319">
        <f t="shared" si="39"/>
        <v>0</v>
      </c>
      <c r="L741" s="320" t="str">
        <f t="shared" si="34"/>
        <v/>
      </c>
      <c r="T741" s="344"/>
      <c r="U741" s="345"/>
      <c r="V741" s="346"/>
    </row>
    <row r="742">
      <c r="A742" s="339"/>
      <c r="B742" s="313"/>
      <c r="C742" s="314"/>
      <c r="D742" s="315" t="str">
        <f t="shared" si="35"/>
        <v/>
      </c>
      <c r="E742" s="315" t="str">
        <f t="shared" si="36"/>
        <v/>
      </c>
      <c r="F742" s="316"/>
      <c r="G742" s="317"/>
      <c r="H742" s="318"/>
      <c r="I742" s="318"/>
      <c r="J742" s="318"/>
      <c r="K742" s="319">
        <f t="shared" si="39"/>
        <v>0</v>
      </c>
      <c r="L742" s="320" t="str">
        <f t="shared" si="34"/>
        <v/>
      </c>
      <c r="T742" s="344"/>
      <c r="U742" s="345"/>
      <c r="V742" s="346"/>
    </row>
    <row r="743">
      <c r="A743" s="339"/>
      <c r="B743" s="313"/>
      <c r="C743" s="314"/>
      <c r="D743" s="315" t="str">
        <f t="shared" si="35"/>
        <v/>
      </c>
      <c r="E743" s="315" t="str">
        <f t="shared" si="36"/>
        <v/>
      </c>
      <c r="F743" s="316"/>
      <c r="G743" s="317"/>
      <c r="H743" s="318"/>
      <c r="I743" s="318"/>
      <c r="J743" s="318"/>
      <c r="K743" s="319">
        <f t="shared" si="39"/>
        <v>0</v>
      </c>
      <c r="L743" s="320" t="str">
        <f t="shared" si="34"/>
        <v/>
      </c>
      <c r="T743" s="344"/>
      <c r="U743" s="345"/>
      <c r="V743" s="346"/>
    </row>
    <row r="744">
      <c r="A744" s="339"/>
      <c r="B744" s="313"/>
      <c r="C744" s="314"/>
      <c r="D744" s="315" t="str">
        <f t="shared" si="35"/>
        <v/>
      </c>
      <c r="E744" s="315" t="str">
        <f t="shared" si="36"/>
        <v/>
      </c>
      <c r="F744" s="318"/>
      <c r="G744" s="318"/>
      <c r="H744" s="318"/>
      <c r="I744" s="318"/>
      <c r="J744" s="318"/>
      <c r="K744" s="319">
        <f t="shared" si="39"/>
        <v>0</v>
      </c>
      <c r="L744" s="320" t="str">
        <f t="shared" si="34"/>
        <v/>
      </c>
      <c r="M744" s="239"/>
      <c r="T744" s="344"/>
      <c r="U744" s="345"/>
      <c r="V744" s="346"/>
    </row>
    <row r="745">
      <c r="A745" s="339"/>
      <c r="B745" s="313"/>
      <c r="C745" s="314"/>
      <c r="D745" s="315" t="str">
        <f t="shared" si="35"/>
        <v/>
      </c>
      <c r="E745" s="315" t="str">
        <f t="shared" si="36"/>
        <v/>
      </c>
      <c r="F745" s="316"/>
      <c r="G745" s="317"/>
      <c r="H745" s="318"/>
      <c r="I745" s="318"/>
      <c r="J745" s="318"/>
      <c r="K745" s="319">
        <f t="shared" si="39"/>
        <v>0</v>
      </c>
      <c r="L745" s="320" t="str">
        <f t="shared" si="34"/>
        <v/>
      </c>
      <c r="T745" s="344"/>
      <c r="U745" s="345"/>
      <c r="V745" s="346"/>
    </row>
    <row r="746">
      <c r="A746" s="339"/>
      <c r="B746" s="313"/>
      <c r="C746" s="314"/>
      <c r="D746" s="315" t="str">
        <f t="shared" si="35"/>
        <v/>
      </c>
      <c r="E746" s="315" t="str">
        <f t="shared" si="36"/>
        <v/>
      </c>
      <c r="F746" s="316"/>
      <c r="G746" s="317"/>
      <c r="H746" s="318"/>
      <c r="I746" s="318"/>
      <c r="J746" s="318"/>
      <c r="K746" s="319">
        <f t="shared" si="39"/>
        <v>0</v>
      </c>
      <c r="L746" s="320" t="str">
        <f t="shared" si="34"/>
        <v/>
      </c>
      <c r="T746" s="344"/>
      <c r="U746" s="345"/>
      <c r="V746" s="346"/>
    </row>
    <row r="747">
      <c r="A747" s="339"/>
      <c r="B747" s="313"/>
      <c r="C747" s="314"/>
      <c r="D747" s="315" t="str">
        <f t="shared" si="35"/>
        <v/>
      </c>
      <c r="E747" s="315" t="str">
        <f t="shared" si="36"/>
        <v/>
      </c>
      <c r="F747" s="316"/>
      <c r="G747" s="317"/>
      <c r="H747" s="318"/>
      <c r="I747" s="318"/>
      <c r="J747" s="318"/>
      <c r="K747" s="319">
        <f t="shared" si="39"/>
        <v>0</v>
      </c>
      <c r="L747" s="320" t="str">
        <f t="shared" si="34"/>
        <v/>
      </c>
      <c r="T747" s="344"/>
      <c r="U747" s="345"/>
      <c r="V747" s="346"/>
    </row>
    <row r="748">
      <c r="A748" s="339"/>
      <c r="B748" s="313"/>
      <c r="C748" s="314"/>
      <c r="D748" s="315" t="str">
        <f t="shared" si="35"/>
        <v/>
      </c>
      <c r="E748" s="315" t="str">
        <f t="shared" si="36"/>
        <v/>
      </c>
      <c r="F748" s="316"/>
      <c r="G748" s="317"/>
      <c r="H748" s="318"/>
      <c r="I748" s="318"/>
      <c r="J748" s="318"/>
      <c r="K748" s="319">
        <f t="shared" si="39"/>
        <v>0</v>
      </c>
      <c r="L748" s="320" t="str">
        <f t="shared" si="34"/>
        <v/>
      </c>
      <c r="T748" s="344"/>
      <c r="U748" s="345"/>
      <c r="V748" s="346"/>
    </row>
    <row r="749">
      <c r="A749" s="339"/>
      <c r="B749" s="313"/>
      <c r="C749" s="314"/>
      <c r="D749" s="315" t="str">
        <f t="shared" si="35"/>
        <v/>
      </c>
      <c r="E749" s="315" t="str">
        <f t="shared" si="36"/>
        <v/>
      </c>
      <c r="F749" s="316"/>
      <c r="G749" s="317"/>
      <c r="H749" s="318"/>
      <c r="I749" s="318"/>
      <c r="J749" s="318"/>
      <c r="K749" s="319">
        <f t="shared" si="39"/>
        <v>0</v>
      </c>
      <c r="L749" s="320" t="str">
        <f t="shared" si="34"/>
        <v/>
      </c>
      <c r="T749" s="344"/>
      <c r="U749" s="345"/>
      <c r="V749" s="346"/>
    </row>
    <row r="750">
      <c r="A750" s="339"/>
      <c r="B750" s="313"/>
      <c r="C750" s="314"/>
      <c r="D750" s="315" t="str">
        <f t="shared" si="35"/>
        <v/>
      </c>
      <c r="E750" s="315" t="str">
        <f t="shared" si="36"/>
        <v/>
      </c>
      <c r="F750" s="316"/>
      <c r="G750" s="317"/>
      <c r="H750" s="318"/>
      <c r="I750" s="318"/>
      <c r="J750" s="318"/>
      <c r="K750" s="319">
        <f t="shared" si="39"/>
        <v>0</v>
      </c>
      <c r="L750" s="320" t="str">
        <f t="shared" si="34"/>
        <v/>
      </c>
      <c r="T750" s="344"/>
      <c r="U750" s="345"/>
      <c r="V750" s="346"/>
    </row>
    <row r="751">
      <c r="A751" s="339"/>
      <c r="B751" s="313"/>
      <c r="C751" s="314"/>
      <c r="D751" s="315" t="str">
        <f t="shared" si="35"/>
        <v/>
      </c>
      <c r="E751" s="315" t="str">
        <f t="shared" si="36"/>
        <v/>
      </c>
      <c r="F751" s="316"/>
      <c r="G751" s="317"/>
      <c r="H751" s="318"/>
      <c r="I751" s="318"/>
      <c r="J751" s="318"/>
      <c r="K751" s="319">
        <f t="shared" si="39"/>
        <v>0</v>
      </c>
      <c r="L751" s="320" t="str">
        <f t="shared" si="34"/>
        <v/>
      </c>
      <c r="T751" s="344"/>
      <c r="U751" s="345"/>
      <c r="V751" s="346"/>
    </row>
    <row r="752">
      <c r="A752" s="339"/>
      <c r="B752" s="313"/>
      <c r="C752" s="314"/>
      <c r="D752" s="315" t="str">
        <f t="shared" si="35"/>
        <v/>
      </c>
      <c r="E752" s="315" t="str">
        <f t="shared" si="36"/>
        <v/>
      </c>
      <c r="F752" s="316"/>
      <c r="G752" s="317"/>
      <c r="H752" s="318"/>
      <c r="I752" s="318"/>
      <c r="J752" s="318"/>
      <c r="K752" s="319">
        <f t="shared" si="39"/>
        <v>0</v>
      </c>
      <c r="L752" s="320" t="str">
        <f t="shared" si="34"/>
        <v/>
      </c>
      <c r="T752" s="344"/>
      <c r="U752" s="345"/>
      <c r="V752" s="346"/>
    </row>
    <row r="753">
      <c r="A753" s="339"/>
      <c r="B753" s="313"/>
      <c r="C753" s="314"/>
      <c r="D753" s="315" t="str">
        <f t="shared" si="35"/>
        <v/>
      </c>
      <c r="E753" s="315" t="str">
        <f t="shared" si="36"/>
        <v/>
      </c>
      <c r="F753" s="316"/>
      <c r="G753" s="317"/>
      <c r="H753" s="318"/>
      <c r="I753" s="318"/>
      <c r="J753" s="318"/>
      <c r="K753" s="319">
        <f t="shared" si="39"/>
        <v>0</v>
      </c>
      <c r="L753" s="320" t="str">
        <f t="shared" si="34"/>
        <v/>
      </c>
      <c r="T753" s="344"/>
      <c r="U753" s="345"/>
      <c r="V753" s="346"/>
    </row>
    <row r="754">
      <c r="A754" s="339"/>
      <c r="B754" s="313"/>
      <c r="C754" s="314"/>
      <c r="D754" s="315" t="str">
        <f t="shared" si="35"/>
        <v/>
      </c>
      <c r="E754" s="315" t="str">
        <f t="shared" si="36"/>
        <v/>
      </c>
      <c r="F754" s="316"/>
      <c r="G754" s="317"/>
      <c r="H754" s="318"/>
      <c r="I754" s="318"/>
      <c r="J754" s="318"/>
      <c r="K754" s="319">
        <f t="shared" si="39"/>
        <v>0</v>
      </c>
      <c r="L754" s="320" t="str">
        <f t="shared" si="34"/>
        <v/>
      </c>
      <c r="T754" s="344"/>
      <c r="U754" s="345"/>
      <c r="V754" s="346"/>
    </row>
    <row r="755">
      <c r="A755" s="339"/>
      <c r="B755" s="313"/>
      <c r="C755" s="314"/>
      <c r="D755" s="315" t="str">
        <f t="shared" si="35"/>
        <v/>
      </c>
      <c r="E755" s="315" t="str">
        <f t="shared" si="36"/>
        <v/>
      </c>
      <c r="F755" s="316"/>
      <c r="G755" s="317"/>
      <c r="H755" s="318"/>
      <c r="I755" s="318"/>
      <c r="J755" s="318"/>
      <c r="K755" s="319">
        <f t="shared" si="39"/>
        <v>0</v>
      </c>
      <c r="L755" s="320" t="str">
        <f t="shared" si="34"/>
        <v/>
      </c>
      <c r="T755" s="344"/>
      <c r="U755" s="345"/>
      <c r="V755" s="346"/>
    </row>
    <row r="756">
      <c r="A756" s="339"/>
      <c r="B756" s="313"/>
      <c r="C756" s="314"/>
      <c r="D756" s="315" t="str">
        <f t="shared" si="35"/>
        <v/>
      </c>
      <c r="E756" s="315" t="str">
        <f t="shared" si="36"/>
        <v/>
      </c>
      <c r="F756" s="316"/>
      <c r="G756" s="317"/>
      <c r="H756" s="318"/>
      <c r="I756" s="318"/>
      <c r="J756" s="318"/>
      <c r="K756" s="319">
        <f t="shared" si="39"/>
        <v>0</v>
      </c>
      <c r="L756" s="320" t="str">
        <f t="shared" si="34"/>
        <v/>
      </c>
      <c r="T756" s="344"/>
      <c r="U756" s="345"/>
      <c r="V756" s="346"/>
    </row>
    <row r="757">
      <c r="A757" s="339"/>
      <c r="B757" s="313"/>
      <c r="C757" s="314"/>
      <c r="D757" s="315" t="str">
        <f t="shared" si="35"/>
        <v/>
      </c>
      <c r="E757" s="315" t="str">
        <f t="shared" si="36"/>
        <v/>
      </c>
      <c r="F757" s="316"/>
      <c r="G757" s="317"/>
      <c r="H757" s="318"/>
      <c r="I757" s="318"/>
      <c r="J757" s="318"/>
      <c r="K757" s="319">
        <f t="shared" si="39"/>
        <v>0</v>
      </c>
      <c r="L757" s="320" t="str">
        <f t="shared" si="34"/>
        <v/>
      </c>
      <c r="T757" s="344"/>
      <c r="U757" s="345"/>
      <c r="V757" s="346"/>
    </row>
    <row r="758">
      <c r="A758" s="339"/>
      <c r="B758" s="313"/>
      <c r="C758" s="314"/>
      <c r="D758" s="315" t="str">
        <f t="shared" si="35"/>
        <v/>
      </c>
      <c r="E758" s="315" t="str">
        <f t="shared" si="36"/>
        <v/>
      </c>
      <c r="F758" s="316"/>
      <c r="G758" s="317"/>
      <c r="H758" s="318"/>
      <c r="I758" s="318"/>
      <c r="J758" s="318"/>
      <c r="K758" s="319">
        <f t="shared" si="39"/>
        <v>0</v>
      </c>
      <c r="L758" s="320" t="str">
        <f t="shared" si="34"/>
        <v/>
      </c>
      <c r="T758" s="344"/>
      <c r="U758" s="345"/>
      <c r="V758" s="346"/>
    </row>
    <row r="759">
      <c r="A759" s="339"/>
      <c r="B759" s="313"/>
      <c r="C759" s="314"/>
      <c r="D759" s="315" t="str">
        <f t="shared" si="35"/>
        <v/>
      </c>
      <c r="E759" s="315" t="str">
        <f t="shared" si="36"/>
        <v/>
      </c>
      <c r="F759" s="316"/>
      <c r="G759" s="317"/>
      <c r="H759" s="318"/>
      <c r="I759" s="318"/>
      <c r="J759" s="318"/>
      <c r="K759" s="319">
        <f t="shared" si="39"/>
        <v>0</v>
      </c>
      <c r="L759" s="320" t="str">
        <f t="shared" si="34"/>
        <v/>
      </c>
      <c r="T759" s="344"/>
      <c r="U759" s="345"/>
      <c r="V759" s="346"/>
    </row>
    <row r="760">
      <c r="A760" s="339"/>
      <c r="B760" s="313"/>
      <c r="C760" s="314"/>
      <c r="D760" s="315" t="str">
        <f t="shared" si="35"/>
        <v/>
      </c>
      <c r="E760" s="315" t="str">
        <f t="shared" si="36"/>
        <v/>
      </c>
      <c r="F760" s="316"/>
      <c r="G760" s="317"/>
      <c r="H760" s="318"/>
      <c r="I760" s="318"/>
      <c r="J760" s="318"/>
      <c r="K760" s="319">
        <f t="shared" si="39"/>
        <v>0</v>
      </c>
      <c r="L760" s="320" t="str">
        <f t="shared" si="34"/>
        <v/>
      </c>
      <c r="T760" s="344"/>
      <c r="U760" s="345"/>
      <c r="V760" s="346"/>
    </row>
    <row r="761">
      <c r="A761" s="339"/>
      <c r="B761" s="313"/>
      <c r="C761" s="314"/>
      <c r="D761" s="315" t="str">
        <f t="shared" si="35"/>
        <v/>
      </c>
      <c r="E761" s="315" t="str">
        <f t="shared" si="36"/>
        <v/>
      </c>
      <c r="F761" s="316"/>
      <c r="G761" s="317"/>
      <c r="H761" s="318"/>
      <c r="I761" s="318"/>
      <c r="J761" s="318"/>
      <c r="K761" s="319">
        <f t="shared" si="39"/>
        <v>0</v>
      </c>
      <c r="L761" s="320" t="str">
        <f t="shared" si="34"/>
        <v/>
      </c>
      <c r="T761" s="344"/>
      <c r="U761" s="345"/>
      <c r="V761" s="346"/>
    </row>
    <row r="762">
      <c r="A762" s="339"/>
      <c r="B762" s="313"/>
      <c r="C762" s="314"/>
      <c r="D762" s="315" t="str">
        <f t="shared" si="35"/>
        <v/>
      </c>
      <c r="E762" s="315" t="str">
        <f t="shared" si="36"/>
        <v/>
      </c>
      <c r="F762" s="318"/>
      <c r="G762" s="318"/>
      <c r="H762" s="318"/>
      <c r="I762" s="318"/>
      <c r="J762" s="318"/>
      <c r="K762" s="319">
        <f t="shared" si="39"/>
        <v>0</v>
      </c>
      <c r="L762" s="320" t="str">
        <f t="shared" si="34"/>
        <v/>
      </c>
      <c r="M762" s="239"/>
      <c r="T762" s="344"/>
      <c r="U762" s="345"/>
      <c r="V762" s="346"/>
    </row>
    <row r="763">
      <c r="A763" s="339"/>
      <c r="B763" s="313"/>
      <c r="C763" s="314"/>
      <c r="D763" s="315" t="str">
        <f t="shared" si="35"/>
        <v/>
      </c>
      <c r="E763" s="315" t="str">
        <f t="shared" si="36"/>
        <v/>
      </c>
      <c r="F763" s="316"/>
      <c r="G763" s="317"/>
      <c r="H763" s="318"/>
      <c r="I763" s="318"/>
      <c r="J763" s="318"/>
      <c r="K763" s="319">
        <f t="shared" si="39"/>
        <v>0</v>
      </c>
      <c r="L763" s="320" t="str">
        <f t="shared" si="34"/>
        <v/>
      </c>
      <c r="T763" s="344"/>
      <c r="U763" s="345"/>
      <c r="V763" s="346"/>
    </row>
    <row r="764">
      <c r="A764" s="339"/>
      <c r="B764" s="313"/>
      <c r="C764" s="314"/>
      <c r="D764" s="315" t="str">
        <f t="shared" si="35"/>
        <v/>
      </c>
      <c r="E764" s="315" t="str">
        <f t="shared" si="36"/>
        <v/>
      </c>
      <c r="F764" s="316"/>
      <c r="G764" s="317"/>
      <c r="H764" s="318"/>
      <c r="I764" s="318"/>
      <c r="J764" s="318"/>
      <c r="K764" s="319">
        <f t="shared" si="39"/>
        <v>0</v>
      </c>
      <c r="L764" s="320" t="str">
        <f t="shared" si="34"/>
        <v/>
      </c>
      <c r="T764" s="344"/>
      <c r="U764" s="345"/>
      <c r="V764" s="346"/>
    </row>
    <row r="765">
      <c r="A765" s="339"/>
      <c r="B765" s="313"/>
      <c r="C765" s="314"/>
      <c r="D765" s="315" t="str">
        <f t="shared" si="35"/>
        <v/>
      </c>
      <c r="E765" s="315" t="str">
        <f t="shared" si="36"/>
        <v/>
      </c>
      <c r="F765" s="316"/>
      <c r="G765" s="317"/>
      <c r="H765" s="318"/>
      <c r="I765" s="318"/>
      <c r="J765" s="318"/>
      <c r="K765" s="319">
        <f t="shared" si="39"/>
        <v>0</v>
      </c>
      <c r="L765" s="320" t="str">
        <f t="shared" si="34"/>
        <v/>
      </c>
      <c r="T765" s="344"/>
      <c r="U765" s="345"/>
      <c r="V765" s="346"/>
    </row>
    <row r="766">
      <c r="A766" s="339"/>
      <c r="B766" s="313"/>
      <c r="C766" s="314"/>
      <c r="D766" s="315" t="str">
        <f t="shared" si="35"/>
        <v/>
      </c>
      <c r="E766" s="315" t="str">
        <f t="shared" si="36"/>
        <v/>
      </c>
      <c r="F766" s="316"/>
      <c r="G766" s="317"/>
      <c r="H766" s="318"/>
      <c r="I766" s="318"/>
      <c r="J766" s="318"/>
      <c r="K766" s="319">
        <f t="shared" si="39"/>
        <v>0</v>
      </c>
      <c r="L766" s="320" t="str">
        <f t="shared" si="34"/>
        <v/>
      </c>
      <c r="T766" s="344"/>
      <c r="U766" s="345"/>
      <c r="V766" s="346"/>
    </row>
    <row r="767">
      <c r="A767" s="339"/>
      <c r="B767" s="313"/>
      <c r="C767" s="314"/>
      <c r="D767" s="315" t="str">
        <f t="shared" si="35"/>
        <v/>
      </c>
      <c r="E767" s="315" t="str">
        <f t="shared" si="36"/>
        <v/>
      </c>
      <c r="F767" s="316"/>
      <c r="G767" s="316"/>
      <c r="H767" s="318"/>
      <c r="I767" s="318"/>
      <c r="J767" s="318"/>
      <c r="K767" s="319">
        <f t="shared" si="39"/>
        <v>0</v>
      </c>
      <c r="L767" s="320" t="str">
        <f t="shared" si="34"/>
        <v/>
      </c>
      <c r="M767" s="239"/>
      <c r="T767" s="344"/>
      <c r="U767" s="345"/>
      <c r="V767" s="346"/>
    </row>
    <row r="768">
      <c r="A768" s="339"/>
      <c r="B768" s="313"/>
      <c r="C768" s="314"/>
      <c r="D768" s="315" t="str">
        <f t="shared" si="35"/>
        <v/>
      </c>
      <c r="E768" s="315" t="str">
        <f t="shared" si="36"/>
        <v/>
      </c>
      <c r="F768" s="316"/>
      <c r="G768" s="317"/>
      <c r="H768" s="318"/>
      <c r="I768" s="318"/>
      <c r="J768" s="318"/>
      <c r="K768" s="319">
        <f t="shared" si="39"/>
        <v>0</v>
      </c>
      <c r="L768" s="320" t="str">
        <f t="shared" si="34"/>
        <v/>
      </c>
      <c r="T768" s="344"/>
      <c r="U768" s="345"/>
      <c r="V768" s="346"/>
    </row>
    <row r="769">
      <c r="A769" s="339"/>
      <c r="B769" s="313"/>
      <c r="C769" s="314"/>
      <c r="D769" s="315" t="str">
        <f t="shared" si="35"/>
        <v/>
      </c>
      <c r="E769" s="315" t="str">
        <f t="shared" si="36"/>
        <v/>
      </c>
      <c r="F769" s="316"/>
      <c r="G769" s="317"/>
      <c r="H769" s="318"/>
      <c r="I769" s="318"/>
      <c r="J769" s="318"/>
      <c r="K769" s="319">
        <f t="shared" si="39"/>
        <v>0</v>
      </c>
      <c r="L769" s="320" t="str">
        <f t="shared" si="34"/>
        <v/>
      </c>
      <c r="T769" s="344"/>
      <c r="U769" s="345"/>
      <c r="V769" s="346"/>
    </row>
    <row r="770">
      <c r="A770" s="339"/>
      <c r="B770" s="313"/>
      <c r="C770" s="314"/>
      <c r="D770" s="315" t="str">
        <f t="shared" si="35"/>
        <v/>
      </c>
      <c r="E770" s="315" t="str">
        <f t="shared" si="36"/>
        <v/>
      </c>
      <c r="F770" s="316"/>
      <c r="G770" s="317"/>
      <c r="H770" s="318"/>
      <c r="I770" s="318"/>
      <c r="J770" s="318"/>
      <c r="K770" s="319">
        <f t="shared" si="39"/>
        <v>0</v>
      </c>
      <c r="L770" s="320" t="str">
        <f t="shared" si="34"/>
        <v/>
      </c>
      <c r="T770" s="344"/>
      <c r="U770" s="345"/>
      <c r="V770" s="346"/>
    </row>
    <row r="771">
      <c r="A771" s="339"/>
      <c r="B771" s="313"/>
      <c r="C771" s="314"/>
      <c r="D771" s="315" t="str">
        <f t="shared" si="35"/>
        <v/>
      </c>
      <c r="E771" s="315" t="str">
        <f t="shared" si="36"/>
        <v/>
      </c>
      <c r="F771" s="316"/>
      <c r="G771" s="317"/>
      <c r="H771" s="318"/>
      <c r="I771" s="318"/>
      <c r="J771" s="318"/>
      <c r="K771" s="319">
        <f t="shared" si="39"/>
        <v>0</v>
      </c>
      <c r="L771" s="320" t="str">
        <f t="shared" si="34"/>
        <v/>
      </c>
      <c r="T771" s="344"/>
      <c r="U771" s="345"/>
      <c r="V771" s="346"/>
    </row>
    <row r="772">
      <c r="A772" s="339"/>
      <c r="B772" s="313"/>
      <c r="C772" s="314"/>
      <c r="D772" s="315" t="str">
        <f t="shared" si="35"/>
        <v/>
      </c>
      <c r="E772" s="315" t="str">
        <f t="shared" si="36"/>
        <v/>
      </c>
      <c r="F772" s="316"/>
      <c r="G772" s="317"/>
      <c r="H772" s="318"/>
      <c r="I772" s="318"/>
      <c r="J772" s="318"/>
      <c r="K772" s="319">
        <f t="shared" si="39"/>
        <v>0</v>
      </c>
      <c r="L772" s="320" t="str">
        <f t="shared" si="34"/>
        <v/>
      </c>
      <c r="T772" s="344"/>
      <c r="U772" s="345"/>
      <c r="V772" s="346"/>
    </row>
    <row r="773">
      <c r="A773" s="339"/>
      <c r="B773" s="313"/>
      <c r="C773" s="314"/>
      <c r="D773" s="315" t="str">
        <f t="shared" si="35"/>
        <v/>
      </c>
      <c r="E773" s="315" t="str">
        <f t="shared" si="36"/>
        <v/>
      </c>
      <c r="F773" s="316"/>
      <c r="G773" s="317"/>
      <c r="H773" s="318"/>
      <c r="I773" s="318"/>
      <c r="J773" s="318"/>
      <c r="K773" s="319">
        <f t="shared" si="39"/>
        <v>0</v>
      </c>
      <c r="L773" s="320" t="str">
        <f t="shared" si="34"/>
        <v/>
      </c>
      <c r="T773" s="344"/>
      <c r="U773" s="345"/>
      <c r="V773" s="346"/>
    </row>
    <row r="774">
      <c r="A774" s="339"/>
      <c r="B774" s="313"/>
      <c r="C774" s="314"/>
      <c r="D774" s="315" t="str">
        <f t="shared" si="35"/>
        <v/>
      </c>
      <c r="E774" s="315" t="str">
        <f t="shared" si="36"/>
        <v/>
      </c>
      <c r="F774" s="316"/>
      <c r="G774" s="317"/>
      <c r="H774" s="318"/>
      <c r="I774" s="318"/>
      <c r="J774" s="318"/>
      <c r="K774" s="319">
        <f t="shared" si="39"/>
        <v>0</v>
      </c>
      <c r="L774" s="320" t="str">
        <f t="shared" si="34"/>
        <v/>
      </c>
      <c r="T774" s="344"/>
      <c r="U774" s="345"/>
      <c r="V774" s="346"/>
    </row>
    <row r="775">
      <c r="A775" s="339"/>
      <c r="B775" s="313"/>
      <c r="C775" s="314"/>
      <c r="D775" s="315" t="str">
        <f t="shared" si="35"/>
        <v/>
      </c>
      <c r="E775" s="315" t="str">
        <f t="shared" si="36"/>
        <v/>
      </c>
      <c r="F775" s="316"/>
      <c r="G775" s="316"/>
      <c r="H775" s="316"/>
      <c r="I775" s="316"/>
      <c r="J775" s="316"/>
      <c r="K775" s="319">
        <f t="shared" si="39"/>
        <v>0</v>
      </c>
      <c r="L775" s="320" t="str">
        <f t="shared" si="34"/>
        <v/>
      </c>
      <c r="M775" s="239"/>
      <c r="N775" s="239"/>
      <c r="T775" s="344"/>
      <c r="U775" s="345"/>
      <c r="V775" s="346"/>
    </row>
    <row r="776">
      <c r="A776" s="339"/>
      <c r="B776" s="313"/>
      <c r="C776" s="314"/>
      <c r="D776" s="315" t="str">
        <f t="shared" si="35"/>
        <v/>
      </c>
      <c r="E776" s="315" t="str">
        <f t="shared" si="36"/>
        <v/>
      </c>
      <c r="F776" s="318"/>
      <c r="G776" s="318"/>
      <c r="H776" s="318"/>
      <c r="I776" s="318"/>
      <c r="J776" s="318"/>
      <c r="K776" s="319">
        <f t="shared" si="39"/>
        <v>0</v>
      </c>
      <c r="L776" s="320" t="str">
        <f t="shared" si="34"/>
        <v/>
      </c>
      <c r="M776" s="239"/>
      <c r="T776" s="344"/>
      <c r="U776" s="345"/>
      <c r="V776" s="346"/>
    </row>
    <row r="777">
      <c r="A777" s="339"/>
      <c r="B777" s="313"/>
      <c r="C777" s="314"/>
      <c r="D777" s="315" t="str">
        <f t="shared" si="35"/>
        <v/>
      </c>
      <c r="E777" s="315" t="str">
        <f t="shared" si="36"/>
        <v/>
      </c>
      <c r="F777" s="316"/>
      <c r="G777" s="317"/>
      <c r="H777" s="318"/>
      <c r="I777" s="318"/>
      <c r="J777" s="318"/>
      <c r="K777" s="319">
        <f t="shared" si="39"/>
        <v>0</v>
      </c>
      <c r="L777" s="320" t="str">
        <f t="shared" si="34"/>
        <v/>
      </c>
      <c r="T777" s="344"/>
      <c r="U777" s="345"/>
      <c r="V777" s="346"/>
    </row>
    <row r="778">
      <c r="A778" s="339"/>
      <c r="B778" s="313"/>
      <c r="C778" s="314"/>
      <c r="D778" s="315" t="str">
        <f t="shared" si="35"/>
        <v/>
      </c>
      <c r="E778" s="315" t="str">
        <f t="shared" si="36"/>
        <v/>
      </c>
      <c r="F778" s="316"/>
      <c r="G778" s="317"/>
      <c r="H778" s="318"/>
      <c r="I778" s="318"/>
      <c r="J778" s="318"/>
      <c r="K778" s="319">
        <f t="shared" si="39"/>
        <v>0</v>
      </c>
      <c r="L778" s="320" t="str">
        <f t="shared" si="34"/>
        <v/>
      </c>
      <c r="T778" s="344"/>
      <c r="U778" s="345"/>
      <c r="V778" s="346"/>
    </row>
    <row r="779">
      <c r="A779" s="339"/>
      <c r="B779" s="313"/>
      <c r="C779" s="314"/>
      <c r="D779" s="315" t="str">
        <f t="shared" si="35"/>
        <v/>
      </c>
      <c r="E779" s="315" t="str">
        <f t="shared" si="36"/>
        <v/>
      </c>
      <c r="F779" s="316"/>
      <c r="G779" s="317"/>
      <c r="H779" s="318"/>
      <c r="I779" s="318"/>
      <c r="J779" s="318"/>
      <c r="K779" s="319">
        <f t="shared" si="39"/>
        <v>0</v>
      </c>
      <c r="L779" s="320" t="str">
        <f t="shared" si="34"/>
        <v/>
      </c>
      <c r="T779" s="344"/>
      <c r="U779" s="345"/>
      <c r="V779" s="346"/>
    </row>
    <row r="780">
      <c r="A780" s="339"/>
      <c r="B780" s="313"/>
      <c r="C780" s="314"/>
      <c r="D780" s="315" t="str">
        <f t="shared" si="35"/>
        <v/>
      </c>
      <c r="E780" s="315" t="str">
        <f t="shared" si="36"/>
        <v/>
      </c>
      <c r="F780" s="316"/>
      <c r="G780" s="317"/>
      <c r="H780" s="318"/>
      <c r="I780" s="318"/>
      <c r="J780" s="318"/>
      <c r="K780" s="319">
        <f t="shared" si="39"/>
        <v>0</v>
      </c>
      <c r="L780" s="320" t="str">
        <f t="shared" si="34"/>
        <v/>
      </c>
      <c r="T780" s="344"/>
      <c r="U780" s="345"/>
      <c r="V780" s="346"/>
    </row>
    <row r="781">
      <c r="A781" s="339"/>
      <c r="B781" s="313"/>
      <c r="C781" s="314"/>
      <c r="D781" s="315" t="str">
        <f t="shared" si="35"/>
        <v/>
      </c>
      <c r="E781" s="315" t="str">
        <f t="shared" si="36"/>
        <v/>
      </c>
      <c r="F781" s="318"/>
      <c r="G781" s="318"/>
      <c r="H781" s="318"/>
      <c r="I781" s="318"/>
      <c r="J781" s="318"/>
      <c r="K781" s="319">
        <f t="shared" si="39"/>
        <v>0</v>
      </c>
      <c r="L781" s="320" t="str">
        <f t="shared" si="34"/>
        <v/>
      </c>
      <c r="M781" s="239"/>
      <c r="T781" s="344"/>
      <c r="U781" s="345"/>
      <c r="V781" s="346"/>
    </row>
    <row r="782">
      <c r="A782" s="339"/>
      <c r="B782" s="313"/>
      <c r="C782" s="314"/>
      <c r="D782" s="315" t="str">
        <f t="shared" si="35"/>
        <v/>
      </c>
      <c r="E782" s="315" t="str">
        <f t="shared" si="36"/>
        <v/>
      </c>
      <c r="F782" s="316"/>
      <c r="G782" s="317"/>
      <c r="H782" s="318"/>
      <c r="I782" s="318"/>
      <c r="J782" s="318"/>
      <c r="K782" s="319">
        <f t="shared" si="39"/>
        <v>0</v>
      </c>
      <c r="L782" s="320" t="str">
        <f t="shared" si="34"/>
        <v/>
      </c>
      <c r="T782" s="344"/>
      <c r="U782" s="345"/>
      <c r="V782" s="346"/>
    </row>
    <row r="783">
      <c r="A783" s="339"/>
      <c r="B783" s="313"/>
      <c r="C783" s="314"/>
      <c r="D783" s="315" t="str">
        <f t="shared" si="35"/>
        <v/>
      </c>
      <c r="E783" s="315" t="str">
        <f t="shared" si="36"/>
        <v/>
      </c>
      <c r="F783" s="316"/>
      <c r="G783" s="317"/>
      <c r="H783" s="318"/>
      <c r="I783" s="318"/>
      <c r="J783" s="318"/>
      <c r="K783" s="319">
        <f t="shared" si="39"/>
        <v>0</v>
      </c>
      <c r="L783" s="320" t="str">
        <f t="shared" si="34"/>
        <v/>
      </c>
      <c r="T783" s="344"/>
      <c r="U783" s="345"/>
      <c r="V783" s="346"/>
    </row>
    <row r="784">
      <c r="A784" s="339"/>
      <c r="B784" s="313"/>
      <c r="C784" s="314"/>
      <c r="D784" s="315" t="str">
        <f t="shared" si="35"/>
        <v/>
      </c>
      <c r="E784" s="315" t="str">
        <f t="shared" si="36"/>
        <v/>
      </c>
      <c r="F784" s="316"/>
      <c r="G784" s="317"/>
      <c r="H784" s="318"/>
      <c r="I784" s="318"/>
      <c r="J784" s="318"/>
      <c r="K784" s="319">
        <f t="shared" si="39"/>
        <v>0</v>
      </c>
      <c r="L784" s="320" t="str">
        <f t="shared" si="34"/>
        <v/>
      </c>
      <c r="T784" s="344"/>
      <c r="U784" s="345"/>
      <c r="V784" s="346"/>
    </row>
    <row r="785">
      <c r="A785" s="339"/>
      <c r="B785" s="313"/>
      <c r="C785" s="314"/>
      <c r="D785" s="315" t="str">
        <f t="shared" si="35"/>
        <v/>
      </c>
      <c r="E785" s="315" t="str">
        <f t="shared" si="36"/>
        <v/>
      </c>
      <c r="F785" s="316"/>
      <c r="G785" s="317"/>
      <c r="H785" s="318"/>
      <c r="I785" s="318"/>
      <c r="J785" s="318"/>
      <c r="K785" s="319">
        <f t="shared" si="39"/>
        <v>0</v>
      </c>
      <c r="L785" s="320" t="str">
        <f t="shared" si="34"/>
        <v/>
      </c>
      <c r="T785" s="344"/>
      <c r="U785" s="345"/>
      <c r="V785" s="346"/>
    </row>
    <row r="786">
      <c r="A786" s="339"/>
      <c r="B786" s="313"/>
      <c r="C786" s="314"/>
      <c r="D786" s="315" t="str">
        <f t="shared" si="35"/>
        <v/>
      </c>
      <c r="E786" s="315" t="str">
        <f t="shared" si="36"/>
        <v/>
      </c>
      <c r="F786" s="318"/>
      <c r="G786" s="318"/>
      <c r="H786" s="318"/>
      <c r="I786" s="318"/>
      <c r="J786" s="318"/>
      <c r="K786" s="319">
        <f t="shared" si="39"/>
        <v>0</v>
      </c>
      <c r="L786" s="320" t="str">
        <f t="shared" si="34"/>
        <v/>
      </c>
      <c r="M786" s="239"/>
      <c r="T786" s="344"/>
      <c r="U786" s="345"/>
      <c r="V786" s="346"/>
    </row>
    <row r="787">
      <c r="A787" s="339"/>
      <c r="B787" s="313"/>
      <c r="C787" s="314"/>
      <c r="D787" s="315" t="str">
        <f t="shared" si="35"/>
        <v/>
      </c>
      <c r="E787" s="315" t="str">
        <f t="shared" si="36"/>
        <v/>
      </c>
      <c r="F787" s="316"/>
      <c r="G787" s="317"/>
      <c r="H787" s="318"/>
      <c r="I787" s="318"/>
      <c r="J787" s="318"/>
      <c r="K787" s="319">
        <f t="shared" si="39"/>
        <v>0</v>
      </c>
      <c r="L787" s="320" t="str">
        <f t="shared" si="34"/>
        <v/>
      </c>
      <c r="T787" s="344"/>
      <c r="U787" s="345"/>
      <c r="V787" s="346"/>
    </row>
    <row r="788">
      <c r="A788" s="339"/>
      <c r="B788" s="313"/>
      <c r="C788" s="314"/>
      <c r="D788" s="315" t="str">
        <f t="shared" si="35"/>
        <v/>
      </c>
      <c r="E788" s="315" t="str">
        <f t="shared" si="36"/>
        <v/>
      </c>
      <c r="F788" s="316"/>
      <c r="G788" s="317"/>
      <c r="H788" s="318"/>
      <c r="I788" s="318"/>
      <c r="J788" s="318"/>
      <c r="K788" s="319">
        <f t="shared" si="39"/>
        <v>0</v>
      </c>
      <c r="L788" s="320" t="str">
        <f t="shared" si="34"/>
        <v/>
      </c>
      <c r="T788" s="344"/>
      <c r="U788" s="345"/>
      <c r="V788" s="346"/>
    </row>
    <row r="789">
      <c r="A789" s="339"/>
      <c r="B789" s="313"/>
      <c r="C789" s="314"/>
      <c r="D789" s="315" t="str">
        <f t="shared" si="35"/>
        <v/>
      </c>
      <c r="E789" s="315" t="str">
        <f t="shared" si="36"/>
        <v/>
      </c>
      <c r="F789" s="316"/>
      <c r="G789" s="317"/>
      <c r="H789" s="318"/>
      <c r="I789" s="318"/>
      <c r="J789" s="318"/>
      <c r="K789" s="319">
        <f t="shared" si="39"/>
        <v>0</v>
      </c>
      <c r="L789" s="320" t="str">
        <f t="shared" si="34"/>
        <v/>
      </c>
      <c r="T789" s="344"/>
      <c r="U789" s="345"/>
      <c r="V789" s="346"/>
    </row>
    <row r="790">
      <c r="A790" s="339"/>
      <c r="B790" s="313"/>
      <c r="C790" s="314"/>
      <c r="D790" s="315" t="str">
        <f t="shared" si="35"/>
        <v/>
      </c>
      <c r="E790" s="315" t="str">
        <f t="shared" si="36"/>
        <v/>
      </c>
      <c r="F790" s="316"/>
      <c r="G790" s="317"/>
      <c r="H790" s="318"/>
      <c r="I790" s="318"/>
      <c r="J790" s="318"/>
      <c r="K790" s="319">
        <f t="shared" si="39"/>
        <v>0</v>
      </c>
      <c r="L790" s="320" t="str">
        <f t="shared" si="34"/>
        <v/>
      </c>
      <c r="T790" s="344"/>
      <c r="U790" s="345"/>
      <c r="V790" s="346"/>
    </row>
    <row r="791">
      <c r="A791" s="339"/>
      <c r="B791" s="313"/>
      <c r="C791" s="314"/>
      <c r="D791" s="315" t="str">
        <f t="shared" si="35"/>
        <v/>
      </c>
      <c r="E791" s="315" t="str">
        <f t="shared" si="36"/>
        <v/>
      </c>
      <c r="F791" s="316"/>
      <c r="G791" s="317"/>
      <c r="H791" s="318"/>
      <c r="I791" s="318"/>
      <c r="J791" s="318"/>
      <c r="K791" s="319">
        <f t="shared" si="39"/>
        <v>0</v>
      </c>
      <c r="L791" s="320" t="str">
        <f t="shared" si="34"/>
        <v/>
      </c>
      <c r="T791" s="344"/>
      <c r="U791" s="345"/>
      <c r="V791" s="346"/>
    </row>
    <row r="792">
      <c r="A792" s="339"/>
      <c r="B792" s="313"/>
      <c r="C792" s="314"/>
      <c r="D792" s="315" t="str">
        <f t="shared" si="35"/>
        <v/>
      </c>
      <c r="E792" s="315" t="str">
        <f t="shared" si="36"/>
        <v/>
      </c>
      <c r="F792" s="316"/>
      <c r="G792" s="317"/>
      <c r="H792" s="318"/>
      <c r="I792" s="318"/>
      <c r="J792" s="318"/>
      <c r="K792" s="319">
        <f t="shared" si="39"/>
        <v>0</v>
      </c>
      <c r="L792" s="320" t="str">
        <f t="shared" si="34"/>
        <v/>
      </c>
      <c r="T792" s="344"/>
      <c r="U792" s="345"/>
      <c r="V792" s="346"/>
    </row>
    <row r="793">
      <c r="A793" s="339"/>
      <c r="B793" s="313"/>
      <c r="C793" s="314"/>
      <c r="D793" s="315" t="str">
        <f t="shared" si="35"/>
        <v/>
      </c>
      <c r="E793" s="315" t="str">
        <f t="shared" si="36"/>
        <v/>
      </c>
      <c r="F793" s="316"/>
      <c r="G793" s="317"/>
      <c r="H793" s="318"/>
      <c r="I793" s="318"/>
      <c r="J793" s="318"/>
      <c r="K793" s="319">
        <f t="shared" si="39"/>
        <v>0</v>
      </c>
      <c r="L793" s="320" t="str">
        <f t="shared" si="34"/>
        <v/>
      </c>
      <c r="T793" s="344"/>
      <c r="U793" s="345"/>
      <c r="V793" s="346"/>
    </row>
    <row r="794">
      <c r="A794" s="339"/>
      <c r="B794" s="313"/>
      <c r="C794" s="314"/>
      <c r="D794" s="315" t="str">
        <f t="shared" si="35"/>
        <v/>
      </c>
      <c r="E794" s="315" t="str">
        <f t="shared" si="36"/>
        <v/>
      </c>
      <c r="F794" s="316"/>
      <c r="G794" s="317"/>
      <c r="H794" s="318"/>
      <c r="I794" s="318"/>
      <c r="J794" s="318"/>
      <c r="K794" s="319">
        <f t="shared" si="39"/>
        <v>0</v>
      </c>
      <c r="L794" s="320" t="str">
        <f t="shared" si="34"/>
        <v/>
      </c>
      <c r="T794" s="344"/>
      <c r="U794" s="345"/>
      <c r="V794" s="346"/>
    </row>
    <row r="795">
      <c r="A795" s="339"/>
      <c r="B795" s="313"/>
      <c r="C795" s="314"/>
      <c r="D795" s="315" t="str">
        <f t="shared" si="35"/>
        <v/>
      </c>
      <c r="E795" s="315" t="str">
        <f t="shared" si="36"/>
        <v/>
      </c>
      <c r="F795" s="316"/>
      <c r="G795" s="317"/>
      <c r="H795" s="318"/>
      <c r="I795" s="318"/>
      <c r="J795" s="318"/>
      <c r="K795" s="319">
        <f t="shared" si="39"/>
        <v>0</v>
      </c>
      <c r="L795" s="320" t="str">
        <f t="shared" si="34"/>
        <v/>
      </c>
      <c r="T795" s="344"/>
      <c r="U795" s="345"/>
      <c r="V795" s="346"/>
    </row>
    <row r="796">
      <c r="A796" s="339"/>
      <c r="B796" s="313"/>
      <c r="C796" s="314"/>
      <c r="D796" s="315" t="str">
        <f t="shared" si="35"/>
        <v/>
      </c>
      <c r="E796" s="315" t="str">
        <f t="shared" si="36"/>
        <v/>
      </c>
      <c r="F796" s="316"/>
      <c r="G796" s="317"/>
      <c r="H796" s="318"/>
      <c r="I796" s="318"/>
      <c r="J796" s="318"/>
      <c r="K796" s="319">
        <f t="shared" si="39"/>
        <v>0</v>
      </c>
      <c r="L796" s="320" t="str">
        <f t="shared" si="34"/>
        <v/>
      </c>
      <c r="T796" s="344"/>
      <c r="U796" s="345"/>
      <c r="V796" s="346"/>
    </row>
    <row r="797">
      <c r="A797" s="339"/>
      <c r="B797" s="313"/>
      <c r="C797" s="314"/>
      <c r="D797" s="315" t="str">
        <f t="shared" si="35"/>
        <v/>
      </c>
      <c r="E797" s="315" t="str">
        <f t="shared" si="36"/>
        <v/>
      </c>
      <c r="F797" s="316"/>
      <c r="G797" s="317"/>
      <c r="H797" s="318"/>
      <c r="I797" s="318"/>
      <c r="J797" s="318"/>
      <c r="K797" s="319">
        <f t="shared" si="39"/>
        <v>0</v>
      </c>
      <c r="L797" s="320" t="str">
        <f t="shared" si="34"/>
        <v/>
      </c>
      <c r="T797" s="344"/>
      <c r="U797" s="345"/>
      <c r="V797" s="346"/>
    </row>
    <row r="798">
      <c r="A798" s="339"/>
      <c r="B798" s="313"/>
      <c r="C798" s="314"/>
      <c r="D798" s="315" t="str">
        <f t="shared" si="35"/>
        <v/>
      </c>
      <c r="E798" s="315" t="str">
        <f t="shared" si="36"/>
        <v/>
      </c>
      <c r="F798" s="316"/>
      <c r="G798" s="317"/>
      <c r="H798" s="318"/>
      <c r="I798" s="318"/>
      <c r="J798" s="318"/>
      <c r="K798" s="319">
        <f t="shared" si="39"/>
        <v>0</v>
      </c>
      <c r="L798" s="320" t="str">
        <f t="shared" si="34"/>
        <v/>
      </c>
      <c r="T798" s="344"/>
      <c r="U798" s="345"/>
      <c r="V798" s="346"/>
    </row>
    <row r="799">
      <c r="A799" s="339"/>
      <c r="B799" s="313"/>
      <c r="C799" s="314"/>
      <c r="D799" s="315" t="str">
        <f t="shared" si="35"/>
        <v/>
      </c>
      <c r="E799" s="315" t="str">
        <f t="shared" si="36"/>
        <v/>
      </c>
      <c r="F799" s="316"/>
      <c r="G799" s="317"/>
      <c r="H799" s="318"/>
      <c r="I799" s="318"/>
      <c r="J799" s="318"/>
      <c r="K799" s="319">
        <f t="shared" si="39"/>
        <v>0</v>
      </c>
      <c r="L799" s="320" t="str">
        <f t="shared" si="34"/>
        <v/>
      </c>
      <c r="T799" s="344"/>
      <c r="U799" s="345"/>
      <c r="V799" s="346"/>
    </row>
    <row r="800">
      <c r="A800" s="339"/>
      <c r="B800" s="313"/>
      <c r="C800" s="314"/>
      <c r="D800" s="315" t="str">
        <f t="shared" si="35"/>
        <v/>
      </c>
      <c r="E800" s="315" t="str">
        <f t="shared" si="36"/>
        <v/>
      </c>
      <c r="F800" s="316"/>
      <c r="G800" s="317"/>
      <c r="H800" s="318"/>
      <c r="I800" s="318"/>
      <c r="J800" s="318"/>
      <c r="K800" s="319">
        <f t="shared" si="39"/>
        <v>0</v>
      </c>
      <c r="L800" s="320" t="str">
        <f t="shared" si="34"/>
        <v/>
      </c>
      <c r="T800" s="344"/>
      <c r="U800" s="345"/>
      <c r="V800" s="346"/>
    </row>
    <row r="801">
      <c r="A801" s="339"/>
      <c r="B801" s="313"/>
      <c r="C801" s="314"/>
      <c r="D801" s="315" t="str">
        <f t="shared" si="35"/>
        <v/>
      </c>
      <c r="E801" s="315" t="str">
        <f t="shared" si="36"/>
        <v/>
      </c>
      <c r="F801" s="316"/>
      <c r="G801" s="317"/>
      <c r="H801" s="318"/>
      <c r="I801" s="318"/>
      <c r="J801" s="318"/>
      <c r="K801" s="319">
        <f t="shared" si="39"/>
        <v>0</v>
      </c>
      <c r="L801" s="320" t="str">
        <f t="shared" si="34"/>
        <v/>
      </c>
      <c r="T801" s="344"/>
      <c r="U801" s="345"/>
      <c r="V801" s="346"/>
    </row>
    <row r="802">
      <c r="A802" s="339"/>
      <c r="B802" s="313"/>
      <c r="C802" s="314"/>
      <c r="D802" s="315" t="str">
        <f t="shared" si="35"/>
        <v/>
      </c>
      <c r="E802" s="315" t="str">
        <f t="shared" si="36"/>
        <v/>
      </c>
      <c r="F802" s="316"/>
      <c r="G802" s="317"/>
      <c r="H802" s="318"/>
      <c r="I802" s="318"/>
      <c r="J802" s="318"/>
      <c r="K802" s="319">
        <f t="shared" si="39"/>
        <v>0</v>
      </c>
      <c r="L802" s="320" t="str">
        <f t="shared" si="34"/>
        <v/>
      </c>
      <c r="T802" s="344"/>
      <c r="U802" s="345"/>
      <c r="V802" s="346"/>
    </row>
    <row r="803">
      <c r="A803" s="339"/>
      <c r="B803" s="313"/>
      <c r="C803" s="314"/>
      <c r="D803" s="315" t="str">
        <f t="shared" si="35"/>
        <v/>
      </c>
      <c r="E803" s="315" t="str">
        <f t="shared" si="36"/>
        <v/>
      </c>
      <c r="F803" s="316"/>
      <c r="G803" s="317"/>
      <c r="H803" s="318"/>
      <c r="I803" s="318"/>
      <c r="J803" s="318"/>
      <c r="K803" s="319">
        <f t="shared" si="39"/>
        <v>0</v>
      </c>
      <c r="L803" s="320" t="str">
        <f t="shared" si="34"/>
        <v/>
      </c>
      <c r="T803" s="344"/>
      <c r="U803" s="345"/>
      <c r="V803" s="346"/>
    </row>
    <row r="804">
      <c r="A804" s="339"/>
      <c r="B804" s="313"/>
      <c r="C804" s="314"/>
      <c r="D804" s="315" t="str">
        <f t="shared" si="35"/>
        <v/>
      </c>
      <c r="E804" s="315" t="str">
        <f t="shared" si="36"/>
        <v/>
      </c>
      <c r="F804" s="316"/>
      <c r="G804" s="317"/>
      <c r="H804" s="318"/>
      <c r="I804" s="318"/>
      <c r="J804" s="318"/>
      <c r="K804" s="319">
        <f t="shared" si="39"/>
        <v>0</v>
      </c>
      <c r="L804" s="320" t="str">
        <f t="shared" si="34"/>
        <v/>
      </c>
      <c r="T804" s="344"/>
      <c r="U804" s="345"/>
      <c r="V804" s="346"/>
    </row>
    <row r="805">
      <c r="A805" s="339"/>
      <c r="B805" s="313"/>
      <c r="C805" s="314"/>
      <c r="D805" s="315" t="str">
        <f t="shared" si="35"/>
        <v/>
      </c>
      <c r="E805" s="315" t="str">
        <f t="shared" si="36"/>
        <v/>
      </c>
      <c r="F805" s="316"/>
      <c r="G805" s="317"/>
      <c r="H805" s="318"/>
      <c r="I805" s="318"/>
      <c r="J805" s="318"/>
      <c r="K805" s="319">
        <f t="shared" si="39"/>
        <v>0</v>
      </c>
      <c r="L805" s="320" t="str">
        <f t="shared" si="34"/>
        <v/>
      </c>
      <c r="T805" s="344"/>
      <c r="U805" s="345"/>
      <c r="V805" s="346"/>
    </row>
    <row r="806">
      <c r="A806" s="339"/>
      <c r="B806" s="313"/>
      <c r="C806" s="314"/>
      <c r="D806" s="315" t="str">
        <f t="shared" si="35"/>
        <v/>
      </c>
      <c r="E806" s="315" t="str">
        <f t="shared" si="36"/>
        <v/>
      </c>
      <c r="F806" s="316"/>
      <c r="G806" s="317"/>
      <c r="H806" s="318"/>
      <c r="I806" s="318"/>
      <c r="J806" s="318"/>
      <c r="K806" s="319">
        <f t="shared" si="39"/>
        <v>0</v>
      </c>
      <c r="L806" s="320" t="str">
        <f t="shared" si="34"/>
        <v/>
      </c>
      <c r="T806" s="344"/>
      <c r="U806" s="345"/>
      <c r="V806" s="346"/>
    </row>
    <row r="807">
      <c r="A807" s="339"/>
      <c r="B807" s="313"/>
      <c r="C807" s="314"/>
      <c r="D807" s="315" t="str">
        <f t="shared" si="35"/>
        <v/>
      </c>
      <c r="E807" s="315" t="str">
        <f t="shared" si="36"/>
        <v/>
      </c>
      <c r="F807" s="316"/>
      <c r="G807" s="317"/>
      <c r="H807" s="318"/>
      <c r="I807" s="318"/>
      <c r="J807" s="318"/>
      <c r="K807" s="319">
        <f t="shared" si="39"/>
        <v>0</v>
      </c>
      <c r="L807" s="320" t="str">
        <f t="shared" si="34"/>
        <v/>
      </c>
      <c r="T807" s="344"/>
      <c r="U807" s="345"/>
      <c r="V807" s="346"/>
    </row>
    <row r="808">
      <c r="A808" s="339"/>
      <c r="B808" s="313"/>
      <c r="C808" s="314"/>
      <c r="D808" s="315" t="str">
        <f t="shared" si="35"/>
        <v/>
      </c>
      <c r="E808" s="315" t="str">
        <f t="shared" si="36"/>
        <v/>
      </c>
      <c r="F808" s="316"/>
      <c r="G808" s="317"/>
      <c r="H808" s="318"/>
      <c r="I808" s="318"/>
      <c r="J808" s="318"/>
      <c r="K808" s="319">
        <f t="shared" si="39"/>
        <v>0</v>
      </c>
      <c r="L808" s="320" t="str">
        <f t="shared" si="34"/>
        <v/>
      </c>
      <c r="T808" s="344"/>
      <c r="U808" s="345"/>
      <c r="V808" s="346"/>
    </row>
    <row r="809">
      <c r="A809" s="339"/>
      <c r="B809" s="313"/>
      <c r="C809" s="314"/>
      <c r="D809" s="315" t="str">
        <f t="shared" si="35"/>
        <v/>
      </c>
      <c r="E809" s="315" t="str">
        <f t="shared" si="36"/>
        <v/>
      </c>
      <c r="F809" s="316"/>
      <c r="G809" s="317"/>
      <c r="H809" s="318"/>
      <c r="I809" s="318"/>
      <c r="J809" s="318"/>
      <c r="K809" s="319">
        <f t="shared" si="39"/>
        <v>0</v>
      </c>
      <c r="L809" s="320" t="str">
        <f t="shared" si="34"/>
        <v/>
      </c>
      <c r="T809" s="344"/>
      <c r="U809" s="345"/>
      <c r="V809" s="346"/>
    </row>
    <row r="810">
      <c r="A810" s="339"/>
      <c r="B810" s="313"/>
      <c r="C810" s="314"/>
      <c r="D810" s="315" t="str">
        <f t="shared" si="35"/>
        <v/>
      </c>
      <c r="E810" s="315" t="str">
        <f t="shared" si="36"/>
        <v/>
      </c>
      <c r="F810" s="316"/>
      <c r="G810" s="317"/>
      <c r="H810" s="318"/>
      <c r="I810" s="318"/>
      <c r="J810" s="318"/>
      <c r="K810" s="319">
        <f t="shared" si="39"/>
        <v>0</v>
      </c>
      <c r="L810" s="320" t="str">
        <f t="shared" si="34"/>
        <v/>
      </c>
      <c r="T810" s="344"/>
      <c r="U810" s="345"/>
      <c r="V810" s="346"/>
    </row>
    <row r="811">
      <c r="A811" s="339"/>
      <c r="B811" s="313"/>
      <c r="C811" s="314"/>
      <c r="D811" s="315" t="str">
        <f t="shared" si="35"/>
        <v/>
      </c>
      <c r="E811" s="315" t="str">
        <f t="shared" si="36"/>
        <v/>
      </c>
      <c r="F811" s="316"/>
      <c r="G811" s="317"/>
      <c r="H811" s="318"/>
      <c r="I811" s="318"/>
      <c r="J811" s="318"/>
      <c r="K811" s="319">
        <f t="shared" si="39"/>
        <v>0</v>
      </c>
      <c r="L811" s="320" t="str">
        <f t="shared" si="34"/>
        <v/>
      </c>
      <c r="T811" s="344"/>
      <c r="U811" s="345"/>
      <c r="V811" s="346"/>
    </row>
    <row r="812">
      <c r="A812" s="339"/>
      <c r="B812" s="313"/>
      <c r="C812" s="314"/>
      <c r="D812" s="315" t="str">
        <f t="shared" si="35"/>
        <v/>
      </c>
      <c r="E812" s="315" t="str">
        <f t="shared" si="36"/>
        <v/>
      </c>
      <c r="F812" s="316"/>
      <c r="G812" s="317"/>
      <c r="H812" s="318"/>
      <c r="I812" s="318"/>
      <c r="J812" s="318"/>
      <c r="K812" s="319">
        <f t="shared" si="39"/>
        <v>0</v>
      </c>
      <c r="L812" s="320" t="str">
        <f t="shared" si="34"/>
        <v/>
      </c>
      <c r="T812" s="344"/>
      <c r="U812" s="345"/>
      <c r="V812" s="346"/>
    </row>
    <row r="813">
      <c r="A813" s="339"/>
      <c r="B813" s="313"/>
      <c r="C813" s="314"/>
      <c r="D813" s="315" t="str">
        <f t="shared" si="35"/>
        <v/>
      </c>
      <c r="E813" s="315" t="str">
        <f t="shared" si="36"/>
        <v/>
      </c>
      <c r="F813" s="316"/>
      <c r="G813" s="316"/>
      <c r="H813" s="318"/>
      <c r="I813" s="318"/>
      <c r="J813" s="318"/>
      <c r="K813" s="319">
        <f t="shared" si="39"/>
        <v>0</v>
      </c>
      <c r="L813" s="320" t="str">
        <f t="shared" si="34"/>
        <v/>
      </c>
      <c r="M813" s="239"/>
      <c r="T813" s="344"/>
      <c r="U813" s="345"/>
      <c r="V813" s="346"/>
    </row>
    <row r="814">
      <c r="A814" s="339"/>
      <c r="B814" s="313"/>
      <c r="C814" s="314"/>
      <c r="D814" s="315" t="str">
        <f t="shared" si="35"/>
        <v/>
      </c>
      <c r="E814" s="315" t="str">
        <f t="shared" si="36"/>
        <v/>
      </c>
      <c r="F814" s="318"/>
      <c r="G814" s="318"/>
      <c r="H814" s="318"/>
      <c r="I814" s="318"/>
      <c r="J814" s="318"/>
      <c r="K814" s="319">
        <f t="shared" si="39"/>
        <v>0</v>
      </c>
      <c r="L814" s="320" t="str">
        <f t="shared" si="34"/>
        <v/>
      </c>
      <c r="M814" s="239"/>
      <c r="T814" s="344"/>
      <c r="U814" s="345"/>
      <c r="V814" s="346"/>
    </row>
    <row r="815">
      <c r="A815" s="339"/>
      <c r="B815" s="313"/>
      <c r="C815" s="314"/>
      <c r="D815" s="315" t="str">
        <f t="shared" si="35"/>
        <v/>
      </c>
      <c r="E815" s="315" t="str">
        <f t="shared" si="36"/>
        <v/>
      </c>
      <c r="F815" s="316"/>
      <c r="G815" s="317"/>
      <c r="H815" s="318"/>
      <c r="I815" s="318"/>
      <c r="J815" s="318"/>
      <c r="K815" s="319">
        <f t="shared" si="39"/>
        <v>0</v>
      </c>
      <c r="L815" s="320" t="str">
        <f t="shared" si="34"/>
        <v/>
      </c>
      <c r="T815" s="344"/>
      <c r="U815" s="345"/>
      <c r="V815" s="346"/>
    </row>
    <row r="816">
      <c r="A816" s="339"/>
      <c r="B816" s="313"/>
      <c r="C816" s="314"/>
      <c r="D816" s="315" t="str">
        <f t="shared" si="35"/>
        <v/>
      </c>
      <c r="E816" s="315" t="str">
        <f t="shared" si="36"/>
        <v/>
      </c>
      <c r="F816" s="318"/>
      <c r="G816" s="318"/>
      <c r="H816" s="318"/>
      <c r="I816" s="318"/>
      <c r="J816" s="318"/>
      <c r="K816" s="319">
        <f t="shared" si="39"/>
        <v>0</v>
      </c>
      <c r="L816" s="320" t="str">
        <f t="shared" si="34"/>
        <v/>
      </c>
      <c r="M816" s="239"/>
      <c r="T816" s="344"/>
      <c r="U816" s="345"/>
      <c r="V816" s="346"/>
    </row>
    <row r="817">
      <c r="A817" s="339"/>
      <c r="B817" s="313"/>
      <c r="C817" s="314"/>
      <c r="D817" s="315" t="str">
        <f t="shared" si="35"/>
        <v/>
      </c>
      <c r="E817" s="315" t="str">
        <f t="shared" si="36"/>
        <v/>
      </c>
      <c r="F817" s="316"/>
      <c r="G817" s="317"/>
      <c r="H817" s="318"/>
      <c r="I817" s="318"/>
      <c r="J817" s="318"/>
      <c r="K817" s="319">
        <f t="shared" si="39"/>
        <v>0</v>
      </c>
      <c r="L817" s="320" t="str">
        <f t="shared" si="34"/>
        <v/>
      </c>
      <c r="T817" s="344"/>
      <c r="U817" s="345"/>
      <c r="V817" s="346"/>
    </row>
    <row r="818">
      <c r="A818" s="339"/>
      <c r="B818" s="313"/>
      <c r="C818" s="314"/>
      <c r="D818" s="315" t="str">
        <f t="shared" si="35"/>
        <v/>
      </c>
      <c r="E818" s="315" t="str">
        <f t="shared" si="36"/>
        <v/>
      </c>
      <c r="F818" s="316"/>
      <c r="G818" s="316"/>
      <c r="H818" s="316"/>
      <c r="I818" s="316"/>
      <c r="J818" s="316"/>
      <c r="K818" s="319">
        <f t="shared" si="39"/>
        <v>0</v>
      </c>
      <c r="L818" s="320" t="str">
        <f t="shared" si="34"/>
        <v/>
      </c>
      <c r="M818" s="239"/>
      <c r="T818" s="344"/>
      <c r="U818" s="345"/>
      <c r="V818" s="346"/>
    </row>
    <row r="819">
      <c r="A819" s="339"/>
      <c r="B819" s="313"/>
      <c r="C819" s="314"/>
      <c r="D819" s="315" t="str">
        <f t="shared" si="35"/>
        <v/>
      </c>
      <c r="E819" s="315" t="str">
        <f t="shared" si="36"/>
        <v/>
      </c>
      <c r="F819" s="318"/>
      <c r="G819" s="318"/>
      <c r="H819" s="318"/>
      <c r="I819" s="318"/>
      <c r="J819" s="318"/>
      <c r="K819" s="319">
        <f t="shared" si="39"/>
        <v>0</v>
      </c>
      <c r="L819" s="320" t="str">
        <f t="shared" si="34"/>
        <v/>
      </c>
      <c r="M819" s="239"/>
      <c r="T819" s="344"/>
      <c r="U819" s="345"/>
      <c r="V819" s="346"/>
    </row>
    <row r="820">
      <c r="A820" s="339"/>
      <c r="B820" s="313"/>
      <c r="C820" s="314"/>
      <c r="D820" s="315" t="str">
        <f t="shared" si="35"/>
        <v/>
      </c>
      <c r="E820" s="315" t="str">
        <f t="shared" si="36"/>
        <v/>
      </c>
      <c r="F820" s="316"/>
      <c r="G820" s="317"/>
      <c r="H820" s="318"/>
      <c r="I820" s="318"/>
      <c r="J820" s="318"/>
      <c r="K820" s="319">
        <f t="shared" si="39"/>
        <v>0</v>
      </c>
      <c r="L820" s="320" t="str">
        <f t="shared" si="34"/>
        <v/>
      </c>
      <c r="T820" s="344"/>
      <c r="U820" s="345"/>
      <c r="V820" s="346"/>
    </row>
    <row r="821">
      <c r="A821" s="339"/>
      <c r="B821" s="313"/>
      <c r="C821" s="314"/>
      <c r="D821" s="315" t="str">
        <f t="shared" si="35"/>
        <v/>
      </c>
      <c r="E821" s="315" t="str">
        <f t="shared" si="36"/>
        <v/>
      </c>
      <c r="F821" s="316"/>
      <c r="G821" s="317"/>
      <c r="H821" s="318"/>
      <c r="I821" s="318"/>
      <c r="J821" s="318"/>
      <c r="K821" s="319">
        <f t="shared" si="39"/>
        <v>0</v>
      </c>
      <c r="L821" s="320" t="str">
        <f t="shared" si="34"/>
        <v/>
      </c>
      <c r="T821" s="344"/>
      <c r="U821" s="345"/>
      <c r="V821" s="346"/>
    </row>
    <row r="822">
      <c r="A822" s="339"/>
      <c r="B822" s="313"/>
      <c r="C822" s="314"/>
      <c r="D822" s="315" t="str">
        <f t="shared" si="35"/>
        <v/>
      </c>
      <c r="E822" s="315" t="str">
        <f t="shared" si="36"/>
        <v/>
      </c>
      <c r="F822" s="316"/>
      <c r="G822" s="317"/>
      <c r="H822" s="318"/>
      <c r="I822" s="318"/>
      <c r="J822" s="318"/>
      <c r="K822" s="319">
        <f t="shared" si="39"/>
        <v>0</v>
      </c>
      <c r="L822" s="320" t="str">
        <f t="shared" si="34"/>
        <v/>
      </c>
      <c r="T822" s="344"/>
      <c r="U822" s="345"/>
      <c r="V822" s="346"/>
    </row>
    <row r="823">
      <c r="A823" s="339"/>
      <c r="B823" s="313"/>
      <c r="C823" s="314"/>
      <c r="D823" s="315" t="str">
        <f t="shared" si="35"/>
        <v/>
      </c>
      <c r="E823" s="315" t="str">
        <f t="shared" si="36"/>
        <v/>
      </c>
      <c r="F823" s="316"/>
      <c r="G823" s="317"/>
      <c r="H823" s="318"/>
      <c r="I823" s="318"/>
      <c r="J823" s="318"/>
      <c r="K823" s="319">
        <f t="shared" si="39"/>
        <v>0</v>
      </c>
      <c r="L823" s="320" t="str">
        <f t="shared" si="34"/>
        <v/>
      </c>
      <c r="T823" s="344"/>
      <c r="U823" s="345"/>
      <c r="V823" s="346"/>
    </row>
    <row r="824">
      <c r="A824" s="339"/>
      <c r="B824" s="313"/>
      <c r="C824" s="314"/>
      <c r="D824" s="315" t="str">
        <f t="shared" si="35"/>
        <v/>
      </c>
      <c r="E824" s="315" t="str">
        <f t="shared" si="36"/>
        <v/>
      </c>
      <c r="F824" s="316"/>
      <c r="G824" s="317"/>
      <c r="H824" s="318"/>
      <c r="I824" s="318"/>
      <c r="J824" s="318"/>
      <c r="K824" s="319">
        <f t="shared" si="39"/>
        <v>0</v>
      </c>
      <c r="L824" s="320" t="str">
        <f t="shared" si="34"/>
        <v/>
      </c>
      <c r="T824" s="344"/>
      <c r="U824" s="345"/>
      <c r="V824" s="346"/>
    </row>
    <row r="825">
      <c r="A825" s="339"/>
      <c r="B825" s="313"/>
      <c r="C825" s="314"/>
      <c r="D825" s="315" t="str">
        <f t="shared" si="35"/>
        <v/>
      </c>
      <c r="E825" s="315" t="str">
        <f t="shared" si="36"/>
        <v/>
      </c>
      <c r="F825" s="316"/>
      <c r="G825" s="317"/>
      <c r="H825" s="318"/>
      <c r="I825" s="318"/>
      <c r="J825" s="318"/>
      <c r="K825" s="319">
        <f t="shared" si="39"/>
        <v>0</v>
      </c>
      <c r="L825" s="320" t="str">
        <f t="shared" si="34"/>
        <v/>
      </c>
      <c r="T825" s="344"/>
      <c r="U825" s="345"/>
      <c r="V825" s="346"/>
    </row>
    <row r="826">
      <c r="A826" s="339"/>
      <c r="B826" s="313"/>
      <c r="C826" s="314"/>
      <c r="D826" s="315" t="str">
        <f t="shared" si="35"/>
        <v/>
      </c>
      <c r="E826" s="315" t="str">
        <f t="shared" si="36"/>
        <v/>
      </c>
      <c r="F826" s="318"/>
      <c r="G826" s="318"/>
      <c r="H826" s="318"/>
      <c r="I826" s="318"/>
      <c r="J826" s="318"/>
      <c r="K826" s="319">
        <f t="shared" si="39"/>
        <v>0</v>
      </c>
      <c r="L826" s="320" t="str">
        <f t="shared" si="34"/>
        <v/>
      </c>
      <c r="M826" s="239"/>
      <c r="T826" s="344"/>
      <c r="U826" s="345"/>
      <c r="V826" s="346"/>
    </row>
    <row r="827">
      <c r="A827" s="339"/>
      <c r="B827" s="313"/>
      <c r="C827" s="314"/>
      <c r="D827" s="315" t="str">
        <f t="shared" si="35"/>
        <v/>
      </c>
      <c r="E827" s="315" t="str">
        <f t="shared" si="36"/>
        <v/>
      </c>
      <c r="F827" s="316"/>
      <c r="G827" s="317"/>
      <c r="H827" s="318"/>
      <c r="I827" s="318"/>
      <c r="J827" s="318"/>
      <c r="K827" s="319">
        <f t="shared" si="39"/>
        <v>0</v>
      </c>
      <c r="L827" s="320" t="str">
        <f t="shared" si="34"/>
        <v/>
      </c>
      <c r="T827" s="344"/>
      <c r="U827" s="345"/>
      <c r="V827" s="346"/>
    </row>
    <row r="828">
      <c r="A828" s="339"/>
      <c r="B828" s="313"/>
      <c r="C828" s="314"/>
      <c r="D828" s="315" t="str">
        <f t="shared" si="35"/>
        <v/>
      </c>
      <c r="E828" s="315" t="str">
        <f t="shared" si="36"/>
        <v/>
      </c>
      <c r="F828" s="316"/>
      <c r="G828" s="317"/>
      <c r="H828" s="318"/>
      <c r="I828" s="318"/>
      <c r="J828" s="318"/>
      <c r="K828" s="319">
        <f t="shared" si="39"/>
        <v>0</v>
      </c>
      <c r="L828" s="320" t="str">
        <f t="shared" si="34"/>
        <v/>
      </c>
      <c r="T828" s="344"/>
      <c r="U828" s="345"/>
      <c r="V828" s="346"/>
    </row>
    <row r="829">
      <c r="A829" s="339"/>
      <c r="B829" s="313"/>
      <c r="C829" s="314"/>
      <c r="D829" s="315" t="str">
        <f t="shared" si="35"/>
        <v/>
      </c>
      <c r="E829" s="315" t="str">
        <f t="shared" si="36"/>
        <v/>
      </c>
      <c r="F829" s="316"/>
      <c r="G829" s="317"/>
      <c r="H829" s="318"/>
      <c r="I829" s="318"/>
      <c r="J829" s="318"/>
      <c r="K829" s="319">
        <f t="shared" si="39"/>
        <v>0</v>
      </c>
      <c r="L829" s="320" t="str">
        <f t="shared" si="34"/>
        <v/>
      </c>
      <c r="T829" s="344"/>
      <c r="U829" s="345"/>
      <c r="V829" s="346"/>
    </row>
    <row r="830">
      <c r="A830" s="339"/>
      <c r="B830" s="313"/>
      <c r="C830" s="314"/>
      <c r="D830" s="315" t="str">
        <f t="shared" si="35"/>
        <v/>
      </c>
      <c r="E830" s="315" t="str">
        <f t="shared" si="36"/>
        <v/>
      </c>
      <c r="F830" s="318"/>
      <c r="G830" s="318"/>
      <c r="H830" s="318"/>
      <c r="I830" s="318"/>
      <c r="J830" s="318"/>
      <c r="K830" s="319">
        <f t="shared" si="39"/>
        <v>0</v>
      </c>
      <c r="L830" s="320" t="str">
        <f t="shared" si="34"/>
        <v/>
      </c>
      <c r="T830" s="344"/>
      <c r="U830" s="345"/>
      <c r="V830" s="346"/>
    </row>
    <row r="831">
      <c r="A831" s="339"/>
      <c r="B831" s="313"/>
      <c r="C831" s="314"/>
      <c r="D831" s="315" t="str">
        <f t="shared" si="35"/>
        <v/>
      </c>
      <c r="E831" s="315" t="str">
        <f t="shared" si="36"/>
        <v/>
      </c>
      <c r="F831" s="316"/>
      <c r="G831" s="317"/>
      <c r="H831" s="318"/>
      <c r="I831" s="318"/>
      <c r="J831" s="318"/>
      <c r="K831" s="319">
        <f t="shared" si="39"/>
        <v>0</v>
      </c>
      <c r="L831" s="320" t="str">
        <f t="shared" si="34"/>
        <v/>
      </c>
      <c r="T831" s="344"/>
      <c r="U831" s="345"/>
      <c r="V831" s="346"/>
    </row>
    <row r="832">
      <c r="A832" s="339"/>
      <c r="B832" s="313"/>
      <c r="C832" s="314"/>
      <c r="D832" s="315" t="str">
        <f t="shared" si="35"/>
        <v/>
      </c>
      <c r="E832" s="315" t="str">
        <f t="shared" si="36"/>
        <v/>
      </c>
      <c r="F832" s="316"/>
      <c r="G832" s="317"/>
      <c r="H832" s="318"/>
      <c r="I832" s="318"/>
      <c r="J832" s="318"/>
      <c r="K832" s="319">
        <f t="shared" si="39"/>
        <v>0</v>
      </c>
      <c r="L832" s="320" t="str">
        <f t="shared" si="34"/>
        <v/>
      </c>
      <c r="T832" s="344"/>
      <c r="U832" s="345"/>
      <c r="V832" s="346"/>
    </row>
    <row r="833">
      <c r="A833" s="339"/>
      <c r="B833" s="313"/>
      <c r="C833" s="314"/>
      <c r="D833" s="315" t="str">
        <f t="shared" si="35"/>
        <v/>
      </c>
      <c r="E833" s="315" t="str">
        <f t="shared" si="36"/>
        <v/>
      </c>
      <c r="F833" s="316"/>
      <c r="G833" s="317"/>
      <c r="H833" s="318"/>
      <c r="I833" s="318"/>
      <c r="J833" s="318"/>
      <c r="K833" s="319">
        <f t="shared" si="39"/>
        <v>0</v>
      </c>
      <c r="L833" s="320" t="str">
        <f t="shared" si="34"/>
        <v/>
      </c>
      <c r="T833" s="344"/>
      <c r="U833" s="345"/>
      <c r="V833" s="346"/>
    </row>
    <row r="834">
      <c r="A834" s="339"/>
      <c r="B834" s="313"/>
      <c r="C834" s="314"/>
      <c r="D834" s="315" t="str">
        <f t="shared" si="35"/>
        <v/>
      </c>
      <c r="E834" s="315" t="str">
        <f t="shared" si="36"/>
        <v/>
      </c>
      <c r="F834" s="316"/>
      <c r="G834" s="317"/>
      <c r="H834" s="318"/>
      <c r="I834" s="318"/>
      <c r="J834" s="318"/>
      <c r="K834" s="319">
        <f t="shared" si="39"/>
        <v>0</v>
      </c>
      <c r="L834" s="320" t="str">
        <f t="shared" si="34"/>
        <v/>
      </c>
      <c r="T834" s="344"/>
      <c r="U834" s="345"/>
      <c r="V834" s="346"/>
    </row>
    <row r="835">
      <c r="A835" s="339"/>
      <c r="B835" s="313"/>
      <c r="C835" s="314"/>
      <c r="D835" s="315" t="str">
        <f t="shared" si="35"/>
        <v/>
      </c>
      <c r="E835" s="315" t="str">
        <f t="shared" si="36"/>
        <v/>
      </c>
      <c r="F835" s="316"/>
      <c r="G835" s="317"/>
      <c r="H835" s="318"/>
      <c r="I835" s="318"/>
      <c r="J835" s="318"/>
      <c r="K835" s="319">
        <f t="shared" si="39"/>
        <v>0</v>
      </c>
      <c r="L835" s="320" t="str">
        <f t="shared" si="34"/>
        <v/>
      </c>
      <c r="T835" s="344"/>
      <c r="U835" s="345"/>
      <c r="V835" s="346"/>
    </row>
    <row r="836">
      <c r="A836" s="339"/>
      <c r="B836" s="313"/>
      <c r="C836" s="314"/>
      <c r="D836" s="315" t="str">
        <f t="shared" si="35"/>
        <v/>
      </c>
      <c r="E836" s="315" t="str">
        <f t="shared" si="36"/>
        <v/>
      </c>
      <c r="F836" s="318"/>
      <c r="G836" s="318"/>
      <c r="H836" s="318"/>
      <c r="I836" s="318"/>
      <c r="J836" s="318"/>
      <c r="K836" s="319">
        <f t="shared" si="39"/>
        <v>0</v>
      </c>
      <c r="L836" s="320" t="str">
        <f t="shared" si="34"/>
        <v/>
      </c>
      <c r="M836" s="347"/>
      <c r="T836" s="344"/>
      <c r="U836" s="345"/>
      <c r="V836" s="346"/>
    </row>
    <row r="837">
      <c r="A837" s="339"/>
      <c r="B837" s="313"/>
      <c r="C837" s="314"/>
      <c r="D837" s="315" t="str">
        <f t="shared" si="35"/>
        <v/>
      </c>
      <c r="E837" s="315" t="str">
        <f t="shared" si="36"/>
        <v/>
      </c>
      <c r="F837" s="316"/>
      <c r="G837" s="317"/>
      <c r="H837" s="318"/>
      <c r="I837" s="318"/>
      <c r="J837" s="318"/>
      <c r="K837" s="319">
        <f t="shared" si="39"/>
        <v>0</v>
      </c>
      <c r="L837" s="320" t="str">
        <f t="shared" si="34"/>
        <v/>
      </c>
      <c r="T837" s="344"/>
      <c r="U837" s="345"/>
      <c r="V837" s="346"/>
    </row>
    <row r="838">
      <c r="A838" s="339"/>
      <c r="B838" s="313"/>
      <c r="C838" s="314"/>
      <c r="D838" s="315" t="str">
        <f t="shared" si="35"/>
        <v/>
      </c>
      <c r="E838" s="315" t="str">
        <f t="shared" si="36"/>
        <v/>
      </c>
      <c r="F838" s="316"/>
      <c r="G838" s="317"/>
      <c r="H838" s="318"/>
      <c r="I838" s="318"/>
      <c r="J838" s="318"/>
      <c r="K838" s="319">
        <f t="shared" si="39"/>
        <v>0</v>
      </c>
      <c r="L838" s="320" t="str">
        <f t="shared" si="34"/>
        <v/>
      </c>
      <c r="T838" s="344"/>
      <c r="U838" s="345"/>
      <c r="V838" s="346"/>
    </row>
    <row r="839">
      <c r="A839" s="339"/>
      <c r="B839" s="313"/>
      <c r="C839" s="314"/>
      <c r="D839" s="315" t="str">
        <f t="shared" si="35"/>
        <v/>
      </c>
      <c r="E839" s="315" t="str">
        <f t="shared" si="36"/>
        <v/>
      </c>
      <c r="F839" s="316"/>
      <c r="G839" s="317"/>
      <c r="H839" s="318"/>
      <c r="I839" s="318"/>
      <c r="J839" s="318"/>
      <c r="K839" s="319">
        <f t="shared" si="39"/>
        <v>0</v>
      </c>
      <c r="L839" s="320" t="str">
        <f t="shared" si="34"/>
        <v/>
      </c>
      <c r="T839" s="344"/>
      <c r="U839" s="345"/>
      <c r="V839" s="346"/>
    </row>
    <row r="840">
      <c r="A840" s="339"/>
      <c r="B840" s="313"/>
      <c r="C840" s="314"/>
      <c r="D840" s="315" t="str">
        <f t="shared" si="35"/>
        <v/>
      </c>
      <c r="E840" s="315" t="str">
        <f t="shared" si="36"/>
        <v/>
      </c>
      <c r="F840" s="316"/>
      <c r="G840" s="317"/>
      <c r="H840" s="318"/>
      <c r="I840" s="318"/>
      <c r="J840" s="318"/>
      <c r="K840" s="319">
        <f t="shared" si="39"/>
        <v>0</v>
      </c>
      <c r="L840" s="320" t="str">
        <f t="shared" si="34"/>
        <v/>
      </c>
      <c r="T840" s="344"/>
      <c r="U840" s="345"/>
      <c r="V840" s="346"/>
    </row>
    <row r="841">
      <c r="A841" s="339"/>
      <c r="B841" s="313"/>
      <c r="C841" s="314"/>
      <c r="D841" s="315" t="str">
        <f t="shared" si="35"/>
        <v/>
      </c>
      <c r="E841" s="315" t="str">
        <f t="shared" si="36"/>
        <v/>
      </c>
      <c r="F841" s="316"/>
      <c r="G841" s="317"/>
      <c r="H841" s="318"/>
      <c r="I841" s="318"/>
      <c r="J841" s="318"/>
      <c r="K841" s="319">
        <f t="shared" si="39"/>
        <v>0</v>
      </c>
      <c r="L841" s="320" t="str">
        <f t="shared" si="34"/>
        <v/>
      </c>
      <c r="T841" s="344"/>
      <c r="U841" s="345"/>
      <c r="V841" s="346"/>
    </row>
    <row r="842">
      <c r="A842" s="339"/>
      <c r="B842" s="313"/>
      <c r="C842" s="314"/>
      <c r="D842" s="315" t="str">
        <f t="shared" si="35"/>
        <v/>
      </c>
      <c r="E842" s="315" t="str">
        <f t="shared" si="36"/>
        <v/>
      </c>
      <c r="F842" s="316"/>
      <c r="G842" s="317"/>
      <c r="H842" s="318"/>
      <c r="I842" s="318"/>
      <c r="J842" s="318"/>
      <c r="K842" s="319">
        <f t="shared" si="39"/>
        <v>0</v>
      </c>
      <c r="L842" s="320" t="str">
        <f t="shared" si="34"/>
        <v/>
      </c>
      <c r="T842" s="344"/>
      <c r="U842" s="345"/>
      <c r="V842" s="346"/>
    </row>
    <row r="843">
      <c r="A843" s="339"/>
      <c r="B843" s="313"/>
      <c r="C843" s="314"/>
      <c r="D843" s="315" t="str">
        <f t="shared" si="35"/>
        <v/>
      </c>
      <c r="E843" s="315" t="str">
        <f t="shared" si="36"/>
        <v/>
      </c>
      <c r="F843" s="316"/>
      <c r="G843" s="317"/>
      <c r="H843" s="318"/>
      <c r="I843" s="318"/>
      <c r="J843" s="318"/>
      <c r="K843" s="319">
        <f t="shared" si="39"/>
        <v>0</v>
      </c>
      <c r="L843" s="320" t="str">
        <f t="shared" si="34"/>
        <v/>
      </c>
      <c r="T843" s="344"/>
      <c r="U843" s="345"/>
      <c r="V843" s="346"/>
    </row>
    <row r="844">
      <c r="A844" s="339"/>
      <c r="B844" s="313"/>
      <c r="C844" s="314"/>
      <c r="D844" s="315" t="str">
        <f t="shared" si="35"/>
        <v/>
      </c>
      <c r="E844" s="315" t="str">
        <f t="shared" si="36"/>
        <v/>
      </c>
      <c r="F844" s="316"/>
      <c r="G844" s="317"/>
      <c r="H844" s="318"/>
      <c r="I844" s="318"/>
      <c r="J844" s="318"/>
      <c r="K844" s="319">
        <f t="shared" si="39"/>
        <v>0</v>
      </c>
      <c r="L844" s="320" t="str">
        <f t="shared" si="34"/>
        <v/>
      </c>
      <c r="T844" s="344"/>
      <c r="U844" s="345"/>
      <c r="V844" s="346"/>
    </row>
    <row r="845">
      <c r="A845" s="339"/>
      <c r="B845" s="313"/>
      <c r="C845" s="314"/>
      <c r="D845" s="315" t="str">
        <f t="shared" si="35"/>
        <v/>
      </c>
      <c r="E845" s="315" t="str">
        <f t="shared" si="36"/>
        <v/>
      </c>
      <c r="F845" s="316"/>
      <c r="G845" s="317"/>
      <c r="H845" s="318"/>
      <c r="I845" s="318"/>
      <c r="J845" s="318"/>
      <c r="K845" s="319">
        <f t="shared" si="39"/>
        <v>0</v>
      </c>
      <c r="L845" s="320" t="str">
        <f t="shared" si="34"/>
        <v/>
      </c>
      <c r="T845" s="344"/>
      <c r="U845" s="345"/>
      <c r="V845" s="346"/>
    </row>
    <row r="846">
      <c r="A846" s="339"/>
      <c r="B846" s="313"/>
      <c r="C846" s="314"/>
      <c r="D846" s="315" t="str">
        <f t="shared" si="35"/>
        <v/>
      </c>
      <c r="E846" s="315" t="str">
        <f t="shared" si="36"/>
        <v/>
      </c>
      <c r="F846" s="316"/>
      <c r="G846" s="317"/>
      <c r="H846" s="318"/>
      <c r="I846" s="318"/>
      <c r="J846" s="318"/>
      <c r="K846" s="319">
        <f t="shared" si="39"/>
        <v>0</v>
      </c>
      <c r="L846" s="320" t="str">
        <f t="shared" si="34"/>
        <v/>
      </c>
      <c r="T846" s="344"/>
      <c r="U846" s="345"/>
      <c r="V846" s="346"/>
    </row>
    <row r="847">
      <c r="A847" s="339"/>
      <c r="B847" s="313"/>
      <c r="C847" s="314"/>
      <c r="D847" s="315" t="str">
        <f t="shared" si="35"/>
        <v/>
      </c>
      <c r="E847" s="315" t="str">
        <f t="shared" si="36"/>
        <v/>
      </c>
      <c r="F847" s="316"/>
      <c r="G847" s="317"/>
      <c r="H847" s="318"/>
      <c r="I847" s="318"/>
      <c r="J847" s="318"/>
      <c r="K847" s="319">
        <f t="shared" si="39"/>
        <v>0</v>
      </c>
      <c r="L847" s="320" t="str">
        <f t="shared" si="34"/>
        <v/>
      </c>
      <c r="T847" s="344"/>
      <c r="U847" s="345"/>
      <c r="V847" s="346"/>
    </row>
    <row r="848">
      <c r="A848" s="339"/>
      <c r="B848" s="313"/>
      <c r="C848" s="314"/>
      <c r="D848" s="315" t="str">
        <f t="shared" si="35"/>
        <v/>
      </c>
      <c r="E848" s="315" t="str">
        <f t="shared" si="36"/>
        <v/>
      </c>
      <c r="F848" s="316"/>
      <c r="G848" s="317"/>
      <c r="H848" s="318"/>
      <c r="I848" s="318"/>
      <c r="J848" s="318"/>
      <c r="K848" s="319">
        <f t="shared" si="39"/>
        <v>0</v>
      </c>
      <c r="L848" s="320" t="str">
        <f t="shared" si="34"/>
        <v/>
      </c>
      <c r="T848" s="344"/>
      <c r="U848" s="345"/>
      <c r="V848" s="346"/>
    </row>
    <row r="849">
      <c r="A849" s="339"/>
      <c r="B849" s="313"/>
      <c r="C849" s="314"/>
      <c r="D849" s="315" t="str">
        <f t="shared" si="35"/>
        <v/>
      </c>
      <c r="E849" s="315" t="str">
        <f t="shared" si="36"/>
        <v/>
      </c>
      <c r="F849" s="316"/>
      <c r="G849" s="317"/>
      <c r="H849" s="318"/>
      <c r="I849" s="318"/>
      <c r="J849" s="318"/>
      <c r="K849" s="319">
        <f t="shared" si="39"/>
        <v>0</v>
      </c>
      <c r="L849" s="320" t="str">
        <f t="shared" si="34"/>
        <v/>
      </c>
      <c r="T849" s="344"/>
      <c r="U849" s="345"/>
      <c r="V849" s="346"/>
    </row>
    <row r="850">
      <c r="A850" s="339"/>
      <c r="B850" s="313"/>
      <c r="C850" s="314"/>
      <c r="D850" s="315" t="str">
        <f t="shared" si="35"/>
        <v/>
      </c>
      <c r="E850" s="315" t="str">
        <f t="shared" si="36"/>
        <v/>
      </c>
      <c r="F850" s="316"/>
      <c r="G850" s="317"/>
      <c r="H850" s="318"/>
      <c r="I850" s="318"/>
      <c r="J850" s="318"/>
      <c r="K850" s="319">
        <f t="shared" si="39"/>
        <v>0</v>
      </c>
      <c r="L850" s="320" t="str">
        <f t="shared" si="34"/>
        <v/>
      </c>
      <c r="T850" s="344"/>
      <c r="U850" s="345"/>
      <c r="V850" s="346"/>
    </row>
    <row r="851">
      <c r="A851" s="339"/>
      <c r="B851" s="313"/>
      <c r="C851" s="314"/>
      <c r="D851" s="315" t="str">
        <f t="shared" si="35"/>
        <v/>
      </c>
      <c r="E851" s="315" t="str">
        <f t="shared" si="36"/>
        <v/>
      </c>
      <c r="F851" s="316"/>
      <c r="G851" s="317"/>
      <c r="H851" s="318"/>
      <c r="I851" s="318"/>
      <c r="J851" s="318"/>
      <c r="K851" s="319">
        <f t="shared" si="39"/>
        <v>0</v>
      </c>
      <c r="L851" s="320" t="str">
        <f t="shared" si="34"/>
        <v/>
      </c>
      <c r="T851" s="344"/>
      <c r="U851" s="345"/>
      <c r="V851" s="346"/>
    </row>
    <row r="852">
      <c r="A852" s="339"/>
      <c r="B852" s="313"/>
      <c r="C852" s="314"/>
      <c r="D852" s="315" t="str">
        <f t="shared" si="35"/>
        <v/>
      </c>
      <c r="E852" s="315" t="str">
        <f t="shared" si="36"/>
        <v/>
      </c>
      <c r="F852" s="316"/>
      <c r="G852" s="317"/>
      <c r="H852" s="318"/>
      <c r="I852" s="318"/>
      <c r="J852" s="318"/>
      <c r="K852" s="319">
        <f t="shared" si="39"/>
        <v>0</v>
      </c>
      <c r="L852" s="320" t="str">
        <f t="shared" si="34"/>
        <v/>
      </c>
      <c r="T852" s="344"/>
      <c r="U852" s="345"/>
      <c r="V852" s="346"/>
    </row>
    <row r="853">
      <c r="A853" s="339"/>
      <c r="B853" s="313"/>
      <c r="C853" s="314"/>
      <c r="D853" s="315" t="str">
        <f t="shared" si="35"/>
        <v/>
      </c>
      <c r="E853" s="315" t="str">
        <f t="shared" si="36"/>
        <v/>
      </c>
      <c r="F853" s="316"/>
      <c r="G853" s="317"/>
      <c r="H853" s="318"/>
      <c r="I853" s="318"/>
      <c r="J853" s="318"/>
      <c r="K853" s="319">
        <f t="shared" si="39"/>
        <v>0</v>
      </c>
      <c r="L853" s="320" t="str">
        <f t="shared" si="34"/>
        <v/>
      </c>
      <c r="T853" s="344"/>
      <c r="U853" s="345"/>
      <c r="V853" s="346"/>
    </row>
    <row r="854">
      <c r="A854" s="339"/>
      <c r="B854" s="313"/>
      <c r="C854" s="314"/>
      <c r="D854" s="315" t="str">
        <f t="shared" si="35"/>
        <v/>
      </c>
      <c r="E854" s="315" t="str">
        <f t="shared" si="36"/>
        <v/>
      </c>
      <c r="F854" s="316"/>
      <c r="G854" s="317"/>
      <c r="H854" s="318"/>
      <c r="I854" s="318"/>
      <c r="J854" s="318"/>
      <c r="K854" s="319">
        <f t="shared" si="39"/>
        <v>0</v>
      </c>
      <c r="L854" s="320" t="str">
        <f t="shared" si="34"/>
        <v/>
      </c>
      <c r="T854" s="344"/>
      <c r="U854" s="345"/>
      <c r="V854" s="346"/>
    </row>
    <row r="855">
      <c r="A855" s="339"/>
      <c r="B855" s="313"/>
      <c r="C855" s="314"/>
      <c r="D855" s="315" t="str">
        <f t="shared" si="35"/>
        <v/>
      </c>
      <c r="E855" s="315" t="str">
        <f t="shared" si="36"/>
        <v/>
      </c>
      <c r="F855" s="316"/>
      <c r="G855" s="317"/>
      <c r="H855" s="318"/>
      <c r="I855" s="318"/>
      <c r="J855" s="318"/>
      <c r="K855" s="319">
        <f t="shared" si="39"/>
        <v>0</v>
      </c>
      <c r="L855" s="320" t="str">
        <f t="shared" si="34"/>
        <v/>
      </c>
      <c r="T855" s="344"/>
      <c r="U855" s="345"/>
      <c r="V855" s="346"/>
    </row>
    <row r="856">
      <c r="A856" s="339"/>
      <c r="B856" s="313"/>
      <c r="C856" s="314"/>
      <c r="D856" s="315" t="str">
        <f t="shared" si="35"/>
        <v/>
      </c>
      <c r="E856" s="315" t="str">
        <f t="shared" si="36"/>
        <v/>
      </c>
      <c r="F856" s="316"/>
      <c r="G856" s="316"/>
      <c r="H856" s="318"/>
      <c r="I856" s="318"/>
      <c r="J856" s="318"/>
      <c r="K856" s="319">
        <f t="shared" si="39"/>
        <v>0</v>
      </c>
      <c r="L856" s="320" t="str">
        <f t="shared" si="34"/>
        <v/>
      </c>
      <c r="M856" s="239"/>
      <c r="T856" s="344"/>
      <c r="U856" s="345"/>
      <c r="V856" s="346"/>
    </row>
    <row r="857">
      <c r="A857" s="339"/>
      <c r="B857" s="313"/>
      <c r="C857" s="314"/>
      <c r="D857" s="315" t="str">
        <f t="shared" si="35"/>
        <v/>
      </c>
      <c r="E857" s="315" t="str">
        <f t="shared" si="36"/>
        <v/>
      </c>
      <c r="F857" s="316"/>
      <c r="G857" s="317"/>
      <c r="H857" s="318"/>
      <c r="I857" s="318"/>
      <c r="J857" s="318"/>
      <c r="K857" s="319">
        <f t="shared" si="39"/>
        <v>0</v>
      </c>
      <c r="L857" s="320" t="str">
        <f t="shared" si="34"/>
        <v/>
      </c>
      <c r="T857" s="344"/>
      <c r="U857" s="345"/>
      <c r="V857" s="346"/>
    </row>
    <row r="858">
      <c r="A858" s="339"/>
      <c r="B858" s="313"/>
      <c r="C858" s="314"/>
      <c r="D858" s="315" t="str">
        <f t="shared" si="35"/>
        <v/>
      </c>
      <c r="E858" s="315" t="str">
        <f t="shared" si="36"/>
        <v/>
      </c>
      <c r="F858" s="316"/>
      <c r="G858" s="317"/>
      <c r="H858" s="318"/>
      <c r="I858" s="318"/>
      <c r="J858" s="318"/>
      <c r="K858" s="319">
        <f t="shared" si="39"/>
        <v>0</v>
      </c>
      <c r="L858" s="320" t="str">
        <f t="shared" si="34"/>
        <v/>
      </c>
      <c r="T858" s="344"/>
      <c r="U858" s="345"/>
      <c r="V858" s="346"/>
    </row>
    <row r="859">
      <c r="A859" s="339"/>
      <c r="B859" s="313"/>
      <c r="C859" s="314"/>
      <c r="D859" s="315" t="str">
        <f t="shared" si="35"/>
        <v/>
      </c>
      <c r="E859" s="315" t="str">
        <f t="shared" si="36"/>
        <v/>
      </c>
      <c r="F859" s="316"/>
      <c r="G859" s="317"/>
      <c r="H859" s="318"/>
      <c r="I859" s="318"/>
      <c r="J859" s="318"/>
      <c r="K859" s="319">
        <f t="shared" si="39"/>
        <v>0</v>
      </c>
      <c r="L859" s="320" t="str">
        <f t="shared" si="34"/>
        <v/>
      </c>
      <c r="T859" s="344"/>
      <c r="U859" s="345"/>
      <c r="V859" s="346"/>
    </row>
    <row r="860">
      <c r="A860" s="339"/>
      <c r="B860" s="313"/>
      <c r="C860" s="314"/>
      <c r="D860" s="315" t="str">
        <f t="shared" si="35"/>
        <v/>
      </c>
      <c r="E860" s="315" t="str">
        <f t="shared" si="36"/>
        <v/>
      </c>
      <c r="F860" s="316"/>
      <c r="G860" s="317"/>
      <c r="H860" s="318"/>
      <c r="I860" s="318"/>
      <c r="J860" s="318"/>
      <c r="K860" s="319">
        <f t="shared" si="39"/>
        <v>0</v>
      </c>
      <c r="L860" s="320" t="str">
        <f t="shared" si="34"/>
        <v/>
      </c>
      <c r="T860" s="344"/>
      <c r="U860" s="345"/>
      <c r="V860" s="346"/>
    </row>
    <row r="861">
      <c r="A861" s="339"/>
      <c r="B861" s="313"/>
      <c r="C861" s="314"/>
      <c r="D861" s="315" t="str">
        <f t="shared" si="35"/>
        <v/>
      </c>
      <c r="E861" s="315" t="str">
        <f t="shared" si="36"/>
        <v/>
      </c>
      <c r="F861" s="316"/>
      <c r="G861" s="317"/>
      <c r="H861" s="318"/>
      <c r="I861" s="318"/>
      <c r="J861" s="318"/>
      <c r="K861" s="319">
        <f t="shared" si="39"/>
        <v>0</v>
      </c>
      <c r="L861" s="320" t="str">
        <f t="shared" si="34"/>
        <v/>
      </c>
      <c r="M861" s="239"/>
      <c r="T861" s="344"/>
      <c r="U861" s="345"/>
      <c r="V861" s="346"/>
    </row>
    <row r="862">
      <c r="A862" s="339"/>
      <c r="B862" s="313"/>
      <c r="C862" s="314"/>
      <c r="D862" s="315" t="str">
        <f t="shared" si="35"/>
        <v/>
      </c>
      <c r="E862" s="315" t="str">
        <f t="shared" si="36"/>
        <v/>
      </c>
      <c r="F862" s="318"/>
      <c r="G862" s="318"/>
      <c r="H862" s="318"/>
      <c r="I862" s="318"/>
      <c r="J862" s="318"/>
      <c r="K862" s="319">
        <f t="shared" si="39"/>
        <v>0</v>
      </c>
      <c r="L862" s="320" t="str">
        <f t="shared" si="34"/>
        <v/>
      </c>
      <c r="M862" s="239"/>
      <c r="T862" s="344"/>
      <c r="U862" s="345"/>
      <c r="V862" s="346"/>
    </row>
    <row r="863">
      <c r="A863" s="339"/>
      <c r="B863" s="313"/>
      <c r="C863" s="314"/>
      <c r="D863" s="315" t="str">
        <f t="shared" si="35"/>
        <v/>
      </c>
      <c r="E863" s="315" t="str">
        <f t="shared" si="36"/>
        <v/>
      </c>
      <c r="F863" s="318"/>
      <c r="G863" s="318"/>
      <c r="H863" s="318"/>
      <c r="I863" s="318"/>
      <c r="J863" s="318"/>
      <c r="K863" s="319">
        <f t="shared" si="39"/>
        <v>0</v>
      </c>
      <c r="L863" s="320" t="str">
        <f t="shared" si="34"/>
        <v/>
      </c>
      <c r="M863" s="239"/>
      <c r="T863" s="344"/>
      <c r="U863" s="345"/>
      <c r="V863" s="346"/>
    </row>
    <row r="864">
      <c r="A864" s="339"/>
      <c r="B864" s="313"/>
      <c r="C864" s="314"/>
      <c r="D864" s="315" t="str">
        <f t="shared" si="35"/>
        <v/>
      </c>
      <c r="E864" s="315" t="str">
        <f t="shared" si="36"/>
        <v/>
      </c>
      <c r="F864" s="318"/>
      <c r="G864" s="318"/>
      <c r="H864" s="318"/>
      <c r="I864" s="318"/>
      <c r="J864" s="318"/>
      <c r="K864" s="319">
        <f t="shared" si="39"/>
        <v>0</v>
      </c>
      <c r="L864" s="320" t="str">
        <f t="shared" si="34"/>
        <v/>
      </c>
      <c r="M864" s="239"/>
      <c r="T864" s="344"/>
      <c r="U864" s="345"/>
      <c r="V864" s="346"/>
    </row>
    <row r="865">
      <c r="A865" s="339"/>
      <c r="B865" s="313"/>
      <c r="C865" s="314"/>
      <c r="D865" s="315" t="str">
        <f t="shared" si="35"/>
        <v/>
      </c>
      <c r="E865" s="315" t="str">
        <f t="shared" si="36"/>
        <v/>
      </c>
      <c r="F865" s="318"/>
      <c r="G865" s="318"/>
      <c r="H865" s="318"/>
      <c r="I865" s="318"/>
      <c r="J865" s="318"/>
      <c r="K865" s="319">
        <f t="shared" si="39"/>
        <v>0</v>
      </c>
      <c r="L865" s="320" t="str">
        <f t="shared" si="34"/>
        <v/>
      </c>
      <c r="M865" s="239"/>
      <c r="T865" s="344"/>
      <c r="U865" s="345"/>
      <c r="V865" s="346"/>
    </row>
    <row r="866">
      <c r="A866" s="339"/>
      <c r="B866" s="313"/>
      <c r="C866" s="314"/>
      <c r="D866" s="315" t="str">
        <f t="shared" si="35"/>
        <v/>
      </c>
      <c r="E866" s="315" t="str">
        <f t="shared" si="36"/>
        <v/>
      </c>
      <c r="F866" s="318"/>
      <c r="G866" s="318"/>
      <c r="H866" s="318"/>
      <c r="I866" s="318"/>
      <c r="J866" s="318"/>
      <c r="K866" s="319">
        <f t="shared" si="39"/>
        <v>0</v>
      </c>
      <c r="L866" s="320" t="str">
        <f t="shared" si="34"/>
        <v/>
      </c>
      <c r="M866" s="239"/>
      <c r="T866" s="344"/>
      <c r="U866" s="345"/>
      <c r="V866" s="346"/>
    </row>
    <row r="867">
      <c r="A867" s="339"/>
      <c r="B867" s="313"/>
      <c r="C867" s="314"/>
      <c r="D867" s="315" t="str">
        <f t="shared" si="35"/>
        <v/>
      </c>
      <c r="E867" s="315" t="str">
        <f t="shared" si="36"/>
        <v/>
      </c>
      <c r="F867" s="318"/>
      <c r="G867" s="318"/>
      <c r="H867" s="318"/>
      <c r="I867" s="318"/>
      <c r="J867" s="318"/>
      <c r="K867" s="319">
        <f t="shared" si="39"/>
        <v>0</v>
      </c>
      <c r="L867" s="320" t="str">
        <f t="shared" si="34"/>
        <v/>
      </c>
      <c r="M867" s="239"/>
      <c r="T867" s="344"/>
      <c r="U867" s="345"/>
      <c r="V867" s="346"/>
    </row>
    <row r="868">
      <c r="A868" s="339"/>
      <c r="B868" s="313"/>
      <c r="C868" s="314"/>
      <c r="D868" s="315" t="str">
        <f t="shared" si="35"/>
        <v/>
      </c>
      <c r="E868" s="315" t="str">
        <f t="shared" si="36"/>
        <v/>
      </c>
      <c r="F868" s="316"/>
      <c r="G868" s="317"/>
      <c r="H868" s="318"/>
      <c r="I868" s="318"/>
      <c r="J868" s="318"/>
      <c r="K868" s="319">
        <f t="shared" si="39"/>
        <v>0</v>
      </c>
      <c r="L868" s="320" t="str">
        <f t="shared" si="34"/>
        <v/>
      </c>
      <c r="T868" s="344"/>
      <c r="U868" s="345"/>
      <c r="V868" s="346"/>
    </row>
    <row r="869">
      <c r="A869" s="339"/>
      <c r="B869" s="313"/>
      <c r="C869" s="314"/>
      <c r="D869" s="315" t="str">
        <f t="shared" si="35"/>
        <v/>
      </c>
      <c r="E869" s="315" t="str">
        <f t="shared" si="36"/>
        <v/>
      </c>
      <c r="F869" s="316"/>
      <c r="G869" s="317"/>
      <c r="H869" s="318"/>
      <c r="I869" s="318"/>
      <c r="J869" s="318"/>
      <c r="K869" s="319">
        <f t="shared" si="39"/>
        <v>0</v>
      </c>
      <c r="L869" s="320" t="str">
        <f t="shared" si="34"/>
        <v/>
      </c>
      <c r="T869" s="344"/>
      <c r="U869" s="345"/>
      <c r="V869" s="346"/>
    </row>
    <row r="870">
      <c r="A870" s="339"/>
      <c r="B870" s="313"/>
      <c r="C870" s="314"/>
      <c r="D870" s="315" t="str">
        <f t="shared" si="35"/>
        <v/>
      </c>
      <c r="E870" s="315" t="str">
        <f t="shared" si="36"/>
        <v/>
      </c>
      <c r="F870" s="316"/>
      <c r="G870" s="317"/>
      <c r="H870" s="318"/>
      <c r="I870" s="318"/>
      <c r="J870" s="318"/>
      <c r="K870" s="319">
        <f t="shared" si="39"/>
        <v>0</v>
      </c>
      <c r="L870" s="320" t="str">
        <f t="shared" si="34"/>
        <v/>
      </c>
      <c r="T870" s="344"/>
      <c r="U870" s="345"/>
      <c r="V870" s="346"/>
    </row>
    <row r="871">
      <c r="A871" s="339"/>
      <c r="B871" s="313"/>
      <c r="C871" s="314"/>
      <c r="D871" s="315" t="str">
        <f t="shared" si="35"/>
        <v/>
      </c>
      <c r="E871" s="315" t="str">
        <f t="shared" si="36"/>
        <v/>
      </c>
      <c r="F871" s="316"/>
      <c r="G871" s="317"/>
      <c r="H871" s="318"/>
      <c r="I871" s="318"/>
      <c r="J871" s="318"/>
      <c r="K871" s="319">
        <f t="shared" si="39"/>
        <v>0</v>
      </c>
      <c r="L871" s="320" t="str">
        <f t="shared" si="34"/>
        <v/>
      </c>
      <c r="T871" s="344"/>
      <c r="U871" s="345"/>
      <c r="V871" s="346"/>
    </row>
    <row r="872">
      <c r="A872" s="339"/>
      <c r="B872" s="313"/>
      <c r="C872" s="314"/>
      <c r="D872" s="315" t="str">
        <f t="shared" si="35"/>
        <v/>
      </c>
      <c r="E872" s="315" t="str">
        <f t="shared" si="36"/>
        <v/>
      </c>
      <c r="F872" s="316"/>
      <c r="G872" s="317"/>
      <c r="H872" s="318"/>
      <c r="I872" s="318"/>
      <c r="J872" s="318"/>
      <c r="K872" s="319">
        <f t="shared" si="39"/>
        <v>0</v>
      </c>
      <c r="L872" s="320" t="str">
        <f t="shared" si="34"/>
        <v/>
      </c>
      <c r="T872" s="344"/>
      <c r="U872" s="345"/>
      <c r="V872" s="346"/>
    </row>
    <row r="873">
      <c r="A873" s="339"/>
      <c r="B873" s="313"/>
      <c r="C873" s="314"/>
      <c r="D873" s="315" t="str">
        <f t="shared" si="35"/>
        <v/>
      </c>
      <c r="E873" s="315" t="str">
        <f t="shared" si="36"/>
        <v/>
      </c>
      <c r="F873" s="316"/>
      <c r="G873" s="317"/>
      <c r="H873" s="318"/>
      <c r="I873" s="318"/>
      <c r="J873" s="318"/>
      <c r="K873" s="319">
        <f t="shared" si="39"/>
        <v>0</v>
      </c>
      <c r="L873" s="320" t="str">
        <f t="shared" si="34"/>
        <v/>
      </c>
      <c r="T873" s="344"/>
      <c r="U873" s="345"/>
      <c r="V873" s="346"/>
    </row>
    <row r="874">
      <c r="A874" s="339"/>
      <c r="B874" s="313"/>
      <c r="C874" s="314"/>
      <c r="D874" s="315" t="str">
        <f t="shared" si="35"/>
        <v/>
      </c>
      <c r="E874" s="315" t="str">
        <f t="shared" si="36"/>
        <v/>
      </c>
      <c r="F874" s="316"/>
      <c r="G874" s="317"/>
      <c r="H874" s="318"/>
      <c r="I874" s="318"/>
      <c r="J874" s="318"/>
      <c r="K874" s="319">
        <f t="shared" si="39"/>
        <v>0</v>
      </c>
      <c r="L874" s="320" t="str">
        <f t="shared" si="34"/>
        <v/>
      </c>
      <c r="T874" s="344"/>
      <c r="U874" s="345"/>
      <c r="V874" s="346"/>
    </row>
    <row r="875">
      <c r="A875" s="339"/>
      <c r="B875" s="313"/>
      <c r="C875" s="314"/>
      <c r="D875" s="315" t="str">
        <f t="shared" si="35"/>
        <v/>
      </c>
      <c r="E875" s="315" t="str">
        <f t="shared" si="36"/>
        <v/>
      </c>
      <c r="F875" s="316"/>
      <c r="G875" s="317"/>
      <c r="H875" s="318"/>
      <c r="I875" s="318"/>
      <c r="J875" s="318"/>
      <c r="K875" s="319">
        <f t="shared" si="39"/>
        <v>0</v>
      </c>
      <c r="L875" s="320" t="str">
        <f t="shared" si="34"/>
        <v/>
      </c>
      <c r="T875" s="344"/>
      <c r="U875" s="345"/>
      <c r="V875" s="346"/>
    </row>
    <row r="876">
      <c r="A876" s="339"/>
      <c r="B876" s="313"/>
      <c r="C876" s="314"/>
      <c r="D876" s="315" t="str">
        <f t="shared" si="35"/>
        <v/>
      </c>
      <c r="E876" s="315" t="str">
        <f t="shared" si="36"/>
        <v/>
      </c>
      <c r="F876" s="316"/>
      <c r="G876" s="317"/>
      <c r="H876" s="318"/>
      <c r="I876" s="318"/>
      <c r="J876" s="318"/>
      <c r="K876" s="319">
        <f t="shared" si="39"/>
        <v>0</v>
      </c>
      <c r="L876" s="320" t="str">
        <f t="shared" si="34"/>
        <v/>
      </c>
      <c r="T876" s="344"/>
      <c r="U876" s="345"/>
      <c r="V876" s="346"/>
    </row>
    <row r="877">
      <c r="A877" s="339"/>
      <c r="B877" s="313"/>
      <c r="C877" s="314"/>
      <c r="D877" s="315" t="str">
        <f t="shared" si="35"/>
        <v/>
      </c>
      <c r="E877" s="315" t="str">
        <f t="shared" si="36"/>
        <v/>
      </c>
      <c r="F877" s="316"/>
      <c r="G877" s="317"/>
      <c r="H877" s="318"/>
      <c r="I877" s="318"/>
      <c r="J877" s="318"/>
      <c r="K877" s="319">
        <f t="shared" si="39"/>
        <v>0</v>
      </c>
      <c r="L877" s="320" t="str">
        <f t="shared" si="34"/>
        <v/>
      </c>
      <c r="T877" s="344"/>
      <c r="U877" s="345"/>
      <c r="V877" s="346"/>
    </row>
    <row r="878">
      <c r="A878" s="339"/>
      <c r="B878" s="313"/>
      <c r="C878" s="314"/>
      <c r="D878" s="315" t="str">
        <f t="shared" si="35"/>
        <v/>
      </c>
      <c r="E878" s="315" t="str">
        <f t="shared" si="36"/>
        <v/>
      </c>
      <c r="F878" s="316"/>
      <c r="G878" s="317"/>
      <c r="H878" s="318"/>
      <c r="I878" s="318"/>
      <c r="J878" s="318"/>
      <c r="K878" s="319">
        <f t="shared" si="39"/>
        <v>0</v>
      </c>
      <c r="L878" s="320" t="str">
        <f t="shared" si="34"/>
        <v/>
      </c>
      <c r="T878" s="344"/>
      <c r="U878" s="345"/>
      <c r="V878" s="346"/>
    </row>
    <row r="879">
      <c r="A879" s="339"/>
      <c r="B879" s="313"/>
      <c r="C879" s="314"/>
      <c r="D879" s="315" t="str">
        <f t="shared" si="35"/>
        <v/>
      </c>
      <c r="E879" s="315" t="str">
        <f t="shared" si="36"/>
        <v/>
      </c>
      <c r="F879" s="316"/>
      <c r="G879" s="317"/>
      <c r="H879" s="318"/>
      <c r="I879" s="318"/>
      <c r="J879" s="318"/>
      <c r="K879" s="319">
        <f t="shared" si="39"/>
        <v>0</v>
      </c>
      <c r="L879" s="320" t="str">
        <f t="shared" si="34"/>
        <v/>
      </c>
      <c r="T879" s="344"/>
      <c r="U879" s="345"/>
      <c r="V879" s="346"/>
    </row>
    <row r="880">
      <c r="A880" s="339"/>
      <c r="B880" s="313"/>
      <c r="C880" s="314"/>
      <c r="D880" s="315" t="str">
        <f t="shared" si="35"/>
        <v/>
      </c>
      <c r="E880" s="315" t="str">
        <f t="shared" si="36"/>
        <v/>
      </c>
      <c r="F880" s="316"/>
      <c r="G880" s="317"/>
      <c r="H880" s="318"/>
      <c r="I880" s="318"/>
      <c r="J880" s="318"/>
      <c r="K880" s="319">
        <f t="shared" si="39"/>
        <v>0</v>
      </c>
      <c r="L880" s="320" t="str">
        <f t="shared" si="34"/>
        <v/>
      </c>
      <c r="T880" s="344"/>
      <c r="U880" s="345"/>
      <c r="V880" s="346"/>
    </row>
    <row r="881">
      <c r="A881" s="339"/>
      <c r="B881" s="313"/>
      <c r="C881" s="314"/>
      <c r="D881" s="315" t="str">
        <f t="shared" si="35"/>
        <v/>
      </c>
      <c r="E881" s="315" t="str">
        <f t="shared" si="36"/>
        <v/>
      </c>
      <c r="F881" s="316"/>
      <c r="G881" s="317"/>
      <c r="H881" s="318"/>
      <c r="I881" s="318"/>
      <c r="J881" s="318"/>
      <c r="K881" s="319">
        <f t="shared" si="39"/>
        <v>0</v>
      </c>
      <c r="L881" s="320" t="str">
        <f t="shared" si="34"/>
        <v/>
      </c>
      <c r="T881" s="344"/>
      <c r="U881" s="345"/>
      <c r="V881" s="346"/>
    </row>
    <row r="882">
      <c r="A882" s="339"/>
      <c r="B882" s="313"/>
      <c r="C882" s="314"/>
      <c r="D882" s="315" t="str">
        <f t="shared" si="35"/>
        <v/>
      </c>
      <c r="E882" s="315" t="str">
        <f t="shared" si="36"/>
        <v/>
      </c>
      <c r="F882" s="316"/>
      <c r="G882" s="317"/>
      <c r="H882" s="318"/>
      <c r="I882" s="318"/>
      <c r="J882" s="318"/>
      <c r="K882" s="319">
        <f t="shared" si="39"/>
        <v>0</v>
      </c>
      <c r="L882" s="320" t="str">
        <f t="shared" si="34"/>
        <v/>
      </c>
      <c r="T882" s="344"/>
      <c r="U882" s="345"/>
      <c r="V882" s="346"/>
    </row>
    <row r="883">
      <c r="A883" s="339"/>
      <c r="B883" s="313"/>
      <c r="C883" s="314"/>
      <c r="D883" s="315" t="str">
        <f t="shared" si="35"/>
        <v/>
      </c>
      <c r="E883" s="315" t="str">
        <f t="shared" si="36"/>
        <v/>
      </c>
      <c r="F883" s="316"/>
      <c r="G883" s="317"/>
      <c r="H883" s="318"/>
      <c r="I883" s="318"/>
      <c r="J883" s="318"/>
      <c r="K883" s="319">
        <f t="shared" si="39"/>
        <v>0</v>
      </c>
      <c r="L883" s="320" t="str">
        <f t="shared" si="34"/>
        <v/>
      </c>
      <c r="T883" s="344"/>
      <c r="U883" s="345"/>
      <c r="V883" s="346"/>
    </row>
    <row r="884">
      <c r="A884" s="339"/>
      <c r="B884" s="313"/>
      <c r="C884" s="314"/>
      <c r="D884" s="315" t="str">
        <f t="shared" si="35"/>
        <v/>
      </c>
      <c r="E884" s="315" t="str">
        <f t="shared" si="36"/>
        <v/>
      </c>
      <c r="F884" s="316"/>
      <c r="G884" s="317"/>
      <c r="H884" s="318"/>
      <c r="I884" s="318"/>
      <c r="J884" s="318"/>
      <c r="K884" s="319">
        <f t="shared" si="39"/>
        <v>0</v>
      </c>
      <c r="L884" s="320" t="str">
        <f t="shared" si="34"/>
        <v/>
      </c>
      <c r="T884" s="344"/>
      <c r="U884" s="345"/>
      <c r="V884" s="346"/>
    </row>
    <row r="885">
      <c r="A885" s="339"/>
      <c r="B885" s="313"/>
      <c r="C885" s="314"/>
      <c r="D885" s="315" t="str">
        <f t="shared" si="35"/>
        <v/>
      </c>
      <c r="E885" s="315" t="str">
        <f t="shared" si="36"/>
        <v/>
      </c>
      <c r="F885" s="316"/>
      <c r="G885" s="317"/>
      <c r="H885" s="318"/>
      <c r="I885" s="318"/>
      <c r="J885" s="318"/>
      <c r="K885" s="319">
        <f t="shared" si="39"/>
        <v>0</v>
      </c>
      <c r="L885" s="320" t="str">
        <f t="shared" si="34"/>
        <v/>
      </c>
      <c r="T885" s="344"/>
      <c r="U885" s="345"/>
      <c r="V885" s="346"/>
    </row>
    <row r="886">
      <c r="A886" s="339"/>
      <c r="B886" s="313"/>
      <c r="C886" s="314"/>
      <c r="D886" s="315" t="str">
        <f t="shared" si="35"/>
        <v/>
      </c>
      <c r="E886" s="315" t="str">
        <f t="shared" si="36"/>
        <v/>
      </c>
      <c r="F886" s="316"/>
      <c r="G886" s="317"/>
      <c r="H886" s="318"/>
      <c r="I886" s="318"/>
      <c r="J886" s="318"/>
      <c r="K886" s="319">
        <f t="shared" si="39"/>
        <v>0</v>
      </c>
      <c r="L886" s="320" t="str">
        <f t="shared" si="34"/>
        <v/>
      </c>
      <c r="T886" s="344"/>
      <c r="U886" s="345"/>
      <c r="V886" s="346"/>
    </row>
    <row r="887">
      <c r="A887" s="339"/>
      <c r="B887" s="313"/>
      <c r="C887" s="314"/>
      <c r="D887" s="315" t="str">
        <f t="shared" si="35"/>
        <v/>
      </c>
      <c r="E887" s="315" t="str">
        <f t="shared" si="36"/>
        <v/>
      </c>
      <c r="F887" s="316"/>
      <c r="G887" s="317"/>
      <c r="H887" s="318"/>
      <c r="I887" s="318"/>
      <c r="J887" s="318"/>
      <c r="K887" s="319">
        <f t="shared" si="39"/>
        <v>0</v>
      </c>
      <c r="L887" s="320" t="str">
        <f t="shared" si="34"/>
        <v/>
      </c>
      <c r="T887" s="344"/>
      <c r="U887" s="345"/>
      <c r="V887" s="346"/>
    </row>
    <row r="888">
      <c r="A888" s="339"/>
      <c r="B888" s="313"/>
      <c r="C888" s="314"/>
      <c r="D888" s="315" t="str">
        <f t="shared" si="35"/>
        <v/>
      </c>
      <c r="E888" s="315" t="str">
        <f t="shared" si="36"/>
        <v/>
      </c>
      <c r="F888" s="316"/>
      <c r="G888" s="317"/>
      <c r="H888" s="318"/>
      <c r="I888" s="318"/>
      <c r="J888" s="318"/>
      <c r="K888" s="319">
        <f t="shared" si="39"/>
        <v>0</v>
      </c>
      <c r="L888" s="320" t="str">
        <f t="shared" si="34"/>
        <v/>
      </c>
      <c r="T888" s="344"/>
      <c r="U888" s="345"/>
      <c r="V888" s="346"/>
    </row>
    <row r="889">
      <c r="A889" s="339"/>
      <c r="B889" s="313"/>
      <c r="C889" s="314"/>
      <c r="D889" s="315" t="str">
        <f t="shared" si="35"/>
        <v/>
      </c>
      <c r="E889" s="315" t="str">
        <f t="shared" si="36"/>
        <v/>
      </c>
      <c r="F889" s="318"/>
      <c r="G889" s="318"/>
      <c r="H889" s="318"/>
      <c r="I889" s="318"/>
      <c r="J889" s="318"/>
      <c r="K889" s="319">
        <f t="shared" si="39"/>
        <v>0</v>
      </c>
      <c r="L889" s="320" t="str">
        <f t="shared" si="34"/>
        <v/>
      </c>
      <c r="M889" s="239"/>
      <c r="T889" s="344"/>
      <c r="U889" s="345"/>
      <c r="V889" s="346"/>
    </row>
    <row r="890">
      <c r="A890" s="339"/>
      <c r="B890" s="313"/>
      <c r="C890" s="314"/>
      <c r="D890" s="315" t="str">
        <f t="shared" si="35"/>
        <v/>
      </c>
      <c r="E890" s="315" t="str">
        <f t="shared" si="36"/>
        <v/>
      </c>
      <c r="F890" s="316"/>
      <c r="G890" s="317"/>
      <c r="H890" s="318"/>
      <c r="I890" s="318"/>
      <c r="J890" s="318"/>
      <c r="K890" s="319">
        <f t="shared" si="39"/>
        <v>0</v>
      </c>
      <c r="L890" s="320" t="str">
        <f t="shared" si="34"/>
        <v/>
      </c>
      <c r="T890" s="344"/>
      <c r="U890" s="345"/>
      <c r="V890" s="346"/>
    </row>
    <row r="891">
      <c r="A891" s="339"/>
      <c r="B891" s="313"/>
      <c r="C891" s="314"/>
      <c r="D891" s="315" t="str">
        <f t="shared" si="35"/>
        <v/>
      </c>
      <c r="E891" s="315" t="str">
        <f t="shared" si="36"/>
        <v/>
      </c>
      <c r="F891" s="316"/>
      <c r="G891" s="317"/>
      <c r="H891" s="318"/>
      <c r="I891" s="318"/>
      <c r="J891" s="318"/>
      <c r="K891" s="319">
        <f t="shared" si="39"/>
        <v>0</v>
      </c>
      <c r="L891" s="320" t="str">
        <f t="shared" si="34"/>
        <v/>
      </c>
      <c r="T891" s="344"/>
      <c r="U891" s="345"/>
      <c r="V891" s="346"/>
    </row>
    <row r="892">
      <c r="A892" s="339"/>
      <c r="B892" s="313"/>
      <c r="C892" s="314"/>
      <c r="D892" s="315" t="str">
        <f t="shared" si="35"/>
        <v/>
      </c>
      <c r="E892" s="315" t="str">
        <f t="shared" si="36"/>
        <v/>
      </c>
      <c r="F892" s="316"/>
      <c r="G892" s="317"/>
      <c r="H892" s="318"/>
      <c r="I892" s="318"/>
      <c r="J892" s="318"/>
      <c r="K892" s="319">
        <f t="shared" si="39"/>
        <v>0</v>
      </c>
      <c r="L892" s="320" t="str">
        <f t="shared" si="34"/>
        <v/>
      </c>
      <c r="T892" s="344"/>
      <c r="U892" s="345"/>
      <c r="V892" s="346"/>
    </row>
    <row r="893">
      <c r="A893" s="339"/>
      <c r="B893" s="313"/>
      <c r="C893" s="314"/>
      <c r="D893" s="315" t="str">
        <f t="shared" si="35"/>
        <v/>
      </c>
      <c r="E893" s="315" t="str">
        <f t="shared" si="36"/>
        <v/>
      </c>
      <c r="F893" s="316"/>
      <c r="G893" s="317"/>
      <c r="H893" s="318"/>
      <c r="I893" s="318"/>
      <c r="J893" s="318"/>
      <c r="K893" s="319">
        <f t="shared" si="39"/>
        <v>0</v>
      </c>
      <c r="L893" s="320" t="str">
        <f t="shared" si="34"/>
        <v/>
      </c>
      <c r="T893" s="344"/>
      <c r="U893" s="345"/>
      <c r="V893" s="346"/>
    </row>
    <row r="894">
      <c r="A894" s="339"/>
      <c r="B894" s="313"/>
      <c r="C894" s="314"/>
      <c r="D894" s="315" t="str">
        <f t="shared" si="35"/>
        <v/>
      </c>
      <c r="E894" s="315" t="str">
        <f t="shared" si="36"/>
        <v/>
      </c>
      <c r="F894" s="316"/>
      <c r="G894" s="317"/>
      <c r="H894" s="318"/>
      <c r="I894" s="318"/>
      <c r="J894" s="318"/>
      <c r="K894" s="319">
        <f t="shared" si="39"/>
        <v>0</v>
      </c>
      <c r="L894" s="320" t="str">
        <f t="shared" si="34"/>
        <v/>
      </c>
      <c r="T894" s="344"/>
      <c r="U894" s="345"/>
      <c r="V894" s="346"/>
    </row>
    <row r="895">
      <c r="A895" s="339"/>
      <c r="B895" s="313"/>
      <c r="C895" s="314"/>
      <c r="D895" s="315" t="str">
        <f t="shared" si="35"/>
        <v/>
      </c>
      <c r="E895" s="315" t="str">
        <f t="shared" si="36"/>
        <v/>
      </c>
      <c r="F895" s="316"/>
      <c r="G895" s="317"/>
      <c r="H895" s="318"/>
      <c r="I895" s="318"/>
      <c r="J895" s="318"/>
      <c r="K895" s="319">
        <f t="shared" si="39"/>
        <v>0</v>
      </c>
      <c r="L895" s="320" t="str">
        <f t="shared" si="34"/>
        <v/>
      </c>
      <c r="T895" s="344"/>
      <c r="U895" s="345"/>
      <c r="V895" s="346"/>
    </row>
    <row r="896">
      <c r="A896" s="339"/>
      <c r="B896" s="313"/>
      <c r="C896" s="314"/>
      <c r="D896" s="315" t="str">
        <f t="shared" si="35"/>
        <v/>
      </c>
      <c r="E896" s="315" t="str">
        <f t="shared" si="36"/>
        <v/>
      </c>
      <c r="F896" s="316"/>
      <c r="G896" s="317"/>
      <c r="H896" s="318"/>
      <c r="I896" s="318"/>
      <c r="J896" s="318"/>
      <c r="K896" s="319">
        <f t="shared" si="39"/>
        <v>0</v>
      </c>
      <c r="L896" s="320" t="str">
        <f t="shared" si="34"/>
        <v/>
      </c>
      <c r="T896" s="344"/>
      <c r="U896" s="345"/>
      <c r="V896" s="346"/>
    </row>
    <row r="897">
      <c r="A897" s="339"/>
      <c r="B897" s="313"/>
      <c r="C897" s="314"/>
      <c r="D897" s="315" t="str">
        <f t="shared" si="35"/>
        <v/>
      </c>
      <c r="E897" s="315" t="str">
        <f t="shared" si="36"/>
        <v/>
      </c>
      <c r="F897" s="316"/>
      <c r="G897" s="317"/>
      <c r="H897" s="318"/>
      <c r="I897" s="318"/>
      <c r="J897" s="318"/>
      <c r="K897" s="319">
        <f t="shared" si="39"/>
        <v>0</v>
      </c>
      <c r="L897" s="320" t="str">
        <f t="shared" si="34"/>
        <v/>
      </c>
      <c r="T897" s="344"/>
      <c r="U897" s="345"/>
      <c r="V897" s="346"/>
    </row>
    <row r="898">
      <c r="A898" s="339"/>
      <c r="B898" s="313"/>
      <c r="C898" s="314"/>
      <c r="D898" s="315" t="str">
        <f t="shared" si="35"/>
        <v/>
      </c>
      <c r="E898" s="315" t="str">
        <f t="shared" si="36"/>
        <v/>
      </c>
      <c r="F898" s="316"/>
      <c r="G898" s="317"/>
      <c r="H898" s="318"/>
      <c r="I898" s="318"/>
      <c r="J898" s="318"/>
      <c r="K898" s="319">
        <f t="shared" si="39"/>
        <v>0</v>
      </c>
      <c r="L898" s="320" t="str">
        <f t="shared" si="34"/>
        <v/>
      </c>
      <c r="T898" s="344"/>
      <c r="U898" s="345"/>
      <c r="V898" s="346"/>
    </row>
    <row r="899">
      <c r="A899" s="339"/>
      <c r="B899" s="313"/>
      <c r="C899" s="314"/>
      <c r="D899" s="315" t="str">
        <f t="shared" si="35"/>
        <v/>
      </c>
      <c r="E899" s="315" t="str">
        <f t="shared" si="36"/>
        <v/>
      </c>
      <c r="F899" s="316"/>
      <c r="G899" s="317"/>
      <c r="H899" s="318"/>
      <c r="I899" s="318"/>
      <c r="J899" s="318"/>
      <c r="K899" s="319">
        <f t="shared" si="39"/>
        <v>0</v>
      </c>
      <c r="L899" s="320" t="str">
        <f t="shared" si="34"/>
        <v/>
      </c>
      <c r="T899" s="344"/>
      <c r="U899" s="345"/>
      <c r="V899" s="346"/>
    </row>
    <row r="900">
      <c r="A900" s="339"/>
      <c r="B900" s="313"/>
      <c r="C900" s="314"/>
      <c r="D900" s="315" t="str">
        <f t="shared" si="35"/>
        <v/>
      </c>
      <c r="E900" s="315" t="str">
        <f t="shared" si="36"/>
        <v/>
      </c>
      <c r="F900" s="316"/>
      <c r="G900" s="316"/>
      <c r="H900" s="318"/>
      <c r="I900" s="318"/>
      <c r="J900" s="318"/>
      <c r="K900" s="319">
        <f t="shared" si="39"/>
        <v>0</v>
      </c>
      <c r="L900" s="320" t="str">
        <f t="shared" si="34"/>
        <v/>
      </c>
      <c r="M900" s="239"/>
      <c r="T900" s="344"/>
      <c r="U900" s="345"/>
      <c r="V900" s="346"/>
    </row>
    <row r="901">
      <c r="A901" s="339"/>
      <c r="B901" s="313"/>
      <c r="C901" s="314"/>
      <c r="D901" s="315" t="str">
        <f t="shared" si="35"/>
        <v/>
      </c>
      <c r="E901" s="315" t="str">
        <f t="shared" si="36"/>
        <v/>
      </c>
      <c r="F901" s="318"/>
      <c r="G901" s="318"/>
      <c r="H901" s="318"/>
      <c r="I901" s="318"/>
      <c r="J901" s="318"/>
      <c r="K901" s="319">
        <f t="shared" si="39"/>
        <v>0</v>
      </c>
      <c r="L901" s="320" t="str">
        <f t="shared" si="34"/>
        <v/>
      </c>
      <c r="M901" s="239"/>
      <c r="T901" s="344"/>
      <c r="U901" s="345"/>
      <c r="V901" s="346"/>
    </row>
    <row r="902">
      <c r="A902" s="339"/>
      <c r="B902" s="313"/>
      <c r="C902" s="314"/>
      <c r="D902" s="315" t="str">
        <f t="shared" si="35"/>
        <v/>
      </c>
      <c r="E902" s="315" t="str">
        <f t="shared" si="36"/>
        <v/>
      </c>
      <c r="F902" s="316"/>
      <c r="G902" s="317"/>
      <c r="H902" s="318"/>
      <c r="I902" s="318"/>
      <c r="J902" s="318"/>
      <c r="K902" s="319">
        <f t="shared" si="39"/>
        <v>0</v>
      </c>
      <c r="L902" s="320" t="str">
        <f t="shared" si="34"/>
        <v/>
      </c>
      <c r="T902" s="344"/>
      <c r="U902" s="345"/>
      <c r="V902" s="346"/>
    </row>
    <row r="903">
      <c r="A903" s="339"/>
      <c r="B903" s="313"/>
      <c r="C903" s="314"/>
      <c r="D903" s="315" t="str">
        <f t="shared" si="35"/>
        <v/>
      </c>
      <c r="E903" s="315" t="str">
        <f t="shared" si="36"/>
        <v/>
      </c>
      <c r="F903" s="316"/>
      <c r="G903" s="317"/>
      <c r="H903" s="318"/>
      <c r="I903" s="318"/>
      <c r="J903" s="318"/>
      <c r="K903" s="319">
        <f t="shared" si="39"/>
        <v>0</v>
      </c>
      <c r="L903" s="320" t="str">
        <f t="shared" si="34"/>
        <v/>
      </c>
      <c r="T903" s="344"/>
      <c r="U903" s="345"/>
      <c r="V903" s="346"/>
    </row>
    <row r="904">
      <c r="A904" s="339"/>
      <c r="B904" s="313"/>
      <c r="C904" s="314"/>
      <c r="D904" s="315" t="str">
        <f t="shared" si="35"/>
        <v/>
      </c>
      <c r="E904" s="315" t="str">
        <f t="shared" si="36"/>
        <v/>
      </c>
      <c r="F904" s="316"/>
      <c r="G904" s="317"/>
      <c r="H904" s="318"/>
      <c r="I904" s="318"/>
      <c r="J904" s="318"/>
      <c r="K904" s="319">
        <f t="shared" si="39"/>
        <v>0</v>
      </c>
      <c r="L904" s="320" t="str">
        <f t="shared" si="34"/>
        <v/>
      </c>
      <c r="T904" s="344"/>
      <c r="U904" s="345"/>
      <c r="V904" s="346"/>
    </row>
    <row r="905">
      <c r="A905" s="339"/>
      <c r="B905" s="313"/>
      <c r="C905" s="314"/>
      <c r="D905" s="315" t="str">
        <f t="shared" si="35"/>
        <v/>
      </c>
      <c r="E905" s="315" t="str">
        <f t="shared" si="36"/>
        <v/>
      </c>
      <c r="F905" s="316"/>
      <c r="G905" s="317"/>
      <c r="H905" s="318"/>
      <c r="I905" s="318"/>
      <c r="J905" s="318"/>
      <c r="K905" s="319">
        <f t="shared" si="39"/>
        <v>0</v>
      </c>
      <c r="L905" s="320" t="str">
        <f t="shared" si="34"/>
        <v/>
      </c>
      <c r="T905" s="344"/>
      <c r="U905" s="345"/>
      <c r="V905" s="346"/>
    </row>
    <row r="906">
      <c r="A906" s="339"/>
      <c r="B906" s="313"/>
      <c r="C906" s="314"/>
      <c r="D906" s="315" t="str">
        <f t="shared" si="35"/>
        <v/>
      </c>
      <c r="E906" s="315" t="str">
        <f t="shared" si="36"/>
        <v/>
      </c>
      <c r="F906" s="316"/>
      <c r="G906" s="317"/>
      <c r="H906" s="318"/>
      <c r="I906" s="318"/>
      <c r="J906" s="318"/>
      <c r="K906" s="319">
        <f t="shared" si="39"/>
        <v>0</v>
      </c>
      <c r="L906" s="320" t="str">
        <f t="shared" si="34"/>
        <v/>
      </c>
      <c r="T906" s="344"/>
      <c r="U906" s="345"/>
      <c r="V906" s="346"/>
    </row>
    <row r="907">
      <c r="A907" s="339"/>
      <c r="B907" s="313"/>
      <c r="C907" s="314"/>
      <c r="D907" s="315" t="str">
        <f t="shared" si="35"/>
        <v/>
      </c>
      <c r="E907" s="315" t="str">
        <f t="shared" si="36"/>
        <v/>
      </c>
      <c r="F907" s="316"/>
      <c r="G907" s="317"/>
      <c r="H907" s="318"/>
      <c r="I907" s="318"/>
      <c r="J907" s="318"/>
      <c r="K907" s="319">
        <f t="shared" si="39"/>
        <v>0</v>
      </c>
      <c r="L907" s="320" t="str">
        <f t="shared" si="34"/>
        <v/>
      </c>
      <c r="T907" s="344"/>
      <c r="U907" s="345"/>
      <c r="V907" s="346"/>
    </row>
    <row r="908">
      <c r="A908" s="339"/>
      <c r="B908" s="313"/>
      <c r="C908" s="314"/>
      <c r="D908" s="315" t="str">
        <f t="shared" si="35"/>
        <v/>
      </c>
      <c r="E908" s="315" t="str">
        <f t="shared" si="36"/>
        <v/>
      </c>
      <c r="F908" s="318"/>
      <c r="G908" s="318"/>
      <c r="H908" s="318"/>
      <c r="I908" s="318"/>
      <c r="J908" s="318"/>
      <c r="K908" s="319">
        <f t="shared" si="39"/>
        <v>0</v>
      </c>
      <c r="L908" s="320" t="str">
        <f t="shared" si="34"/>
        <v/>
      </c>
      <c r="M908" s="239"/>
      <c r="T908" s="344"/>
      <c r="U908" s="345"/>
      <c r="V908" s="346"/>
    </row>
    <row r="909">
      <c r="A909" s="339"/>
      <c r="B909" s="313"/>
      <c r="C909" s="314"/>
      <c r="D909" s="315" t="str">
        <f t="shared" si="35"/>
        <v/>
      </c>
      <c r="E909" s="315" t="str">
        <f t="shared" si="36"/>
        <v/>
      </c>
      <c r="F909" s="316"/>
      <c r="G909" s="317"/>
      <c r="H909" s="318"/>
      <c r="I909" s="318"/>
      <c r="J909" s="318"/>
      <c r="K909" s="319">
        <f t="shared" si="39"/>
        <v>0</v>
      </c>
      <c r="L909" s="320" t="str">
        <f t="shared" si="34"/>
        <v/>
      </c>
      <c r="T909" s="344"/>
      <c r="U909" s="345"/>
      <c r="V909" s="346"/>
    </row>
    <row r="910">
      <c r="A910" s="339"/>
      <c r="B910" s="313"/>
      <c r="C910" s="314"/>
      <c r="D910" s="315" t="str">
        <f t="shared" si="35"/>
        <v/>
      </c>
      <c r="E910" s="315" t="str">
        <f t="shared" si="36"/>
        <v/>
      </c>
      <c r="F910" s="316"/>
      <c r="G910" s="317"/>
      <c r="H910" s="318"/>
      <c r="I910" s="318"/>
      <c r="J910" s="318"/>
      <c r="K910" s="319">
        <f t="shared" si="39"/>
        <v>0</v>
      </c>
      <c r="L910" s="320" t="str">
        <f t="shared" si="34"/>
        <v/>
      </c>
      <c r="T910" s="344"/>
      <c r="U910" s="345"/>
      <c r="V910" s="346"/>
    </row>
    <row r="911">
      <c r="A911" s="339"/>
      <c r="B911" s="313"/>
      <c r="C911" s="314"/>
      <c r="D911" s="315" t="str">
        <f t="shared" si="35"/>
        <v/>
      </c>
      <c r="E911" s="315" t="str">
        <f t="shared" si="36"/>
        <v/>
      </c>
      <c r="F911" s="316"/>
      <c r="G911" s="317"/>
      <c r="H911" s="318"/>
      <c r="I911" s="318"/>
      <c r="J911" s="318"/>
      <c r="K911" s="319">
        <f t="shared" si="39"/>
        <v>0</v>
      </c>
      <c r="L911" s="320" t="str">
        <f t="shared" si="34"/>
        <v/>
      </c>
      <c r="T911" s="344"/>
      <c r="U911" s="345"/>
      <c r="V911" s="346"/>
    </row>
    <row r="912">
      <c r="A912" s="339"/>
      <c r="B912" s="313"/>
      <c r="C912" s="314"/>
      <c r="D912" s="315" t="str">
        <f t="shared" si="35"/>
        <v/>
      </c>
      <c r="E912" s="315" t="str">
        <f t="shared" si="36"/>
        <v/>
      </c>
      <c r="F912" s="318"/>
      <c r="G912" s="318"/>
      <c r="H912" s="318"/>
      <c r="I912" s="318"/>
      <c r="J912" s="318"/>
      <c r="K912" s="319">
        <f t="shared" si="39"/>
        <v>0</v>
      </c>
      <c r="L912" s="320" t="str">
        <f t="shared" si="34"/>
        <v/>
      </c>
      <c r="M912" s="239"/>
      <c r="T912" s="344"/>
      <c r="U912" s="345"/>
      <c r="V912" s="346"/>
    </row>
    <row r="913">
      <c r="A913" s="339"/>
      <c r="B913" s="313"/>
      <c r="C913" s="314"/>
      <c r="D913" s="315" t="str">
        <f t="shared" si="35"/>
        <v/>
      </c>
      <c r="E913" s="315" t="str">
        <f t="shared" si="36"/>
        <v/>
      </c>
      <c r="F913" s="318"/>
      <c r="G913" s="318"/>
      <c r="H913" s="318"/>
      <c r="I913" s="318"/>
      <c r="J913" s="318"/>
      <c r="K913" s="319">
        <f t="shared" si="39"/>
        <v>0</v>
      </c>
      <c r="L913" s="320" t="str">
        <f t="shared" si="34"/>
        <v/>
      </c>
      <c r="M913" s="239"/>
      <c r="T913" s="344"/>
      <c r="U913" s="345"/>
      <c r="V913" s="346"/>
    </row>
    <row r="914">
      <c r="A914" s="339"/>
      <c r="B914" s="313"/>
      <c r="C914" s="314"/>
      <c r="D914" s="315" t="str">
        <f t="shared" si="35"/>
        <v/>
      </c>
      <c r="E914" s="315" t="str">
        <f t="shared" si="36"/>
        <v/>
      </c>
      <c r="F914" s="316"/>
      <c r="G914" s="317"/>
      <c r="H914" s="318"/>
      <c r="I914" s="318"/>
      <c r="J914" s="318"/>
      <c r="K914" s="319">
        <f t="shared" si="39"/>
        <v>0</v>
      </c>
      <c r="L914" s="320" t="str">
        <f t="shared" si="34"/>
        <v/>
      </c>
      <c r="T914" s="344"/>
      <c r="U914" s="345"/>
      <c r="V914" s="346"/>
    </row>
    <row r="915">
      <c r="A915" s="339"/>
      <c r="B915" s="313"/>
      <c r="C915" s="314"/>
      <c r="D915" s="315" t="str">
        <f t="shared" si="35"/>
        <v/>
      </c>
      <c r="E915" s="315" t="str">
        <f t="shared" si="36"/>
        <v/>
      </c>
      <c r="F915" s="318"/>
      <c r="G915" s="318"/>
      <c r="H915" s="318"/>
      <c r="I915" s="318"/>
      <c r="J915" s="318"/>
      <c r="K915" s="319">
        <f t="shared" si="39"/>
        <v>0</v>
      </c>
      <c r="L915" s="320" t="str">
        <f t="shared" si="34"/>
        <v/>
      </c>
      <c r="M915" s="239"/>
      <c r="T915" s="344"/>
      <c r="U915" s="345"/>
      <c r="V915" s="346"/>
    </row>
    <row r="916">
      <c r="A916" s="339"/>
      <c r="B916" s="313"/>
      <c r="C916" s="314"/>
      <c r="D916" s="315" t="str">
        <f t="shared" si="35"/>
        <v/>
      </c>
      <c r="E916" s="315" t="str">
        <f t="shared" si="36"/>
        <v/>
      </c>
      <c r="F916" s="316"/>
      <c r="G916" s="317"/>
      <c r="H916" s="318"/>
      <c r="I916" s="318"/>
      <c r="J916" s="318"/>
      <c r="K916" s="319">
        <f t="shared" si="39"/>
        <v>0</v>
      </c>
      <c r="L916" s="320" t="str">
        <f t="shared" si="34"/>
        <v/>
      </c>
      <c r="T916" s="344"/>
      <c r="U916" s="345"/>
      <c r="V916" s="346"/>
    </row>
    <row r="917">
      <c r="A917" s="339"/>
      <c r="B917" s="313"/>
      <c r="C917" s="314"/>
      <c r="D917" s="315" t="str">
        <f t="shared" si="35"/>
        <v/>
      </c>
      <c r="E917" s="315" t="str">
        <f t="shared" si="36"/>
        <v/>
      </c>
      <c r="F917" s="316"/>
      <c r="G917" s="317"/>
      <c r="H917" s="318"/>
      <c r="I917" s="318"/>
      <c r="J917" s="318"/>
      <c r="K917" s="319">
        <f t="shared" si="39"/>
        <v>0</v>
      </c>
      <c r="L917" s="320" t="str">
        <f t="shared" si="34"/>
        <v/>
      </c>
      <c r="T917" s="344"/>
      <c r="U917" s="345"/>
      <c r="V917" s="346"/>
    </row>
    <row r="918">
      <c r="A918" s="339"/>
      <c r="B918" s="313"/>
      <c r="C918" s="314"/>
      <c r="D918" s="315" t="str">
        <f t="shared" si="35"/>
        <v/>
      </c>
      <c r="E918" s="315" t="str">
        <f t="shared" si="36"/>
        <v/>
      </c>
      <c r="F918" s="316"/>
      <c r="G918" s="317"/>
      <c r="H918" s="318"/>
      <c r="I918" s="318"/>
      <c r="J918" s="318"/>
      <c r="K918" s="319">
        <f t="shared" si="39"/>
        <v>0</v>
      </c>
      <c r="L918" s="320" t="str">
        <f t="shared" si="34"/>
        <v/>
      </c>
      <c r="T918" s="344"/>
      <c r="U918" s="345"/>
      <c r="V918" s="346"/>
    </row>
    <row r="919">
      <c r="A919" s="339"/>
      <c r="B919" s="313"/>
      <c r="C919" s="314"/>
      <c r="D919" s="315" t="str">
        <f t="shared" si="35"/>
        <v/>
      </c>
      <c r="E919" s="315" t="str">
        <f t="shared" si="36"/>
        <v/>
      </c>
      <c r="F919" s="316"/>
      <c r="G919" s="317"/>
      <c r="H919" s="318"/>
      <c r="I919" s="318"/>
      <c r="J919" s="318"/>
      <c r="K919" s="319">
        <f t="shared" si="39"/>
        <v>0</v>
      </c>
      <c r="L919" s="320" t="str">
        <f t="shared" si="34"/>
        <v/>
      </c>
      <c r="T919" s="344"/>
      <c r="U919" s="345"/>
      <c r="V919" s="346"/>
    </row>
    <row r="920">
      <c r="A920" s="339"/>
      <c r="B920" s="313"/>
      <c r="C920" s="314"/>
      <c r="D920" s="315" t="str">
        <f t="shared" si="35"/>
        <v/>
      </c>
      <c r="E920" s="315" t="str">
        <f t="shared" si="36"/>
        <v/>
      </c>
      <c r="F920" s="316"/>
      <c r="G920" s="317"/>
      <c r="H920" s="318"/>
      <c r="I920" s="318"/>
      <c r="J920" s="318"/>
      <c r="K920" s="319">
        <f t="shared" si="39"/>
        <v>0</v>
      </c>
      <c r="L920" s="320" t="str">
        <f t="shared" si="34"/>
        <v/>
      </c>
      <c r="T920" s="344"/>
      <c r="U920" s="345"/>
      <c r="V920" s="346"/>
    </row>
    <row r="921">
      <c r="A921" s="339"/>
      <c r="B921" s="313"/>
      <c r="C921" s="314"/>
      <c r="D921" s="315" t="str">
        <f t="shared" si="35"/>
        <v/>
      </c>
      <c r="E921" s="315" t="str">
        <f t="shared" si="36"/>
        <v/>
      </c>
      <c r="F921" s="316"/>
      <c r="G921" s="317"/>
      <c r="H921" s="318"/>
      <c r="I921" s="318"/>
      <c r="J921" s="318"/>
      <c r="K921" s="319">
        <f t="shared" si="39"/>
        <v>0</v>
      </c>
      <c r="L921" s="320" t="str">
        <f t="shared" si="34"/>
        <v/>
      </c>
      <c r="T921" s="344"/>
      <c r="U921" s="345"/>
      <c r="V921" s="346"/>
    </row>
    <row r="922">
      <c r="A922" s="339"/>
      <c r="B922" s="313"/>
      <c r="C922" s="314"/>
      <c r="D922" s="315" t="str">
        <f t="shared" si="35"/>
        <v/>
      </c>
      <c r="E922" s="315" t="str">
        <f t="shared" si="36"/>
        <v/>
      </c>
      <c r="F922" s="316"/>
      <c r="G922" s="317"/>
      <c r="H922" s="318"/>
      <c r="I922" s="318"/>
      <c r="J922" s="318"/>
      <c r="K922" s="319">
        <f t="shared" si="39"/>
        <v>0</v>
      </c>
      <c r="L922" s="320" t="str">
        <f t="shared" si="34"/>
        <v/>
      </c>
      <c r="T922" s="344"/>
      <c r="U922" s="345"/>
      <c r="V922" s="346"/>
    </row>
    <row r="923">
      <c r="A923" s="339"/>
      <c r="B923" s="313"/>
      <c r="C923" s="314"/>
      <c r="D923" s="315" t="str">
        <f t="shared" si="35"/>
        <v/>
      </c>
      <c r="E923" s="315" t="str">
        <f t="shared" si="36"/>
        <v/>
      </c>
      <c r="F923" s="316"/>
      <c r="G923" s="317"/>
      <c r="H923" s="318"/>
      <c r="I923" s="318"/>
      <c r="J923" s="318"/>
      <c r="K923" s="319">
        <f t="shared" si="39"/>
        <v>0</v>
      </c>
      <c r="L923" s="320" t="str">
        <f t="shared" si="34"/>
        <v/>
      </c>
      <c r="T923" s="344"/>
      <c r="U923" s="345"/>
      <c r="V923" s="346"/>
    </row>
    <row r="924">
      <c r="A924" s="339"/>
      <c r="B924" s="313"/>
      <c r="C924" s="314"/>
      <c r="D924" s="315" t="str">
        <f t="shared" si="35"/>
        <v/>
      </c>
      <c r="E924" s="315" t="str">
        <f t="shared" si="36"/>
        <v/>
      </c>
      <c r="F924" s="316"/>
      <c r="G924" s="317"/>
      <c r="H924" s="318"/>
      <c r="I924" s="318"/>
      <c r="J924" s="318"/>
      <c r="K924" s="319">
        <f t="shared" si="39"/>
        <v>0</v>
      </c>
      <c r="L924" s="320" t="str">
        <f t="shared" si="34"/>
        <v/>
      </c>
      <c r="T924" s="344"/>
      <c r="U924" s="345"/>
      <c r="V924" s="346"/>
    </row>
    <row r="925">
      <c r="A925" s="339"/>
      <c r="B925" s="313"/>
      <c r="C925" s="314"/>
      <c r="D925" s="315" t="str">
        <f t="shared" si="35"/>
        <v/>
      </c>
      <c r="E925" s="315" t="str">
        <f t="shared" si="36"/>
        <v/>
      </c>
      <c r="F925" s="316"/>
      <c r="G925" s="317"/>
      <c r="H925" s="318"/>
      <c r="I925" s="318"/>
      <c r="J925" s="318"/>
      <c r="K925" s="319">
        <f t="shared" si="39"/>
        <v>0</v>
      </c>
      <c r="L925" s="320" t="str">
        <f t="shared" si="34"/>
        <v/>
      </c>
      <c r="T925" s="344"/>
      <c r="U925" s="345"/>
      <c r="V925" s="346"/>
    </row>
    <row r="926">
      <c r="A926" s="339"/>
      <c r="B926" s="313"/>
      <c r="C926" s="314"/>
      <c r="D926" s="315" t="str">
        <f t="shared" si="35"/>
        <v/>
      </c>
      <c r="E926" s="315" t="str">
        <f t="shared" si="36"/>
        <v/>
      </c>
      <c r="F926" s="316"/>
      <c r="G926" s="317"/>
      <c r="H926" s="318"/>
      <c r="I926" s="318"/>
      <c r="J926" s="318"/>
      <c r="K926" s="319">
        <f t="shared" si="39"/>
        <v>0</v>
      </c>
      <c r="L926" s="320" t="str">
        <f t="shared" si="34"/>
        <v/>
      </c>
      <c r="T926" s="344"/>
      <c r="U926" s="345"/>
      <c r="V926" s="346"/>
    </row>
    <row r="927">
      <c r="A927" s="339"/>
      <c r="B927" s="313"/>
      <c r="C927" s="314"/>
      <c r="D927" s="315" t="str">
        <f t="shared" si="35"/>
        <v/>
      </c>
      <c r="E927" s="315" t="str">
        <f t="shared" si="36"/>
        <v/>
      </c>
      <c r="F927" s="316"/>
      <c r="G927" s="317"/>
      <c r="H927" s="318"/>
      <c r="I927" s="318"/>
      <c r="J927" s="318"/>
      <c r="K927" s="319">
        <f t="shared" si="39"/>
        <v>0</v>
      </c>
      <c r="L927" s="320" t="str">
        <f t="shared" si="34"/>
        <v/>
      </c>
      <c r="T927" s="344"/>
      <c r="U927" s="345"/>
      <c r="V927" s="346"/>
    </row>
    <row r="928">
      <c r="A928" s="339"/>
      <c r="B928" s="313"/>
      <c r="C928" s="314"/>
      <c r="D928" s="315" t="str">
        <f t="shared" si="35"/>
        <v/>
      </c>
      <c r="E928" s="315" t="str">
        <f t="shared" si="36"/>
        <v/>
      </c>
      <c r="F928" s="316"/>
      <c r="G928" s="317"/>
      <c r="H928" s="318"/>
      <c r="I928" s="318"/>
      <c r="J928" s="318"/>
      <c r="K928" s="319">
        <f t="shared" si="39"/>
        <v>0</v>
      </c>
      <c r="L928" s="320" t="str">
        <f t="shared" si="34"/>
        <v/>
      </c>
      <c r="T928" s="344"/>
      <c r="U928" s="345"/>
      <c r="V928" s="346"/>
    </row>
    <row r="929">
      <c r="A929" s="339"/>
      <c r="B929" s="313"/>
      <c r="C929" s="314"/>
      <c r="D929" s="315" t="str">
        <f t="shared" si="35"/>
        <v/>
      </c>
      <c r="E929" s="315" t="str">
        <f t="shared" si="36"/>
        <v/>
      </c>
      <c r="F929" s="316"/>
      <c r="G929" s="317"/>
      <c r="H929" s="318"/>
      <c r="I929" s="318"/>
      <c r="J929" s="318"/>
      <c r="K929" s="319">
        <f t="shared" si="39"/>
        <v>0</v>
      </c>
      <c r="L929" s="320" t="str">
        <f t="shared" si="34"/>
        <v/>
      </c>
      <c r="T929" s="344"/>
      <c r="U929" s="345"/>
      <c r="V929" s="346"/>
    </row>
    <row r="930">
      <c r="A930" s="339"/>
      <c r="B930" s="313"/>
      <c r="C930" s="314"/>
      <c r="D930" s="315" t="str">
        <f t="shared" si="35"/>
        <v/>
      </c>
      <c r="E930" s="315" t="str">
        <f t="shared" si="36"/>
        <v/>
      </c>
      <c r="F930" s="316"/>
      <c r="G930" s="317"/>
      <c r="H930" s="318"/>
      <c r="I930" s="318"/>
      <c r="J930" s="318"/>
      <c r="K930" s="319">
        <f t="shared" si="39"/>
        <v>0</v>
      </c>
      <c r="L930" s="320" t="str">
        <f t="shared" si="34"/>
        <v/>
      </c>
      <c r="T930" s="344"/>
      <c r="U930" s="345"/>
      <c r="V930" s="346"/>
    </row>
    <row r="931">
      <c r="A931" s="339"/>
      <c r="B931" s="313"/>
      <c r="C931" s="314"/>
      <c r="D931" s="315" t="str">
        <f t="shared" si="35"/>
        <v/>
      </c>
      <c r="E931" s="315" t="str">
        <f t="shared" si="36"/>
        <v/>
      </c>
      <c r="F931" s="316"/>
      <c r="G931" s="317"/>
      <c r="H931" s="318"/>
      <c r="I931" s="318"/>
      <c r="J931" s="318"/>
      <c r="K931" s="319">
        <f t="shared" si="39"/>
        <v>0</v>
      </c>
      <c r="L931" s="320" t="str">
        <f t="shared" si="34"/>
        <v/>
      </c>
      <c r="T931" s="344"/>
      <c r="U931" s="345"/>
      <c r="V931" s="346"/>
    </row>
    <row r="932">
      <c r="A932" s="339"/>
      <c r="B932" s="313"/>
      <c r="C932" s="314"/>
      <c r="D932" s="315" t="str">
        <f t="shared" si="35"/>
        <v/>
      </c>
      <c r="E932" s="315" t="str">
        <f t="shared" si="36"/>
        <v/>
      </c>
      <c r="F932" s="316"/>
      <c r="G932" s="317"/>
      <c r="H932" s="318"/>
      <c r="I932" s="318"/>
      <c r="J932" s="318"/>
      <c r="K932" s="319">
        <f t="shared" si="39"/>
        <v>0</v>
      </c>
      <c r="L932" s="320" t="str">
        <f t="shared" si="34"/>
        <v/>
      </c>
      <c r="T932" s="344"/>
      <c r="U932" s="345"/>
      <c r="V932" s="346"/>
    </row>
    <row r="933">
      <c r="A933" s="339"/>
      <c r="B933" s="313"/>
      <c r="C933" s="314"/>
      <c r="D933" s="315" t="str">
        <f t="shared" si="35"/>
        <v/>
      </c>
      <c r="E933" s="315" t="str">
        <f t="shared" si="36"/>
        <v/>
      </c>
      <c r="F933" s="316"/>
      <c r="G933" s="317"/>
      <c r="H933" s="318"/>
      <c r="I933" s="318"/>
      <c r="J933" s="318"/>
      <c r="K933" s="319">
        <f t="shared" si="39"/>
        <v>0</v>
      </c>
      <c r="L933" s="320" t="str">
        <f t="shared" si="34"/>
        <v/>
      </c>
      <c r="T933" s="344"/>
      <c r="U933" s="345"/>
      <c r="V933" s="346"/>
    </row>
    <row r="934">
      <c r="A934" s="339"/>
      <c r="B934" s="313"/>
      <c r="C934" s="314"/>
      <c r="D934" s="315" t="str">
        <f t="shared" si="35"/>
        <v/>
      </c>
      <c r="E934" s="315" t="str">
        <f t="shared" si="36"/>
        <v/>
      </c>
      <c r="F934" s="316"/>
      <c r="G934" s="317"/>
      <c r="H934" s="318"/>
      <c r="I934" s="318"/>
      <c r="J934" s="318"/>
      <c r="K934" s="319">
        <f t="shared" si="39"/>
        <v>0</v>
      </c>
      <c r="L934" s="320" t="str">
        <f t="shared" si="34"/>
        <v/>
      </c>
      <c r="T934" s="344"/>
      <c r="U934" s="345"/>
      <c r="V934" s="346"/>
    </row>
    <row r="935">
      <c r="A935" s="339"/>
      <c r="B935" s="313"/>
      <c r="C935" s="314"/>
      <c r="D935" s="315" t="str">
        <f t="shared" si="35"/>
        <v/>
      </c>
      <c r="E935" s="315" t="str">
        <f t="shared" si="36"/>
        <v/>
      </c>
      <c r="F935" s="316"/>
      <c r="G935" s="317"/>
      <c r="H935" s="318"/>
      <c r="I935" s="318"/>
      <c r="J935" s="318"/>
      <c r="K935" s="319">
        <f t="shared" si="39"/>
        <v>0</v>
      </c>
      <c r="L935" s="320" t="str">
        <f t="shared" si="34"/>
        <v/>
      </c>
      <c r="T935" s="344"/>
      <c r="U935" s="345"/>
      <c r="V935" s="346"/>
    </row>
    <row r="936">
      <c r="A936" s="339"/>
      <c r="B936" s="313"/>
      <c r="C936" s="314"/>
      <c r="D936" s="315" t="str">
        <f t="shared" si="35"/>
        <v/>
      </c>
      <c r="E936" s="315" t="str">
        <f t="shared" si="36"/>
        <v/>
      </c>
      <c r="F936" s="316"/>
      <c r="G936" s="317"/>
      <c r="H936" s="318"/>
      <c r="I936" s="318"/>
      <c r="J936" s="318"/>
      <c r="K936" s="319">
        <f t="shared" si="39"/>
        <v>0</v>
      </c>
      <c r="L936" s="320" t="str">
        <f t="shared" si="34"/>
        <v/>
      </c>
      <c r="T936" s="344"/>
      <c r="U936" s="345"/>
      <c r="V936" s="346"/>
    </row>
    <row r="937">
      <c r="A937" s="339"/>
      <c r="B937" s="313"/>
      <c r="C937" s="314"/>
      <c r="D937" s="315" t="str">
        <f t="shared" si="35"/>
        <v/>
      </c>
      <c r="E937" s="315" t="str">
        <f t="shared" si="36"/>
        <v/>
      </c>
      <c r="F937" s="316"/>
      <c r="G937" s="317"/>
      <c r="H937" s="318"/>
      <c r="I937" s="318"/>
      <c r="J937" s="318"/>
      <c r="K937" s="319">
        <f t="shared" si="39"/>
        <v>0</v>
      </c>
      <c r="L937" s="320" t="str">
        <f t="shared" si="34"/>
        <v/>
      </c>
      <c r="T937" s="344"/>
      <c r="U937" s="345"/>
      <c r="V937" s="346"/>
    </row>
    <row r="938">
      <c r="A938" s="339"/>
      <c r="B938" s="313"/>
      <c r="C938" s="314"/>
      <c r="D938" s="315" t="str">
        <f t="shared" si="35"/>
        <v/>
      </c>
      <c r="E938" s="315" t="str">
        <f t="shared" si="36"/>
        <v/>
      </c>
      <c r="F938" s="316"/>
      <c r="G938" s="317"/>
      <c r="H938" s="318"/>
      <c r="I938" s="318"/>
      <c r="J938" s="318"/>
      <c r="K938" s="319">
        <f t="shared" si="39"/>
        <v>0</v>
      </c>
      <c r="L938" s="320" t="str">
        <f t="shared" si="34"/>
        <v/>
      </c>
      <c r="T938" s="344"/>
      <c r="U938" s="345"/>
      <c r="V938" s="346"/>
    </row>
    <row r="939">
      <c r="A939" s="339"/>
      <c r="B939" s="313"/>
      <c r="C939" s="314"/>
      <c r="D939" s="315" t="str">
        <f t="shared" si="35"/>
        <v/>
      </c>
      <c r="E939" s="315" t="str">
        <f t="shared" si="36"/>
        <v/>
      </c>
      <c r="F939" s="316"/>
      <c r="G939" s="317"/>
      <c r="H939" s="318"/>
      <c r="I939" s="318"/>
      <c r="J939" s="318"/>
      <c r="K939" s="319">
        <f t="shared" si="39"/>
        <v>0</v>
      </c>
      <c r="L939" s="320" t="str">
        <f t="shared" si="34"/>
        <v/>
      </c>
      <c r="T939" s="344"/>
      <c r="U939" s="345"/>
      <c r="V939" s="346"/>
    </row>
    <row r="940">
      <c r="A940" s="339"/>
      <c r="B940" s="313"/>
      <c r="C940" s="314"/>
      <c r="D940" s="315" t="str">
        <f t="shared" si="35"/>
        <v/>
      </c>
      <c r="E940" s="315" t="str">
        <f t="shared" si="36"/>
        <v/>
      </c>
      <c r="F940" s="316"/>
      <c r="G940" s="317"/>
      <c r="H940" s="318"/>
      <c r="I940" s="318"/>
      <c r="J940" s="318"/>
      <c r="K940" s="319">
        <f t="shared" si="39"/>
        <v>0</v>
      </c>
      <c r="L940" s="320" t="str">
        <f t="shared" si="34"/>
        <v/>
      </c>
      <c r="T940" s="344"/>
      <c r="U940" s="345"/>
      <c r="V940" s="346"/>
    </row>
    <row r="941">
      <c r="A941" s="339"/>
      <c r="B941" s="313"/>
      <c r="C941" s="314"/>
      <c r="D941" s="315" t="str">
        <f t="shared" si="35"/>
        <v/>
      </c>
      <c r="E941" s="315" t="str">
        <f t="shared" si="36"/>
        <v/>
      </c>
      <c r="F941" s="316"/>
      <c r="G941" s="317"/>
      <c r="H941" s="318"/>
      <c r="I941" s="318"/>
      <c r="J941" s="318"/>
      <c r="K941" s="319">
        <f t="shared" si="39"/>
        <v>0</v>
      </c>
      <c r="L941" s="320" t="str">
        <f t="shared" si="34"/>
        <v/>
      </c>
      <c r="T941" s="344"/>
      <c r="U941" s="345"/>
      <c r="V941" s="346"/>
    </row>
    <row r="942">
      <c r="A942" s="339"/>
      <c r="B942" s="313"/>
      <c r="C942" s="314"/>
      <c r="D942" s="315" t="str">
        <f t="shared" si="35"/>
        <v/>
      </c>
      <c r="E942" s="315" t="str">
        <f t="shared" si="36"/>
        <v/>
      </c>
      <c r="F942" s="316"/>
      <c r="G942" s="316"/>
      <c r="H942" s="318"/>
      <c r="I942" s="318"/>
      <c r="J942" s="318"/>
      <c r="K942" s="319">
        <f t="shared" si="39"/>
        <v>0</v>
      </c>
      <c r="L942" s="320" t="str">
        <f t="shared" si="34"/>
        <v/>
      </c>
      <c r="M942" s="239"/>
      <c r="T942" s="344"/>
      <c r="U942" s="345"/>
      <c r="V942" s="346"/>
    </row>
    <row r="943">
      <c r="A943" s="339"/>
      <c r="B943" s="313"/>
      <c r="C943" s="314"/>
      <c r="D943" s="315" t="str">
        <f t="shared" si="35"/>
        <v/>
      </c>
      <c r="E943" s="315" t="str">
        <f t="shared" si="36"/>
        <v/>
      </c>
      <c r="F943" s="318"/>
      <c r="G943" s="318"/>
      <c r="H943" s="318"/>
      <c r="I943" s="318"/>
      <c r="J943" s="318"/>
      <c r="K943" s="319">
        <f t="shared" si="39"/>
        <v>0</v>
      </c>
      <c r="L943" s="320" t="str">
        <f t="shared" si="34"/>
        <v/>
      </c>
      <c r="M943" s="239"/>
      <c r="T943" s="344"/>
      <c r="U943" s="345"/>
      <c r="V943" s="346"/>
    </row>
    <row r="944">
      <c r="A944" s="339"/>
      <c r="B944" s="313"/>
      <c r="C944" s="314"/>
      <c r="D944" s="315" t="str">
        <f t="shared" si="35"/>
        <v/>
      </c>
      <c r="E944" s="315" t="str">
        <f t="shared" si="36"/>
        <v/>
      </c>
      <c r="F944" s="316"/>
      <c r="G944" s="317"/>
      <c r="H944" s="318"/>
      <c r="I944" s="318"/>
      <c r="J944" s="318"/>
      <c r="K944" s="319">
        <f t="shared" si="39"/>
        <v>0</v>
      </c>
      <c r="L944" s="320" t="str">
        <f t="shared" si="34"/>
        <v/>
      </c>
      <c r="T944" s="344"/>
      <c r="U944" s="345"/>
      <c r="V944" s="346"/>
    </row>
    <row r="945">
      <c r="A945" s="339"/>
      <c r="B945" s="313"/>
      <c r="C945" s="314"/>
      <c r="D945" s="315" t="str">
        <f t="shared" si="35"/>
        <v/>
      </c>
      <c r="E945" s="315" t="str">
        <f t="shared" si="36"/>
        <v/>
      </c>
      <c r="F945" s="316"/>
      <c r="G945" s="317"/>
      <c r="H945" s="318"/>
      <c r="I945" s="318"/>
      <c r="J945" s="318"/>
      <c r="K945" s="319">
        <f t="shared" si="39"/>
        <v>0</v>
      </c>
      <c r="L945" s="320" t="str">
        <f t="shared" si="34"/>
        <v/>
      </c>
      <c r="T945" s="344"/>
      <c r="U945" s="345"/>
      <c r="V945" s="346"/>
    </row>
    <row r="946">
      <c r="A946" s="339"/>
      <c r="B946" s="313"/>
      <c r="C946" s="314"/>
      <c r="D946" s="315" t="str">
        <f t="shared" si="35"/>
        <v/>
      </c>
      <c r="E946" s="315" t="str">
        <f t="shared" si="36"/>
        <v/>
      </c>
      <c r="F946" s="316"/>
      <c r="G946" s="317"/>
      <c r="H946" s="318"/>
      <c r="I946" s="318"/>
      <c r="J946" s="318"/>
      <c r="K946" s="319">
        <f t="shared" si="39"/>
        <v>0</v>
      </c>
      <c r="L946" s="320" t="str">
        <f t="shared" si="34"/>
        <v/>
      </c>
      <c r="T946" s="344"/>
      <c r="U946" s="345"/>
      <c r="V946" s="346"/>
    </row>
    <row r="947">
      <c r="A947" s="339"/>
      <c r="B947" s="313"/>
      <c r="C947" s="314"/>
      <c r="D947" s="315" t="str">
        <f t="shared" si="35"/>
        <v/>
      </c>
      <c r="E947" s="315" t="str">
        <f t="shared" si="36"/>
        <v/>
      </c>
      <c r="F947" s="316"/>
      <c r="G947" s="317"/>
      <c r="H947" s="318"/>
      <c r="I947" s="318"/>
      <c r="J947" s="318"/>
      <c r="K947" s="319">
        <f t="shared" si="39"/>
        <v>0</v>
      </c>
      <c r="L947" s="320" t="str">
        <f t="shared" si="34"/>
        <v/>
      </c>
      <c r="T947" s="344"/>
      <c r="U947" s="345"/>
      <c r="V947" s="346"/>
    </row>
    <row r="948">
      <c r="A948" s="339"/>
      <c r="B948" s="313"/>
      <c r="C948" s="314"/>
      <c r="D948" s="315" t="str">
        <f t="shared" si="35"/>
        <v/>
      </c>
      <c r="E948" s="315" t="str">
        <f t="shared" si="36"/>
        <v/>
      </c>
      <c r="F948" s="316"/>
      <c r="G948" s="317"/>
      <c r="H948" s="318"/>
      <c r="I948" s="318"/>
      <c r="J948" s="318"/>
      <c r="K948" s="319">
        <f t="shared" si="39"/>
        <v>0</v>
      </c>
      <c r="L948" s="320" t="str">
        <f t="shared" si="34"/>
        <v/>
      </c>
      <c r="T948" s="344"/>
      <c r="U948" s="345"/>
      <c r="V948" s="346"/>
    </row>
    <row r="949">
      <c r="A949" s="339"/>
      <c r="B949" s="313"/>
      <c r="C949" s="314"/>
      <c r="D949" s="315" t="str">
        <f t="shared" si="35"/>
        <v/>
      </c>
      <c r="E949" s="315" t="str">
        <f t="shared" si="36"/>
        <v/>
      </c>
      <c r="F949" s="316"/>
      <c r="G949" s="317"/>
      <c r="H949" s="318"/>
      <c r="I949" s="318"/>
      <c r="J949" s="318"/>
      <c r="K949" s="319">
        <f t="shared" si="39"/>
        <v>0</v>
      </c>
      <c r="L949" s="320" t="str">
        <f t="shared" si="34"/>
        <v/>
      </c>
      <c r="M949" s="239"/>
      <c r="T949" s="344"/>
      <c r="U949" s="345"/>
      <c r="V949" s="346"/>
    </row>
    <row r="950">
      <c r="A950" s="339"/>
      <c r="B950" s="313"/>
      <c r="C950" s="314"/>
      <c r="D950" s="315" t="str">
        <f t="shared" si="35"/>
        <v/>
      </c>
      <c r="E950" s="315" t="str">
        <f t="shared" si="36"/>
        <v/>
      </c>
      <c r="F950" s="318"/>
      <c r="G950" s="318"/>
      <c r="H950" s="318"/>
      <c r="I950" s="318"/>
      <c r="J950" s="318"/>
      <c r="K950" s="319">
        <f t="shared" si="39"/>
        <v>0</v>
      </c>
      <c r="L950" s="320" t="str">
        <f t="shared" si="34"/>
        <v/>
      </c>
      <c r="M950" s="239"/>
      <c r="T950" s="344"/>
      <c r="U950" s="345"/>
      <c r="V950" s="346"/>
    </row>
    <row r="951">
      <c r="A951" s="339"/>
      <c r="B951" s="313"/>
      <c r="C951" s="314"/>
      <c r="D951" s="315" t="str">
        <f t="shared" si="35"/>
        <v/>
      </c>
      <c r="E951" s="315" t="str">
        <f t="shared" si="36"/>
        <v/>
      </c>
      <c r="F951" s="316"/>
      <c r="G951" s="317"/>
      <c r="H951" s="318"/>
      <c r="I951" s="318"/>
      <c r="J951" s="318"/>
      <c r="K951" s="319">
        <f t="shared" si="39"/>
        <v>0</v>
      </c>
      <c r="L951" s="320" t="str">
        <f t="shared" si="34"/>
        <v/>
      </c>
      <c r="T951" s="344"/>
      <c r="U951" s="345"/>
      <c r="V951" s="346"/>
    </row>
    <row r="952">
      <c r="A952" s="339"/>
      <c r="B952" s="313"/>
      <c r="C952" s="314"/>
      <c r="D952" s="315" t="str">
        <f t="shared" si="35"/>
        <v/>
      </c>
      <c r="E952" s="315" t="str">
        <f t="shared" si="36"/>
        <v/>
      </c>
      <c r="F952" s="316"/>
      <c r="G952" s="317"/>
      <c r="H952" s="318"/>
      <c r="I952" s="318"/>
      <c r="J952" s="318"/>
      <c r="K952" s="319">
        <f t="shared" si="39"/>
        <v>0</v>
      </c>
      <c r="L952" s="320" t="str">
        <f t="shared" si="34"/>
        <v/>
      </c>
      <c r="T952" s="344"/>
      <c r="U952" s="345"/>
      <c r="V952" s="346"/>
    </row>
    <row r="953">
      <c r="A953" s="339"/>
      <c r="B953" s="313"/>
      <c r="C953" s="314"/>
      <c r="D953" s="315" t="str">
        <f t="shared" si="35"/>
        <v/>
      </c>
      <c r="E953" s="315" t="str">
        <f t="shared" si="36"/>
        <v/>
      </c>
      <c r="F953" s="316"/>
      <c r="G953" s="317"/>
      <c r="H953" s="318"/>
      <c r="I953" s="318"/>
      <c r="J953" s="318"/>
      <c r="K953" s="319">
        <f t="shared" si="39"/>
        <v>0</v>
      </c>
      <c r="L953" s="320" t="str">
        <f t="shared" si="34"/>
        <v/>
      </c>
      <c r="T953" s="344"/>
      <c r="U953" s="345"/>
      <c r="V953" s="346"/>
    </row>
    <row r="954">
      <c r="A954" s="339"/>
      <c r="B954" s="313"/>
      <c r="C954" s="314"/>
      <c r="D954" s="315" t="str">
        <f t="shared" si="35"/>
        <v/>
      </c>
      <c r="E954" s="315" t="str">
        <f t="shared" si="36"/>
        <v/>
      </c>
      <c r="F954" s="316"/>
      <c r="G954" s="317"/>
      <c r="H954" s="318"/>
      <c r="I954" s="318"/>
      <c r="J954" s="318"/>
      <c r="K954" s="319">
        <f t="shared" si="39"/>
        <v>0</v>
      </c>
      <c r="L954" s="320" t="str">
        <f t="shared" si="34"/>
        <v/>
      </c>
      <c r="T954" s="344"/>
      <c r="U954" s="345"/>
      <c r="V954" s="346"/>
    </row>
    <row r="955">
      <c r="A955" s="339"/>
      <c r="B955" s="313"/>
      <c r="C955" s="314"/>
      <c r="D955" s="315" t="str">
        <f t="shared" si="35"/>
        <v/>
      </c>
      <c r="E955" s="315" t="str">
        <f t="shared" si="36"/>
        <v/>
      </c>
      <c r="F955" s="316"/>
      <c r="G955" s="317"/>
      <c r="H955" s="318"/>
      <c r="I955" s="318"/>
      <c r="J955" s="318"/>
      <c r="K955" s="319">
        <f t="shared" si="39"/>
        <v>0</v>
      </c>
      <c r="L955" s="320" t="str">
        <f t="shared" si="34"/>
        <v/>
      </c>
      <c r="T955" s="344"/>
      <c r="U955" s="345"/>
      <c r="V955" s="346"/>
    </row>
    <row r="956">
      <c r="A956" s="339"/>
      <c r="B956" s="313"/>
      <c r="C956" s="314"/>
      <c r="D956" s="315" t="str">
        <f t="shared" si="35"/>
        <v/>
      </c>
      <c r="E956" s="315" t="str">
        <f t="shared" si="36"/>
        <v/>
      </c>
      <c r="F956" s="316"/>
      <c r="G956" s="317"/>
      <c r="H956" s="318"/>
      <c r="I956" s="318"/>
      <c r="J956" s="318"/>
      <c r="K956" s="319">
        <f t="shared" si="39"/>
        <v>0</v>
      </c>
      <c r="L956" s="320" t="str">
        <f t="shared" si="34"/>
        <v/>
      </c>
      <c r="T956" s="344"/>
      <c r="U956" s="345"/>
      <c r="V956" s="346"/>
    </row>
    <row r="957">
      <c r="A957" s="339"/>
      <c r="B957" s="313"/>
      <c r="C957" s="314"/>
      <c r="D957" s="315" t="str">
        <f t="shared" si="35"/>
        <v/>
      </c>
      <c r="E957" s="315" t="str">
        <f t="shared" si="36"/>
        <v/>
      </c>
      <c r="F957" s="316"/>
      <c r="G957" s="317"/>
      <c r="H957" s="318"/>
      <c r="I957" s="318"/>
      <c r="J957" s="318"/>
      <c r="K957" s="319">
        <f t="shared" si="39"/>
        <v>0</v>
      </c>
      <c r="L957" s="320" t="str">
        <f t="shared" si="34"/>
        <v/>
      </c>
      <c r="T957" s="344"/>
      <c r="U957" s="345"/>
      <c r="V957" s="346"/>
    </row>
    <row r="958">
      <c r="A958" s="339"/>
      <c r="B958" s="313"/>
      <c r="C958" s="314"/>
      <c r="D958" s="315" t="str">
        <f t="shared" si="35"/>
        <v/>
      </c>
      <c r="E958" s="315" t="str">
        <f t="shared" si="36"/>
        <v/>
      </c>
      <c r="F958" s="316"/>
      <c r="G958" s="317"/>
      <c r="H958" s="318"/>
      <c r="I958" s="318"/>
      <c r="J958" s="318"/>
      <c r="K958" s="319">
        <f t="shared" si="39"/>
        <v>0</v>
      </c>
      <c r="L958" s="320" t="str">
        <f t="shared" si="34"/>
        <v/>
      </c>
      <c r="T958" s="344"/>
      <c r="U958" s="345"/>
      <c r="V958" s="346"/>
    </row>
    <row r="959">
      <c r="A959" s="339"/>
      <c r="B959" s="313"/>
      <c r="C959" s="314"/>
      <c r="D959" s="315" t="str">
        <f t="shared" si="35"/>
        <v/>
      </c>
      <c r="E959" s="315" t="str">
        <f t="shared" si="36"/>
        <v/>
      </c>
      <c r="F959" s="316"/>
      <c r="G959" s="317"/>
      <c r="H959" s="318"/>
      <c r="I959" s="318"/>
      <c r="J959" s="318"/>
      <c r="K959" s="319">
        <f t="shared" si="39"/>
        <v>0</v>
      </c>
      <c r="L959" s="320" t="str">
        <f t="shared" si="34"/>
        <v/>
      </c>
      <c r="T959" s="344"/>
      <c r="U959" s="345"/>
      <c r="V959" s="346"/>
    </row>
    <row r="960">
      <c r="A960" s="339"/>
      <c r="B960" s="313"/>
      <c r="C960" s="314"/>
      <c r="D960" s="315" t="str">
        <f t="shared" si="35"/>
        <v/>
      </c>
      <c r="E960" s="315" t="str">
        <f t="shared" si="36"/>
        <v/>
      </c>
      <c r="F960" s="316"/>
      <c r="G960" s="317"/>
      <c r="H960" s="318"/>
      <c r="I960" s="318"/>
      <c r="J960" s="318"/>
      <c r="K960" s="319">
        <f t="shared" si="39"/>
        <v>0</v>
      </c>
      <c r="L960" s="320" t="str">
        <f t="shared" si="34"/>
        <v/>
      </c>
      <c r="T960" s="344"/>
      <c r="U960" s="345"/>
      <c r="V960" s="346"/>
    </row>
    <row r="961">
      <c r="A961" s="339"/>
      <c r="B961" s="313"/>
      <c r="C961" s="314"/>
      <c r="D961" s="315" t="str">
        <f t="shared" si="35"/>
        <v/>
      </c>
      <c r="E961" s="315" t="str">
        <f t="shared" si="36"/>
        <v/>
      </c>
      <c r="F961" s="316"/>
      <c r="G961" s="317"/>
      <c r="H961" s="318"/>
      <c r="I961" s="318"/>
      <c r="J961" s="318"/>
      <c r="K961" s="319">
        <f t="shared" si="39"/>
        <v>0</v>
      </c>
      <c r="L961" s="320" t="str">
        <f t="shared" si="34"/>
        <v/>
      </c>
      <c r="T961" s="344"/>
      <c r="U961" s="345"/>
      <c r="V961" s="346"/>
    </row>
    <row r="962">
      <c r="A962" s="339"/>
      <c r="B962" s="313"/>
      <c r="C962" s="314"/>
      <c r="D962" s="315" t="str">
        <f t="shared" si="35"/>
        <v/>
      </c>
      <c r="E962" s="315" t="str">
        <f t="shared" si="36"/>
        <v/>
      </c>
      <c r="F962" s="318"/>
      <c r="G962" s="318"/>
      <c r="H962" s="318"/>
      <c r="I962" s="318"/>
      <c r="J962" s="318"/>
      <c r="K962" s="319">
        <f t="shared" si="39"/>
        <v>0</v>
      </c>
      <c r="L962" s="320" t="str">
        <f t="shared" si="34"/>
        <v/>
      </c>
      <c r="M962" s="239"/>
      <c r="T962" s="344"/>
      <c r="U962" s="345"/>
      <c r="V962" s="346"/>
    </row>
    <row r="963">
      <c r="A963" s="339"/>
      <c r="B963" s="313"/>
      <c r="C963" s="314"/>
      <c r="D963" s="315" t="str">
        <f t="shared" si="35"/>
        <v/>
      </c>
      <c r="E963" s="315" t="str">
        <f t="shared" si="36"/>
        <v/>
      </c>
      <c r="F963" s="316"/>
      <c r="G963" s="317"/>
      <c r="H963" s="318"/>
      <c r="I963" s="318"/>
      <c r="J963" s="318"/>
      <c r="K963" s="319">
        <f t="shared" si="39"/>
        <v>0</v>
      </c>
      <c r="L963" s="320" t="str">
        <f t="shared" si="34"/>
        <v/>
      </c>
      <c r="T963" s="344"/>
      <c r="U963" s="345"/>
      <c r="V963" s="346"/>
    </row>
    <row r="964">
      <c r="A964" s="339"/>
      <c r="B964" s="313"/>
      <c r="C964" s="314"/>
      <c r="D964" s="315" t="str">
        <f t="shared" si="35"/>
        <v/>
      </c>
      <c r="E964" s="315" t="str">
        <f t="shared" si="36"/>
        <v/>
      </c>
      <c r="F964" s="318"/>
      <c r="G964" s="318"/>
      <c r="H964" s="318"/>
      <c r="I964" s="318"/>
      <c r="J964" s="318"/>
      <c r="K964" s="319">
        <f t="shared" si="39"/>
        <v>0</v>
      </c>
      <c r="L964" s="320" t="str">
        <f t="shared" si="34"/>
        <v/>
      </c>
      <c r="M964" s="239"/>
      <c r="T964" s="344"/>
      <c r="U964" s="345"/>
      <c r="V964" s="346"/>
    </row>
    <row r="965">
      <c r="A965" s="339"/>
      <c r="B965" s="313"/>
      <c r="C965" s="314"/>
      <c r="D965" s="315" t="str">
        <f t="shared" si="35"/>
        <v/>
      </c>
      <c r="E965" s="315" t="str">
        <f t="shared" si="36"/>
        <v/>
      </c>
      <c r="F965" s="316"/>
      <c r="G965" s="317"/>
      <c r="H965" s="318"/>
      <c r="I965" s="318"/>
      <c r="J965" s="318"/>
      <c r="K965" s="319">
        <f t="shared" si="39"/>
        <v>0</v>
      </c>
      <c r="L965" s="320" t="str">
        <f t="shared" si="34"/>
        <v/>
      </c>
      <c r="T965" s="344"/>
      <c r="U965" s="345"/>
      <c r="V965" s="346"/>
    </row>
    <row r="966">
      <c r="A966" s="339"/>
      <c r="B966" s="313"/>
      <c r="C966" s="314"/>
      <c r="D966" s="315" t="str">
        <f t="shared" si="35"/>
        <v/>
      </c>
      <c r="E966" s="315" t="str">
        <f t="shared" si="36"/>
        <v/>
      </c>
      <c r="F966" s="316"/>
      <c r="G966" s="317"/>
      <c r="H966" s="318"/>
      <c r="I966" s="318"/>
      <c r="J966" s="318"/>
      <c r="K966" s="319">
        <f t="shared" si="39"/>
        <v>0</v>
      </c>
      <c r="L966" s="320" t="str">
        <f t="shared" si="34"/>
        <v/>
      </c>
      <c r="T966" s="344"/>
      <c r="U966" s="345"/>
      <c r="V966" s="346"/>
    </row>
    <row r="967">
      <c r="A967" s="339"/>
      <c r="B967" s="313"/>
      <c r="C967" s="314"/>
      <c r="D967" s="315" t="str">
        <f t="shared" si="35"/>
        <v/>
      </c>
      <c r="E967" s="315" t="str">
        <f t="shared" si="36"/>
        <v/>
      </c>
      <c r="F967" s="316"/>
      <c r="G967" s="317"/>
      <c r="H967" s="318"/>
      <c r="I967" s="318"/>
      <c r="J967" s="318"/>
      <c r="K967" s="319">
        <f t="shared" si="39"/>
        <v>0</v>
      </c>
      <c r="L967" s="320" t="str">
        <f t="shared" si="34"/>
        <v/>
      </c>
      <c r="T967" s="344"/>
      <c r="U967" s="345"/>
      <c r="V967" s="346"/>
    </row>
    <row r="968">
      <c r="A968" s="339"/>
      <c r="B968" s="313"/>
      <c r="C968" s="314"/>
      <c r="D968" s="315" t="str">
        <f t="shared" si="35"/>
        <v/>
      </c>
      <c r="E968" s="315" t="str">
        <f t="shared" si="36"/>
        <v/>
      </c>
      <c r="F968" s="316"/>
      <c r="G968" s="317"/>
      <c r="H968" s="318"/>
      <c r="I968" s="318"/>
      <c r="J968" s="318"/>
      <c r="K968" s="319">
        <f t="shared" si="39"/>
        <v>0</v>
      </c>
      <c r="L968" s="320" t="str">
        <f t="shared" si="34"/>
        <v/>
      </c>
      <c r="T968" s="344"/>
      <c r="U968" s="345"/>
      <c r="V968" s="346"/>
    </row>
    <row r="969">
      <c r="A969" s="339"/>
      <c r="B969" s="313"/>
      <c r="C969" s="314"/>
      <c r="D969" s="315" t="str">
        <f t="shared" si="35"/>
        <v/>
      </c>
      <c r="E969" s="315" t="str">
        <f t="shared" si="36"/>
        <v/>
      </c>
      <c r="F969" s="316"/>
      <c r="G969" s="317"/>
      <c r="H969" s="318"/>
      <c r="I969" s="318"/>
      <c r="J969" s="318"/>
      <c r="K969" s="319">
        <f t="shared" si="39"/>
        <v>0</v>
      </c>
      <c r="L969" s="320" t="str">
        <f t="shared" si="34"/>
        <v/>
      </c>
      <c r="T969" s="344"/>
      <c r="U969" s="345"/>
      <c r="V969" s="346"/>
    </row>
    <row r="970">
      <c r="A970" s="339"/>
      <c r="B970" s="313"/>
      <c r="C970" s="314"/>
      <c r="D970" s="315" t="str">
        <f t="shared" si="35"/>
        <v/>
      </c>
      <c r="E970" s="315" t="str">
        <f t="shared" si="36"/>
        <v/>
      </c>
      <c r="F970" s="316"/>
      <c r="G970" s="317"/>
      <c r="H970" s="318"/>
      <c r="I970" s="318"/>
      <c r="J970" s="318"/>
      <c r="K970" s="319">
        <f t="shared" si="39"/>
        <v>0</v>
      </c>
      <c r="L970" s="320" t="str">
        <f t="shared" si="34"/>
        <v/>
      </c>
      <c r="T970" s="344"/>
      <c r="U970" s="345"/>
      <c r="V970" s="346"/>
    </row>
    <row r="971">
      <c r="A971" s="339"/>
      <c r="B971" s="313"/>
      <c r="C971" s="314"/>
      <c r="D971" s="315" t="str">
        <f t="shared" si="35"/>
        <v/>
      </c>
      <c r="E971" s="315" t="str">
        <f t="shared" si="36"/>
        <v/>
      </c>
      <c r="F971" s="316"/>
      <c r="G971" s="317"/>
      <c r="H971" s="318"/>
      <c r="I971" s="318"/>
      <c r="J971" s="318"/>
      <c r="K971" s="319">
        <f t="shared" si="39"/>
        <v>0</v>
      </c>
      <c r="L971" s="320" t="str">
        <f t="shared" si="34"/>
        <v/>
      </c>
      <c r="T971" s="344"/>
      <c r="U971" s="345"/>
      <c r="V971" s="346"/>
    </row>
    <row r="972">
      <c r="A972" s="339"/>
      <c r="B972" s="313"/>
      <c r="C972" s="314"/>
      <c r="D972" s="315" t="str">
        <f t="shared" si="35"/>
        <v/>
      </c>
      <c r="E972" s="315" t="str">
        <f t="shared" si="36"/>
        <v/>
      </c>
      <c r="F972" s="316"/>
      <c r="G972" s="317"/>
      <c r="H972" s="318"/>
      <c r="I972" s="318"/>
      <c r="J972" s="318"/>
      <c r="K972" s="319">
        <f t="shared" si="39"/>
        <v>0</v>
      </c>
      <c r="L972" s="320" t="str">
        <f t="shared" si="34"/>
        <v/>
      </c>
      <c r="T972" s="344"/>
      <c r="U972" s="345"/>
      <c r="V972" s="346"/>
    </row>
    <row r="973">
      <c r="A973" s="339"/>
      <c r="B973" s="313"/>
      <c r="C973" s="314"/>
      <c r="D973" s="315" t="str">
        <f t="shared" si="35"/>
        <v/>
      </c>
      <c r="E973" s="315" t="str">
        <f t="shared" si="36"/>
        <v/>
      </c>
      <c r="F973" s="316"/>
      <c r="G973" s="317"/>
      <c r="H973" s="318"/>
      <c r="I973" s="318"/>
      <c r="J973" s="318"/>
      <c r="K973" s="319">
        <f t="shared" si="39"/>
        <v>0</v>
      </c>
      <c r="L973" s="320" t="str">
        <f t="shared" si="34"/>
        <v/>
      </c>
      <c r="T973" s="344"/>
      <c r="U973" s="345"/>
      <c r="V973" s="346"/>
    </row>
    <row r="974">
      <c r="A974" s="339"/>
      <c r="B974" s="313"/>
      <c r="C974" s="314"/>
      <c r="D974" s="315" t="str">
        <f t="shared" si="35"/>
        <v/>
      </c>
      <c r="E974" s="315" t="str">
        <f t="shared" si="36"/>
        <v/>
      </c>
      <c r="F974" s="316"/>
      <c r="G974" s="317"/>
      <c r="H974" s="318"/>
      <c r="I974" s="318"/>
      <c r="J974" s="318"/>
      <c r="K974" s="319">
        <f t="shared" si="39"/>
        <v>0</v>
      </c>
      <c r="L974" s="320" t="str">
        <f t="shared" si="34"/>
        <v/>
      </c>
      <c r="T974" s="344"/>
      <c r="U974" s="345"/>
      <c r="V974" s="346"/>
    </row>
    <row r="975">
      <c r="A975" s="339"/>
      <c r="B975" s="313"/>
      <c r="C975" s="314"/>
      <c r="D975" s="315" t="str">
        <f t="shared" si="35"/>
        <v/>
      </c>
      <c r="E975" s="315" t="str">
        <f t="shared" si="36"/>
        <v/>
      </c>
      <c r="F975" s="316"/>
      <c r="G975" s="317"/>
      <c r="H975" s="318"/>
      <c r="I975" s="318"/>
      <c r="J975" s="318"/>
      <c r="K975" s="319">
        <f t="shared" si="39"/>
        <v>0</v>
      </c>
      <c r="L975" s="320" t="str">
        <f t="shared" si="34"/>
        <v/>
      </c>
      <c r="T975" s="344"/>
      <c r="U975" s="345"/>
      <c r="V975" s="346"/>
    </row>
    <row r="976">
      <c r="A976" s="339"/>
      <c r="B976" s="313"/>
      <c r="C976" s="314"/>
      <c r="D976" s="315" t="str">
        <f t="shared" si="35"/>
        <v/>
      </c>
      <c r="E976" s="315" t="str">
        <f t="shared" si="36"/>
        <v/>
      </c>
      <c r="F976" s="316"/>
      <c r="G976" s="317"/>
      <c r="H976" s="318"/>
      <c r="I976" s="318"/>
      <c r="J976" s="318"/>
      <c r="K976" s="319">
        <f t="shared" si="39"/>
        <v>0</v>
      </c>
      <c r="L976" s="320" t="str">
        <f t="shared" si="34"/>
        <v/>
      </c>
      <c r="T976" s="344"/>
      <c r="U976" s="345"/>
      <c r="V976" s="346"/>
    </row>
    <row r="977">
      <c r="A977" s="339"/>
      <c r="B977" s="313"/>
      <c r="C977" s="314"/>
      <c r="D977" s="315" t="str">
        <f t="shared" si="35"/>
        <v/>
      </c>
      <c r="E977" s="315" t="str">
        <f t="shared" si="36"/>
        <v/>
      </c>
      <c r="F977" s="316"/>
      <c r="G977" s="317"/>
      <c r="H977" s="318"/>
      <c r="I977" s="318"/>
      <c r="J977" s="318"/>
      <c r="K977" s="319">
        <f t="shared" si="39"/>
        <v>0</v>
      </c>
      <c r="L977" s="320" t="str">
        <f t="shared" si="34"/>
        <v/>
      </c>
      <c r="T977" s="344"/>
      <c r="U977" s="345"/>
      <c r="V977" s="346"/>
    </row>
    <row r="978">
      <c r="A978" s="339"/>
      <c r="B978" s="313"/>
      <c r="C978" s="314"/>
      <c r="D978" s="315" t="str">
        <f t="shared" si="35"/>
        <v/>
      </c>
      <c r="E978" s="315" t="str">
        <f t="shared" si="36"/>
        <v/>
      </c>
      <c r="F978" s="316"/>
      <c r="G978" s="317"/>
      <c r="H978" s="318"/>
      <c r="I978" s="318"/>
      <c r="J978" s="318"/>
      <c r="K978" s="319">
        <f t="shared" si="39"/>
        <v>0</v>
      </c>
      <c r="L978" s="320" t="str">
        <f t="shared" si="34"/>
        <v/>
      </c>
      <c r="T978" s="344"/>
      <c r="U978" s="345"/>
      <c r="V978" s="346"/>
    </row>
    <row r="979">
      <c r="A979" s="339"/>
      <c r="B979" s="313"/>
      <c r="C979" s="314"/>
      <c r="D979" s="315" t="str">
        <f t="shared" si="35"/>
        <v/>
      </c>
      <c r="E979" s="315" t="str">
        <f t="shared" si="36"/>
        <v/>
      </c>
      <c r="F979" s="318"/>
      <c r="G979" s="318"/>
      <c r="H979" s="318"/>
      <c r="I979" s="318"/>
      <c r="J979" s="318"/>
      <c r="K979" s="319">
        <f t="shared" si="39"/>
        <v>0</v>
      </c>
      <c r="L979" s="320" t="str">
        <f t="shared" si="34"/>
        <v/>
      </c>
      <c r="M979" s="239"/>
      <c r="T979" s="344"/>
      <c r="U979" s="345"/>
      <c r="V979" s="346"/>
    </row>
    <row r="980">
      <c r="A980" s="339"/>
      <c r="B980" s="313"/>
      <c r="C980" s="314"/>
      <c r="D980" s="315" t="str">
        <f t="shared" si="35"/>
        <v/>
      </c>
      <c r="E980" s="315" t="str">
        <f t="shared" si="36"/>
        <v/>
      </c>
      <c r="F980" s="316"/>
      <c r="G980" s="317"/>
      <c r="H980" s="318"/>
      <c r="I980" s="318"/>
      <c r="J980" s="318"/>
      <c r="K980" s="319">
        <f t="shared" si="39"/>
        <v>0</v>
      </c>
      <c r="L980" s="320" t="str">
        <f t="shared" si="34"/>
        <v/>
      </c>
      <c r="T980" s="344"/>
      <c r="U980" s="345"/>
      <c r="V980" s="346"/>
    </row>
    <row r="981">
      <c r="A981" s="339"/>
      <c r="B981" s="313"/>
      <c r="C981" s="314"/>
      <c r="D981" s="315" t="str">
        <f t="shared" si="35"/>
        <v/>
      </c>
      <c r="E981" s="315" t="str">
        <f t="shared" si="36"/>
        <v/>
      </c>
      <c r="F981" s="316"/>
      <c r="G981" s="317"/>
      <c r="H981" s="318"/>
      <c r="I981" s="318"/>
      <c r="J981" s="318"/>
      <c r="K981" s="319">
        <f t="shared" si="39"/>
        <v>0</v>
      </c>
      <c r="L981" s="320" t="str">
        <f t="shared" si="34"/>
        <v/>
      </c>
      <c r="T981" s="344"/>
      <c r="U981" s="345"/>
      <c r="V981" s="346"/>
    </row>
    <row r="982">
      <c r="A982" s="339"/>
      <c r="B982" s="313"/>
      <c r="C982" s="314"/>
      <c r="D982" s="315" t="str">
        <f t="shared" si="35"/>
        <v/>
      </c>
      <c r="E982" s="315" t="str">
        <f t="shared" si="36"/>
        <v/>
      </c>
      <c r="F982" s="316"/>
      <c r="G982" s="317"/>
      <c r="H982" s="318"/>
      <c r="I982" s="318"/>
      <c r="J982" s="318"/>
      <c r="K982" s="319">
        <f t="shared" si="39"/>
        <v>0</v>
      </c>
      <c r="L982" s="320" t="str">
        <f t="shared" si="34"/>
        <v/>
      </c>
      <c r="T982" s="344"/>
      <c r="U982" s="345"/>
      <c r="V982" s="346"/>
    </row>
    <row r="983">
      <c r="A983" s="339"/>
      <c r="B983" s="313"/>
      <c r="C983" s="314"/>
      <c r="D983" s="315" t="str">
        <f t="shared" si="35"/>
        <v/>
      </c>
      <c r="E983" s="315" t="str">
        <f t="shared" si="36"/>
        <v/>
      </c>
      <c r="F983" s="316"/>
      <c r="G983" s="317"/>
      <c r="H983" s="318"/>
      <c r="I983" s="318"/>
      <c r="J983" s="318"/>
      <c r="K983" s="319">
        <f t="shared" si="39"/>
        <v>0</v>
      </c>
      <c r="L983" s="320" t="str">
        <f t="shared" si="34"/>
        <v/>
      </c>
      <c r="T983" s="344"/>
      <c r="U983" s="345"/>
      <c r="V983" s="346"/>
    </row>
    <row r="984">
      <c r="A984" s="339"/>
      <c r="B984" s="313"/>
      <c r="C984" s="314"/>
      <c r="D984" s="315" t="str">
        <f t="shared" si="35"/>
        <v/>
      </c>
      <c r="E984" s="315" t="str">
        <f t="shared" si="36"/>
        <v/>
      </c>
      <c r="F984" s="316"/>
      <c r="G984" s="317"/>
      <c r="H984" s="318"/>
      <c r="I984" s="318"/>
      <c r="J984" s="318"/>
      <c r="K984" s="319">
        <f t="shared" si="39"/>
        <v>0</v>
      </c>
      <c r="L984" s="320" t="str">
        <f t="shared" si="34"/>
        <v/>
      </c>
      <c r="T984" s="344"/>
      <c r="U984" s="345"/>
      <c r="V984" s="346"/>
    </row>
    <row r="985">
      <c r="A985" s="339"/>
      <c r="B985" s="313"/>
      <c r="C985" s="314"/>
      <c r="D985" s="315" t="str">
        <f t="shared" si="35"/>
        <v/>
      </c>
      <c r="E985" s="315" t="str">
        <f t="shared" si="36"/>
        <v/>
      </c>
      <c r="F985" s="316"/>
      <c r="G985" s="317"/>
      <c r="H985" s="318"/>
      <c r="I985" s="318"/>
      <c r="J985" s="318"/>
      <c r="K985" s="319">
        <f t="shared" si="39"/>
        <v>0</v>
      </c>
      <c r="L985" s="320" t="str">
        <f t="shared" si="34"/>
        <v/>
      </c>
      <c r="T985" s="344"/>
      <c r="U985" s="345"/>
      <c r="V985" s="346"/>
    </row>
    <row r="986">
      <c r="A986" s="339"/>
      <c r="B986" s="313"/>
      <c r="C986" s="314"/>
      <c r="D986" s="315" t="str">
        <f t="shared" si="35"/>
        <v/>
      </c>
      <c r="E986" s="315" t="str">
        <f t="shared" si="36"/>
        <v/>
      </c>
      <c r="F986" s="316"/>
      <c r="G986" s="316"/>
      <c r="H986" s="318"/>
      <c r="I986" s="318"/>
      <c r="J986" s="318"/>
      <c r="K986" s="319">
        <f t="shared" si="39"/>
        <v>0</v>
      </c>
      <c r="L986" s="320" t="str">
        <f t="shared" si="34"/>
        <v/>
      </c>
      <c r="M986" s="239"/>
      <c r="T986" s="344"/>
      <c r="U986" s="345"/>
      <c r="V986" s="346"/>
    </row>
    <row r="987">
      <c r="A987" s="339"/>
      <c r="B987" s="313"/>
      <c r="C987" s="314"/>
      <c r="D987" s="315" t="str">
        <f t="shared" si="35"/>
        <v/>
      </c>
      <c r="E987" s="315" t="str">
        <f t="shared" si="36"/>
        <v/>
      </c>
      <c r="F987" s="316"/>
      <c r="G987" s="317"/>
      <c r="H987" s="318"/>
      <c r="I987" s="318"/>
      <c r="J987" s="318"/>
      <c r="K987" s="319">
        <f t="shared" si="39"/>
        <v>0</v>
      </c>
      <c r="L987" s="320" t="str">
        <f t="shared" si="34"/>
        <v/>
      </c>
      <c r="T987" s="344"/>
      <c r="U987" s="345"/>
      <c r="V987" s="346"/>
    </row>
    <row r="988">
      <c r="A988" s="339"/>
      <c r="B988" s="313"/>
      <c r="C988" s="314"/>
      <c r="D988" s="315" t="str">
        <f t="shared" si="35"/>
        <v/>
      </c>
      <c r="E988" s="315" t="str">
        <f t="shared" si="36"/>
        <v/>
      </c>
      <c r="F988" s="316"/>
      <c r="G988" s="317"/>
      <c r="H988" s="318"/>
      <c r="I988" s="318"/>
      <c r="J988" s="318"/>
      <c r="K988" s="319">
        <f t="shared" si="39"/>
        <v>0</v>
      </c>
      <c r="L988" s="320" t="str">
        <f t="shared" si="34"/>
        <v/>
      </c>
      <c r="M988" s="239"/>
      <c r="T988" s="344"/>
      <c r="U988" s="345"/>
      <c r="V988" s="346"/>
    </row>
    <row r="989">
      <c r="A989" s="339"/>
      <c r="B989" s="313"/>
      <c r="C989" s="314"/>
      <c r="D989" s="315" t="str">
        <f t="shared" si="35"/>
        <v/>
      </c>
      <c r="E989" s="315" t="str">
        <f t="shared" si="36"/>
        <v/>
      </c>
      <c r="F989" s="316"/>
      <c r="G989" s="317"/>
      <c r="H989" s="318"/>
      <c r="I989" s="318"/>
      <c r="J989" s="318"/>
      <c r="K989" s="319">
        <f t="shared" si="39"/>
        <v>0</v>
      </c>
      <c r="L989" s="320" t="str">
        <f t="shared" si="34"/>
        <v/>
      </c>
      <c r="T989" s="344"/>
      <c r="U989" s="345"/>
      <c r="V989" s="346"/>
    </row>
    <row r="990">
      <c r="A990" s="339"/>
      <c r="B990" s="313"/>
      <c r="C990" s="314"/>
      <c r="D990" s="315" t="str">
        <f t="shared" si="35"/>
        <v/>
      </c>
      <c r="E990" s="315" t="str">
        <f t="shared" si="36"/>
        <v/>
      </c>
      <c r="F990" s="318"/>
      <c r="G990" s="318"/>
      <c r="H990" s="318"/>
      <c r="I990" s="318"/>
      <c r="J990" s="318"/>
      <c r="K990" s="319">
        <f t="shared" si="39"/>
        <v>0</v>
      </c>
      <c r="L990" s="320" t="str">
        <f t="shared" si="34"/>
        <v/>
      </c>
      <c r="M990" s="239"/>
      <c r="T990" s="344"/>
      <c r="U990" s="345"/>
      <c r="V990" s="346"/>
    </row>
    <row r="991">
      <c r="A991" s="339"/>
      <c r="B991" s="313"/>
      <c r="C991" s="314"/>
      <c r="D991" s="315" t="str">
        <f t="shared" si="35"/>
        <v/>
      </c>
      <c r="E991" s="315" t="str">
        <f t="shared" si="36"/>
        <v/>
      </c>
      <c r="F991" s="316"/>
      <c r="G991" s="317"/>
      <c r="H991" s="318"/>
      <c r="I991" s="318"/>
      <c r="J991" s="318"/>
      <c r="K991" s="319">
        <f t="shared" si="39"/>
        <v>0</v>
      </c>
      <c r="L991" s="320" t="str">
        <f t="shared" si="34"/>
        <v/>
      </c>
      <c r="T991" s="344"/>
      <c r="U991" s="345"/>
      <c r="V991" s="346"/>
    </row>
    <row r="992">
      <c r="A992" s="339"/>
      <c r="B992" s="313"/>
      <c r="C992" s="314"/>
      <c r="D992" s="315" t="str">
        <f t="shared" si="35"/>
        <v/>
      </c>
      <c r="E992" s="315" t="str">
        <f t="shared" si="36"/>
        <v/>
      </c>
      <c r="F992" s="316"/>
      <c r="G992" s="317"/>
      <c r="H992" s="318"/>
      <c r="I992" s="318"/>
      <c r="J992" s="318"/>
      <c r="K992" s="319">
        <f t="shared" si="39"/>
        <v>0</v>
      </c>
      <c r="L992" s="320" t="str">
        <f t="shared" si="34"/>
        <v/>
      </c>
      <c r="T992" s="344"/>
      <c r="U992" s="345"/>
      <c r="V992" s="346"/>
    </row>
    <row r="993">
      <c r="A993" s="339"/>
      <c r="B993" s="313"/>
      <c r="C993" s="314"/>
      <c r="D993" s="315" t="str">
        <f t="shared" si="35"/>
        <v/>
      </c>
      <c r="E993" s="315" t="str">
        <f t="shared" si="36"/>
        <v/>
      </c>
      <c r="F993" s="316"/>
      <c r="G993" s="317"/>
      <c r="H993" s="318"/>
      <c r="I993" s="318"/>
      <c r="J993" s="318"/>
      <c r="K993" s="319">
        <f t="shared" si="39"/>
        <v>0</v>
      </c>
      <c r="L993" s="320" t="str">
        <f t="shared" si="34"/>
        <v/>
      </c>
      <c r="T993" s="344"/>
      <c r="U993" s="345"/>
      <c r="V993" s="346"/>
    </row>
    <row r="994">
      <c r="A994" s="339"/>
      <c r="B994" s="313"/>
      <c r="C994" s="314"/>
      <c r="D994" s="315" t="str">
        <f t="shared" si="35"/>
        <v/>
      </c>
      <c r="E994" s="315" t="str">
        <f t="shared" si="36"/>
        <v/>
      </c>
      <c r="F994" s="318"/>
      <c r="G994" s="318"/>
      <c r="H994" s="318"/>
      <c r="I994" s="318"/>
      <c r="J994" s="318"/>
      <c r="K994" s="319">
        <f t="shared" si="39"/>
        <v>0</v>
      </c>
      <c r="L994" s="320" t="str">
        <f t="shared" si="34"/>
        <v/>
      </c>
      <c r="M994" s="239"/>
      <c r="T994" s="344"/>
      <c r="U994" s="345"/>
      <c r="V994" s="346"/>
    </row>
    <row r="995">
      <c r="A995" s="339"/>
      <c r="B995" s="313"/>
      <c r="C995" s="314"/>
      <c r="D995" s="315" t="str">
        <f t="shared" si="35"/>
        <v/>
      </c>
      <c r="E995" s="315" t="str">
        <f t="shared" si="36"/>
        <v/>
      </c>
      <c r="F995" s="316"/>
      <c r="G995" s="317"/>
      <c r="H995" s="318"/>
      <c r="I995" s="318"/>
      <c r="J995" s="318"/>
      <c r="K995" s="319">
        <f t="shared" si="39"/>
        <v>0</v>
      </c>
      <c r="L995" s="320" t="str">
        <f t="shared" si="34"/>
        <v/>
      </c>
      <c r="T995" s="344"/>
      <c r="U995" s="345"/>
      <c r="V995" s="346"/>
    </row>
    <row r="996">
      <c r="A996" s="339"/>
      <c r="B996" s="313"/>
      <c r="C996" s="314"/>
      <c r="D996" s="315" t="str">
        <f t="shared" si="35"/>
        <v/>
      </c>
      <c r="E996" s="315" t="str">
        <f t="shared" si="36"/>
        <v/>
      </c>
      <c r="F996" s="316"/>
      <c r="G996" s="317"/>
      <c r="H996" s="318"/>
      <c r="I996" s="318"/>
      <c r="J996" s="318"/>
      <c r="K996" s="319">
        <f t="shared" si="39"/>
        <v>0</v>
      </c>
      <c r="L996" s="320" t="str">
        <f t="shared" si="34"/>
        <v/>
      </c>
      <c r="T996" s="344"/>
      <c r="U996" s="345"/>
      <c r="V996" s="346"/>
    </row>
    <row r="997">
      <c r="A997" s="339"/>
      <c r="B997" s="313"/>
      <c r="C997" s="314"/>
      <c r="D997" s="315" t="str">
        <f t="shared" si="35"/>
        <v/>
      </c>
      <c r="E997" s="315" t="str">
        <f t="shared" si="36"/>
        <v/>
      </c>
      <c r="F997" s="316"/>
      <c r="G997" s="317"/>
      <c r="H997" s="318"/>
      <c r="I997" s="318"/>
      <c r="J997" s="318"/>
      <c r="K997" s="319">
        <f t="shared" si="39"/>
        <v>0</v>
      </c>
      <c r="L997" s="320" t="str">
        <f t="shared" si="34"/>
        <v/>
      </c>
      <c r="T997" s="344"/>
      <c r="U997" s="345"/>
      <c r="V997" s="346"/>
    </row>
    <row r="998">
      <c r="A998" s="339"/>
      <c r="B998" s="313"/>
      <c r="C998" s="314"/>
      <c r="D998" s="315" t="str">
        <f t="shared" si="35"/>
        <v/>
      </c>
      <c r="E998" s="315" t="str">
        <f t="shared" si="36"/>
        <v/>
      </c>
      <c r="F998" s="316"/>
      <c r="G998" s="317"/>
      <c r="H998" s="318"/>
      <c r="I998" s="318"/>
      <c r="J998" s="318"/>
      <c r="K998" s="319">
        <f t="shared" si="39"/>
        <v>0</v>
      </c>
      <c r="L998" s="320" t="str">
        <f t="shared" si="34"/>
        <v/>
      </c>
      <c r="T998" s="344"/>
      <c r="U998" s="345"/>
      <c r="V998" s="346"/>
    </row>
    <row r="999">
      <c r="A999" s="339"/>
      <c r="B999" s="313"/>
      <c r="C999" s="314"/>
      <c r="D999" s="315" t="str">
        <f t="shared" si="35"/>
        <v/>
      </c>
      <c r="E999" s="315" t="str">
        <f t="shared" si="36"/>
        <v/>
      </c>
      <c r="F999" s="316"/>
      <c r="G999" s="317"/>
      <c r="H999" s="318"/>
      <c r="I999" s="318"/>
      <c r="J999" s="318"/>
      <c r="K999" s="319">
        <f t="shared" si="39"/>
        <v>0</v>
      </c>
      <c r="L999" s="320" t="str">
        <f t="shared" si="34"/>
        <v/>
      </c>
      <c r="T999" s="344"/>
      <c r="U999" s="345"/>
      <c r="V999" s="346"/>
    </row>
    <row r="1000">
      <c r="A1000" s="339"/>
      <c r="B1000" s="313"/>
      <c r="C1000" s="314"/>
      <c r="D1000" s="315" t="str">
        <f t="shared" si="35"/>
        <v/>
      </c>
      <c r="E1000" s="315" t="str">
        <f t="shared" si="36"/>
        <v/>
      </c>
      <c r="F1000" s="316"/>
      <c r="G1000" s="317"/>
      <c r="H1000" s="318"/>
      <c r="I1000" s="318"/>
      <c r="J1000" s="318"/>
      <c r="K1000" s="319">
        <f t="shared" si="39"/>
        <v>0</v>
      </c>
      <c r="L1000" s="320" t="str">
        <f t="shared" si="34"/>
        <v/>
      </c>
      <c r="T1000" s="344"/>
      <c r="U1000" s="345"/>
      <c r="V1000" s="346"/>
    </row>
    <row r="1001">
      <c r="A1001" s="339"/>
      <c r="B1001" s="313"/>
      <c r="C1001" s="314"/>
      <c r="D1001" s="315" t="str">
        <f t="shared" si="35"/>
        <v/>
      </c>
      <c r="E1001" s="315" t="str">
        <f t="shared" si="36"/>
        <v/>
      </c>
      <c r="F1001" s="316"/>
      <c r="G1001" s="317"/>
      <c r="H1001" s="318"/>
      <c r="I1001" s="318"/>
      <c r="J1001" s="318"/>
      <c r="K1001" s="319">
        <f t="shared" si="39"/>
        <v>0</v>
      </c>
      <c r="L1001" s="320" t="str">
        <f t="shared" si="34"/>
        <v/>
      </c>
      <c r="T1001" s="344"/>
      <c r="U1001" s="345"/>
      <c r="V1001" s="346"/>
    </row>
    <row r="1002">
      <c r="A1002" s="339"/>
      <c r="B1002" s="313"/>
      <c r="C1002" s="314"/>
      <c r="D1002" s="315" t="str">
        <f t="shared" si="35"/>
        <v/>
      </c>
      <c r="E1002" s="315" t="str">
        <f t="shared" si="36"/>
        <v/>
      </c>
      <c r="F1002" s="316"/>
      <c r="G1002" s="317"/>
      <c r="H1002" s="318"/>
      <c r="I1002" s="318"/>
      <c r="J1002" s="318"/>
      <c r="K1002" s="319">
        <f t="shared" si="39"/>
        <v>0</v>
      </c>
      <c r="L1002" s="320" t="str">
        <f t="shared" si="34"/>
        <v/>
      </c>
      <c r="T1002" s="344"/>
      <c r="U1002" s="345"/>
      <c r="V1002" s="346"/>
    </row>
    <row r="1003">
      <c r="A1003" s="339"/>
      <c r="B1003" s="313"/>
      <c r="C1003" s="314"/>
      <c r="D1003" s="315" t="str">
        <f t="shared" si="35"/>
        <v/>
      </c>
      <c r="E1003" s="315" t="str">
        <f t="shared" si="36"/>
        <v/>
      </c>
      <c r="F1003" s="316"/>
      <c r="G1003" s="317"/>
      <c r="H1003" s="318"/>
      <c r="I1003" s="318"/>
      <c r="J1003" s="318"/>
      <c r="K1003" s="319">
        <f t="shared" si="39"/>
        <v>0</v>
      </c>
      <c r="L1003" s="320" t="str">
        <f t="shared" si="34"/>
        <v/>
      </c>
      <c r="T1003" s="344"/>
      <c r="U1003" s="345"/>
      <c r="V1003" s="346"/>
    </row>
    <row r="1004">
      <c r="A1004" s="339"/>
      <c r="B1004" s="313"/>
      <c r="C1004" s="314"/>
      <c r="D1004" s="315" t="str">
        <f t="shared" si="35"/>
        <v/>
      </c>
      <c r="E1004" s="315" t="str">
        <f t="shared" si="36"/>
        <v/>
      </c>
      <c r="F1004" s="316"/>
      <c r="G1004" s="317"/>
      <c r="H1004" s="318"/>
      <c r="I1004" s="318"/>
      <c r="J1004" s="318"/>
      <c r="K1004" s="319">
        <f t="shared" si="39"/>
        <v>0</v>
      </c>
      <c r="L1004" s="320" t="str">
        <f t="shared" si="34"/>
        <v/>
      </c>
      <c r="T1004" s="344"/>
      <c r="U1004" s="345"/>
      <c r="V1004" s="346"/>
    </row>
    <row r="1005">
      <c r="A1005" s="339"/>
      <c r="B1005" s="313"/>
      <c r="C1005" s="314"/>
      <c r="D1005" s="315" t="str">
        <f t="shared" si="35"/>
        <v/>
      </c>
      <c r="E1005" s="315" t="str">
        <f t="shared" si="36"/>
        <v/>
      </c>
      <c r="F1005" s="318"/>
      <c r="G1005" s="318"/>
      <c r="H1005" s="318"/>
      <c r="I1005" s="318"/>
      <c r="J1005" s="318"/>
      <c r="K1005" s="319">
        <f t="shared" si="39"/>
        <v>0</v>
      </c>
      <c r="L1005" s="320" t="str">
        <f t="shared" si="34"/>
        <v/>
      </c>
      <c r="M1005" s="239"/>
      <c r="T1005" s="344"/>
      <c r="U1005" s="345"/>
      <c r="V1005" s="346"/>
    </row>
    <row r="1006">
      <c r="A1006" s="339"/>
      <c r="B1006" s="313"/>
      <c r="C1006" s="314"/>
      <c r="D1006" s="315" t="str">
        <f t="shared" si="35"/>
        <v/>
      </c>
      <c r="E1006" s="315" t="str">
        <f t="shared" si="36"/>
        <v/>
      </c>
      <c r="F1006" s="316"/>
      <c r="G1006" s="317"/>
      <c r="H1006" s="318"/>
      <c r="I1006" s="318"/>
      <c r="J1006" s="318"/>
      <c r="K1006" s="319">
        <f t="shared" si="39"/>
        <v>0</v>
      </c>
      <c r="L1006" s="320" t="str">
        <f t="shared" si="34"/>
        <v/>
      </c>
      <c r="T1006" s="344"/>
      <c r="U1006" s="345"/>
      <c r="V1006" s="346"/>
    </row>
    <row r="1007">
      <c r="A1007" s="339"/>
      <c r="B1007" s="313"/>
      <c r="C1007" s="314"/>
      <c r="D1007" s="315" t="str">
        <f t="shared" si="35"/>
        <v/>
      </c>
      <c r="E1007" s="315" t="str">
        <f t="shared" si="36"/>
        <v/>
      </c>
      <c r="F1007" s="316"/>
      <c r="G1007" s="317"/>
      <c r="H1007" s="318"/>
      <c r="I1007" s="318"/>
      <c r="J1007" s="318"/>
      <c r="K1007" s="319">
        <f t="shared" si="39"/>
        <v>0</v>
      </c>
      <c r="L1007" s="320" t="str">
        <f t="shared" si="34"/>
        <v/>
      </c>
      <c r="M1007" s="239"/>
      <c r="T1007" s="344"/>
      <c r="U1007" s="345"/>
      <c r="V1007" s="346"/>
    </row>
    <row r="1008">
      <c r="A1008" s="339"/>
      <c r="B1008" s="313"/>
      <c r="C1008" s="314"/>
      <c r="D1008" s="315" t="str">
        <f t="shared" si="35"/>
        <v/>
      </c>
      <c r="E1008" s="315" t="str">
        <f t="shared" si="36"/>
        <v/>
      </c>
      <c r="F1008" s="316"/>
      <c r="G1008" s="317"/>
      <c r="H1008" s="318"/>
      <c r="I1008" s="318"/>
      <c r="J1008" s="318"/>
      <c r="K1008" s="319">
        <f t="shared" si="39"/>
        <v>0</v>
      </c>
      <c r="L1008" s="320" t="str">
        <f t="shared" si="34"/>
        <v/>
      </c>
      <c r="T1008" s="344"/>
      <c r="U1008" s="345"/>
      <c r="V1008" s="346"/>
    </row>
    <row r="1009">
      <c r="A1009" s="339"/>
      <c r="B1009" s="313"/>
      <c r="C1009" s="314"/>
      <c r="D1009" s="315" t="str">
        <f t="shared" si="35"/>
        <v/>
      </c>
      <c r="E1009" s="315" t="str">
        <f t="shared" si="36"/>
        <v/>
      </c>
      <c r="F1009" s="316"/>
      <c r="G1009" s="317"/>
      <c r="H1009" s="318"/>
      <c r="I1009" s="318"/>
      <c r="J1009" s="318"/>
      <c r="K1009" s="319">
        <f t="shared" si="39"/>
        <v>0</v>
      </c>
      <c r="L1009" s="320" t="str">
        <f t="shared" si="34"/>
        <v/>
      </c>
      <c r="T1009" s="344"/>
      <c r="U1009" s="345"/>
      <c r="V1009" s="346"/>
    </row>
    <row r="1010">
      <c r="A1010" s="339"/>
      <c r="B1010" s="313"/>
      <c r="C1010" s="314"/>
      <c r="D1010" s="315" t="str">
        <f t="shared" si="35"/>
        <v/>
      </c>
      <c r="E1010" s="315" t="str">
        <f t="shared" si="36"/>
        <v/>
      </c>
      <c r="F1010" s="318"/>
      <c r="G1010" s="318"/>
      <c r="H1010" s="318"/>
      <c r="I1010" s="318"/>
      <c r="J1010" s="318"/>
      <c r="K1010" s="319">
        <f t="shared" si="39"/>
        <v>0</v>
      </c>
      <c r="L1010" s="320" t="str">
        <f t="shared" si="34"/>
        <v/>
      </c>
      <c r="M1010" s="239"/>
      <c r="T1010" s="344"/>
      <c r="U1010" s="345"/>
      <c r="V1010" s="346"/>
    </row>
    <row r="1011">
      <c r="A1011" s="339"/>
      <c r="B1011" s="313"/>
      <c r="C1011" s="314"/>
      <c r="D1011" s="315" t="str">
        <f t="shared" si="35"/>
        <v/>
      </c>
      <c r="E1011" s="315" t="str">
        <f t="shared" si="36"/>
        <v/>
      </c>
      <c r="F1011" s="316"/>
      <c r="G1011" s="317"/>
      <c r="H1011" s="318"/>
      <c r="I1011" s="318"/>
      <c r="J1011" s="318"/>
      <c r="K1011" s="319">
        <f t="shared" si="39"/>
        <v>0</v>
      </c>
      <c r="L1011" s="320" t="str">
        <f t="shared" si="34"/>
        <v/>
      </c>
      <c r="T1011" s="344"/>
      <c r="U1011" s="345"/>
      <c r="V1011" s="346"/>
    </row>
    <row r="1012">
      <c r="A1012" s="339"/>
      <c r="B1012" s="313"/>
      <c r="C1012" s="314"/>
      <c r="D1012" s="315" t="str">
        <f t="shared" si="35"/>
        <v/>
      </c>
      <c r="E1012" s="315" t="str">
        <f t="shared" si="36"/>
        <v/>
      </c>
      <c r="F1012" s="316"/>
      <c r="G1012" s="317"/>
      <c r="H1012" s="318"/>
      <c r="I1012" s="318"/>
      <c r="J1012" s="318"/>
      <c r="K1012" s="319">
        <f t="shared" si="39"/>
        <v>0</v>
      </c>
      <c r="L1012" s="320" t="str">
        <f t="shared" si="34"/>
        <v/>
      </c>
      <c r="T1012" s="344"/>
      <c r="U1012" s="345"/>
      <c r="V1012" s="346"/>
    </row>
    <row r="1013">
      <c r="A1013" s="339"/>
      <c r="B1013" s="313"/>
      <c r="C1013" s="314"/>
      <c r="D1013" s="315" t="str">
        <f t="shared" si="35"/>
        <v/>
      </c>
      <c r="E1013" s="315" t="str">
        <f t="shared" si="36"/>
        <v/>
      </c>
      <c r="F1013" s="318"/>
      <c r="G1013" s="318"/>
      <c r="H1013" s="318"/>
      <c r="I1013" s="318"/>
      <c r="J1013" s="318"/>
      <c r="K1013" s="319">
        <f t="shared" si="39"/>
        <v>0</v>
      </c>
      <c r="L1013" s="320" t="str">
        <f t="shared" si="34"/>
        <v/>
      </c>
      <c r="M1013" s="239"/>
      <c r="T1013" s="344"/>
      <c r="U1013" s="345"/>
      <c r="V1013" s="346"/>
    </row>
    <row r="1014">
      <c r="A1014" s="339"/>
      <c r="B1014" s="313"/>
      <c r="C1014" s="314"/>
      <c r="D1014" s="315" t="str">
        <f t="shared" si="35"/>
        <v/>
      </c>
      <c r="E1014" s="315" t="str">
        <f t="shared" si="36"/>
        <v/>
      </c>
      <c r="F1014" s="316"/>
      <c r="G1014" s="317"/>
      <c r="H1014" s="318"/>
      <c r="I1014" s="318"/>
      <c r="J1014" s="318"/>
      <c r="K1014" s="319">
        <f t="shared" si="39"/>
        <v>0</v>
      </c>
      <c r="L1014" s="320" t="str">
        <f t="shared" si="34"/>
        <v/>
      </c>
      <c r="T1014" s="344"/>
      <c r="U1014" s="345"/>
      <c r="V1014" s="346"/>
    </row>
    <row r="1015">
      <c r="A1015" s="339"/>
      <c r="B1015" s="313"/>
      <c r="C1015" s="314"/>
      <c r="D1015" s="315" t="str">
        <f t="shared" si="35"/>
        <v/>
      </c>
      <c r="E1015" s="315" t="str">
        <f t="shared" si="36"/>
        <v/>
      </c>
      <c r="F1015" s="316"/>
      <c r="G1015" s="317"/>
      <c r="H1015" s="318"/>
      <c r="I1015" s="318"/>
      <c r="J1015" s="318"/>
      <c r="K1015" s="319">
        <f t="shared" si="39"/>
        <v>0</v>
      </c>
      <c r="L1015" s="320" t="str">
        <f t="shared" si="34"/>
        <v/>
      </c>
      <c r="T1015" s="344"/>
      <c r="U1015" s="345"/>
      <c r="V1015" s="346"/>
    </row>
    <row r="1016">
      <c r="A1016" s="339"/>
      <c r="B1016" s="313"/>
      <c r="C1016" s="314"/>
      <c r="D1016" s="315" t="str">
        <f t="shared" si="35"/>
        <v/>
      </c>
      <c r="E1016" s="315" t="str">
        <f t="shared" si="36"/>
        <v/>
      </c>
      <c r="F1016" s="318"/>
      <c r="G1016" s="318"/>
      <c r="H1016" s="318"/>
      <c r="I1016" s="318"/>
      <c r="J1016" s="318"/>
      <c r="K1016" s="319">
        <f t="shared" si="39"/>
        <v>0</v>
      </c>
      <c r="L1016" s="320" t="str">
        <f t="shared" si="34"/>
        <v/>
      </c>
      <c r="M1016" s="239"/>
      <c r="T1016" s="344"/>
      <c r="U1016" s="345"/>
      <c r="V1016" s="346"/>
    </row>
    <row r="1017">
      <c r="A1017" s="339"/>
      <c r="B1017" s="313"/>
      <c r="C1017" s="314"/>
      <c r="D1017" s="315" t="str">
        <f t="shared" si="35"/>
        <v/>
      </c>
      <c r="E1017" s="315" t="str">
        <f t="shared" si="36"/>
        <v/>
      </c>
      <c r="F1017" s="316"/>
      <c r="G1017" s="317"/>
      <c r="H1017" s="318"/>
      <c r="I1017" s="318"/>
      <c r="J1017" s="318"/>
      <c r="K1017" s="319">
        <f t="shared" si="39"/>
        <v>0</v>
      </c>
      <c r="L1017" s="320" t="str">
        <f t="shared" si="34"/>
        <v/>
      </c>
      <c r="T1017" s="344"/>
      <c r="U1017" s="345"/>
      <c r="V1017" s="346"/>
    </row>
    <row r="1018">
      <c r="A1018" s="339"/>
      <c r="B1018" s="313"/>
      <c r="C1018" s="314"/>
      <c r="D1018" s="315" t="str">
        <f t="shared" si="35"/>
        <v/>
      </c>
      <c r="E1018" s="315" t="str">
        <f t="shared" si="36"/>
        <v/>
      </c>
      <c r="F1018" s="316"/>
      <c r="G1018" s="317"/>
      <c r="H1018" s="318"/>
      <c r="I1018" s="318"/>
      <c r="J1018" s="318"/>
      <c r="K1018" s="319">
        <f t="shared" si="39"/>
        <v>0</v>
      </c>
      <c r="L1018" s="320" t="str">
        <f t="shared" si="34"/>
        <v/>
      </c>
      <c r="T1018" s="344"/>
      <c r="U1018" s="345"/>
      <c r="V1018" s="346"/>
    </row>
    <row r="1019">
      <c r="A1019" s="339"/>
      <c r="B1019" s="313"/>
      <c r="C1019" s="314"/>
      <c r="D1019" s="315" t="str">
        <f t="shared" si="35"/>
        <v/>
      </c>
      <c r="E1019" s="315" t="str">
        <f t="shared" si="36"/>
        <v/>
      </c>
      <c r="F1019" s="316"/>
      <c r="G1019" s="317"/>
      <c r="H1019" s="318"/>
      <c r="I1019" s="318"/>
      <c r="J1019" s="318"/>
      <c r="K1019" s="319">
        <f t="shared" si="39"/>
        <v>0</v>
      </c>
      <c r="L1019" s="320" t="str">
        <f t="shared" si="34"/>
        <v/>
      </c>
      <c r="T1019" s="344"/>
      <c r="U1019" s="345"/>
      <c r="V1019" s="346"/>
    </row>
    <row r="1020">
      <c r="A1020" s="339"/>
      <c r="B1020" s="313"/>
      <c r="C1020" s="314"/>
      <c r="D1020" s="315" t="str">
        <f t="shared" si="35"/>
        <v/>
      </c>
      <c r="E1020" s="315" t="str">
        <f t="shared" si="36"/>
        <v/>
      </c>
      <c r="F1020" s="316"/>
      <c r="G1020" s="317"/>
      <c r="H1020" s="318"/>
      <c r="I1020" s="318"/>
      <c r="J1020" s="318"/>
      <c r="K1020" s="319">
        <f t="shared" si="39"/>
        <v>0</v>
      </c>
      <c r="L1020" s="320" t="str">
        <f t="shared" si="34"/>
        <v/>
      </c>
      <c r="T1020" s="344"/>
      <c r="U1020" s="345"/>
      <c r="V1020" s="346"/>
    </row>
    <row r="1021">
      <c r="A1021" s="339"/>
      <c r="B1021" s="313"/>
      <c r="C1021" s="314"/>
      <c r="D1021" s="315" t="str">
        <f t="shared" si="35"/>
        <v/>
      </c>
      <c r="E1021" s="315" t="str">
        <f t="shared" si="36"/>
        <v/>
      </c>
      <c r="F1021" s="318"/>
      <c r="G1021" s="318"/>
      <c r="H1021" s="318"/>
      <c r="I1021" s="318"/>
      <c r="J1021" s="318"/>
      <c r="K1021" s="319">
        <f t="shared" si="39"/>
        <v>0</v>
      </c>
      <c r="L1021" s="320" t="str">
        <f t="shared" si="34"/>
        <v/>
      </c>
      <c r="M1021" s="239"/>
      <c r="T1021" s="344"/>
      <c r="U1021" s="345"/>
      <c r="V1021" s="346"/>
    </row>
    <row r="1022">
      <c r="A1022" s="339"/>
      <c r="B1022" s="313"/>
      <c r="C1022" s="314"/>
      <c r="D1022" s="315" t="str">
        <f t="shared" si="35"/>
        <v/>
      </c>
      <c r="E1022" s="315" t="str">
        <f t="shared" si="36"/>
        <v/>
      </c>
      <c r="F1022" s="316"/>
      <c r="G1022" s="317"/>
      <c r="H1022" s="318"/>
      <c r="I1022" s="318"/>
      <c r="J1022" s="318"/>
      <c r="K1022" s="319">
        <f t="shared" si="39"/>
        <v>0</v>
      </c>
      <c r="L1022" s="320" t="str">
        <f t="shared" si="34"/>
        <v/>
      </c>
      <c r="T1022" s="344"/>
      <c r="U1022" s="345"/>
      <c r="V1022" s="346"/>
    </row>
    <row r="1023">
      <c r="A1023" s="339"/>
      <c r="B1023" s="313"/>
      <c r="C1023" s="314"/>
      <c r="D1023" s="315" t="str">
        <f t="shared" si="35"/>
        <v/>
      </c>
      <c r="E1023" s="315" t="str">
        <f t="shared" si="36"/>
        <v/>
      </c>
      <c r="F1023" s="316"/>
      <c r="G1023" s="317"/>
      <c r="H1023" s="318"/>
      <c r="I1023" s="318"/>
      <c r="J1023" s="318"/>
      <c r="K1023" s="319">
        <f t="shared" si="39"/>
        <v>0</v>
      </c>
      <c r="L1023" s="320" t="str">
        <f t="shared" si="34"/>
        <v/>
      </c>
      <c r="T1023" s="344"/>
      <c r="U1023" s="345"/>
      <c r="V1023" s="346"/>
    </row>
    <row r="1024">
      <c r="A1024" s="339"/>
      <c r="B1024" s="313"/>
      <c r="C1024" s="314"/>
      <c r="D1024" s="315" t="str">
        <f t="shared" si="35"/>
        <v/>
      </c>
      <c r="E1024" s="315" t="str">
        <f t="shared" si="36"/>
        <v/>
      </c>
      <c r="F1024" s="316"/>
      <c r="G1024" s="317"/>
      <c r="H1024" s="318"/>
      <c r="I1024" s="318"/>
      <c r="J1024" s="318"/>
      <c r="K1024" s="319">
        <f t="shared" si="39"/>
        <v>0</v>
      </c>
      <c r="L1024" s="320" t="str">
        <f t="shared" si="34"/>
        <v/>
      </c>
      <c r="T1024" s="344"/>
      <c r="U1024" s="345"/>
      <c r="V1024" s="346"/>
    </row>
    <row r="1025">
      <c r="A1025" s="339"/>
      <c r="B1025" s="313"/>
      <c r="C1025" s="314"/>
      <c r="D1025" s="315" t="str">
        <f t="shared" si="35"/>
        <v/>
      </c>
      <c r="E1025" s="315" t="str">
        <f t="shared" si="36"/>
        <v/>
      </c>
      <c r="F1025" s="316"/>
      <c r="G1025" s="317"/>
      <c r="H1025" s="318"/>
      <c r="I1025" s="318"/>
      <c r="J1025" s="318"/>
      <c r="K1025" s="319">
        <f t="shared" si="39"/>
        <v>0</v>
      </c>
      <c r="L1025" s="320" t="str">
        <f t="shared" si="34"/>
        <v/>
      </c>
      <c r="T1025" s="344"/>
      <c r="U1025" s="345"/>
      <c r="V1025" s="346"/>
    </row>
    <row r="1026">
      <c r="A1026" s="339"/>
      <c r="B1026" s="313"/>
      <c r="C1026" s="314"/>
      <c r="D1026" s="315" t="str">
        <f t="shared" si="35"/>
        <v/>
      </c>
      <c r="E1026" s="315" t="str">
        <f t="shared" si="36"/>
        <v/>
      </c>
      <c r="F1026" s="316"/>
      <c r="G1026" s="317"/>
      <c r="H1026" s="318"/>
      <c r="I1026" s="318"/>
      <c r="J1026" s="318"/>
      <c r="K1026" s="319">
        <f t="shared" si="39"/>
        <v>0</v>
      </c>
      <c r="L1026" s="320" t="str">
        <f t="shared" si="34"/>
        <v/>
      </c>
      <c r="T1026" s="344"/>
      <c r="U1026" s="345"/>
      <c r="V1026" s="346"/>
    </row>
    <row r="1027">
      <c r="A1027" s="339"/>
      <c r="B1027" s="313"/>
      <c r="C1027" s="314"/>
      <c r="D1027" s="315" t="str">
        <f t="shared" si="35"/>
        <v/>
      </c>
      <c r="E1027" s="315" t="str">
        <f t="shared" si="36"/>
        <v/>
      </c>
      <c r="F1027" s="316"/>
      <c r="G1027" s="317"/>
      <c r="H1027" s="318"/>
      <c r="I1027" s="318"/>
      <c r="J1027" s="318"/>
      <c r="K1027" s="319">
        <f t="shared" si="39"/>
        <v>0</v>
      </c>
      <c r="L1027" s="320" t="str">
        <f t="shared" si="34"/>
        <v/>
      </c>
      <c r="M1027" s="239"/>
      <c r="T1027" s="344"/>
      <c r="U1027" s="345"/>
      <c r="V1027" s="346"/>
    </row>
    <row r="1028">
      <c r="A1028" s="339"/>
      <c r="B1028" s="313"/>
      <c r="C1028" s="314"/>
      <c r="D1028" s="315" t="str">
        <f t="shared" si="35"/>
        <v/>
      </c>
      <c r="E1028" s="315" t="str">
        <f t="shared" si="36"/>
        <v/>
      </c>
      <c r="F1028" s="316"/>
      <c r="G1028" s="316"/>
      <c r="H1028" s="318"/>
      <c r="I1028" s="318"/>
      <c r="J1028" s="318"/>
      <c r="K1028" s="319">
        <f t="shared" si="39"/>
        <v>0</v>
      </c>
      <c r="L1028" s="320" t="str">
        <f t="shared" si="34"/>
        <v/>
      </c>
      <c r="M1028" s="239"/>
      <c r="T1028" s="344"/>
      <c r="U1028" s="345"/>
      <c r="V1028" s="346"/>
    </row>
    <row r="1029">
      <c r="A1029" s="339"/>
      <c r="B1029" s="313"/>
      <c r="C1029" s="314"/>
      <c r="D1029" s="315" t="str">
        <f t="shared" si="35"/>
        <v/>
      </c>
      <c r="E1029" s="315" t="str">
        <f t="shared" si="36"/>
        <v/>
      </c>
      <c r="F1029" s="316"/>
      <c r="G1029" s="317"/>
      <c r="H1029" s="318"/>
      <c r="I1029" s="318"/>
      <c r="J1029" s="318"/>
      <c r="K1029" s="319">
        <f t="shared" si="39"/>
        <v>0</v>
      </c>
      <c r="L1029" s="320" t="str">
        <f t="shared" si="34"/>
        <v/>
      </c>
      <c r="T1029" s="344"/>
      <c r="U1029" s="345"/>
      <c r="V1029" s="346"/>
    </row>
    <row r="1030">
      <c r="A1030" s="339"/>
      <c r="B1030" s="313"/>
      <c r="C1030" s="314"/>
      <c r="D1030" s="315" t="str">
        <f t="shared" si="35"/>
        <v/>
      </c>
      <c r="E1030" s="315" t="str">
        <f t="shared" si="36"/>
        <v/>
      </c>
      <c r="F1030" s="316"/>
      <c r="G1030" s="317"/>
      <c r="H1030" s="318"/>
      <c r="I1030" s="318"/>
      <c r="J1030" s="318"/>
      <c r="K1030" s="319">
        <f t="shared" si="39"/>
        <v>0</v>
      </c>
      <c r="L1030" s="320" t="str">
        <f t="shared" si="34"/>
        <v/>
      </c>
      <c r="T1030" s="344"/>
      <c r="U1030" s="345"/>
      <c r="V1030" s="346"/>
    </row>
    <row r="1031">
      <c r="A1031" s="339"/>
      <c r="B1031" s="313"/>
      <c r="C1031" s="314"/>
      <c r="D1031" s="315" t="str">
        <f t="shared" si="35"/>
        <v/>
      </c>
      <c r="E1031" s="315" t="str">
        <f t="shared" si="36"/>
        <v/>
      </c>
      <c r="F1031" s="316"/>
      <c r="G1031" s="317"/>
      <c r="H1031" s="318"/>
      <c r="I1031" s="318"/>
      <c r="J1031" s="318"/>
      <c r="K1031" s="319">
        <f t="shared" si="39"/>
        <v>0</v>
      </c>
      <c r="L1031" s="320" t="str">
        <f t="shared" si="34"/>
        <v/>
      </c>
      <c r="T1031" s="344"/>
      <c r="U1031" s="345"/>
      <c r="V1031" s="346"/>
    </row>
    <row r="1032">
      <c r="A1032" s="339"/>
      <c r="B1032" s="313"/>
      <c r="C1032" s="314"/>
      <c r="D1032" s="315" t="str">
        <f t="shared" si="35"/>
        <v/>
      </c>
      <c r="E1032" s="315" t="str">
        <f t="shared" si="36"/>
        <v/>
      </c>
      <c r="F1032" s="316"/>
      <c r="G1032" s="317"/>
      <c r="H1032" s="318"/>
      <c r="I1032" s="318"/>
      <c r="J1032" s="318"/>
      <c r="K1032" s="319">
        <f t="shared" si="39"/>
        <v>0</v>
      </c>
      <c r="L1032" s="320" t="str">
        <f t="shared" si="34"/>
        <v/>
      </c>
      <c r="T1032" s="344"/>
      <c r="U1032" s="345"/>
      <c r="V1032" s="346"/>
    </row>
    <row r="1033">
      <c r="A1033" s="339"/>
      <c r="B1033" s="313"/>
      <c r="C1033" s="314"/>
      <c r="D1033" s="315" t="str">
        <f t="shared" si="35"/>
        <v/>
      </c>
      <c r="E1033" s="315" t="str">
        <f t="shared" si="36"/>
        <v/>
      </c>
      <c r="F1033" s="316"/>
      <c r="G1033" s="317"/>
      <c r="H1033" s="318"/>
      <c r="I1033" s="318"/>
      <c r="J1033" s="318"/>
      <c r="K1033" s="319">
        <f t="shared" si="39"/>
        <v>0</v>
      </c>
      <c r="L1033" s="320" t="str">
        <f t="shared" si="34"/>
        <v/>
      </c>
      <c r="T1033" s="344"/>
      <c r="U1033" s="345"/>
      <c r="V1033" s="346"/>
    </row>
    <row r="1034">
      <c r="A1034" s="339"/>
      <c r="B1034" s="313"/>
      <c r="C1034" s="314"/>
      <c r="D1034" s="315" t="str">
        <f t="shared" si="35"/>
        <v/>
      </c>
      <c r="E1034" s="315" t="str">
        <f t="shared" si="36"/>
        <v/>
      </c>
      <c r="F1034" s="316"/>
      <c r="G1034" s="317"/>
      <c r="H1034" s="318"/>
      <c r="I1034" s="318"/>
      <c r="J1034" s="318"/>
      <c r="K1034" s="319">
        <f t="shared" si="39"/>
        <v>0</v>
      </c>
      <c r="L1034" s="320" t="str">
        <f t="shared" si="34"/>
        <v/>
      </c>
      <c r="T1034" s="344"/>
      <c r="U1034" s="345"/>
      <c r="V1034" s="346"/>
    </row>
    <row r="1035">
      <c r="A1035" s="339"/>
      <c r="B1035" s="313"/>
      <c r="C1035" s="314"/>
      <c r="D1035" s="315" t="str">
        <f t="shared" si="35"/>
        <v/>
      </c>
      <c r="E1035" s="315" t="str">
        <f t="shared" si="36"/>
        <v/>
      </c>
      <c r="F1035" s="316"/>
      <c r="G1035" s="317"/>
      <c r="H1035" s="318"/>
      <c r="I1035" s="318"/>
      <c r="J1035" s="318"/>
      <c r="K1035" s="319">
        <f t="shared" si="39"/>
        <v>0</v>
      </c>
      <c r="L1035" s="320" t="str">
        <f t="shared" si="34"/>
        <v/>
      </c>
      <c r="T1035" s="344"/>
      <c r="U1035" s="345"/>
      <c r="V1035" s="346"/>
    </row>
    <row r="1036">
      <c r="A1036" s="339"/>
      <c r="B1036" s="313"/>
      <c r="C1036" s="314"/>
      <c r="D1036" s="315" t="str">
        <f t="shared" si="35"/>
        <v/>
      </c>
      <c r="E1036" s="315" t="str">
        <f t="shared" si="36"/>
        <v/>
      </c>
      <c r="F1036" s="316"/>
      <c r="G1036" s="317"/>
      <c r="H1036" s="318"/>
      <c r="I1036" s="318"/>
      <c r="J1036" s="318"/>
      <c r="K1036" s="319">
        <f t="shared" si="39"/>
        <v>0</v>
      </c>
      <c r="L1036" s="320" t="str">
        <f t="shared" si="34"/>
        <v/>
      </c>
      <c r="T1036" s="344"/>
      <c r="U1036" s="345"/>
      <c r="V1036" s="346"/>
    </row>
    <row r="1037">
      <c r="A1037" s="339"/>
      <c r="B1037" s="313"/>
      <c r="C1037" s="314"/>
      <c r="D1037" s="315" t="str">
        <f t="shared" si="35"/>
        <v/>
      </c>
      <c r="E1037" s="315" t="str">
        <f t="shared" si="36"/>
        <v/>
      </c>
      <c r="F1037" s="318"/>
      <c r="G1037" s="318"/>
      <c r="H1037" s="318"/>
      <c r="I1037" s="318"/>
      <c r="J1037" s="318"/>
      <c r="K1037" s="319">
        <f t="shared" si="39"/>
        <v>0</v>
      </c>
      <c r="L1037" s="320" t="str">
        <f t="shared" si="34"/>
        <v/>
      </c>
      <c r="M1037" s="239"/>
      <c r="T1037" s="344"/>
      <c r="U1037" s="345"/>
      <c r="V1037" s="346"/>
    </row>
    <row r="1038">
      <c r="A1038" s="339"/>
      <c r="B1038" s="313"/>
      <c r="C1038" s="314"/>
      <c r="D1038" s="315" t="str">
        <f t="shared" si="35"/>
        <v/>
      </c>
      <c r="E1038" s="315" t="str">
        <f t="shared" si="36"/>
        <v/>
      </c>
      <c r="F1038" s="316"/>
      <c r="G1038" s="317"/>
      <c r="H1038" s="318"/>
      <c r="I1038" s="318"/>
      <c r="J1038" s="318"/>
      <c r="K1038" s="319">
        <f t="shared" si="39"/>
        <v>0</v>
      </c>
      <c r="L1038" s="320" t="str">
        <f t="shared" si="34"/>
        <v/>
      </c>
      <c r="T1038" s="344"/>
      <c r="U1038" s="345"/>
      <c r="V1038" s="346"/>
    </row>
    <row r="1039">
      <c r="A1039" s="339"/>
      <c r="B1039" s="313"/>
      <c r="C1039" s="314"/>
      <c r="D1039" s="315" t="str">
        <f t="shared" si="35"/>
        <v/>
      </c>
      <c r="E1039" s="315" t="str">
        <f t="shared" si="36"/>
        <v/>
      </c>
      <c r="F1039" s="316"/>
      <c r="G1039" s="317"/>
      <c r="H1039" s="318"/>
      <c r="I1039" s="318"/>
      <c r="J1039" s="318"/>
      <c r="K1039" s="319">
        <f t="shared" si="39"/>
        <v>0</v>
      </c>
      <c r="L1039" s="320" t="str">
        <f t="shared" si="34"/>
        <v/>
      </c>
      <c r="T1039" s="344"/>
      <c r="U1039" s="345"/>
      <c r="V1039" s="346"/>
    </row>
    <row r="1040">
      <c r="A1040" s="339"/>
      <c r="B1040" s="313"/>
      <c r="C1040" s="314"/>
      <c r="D1040" s="315" t="str">
        <f t="shared" si="35"/>
        <v/>
      </c>
      <c r="E1040" s="315" t="str">
        <f t="shared" si="36"/>
        <v/>
      </c>
      <c r="F1040" s="318"/>
      <c r="G1040" s="318"/>
      <c r="H1040" s="318"/>
      <c r="I1040" s="318"/>
      <c r="J1040" s="318"/>
      <c r="K1040" s="319">
        <f t="shared" si="39"/>
        <v>0</v>
      </c>
      <c r="L1040" s="320" t="str">
        <f t="shared" si="34"/>
        <v/>
      </c>
      <c r="M1040" s="239"/>
      <c r="T1040" s="344"/>
      <c r="U1040" s="345"/>
      <c r="V1040" s="346"/>
    </row>
    <row r="1041">
      <c r="A1041" s="339"/>
      <c r="B1041" s="313"/>
      <c r="C1041" s="314"/>
      <c r="D1041" s="315" t="str">
        <f t="shared" si="35"/>
        <v/>
      </c>
      <c r="E1041" s="315" t="str">
        <f t="shared" si="36"/>
        <v/>
      </c>
      <c r="F1041" s="316"/>
      <c r="G1041" s="317"/>
      <c r="H1041" s="318"/>
      <c r="I1041" s="318"/>
      <c r="J1041" s="318"/>
      <c r="K1041" s="319">
        <f t="shared" si="39"/>
        <v>0</v>
      </c>
      <c r="L1041" s="320" t="str">
        <f t="shared" si="34"/>
        <v/>
      </c>
      <c r="T1041" s="344"/>
      <c r="U1041" s="345"/>
      <c r="V1041" s="346"/>
    </row>
    <row r="1042">
      <c r="A1042" s="339"/>
      <c r="B1042" s="313"/>
      <c r="C1042" s="314"/>
      <c r="D1042" s="315" t="str">
        <f t="shared" si="35"/>
        <v/>
      </c>
      <c r="E1042" s="315" t="str">
        <f t="shared" si="36"/>
        <v/>
      </c>
      <c r="F1042" s="316"/>
      <c r="G1042" s="317"/>
      <c r="H1042" s="318"/>
      <c r="I1042" s="318"/>
      <c r="J1042" s="318"/>
      <c r="K1042" s="319">
        <f t="shared" si="39"/>
        <v>0</v>
      </c>
      <c r="L1042" s="320" t="str">
        <f t="shared" si="34"/>
        <v/>
      </c>
      <c r="T1042" s="344"/>
      <c r="U1042" s="345"/>
      <c r="V1042" s="346"/>
    </row>
    <row r="1043">
      <c r="A1043" s="339"/>
      <c r="B1043" s="313"/>
      <c r="C1043" s="314"/>
      <c r="D1043" s="315" t="str">
        <f t="shared" si="35"/>
        <v/>
      </c>
      <c r="E1043" s="315" t="str">
        <f t="shared" si="36"/>
        <v/>
      </c>
      <c r="F1043" s="316"/>
      <c r="G1043" s="317"/>
      <c r="H1043" s="318"/>
      <c r="I1043" s="318"/>
      <c r="J1043" s="318"/>
      <c r="K1043" s="319">
        <f t="shared" si="39"/>
        <v>0</v>
      </c>
      <c r="L1043" s="320" t="str">
        <f t="shared" si="34"/>
        <v/>
      </c>
      <c r="T1043" s="344"/>
      <c r="U1043" s="345"/>
      <c r="V1043" s="346"/>
    </row>
    <row r="1044">
      <c r="A1044" s="339"/>
      <c r="B1044" s="313"/>
      <c r="C1044" s="314"/>
      <c r="D1044" s="315" t="str">
        <f t="shared" si="35"/>
        <v/>
      </c>
      <c r="E1044" s="315" t="str">
        <f t="shared" si="36"/>
        <v/>
      </c>
      <c r="F1044" s="316"/>
      <c r="G1044" s="317"/>
      <c r="H1044" s="318"/>
      <c r="I1044" s="318"/>
      <c r="J1044" s="318"/>
      <c r="K1044" s="319">
        <f t="shared" si="39"/>
        <v>0</v>
      </c>
      <c r="L1044" s="320" t="str">
        <f t="shared" si="34"/>
        <v/>
      </c>
      <c r="T1044" s="344"/>
      <c r="U1044" s="345"/>
      <c r="V1044" s="346"/>
    </row>
    <row r="1045">
      <c r="A1045" s="339"/>
      <c r="B1045" s="313"/>
      <c r="C1045" s="314"/>
      <c r="D1045" s="315" t="str">
        <f t="shared" si="35"/>
        <v/>
      </c>
      <c r="E1045" s="315" t="str">
        <f t="shared" si="36"/>
        <v/>
      </c>
      <c r="F1045" s="316"/>
      <c r="G1045" s="317"/>
      <c r="H1045" s="318"/>
      <c r="I1045" s="318"/>
      <c r="J1045" s="318"/>
      <c r="K1045" s="319">
        <f t="shared" si="39"/>
        <v>0</v>
      </c>
      <c r="L1045" s="320" t="str">
        <f t="shared" si="34"/>
        <v/>
      </c>
      <c r="T1045" s="344"/>
      <c r="U1045" s="345"/>
      <c r="V1045" s="346"/>
    </row>
    <row r="1046">
      <c r="A1046" s="339"/>
      <c r="B1046" s="313"/>
      <c r="C1046" s="314"/>
      <c r="D1046" s="315" t="str">
        <f t="shared" si="35"/>
        <v/>
      </c>
      <c r="E1046" s="315" t="str">
        <f t="shared" si="36"/>
        <v/>
      </c>
      <c r="F1046" s="316"/>
      <c r="G1046" s="317"/>
      <c r="H1046" s="318"/>
      <c r="I1046" s="318"/>
      <c r="J1046" s="318"/>
      <c r="K1046" s="319">
        <f t="shared" si="39"/>
        <v>0</v>
      </c>
      <c r="L1046" s="320" t="str">
        <f t="shared" si="34"/>
        <v/>
      </c>
      <c r="T1046" s="344"/>
      <c r="U1046" s="345"/>
      <c r="V1046" s="346"/>
    </row>
    <row r="1047">
      <c r="A1047" s="339"/>
      <c r="B1047" s="313"/>
      <c r="C1047" s="314"/>
      <c r="D1047" s="315" t="str">
        <f t="shared" si="35"/>
        <v/>
      </c>
      <c r="E1047" s="315" t="str">
        <f t="shared" si="36"/>
        <v/>
      </c>
      <c r="F1047" s="316"/>
      <c r="G1047" s="317"/>
      <c r="H1047" s="318"/>
      <c r="I1047" s="318"/>
      <c r="J1047" s="318"/>
      <c r="K1047" s="319">
        <f t="shared" si="39"/>
        <v>0</v>
      </c>
      <c r="L1047" s="320" t="str">
        <f t="shared" si="34"/>
        <v/>
      </c>
      <c r="T1047" s="344"/>
      <c r="U1047" s="345"/>
      <c r="V1047" s="346"/>
    </row>
    <row r="1048">
      <c r="A1048" s="339"/>
      <c r="B1048" s="313"/>
      <c r="C1048" s="314"/>
      <c r="D1048" s="315" t="str">
        <f t="shared" si="35"/>
        <v/>
      </c>
      <c r="E1048" s="315" t="str">
        <f t="shared" si="36"/>
        <v/>
      </c>
      <c r="F1048" s="316"/>
      <c r="G1048" s="317"/>
      <c r="H1048" s="318"/>
      <c r="I1048" s="318"/>
      <c r="J1048" s="318"/>
      <c r="K1048" s="319">
        <f t="shared" si="39"/>
        <v>0</v>
      </c>
      <c r="L1048" s="320" t="str">
        <f t="shared" si="34"/>
        <v/>
      </c>
      <c r="T1048" s="344"/>
      <c r="U1048" s="345"/>
      <c r="V1048" s="346"/>
    </row>
    <row r="1049">
      <c r="A1049" s="339"/>
      <c r="B1049" s="313"/>
      <c r="C1049" s="314"/>
      <c r="D1049" s="315" t="str">
        <f t="shared" si="35"/>
        <v/>
      </c>
      <c r="E1049" s="315" t="str">
        <f t="shared" si="36"/>
        <v/>
      </c>
      <c r="F1049" s="316"/>
      <c r="G1049" s="317"/>
      <c r="H1049" s="318"/>
      <c r="I1049" s="318"/>
      <c r="J1049" s="318"/>
      <c r="K1049" s="319">
        <f t="shared" si="39"/>
        <v>0</v>
      </c>
      <c r="L1049" s="320" t="str">
        <f t="shared" si="34"/>
        <v/>
      </c>
      <c r="T1049" s="344"/>
      <c r="U1049" s="345"/>
      <c r="V1049" s="346"/>
    </row>
    <row r="1050">
      <c r="A1050" s="339"/>
      <c r="B1050" s="313"/>
      <c r="C1050" s="314"/>
      <c r="D1050" s="315" t="str">
        <f t="shared" si="35"/>
        <v/>
      </c>
      <c r="E1050" s="315" t="str">
        <f t="shared" si="36"/>
        <v/>
      </c>
      <c r="F1050" s="316"/>
      <c r="G1050" s="317"/>
      <c r="H1050" s="318"/>
      <c r="I1050" s="318"/>
      <c r="J1050" s="318"/>
      <c r="K1050" s="319">
        <f t="shared" si="39"/>
        <v>0</v>
      </c>
      <c r="L1050" s="320" t="str">
        <f t="shared" si="34"/>
        <v/>
      </c>
      <c r="T1050" s="344"/>
      <c r="U1050" s="345"/>
      <c r="V1050" s="346"/>
    </row>
    <row r="1051">
      <c r="A1051" s="339"/>
      <c r="B1051" s="313"/>
      <c r="C1051" s="314"/>
      <c r="D1051" s="315" t="str">
        <f t="shared" si="35"/>
        <v/>
      </c>
      <c r="E1051" s="315" t="str">
        <f t="shared" si="36"/>
        <v/>
      </c>
      <c r="F1051" s="316"/>
      <c r="G1051" s="317"/>
      <c r="H1051" s="318"/>
      <c r="I1051" s="318"/>
      <c r="J1051" s="318"/>
      <c r="K1051" s="319">
        <f t="shared" si="39"/>
        <v>0</v>
      </c>
      <c r="L1051" s="320" t="str">
        <f t="shared" si="34"/>
        <v/>
      </c>
      <c r="T1051" s="344"/>
      <c r="U1051" s="345"/>
      <c r="V1051" s="346"/>
    </row>
    <row r="1052">
      <c r="A1052" s="339"/>
      <c r="B1052" s="313"/>
      <c r="C1052" s="314"/>
      <c r="D1052" s="315" t="str">
        <f t="shared" si="35"/>
        <v/>
      </c>
      <c r="E1052" s="315" t="str">
        <f t="shared" si="36"/>
        <v/>
      </c>
      <c r="F1052" s="316"/>
      <c r="G1052" s="317"/>
      <c r="H1052" s="318"/>
      <c r="I1052" s="318"/>
      <c r="J1052" s="318"/>
      <c r="K1052" s="319">
        <f t="shared" si="39"/>
        <v>0</v>
      </c>
      <c r="L1052" s="320" t="str">
        <f t="shared" si="34"/>
        <v/>
      </c>
      <c r="T1052" s="344"/>
      <c r="U1052" s="345"/>
      <c r="V1052" s="346"/>
    </row>
    <row r="1053">
      <c r="A1053" s="339"/>
      <c r="B1053" s="313"/>
      <c r="C1053" s="314"/>
      <c r="D1053" s="315" t="str">
        <f t="shared" si="35"/>
        <v/>
      </c>
      <c r="E1053" s="315" t="str">
        <f t="shared" si="36"/>
        <v/>
      </c>
      <c r="F1053" s="316"/>
      <c r="G1053" s="317"/>
      <c r="H1053" s="318"/>
      <c r="I1053" s="318"/>
      <c r="J1053" s="318"/>
      <c r="K1053" s="319">
        <f t="shared" si="39"/>
        <v>0</v>
      </c>
      <c r="L1053" s="320" t="str">
        <f t="shared" si="34"/>
        <v/>
      </c>
      <c r="T1053" s="344"/>
      <c r="U1053" s="345"/>
      <c r="V1053" s="346"/>
    </row>
    <row r="1054">
      <c r="A1054" s="339"/>
      <c r="B1054" s="313"/>
      <c r="C1054" s="314"/>
      <c r="D1054" s="315" t="str">
        <f t="shared" si="35"/>
        <v/>
      </c>
      <c r="E1054" s="315" t="str">
        <f t="shared" si="36"/>
        <v/>
      </c>
      <c r="F1054" s="316"/>
      <c r="G1054" s="317"/>
      <c r="H1054" s="318"/>
      <c r="I1054" s="318"/>
      <c r="J1054" s="318"/>
      <c r="K1054" s="319">
        <f t="shared" si="39"/>
        <v>0</v>
      </c>
      <c r="L1054" s="320" t="str">
        <f t="shared" si="34"/>
        <v/>
      </c>
      <c r="T1054" s="344"/>
      <c r="U1054" s="345"/>
      <c r="V1054" s="346"/>
    </row>
    <row r="1055">
      <c r="A1055" s="339"/>
      <c r="B1055" s="313"/>
      <c r="C1055" s="314"/>
      <c r="D1055" s="315" t="str">
        <f t="shared" si="35"/>
        <v/>
      </c>
      <c r="E1055" s="315" t="str">
        <f t="shared" si="36"/>
        <v/>
      </c>
      <c r="F1055" s="316"/>
      <c r="G1055" s="317"/>
      <c r="H1055" s="318"/>
      <c r="I1055" s="318"/>
      <c r="J1055" s="318"/>
      <c r="K1055" s="319">
        <f t="shared" si="39"/>
        <v>0</v>
      </c>
      <c r="L1055" s="320" t="str">
        <f t="shared" si="34"/>
        <v/>
      </c>
      <c r="T1055" s="344"/>
      <c r="U1055" s="345"/>
      <c r="V1055" s="346"/>
    </row>
    <row r="1056">
      <c r="A1056" s="339"/>
      <c r="B1056" s="313"/>
      <c r="C1056" s="25"/>
      <c r="D1056" s="315" t="str">
        <f t="shared" si="35"/>
        <v/>
      </c>
      <c r="E1056" s="315" t="str">
        <f t="shared" si="36"/>
        <v/>
      </c>
      <c r="F1056" s="316"/>
      <c r="G1056" s="317"/>
      <c r="H1056" s="318"/>
      <c r="I1056" s="318"/>
      <c r="J1056" s="318"/>
      <c r="K1056" s="319">
        <f t="shared" si="39"/>
        <v>0</v>
      </c>
      <c r="L1056" s="320" t="str">
        <f t="shared" si="34"/>
        <v/>
      </c>
      <c r="T1056" s="344"/>
      <c r="U1056" s="345"/>
      <c r="V1056" s="346"/>
    </row>
    <row r="1057">
      <c r="A1057" s="339"/>
      <c r="B1057" s="313"/>
      <c r="C1057" s="314"/>
      <c r="D1057" s="315" t="str">
        <f t="shared" si="35"/>
        <v/>
      </c>
      <c r="E1057" s="315" t="str">
        <f t="shared" si="36"/>
        <v/>
      </c>
      <c r="F1057" s="316"/>
      <c r="G1057" s="317"/>
      <c r="H1057" s="318"/>
      <c r="I1057" s="318"/>
      <c r="J1057" s="318"/>
      <c r="K1057" s="319">
        <f t="shared" si="39"/>
        <v>0</v>
      </c>
      <c r="L1057" s="320" t="str">
        <f t="shared" si="34"/>
        <v/>
      </c>
      <c r="T1057" s="344"/>
      <c r="U1057" s="345"/>
      <c r="V1057" s="346"/>
    </row>
    <row r="1058">
      <c r="A1058" s="339"/>
      <c r="B1058" s="313"/>
      <c r="C1058" s="314"/>
      <c r="D1058" s="315" t="str">
        <f t="shared" si="35"/>
        <v/>
      </c>
      <c r="E1058" s="315" t="str">
        <f t="shared" si="36"/>
        <v/>
      </c>
      <c r="F1058" s="316"/>
      <c r="G1058" s="317"/>
      <c r="H1058" s="318"/>
      <c r="I1058" s="318"/>
      <c r="J1058" s="318"/>
      <c r="K1058" s="319">
        <f t="shared" si="39"/>
        <v>0</v>
      </c>
      <c r="L1058" s="320" t="str">
        <f t="shared" si="34"/>
        <v/>
      </c>
      <c r="T1058" s="344"/>
      <c r="U1058" s="345"/>
      <c r="V1058" s="346"/>
    </row>
    <row r="1059">
      <c r="A1059" s="339"/>
      <c r="B1059" s="313"/>
      <c r="C1059" s="314"/>
      <c r="D1059" s="315" t="str">
        <f t="shared" si="35"/>
        <v/>
      </c>
      <c r="E1059" s="315" t="str">
        <f t="shared" si="36"/>
        <v/>
      </c>
      <c r="F1059" s="318"/>
      <c r="G1059" s="318"/>
      <c r="H1059" s="318"/>
      <c r="I1059" s="318"/>
      <c r="J1059" s="318"/>
      <c r="K1059" s="319">
        <f t="shared" si="39"/>
        <v>0</v>
      </c>
      <c r="L1059" s="320" t="str">
        <f t="shared" si="34"/>
        <v/>
      </c>
      <c r="M1059" s="239"/>
      <c r="T1059" s="344"/>
      <c r="U1059" s="345"/>
      <c r="V1059" s="346"/>
    </row>
    <row r="1060">
      <c r="A1060" s="339"/>
      <c r="B1060" s="313"/>
      <c r="C1060" s="314"/>
      <c r="D1060" s="315" t="str">
        <f t="shared" si="35"/>
        <v/>
      </c>
      <c r="E1060" s="315" t="str">
        <f t="shared" si="36"/>
        <v/>
      </c>
      <c r="F1060" s="318"/>
      <c r="G1060" s="318"/>
      <c r="H1060" s="318"/>
      <c r="I1060" s="318"/>
      <c r="J1060" s="318"/>
      <c r="K1060" s="319">
        <f t="shared" si="39"/>
        <v>0</v>
      </c>
      <c r="L1060" s="320" t="str">
        <f t="shared" si="34"/>
        <v/>
      </c>
      <c r="M1060" s="239"/>
      <c r="T1060" s="344"/>
      <c r="U1060" s="345"/>
      <c r="V1060" s="346"/>
    </row>
    <row r="1061">
      <c r="A1061" s="339"/>
      <c r="B1061" s="313"/>
      <c r="C1061" s="314"/>
      <c r="D1061" s="315" t="str">
        <f t="shared" si="35"/>
        <v/>
      </c>
      <c r="E1061" s="315" t="str">
        <f t="shared" si="36"/>
        <v/>
      </c>
      <c r="F1061" s="318"/>
      <c r="G1061" s="318"/>
      <c r="H1061" s="318"/>
      <c r="I1061" s="318"/>
      <c r="J1061" s="318"/>
      <c r="K1061" s="319">
        <f t="shared" si="39"/>
        <v>0</v>
      </c>
      <c r="L1061" s="320" t="str">
        <f t="shared" si="34"/>
        <v/>
      </c>
      <c r="M1061" s="239"/>
      <c r="T1061" s="344"/>
      <c r="U1061" s="345"/>
      <c r="V1061" s="346"/>
    </row>
    <row r="1062">
      <c r="A1062" s="339"/>
      <c r="B1062" s="313"/>
      <c r="C1062" s="314"/>
      <c r="D1062" s="315" t="str">
        <f t="shared" si="35"/>
        <v/>
      </c>
      <c r="E1062" s="315" t="str">
        <f t="shared" si="36"/>
        <v/>
      </c>
      <c r="F1062" s="316"/>
      <c r="G1062" s="317"/>
      <c r="H1062" s="318"/>
      <c r="I1062" s="318"/>
      <c r="J1062" s="318"/>
      <c r="K1062" s="319">
        <f t="shared" si="39"/>
        <v>0</v>
      </c>
      <c r="L1062" s="320" t="str">
        <f t="shared" si="34"/>
        <v/>
      </c>
      <c r="T1062" s="344"/>
      <c r="U1062" s="345"/>
      <c r="V1062" s="346"/>
    </row>
    <row r="1063">
      <c r="A1063" s="339"/>
      <c r="B1063" s="313"/>
      <c r="C1063" s="314"/>
      <c r="D1063" s="315" t="str">
        <f t="shared" si="35"/>
        <v/>
      </c>
      <c r="E1063" s="315" t="str">
        <f t="shared" si="36"/>
        <v/>
      </c>
      <c r="F1063" s="316"/>
      <c r="G1063" s="317"/>
      <c r="H1063" s="318"/>
      <c r="I1063" s="318"/>
      <c r="J1063" s="318"/>
      <c r="K1063" s="319">
        <f t="shared" si="39"/>
        <v>0</v>
      </c>
      <c r="L1063" s="320" t="str">
        <f t="shared" si="34"/>
        <v/>
      </c>
      <c r="T1063" s="344"/>
      <c r="U1063" s="345"/>
      <c r="V1063" s="346"/>
    </row>
    <row r="1064">
      <c r="A1064" s="339"/>
      <c r="B1064" s="313"/>
      <c r="C1064" s="314"/>
      <c r="D1064" s="315" t="str">
        <f t="shared" si="35"/>
        <v/>
      </c>
      <c r="E1064" s="315" t="str">
        <f t="shared" si="36"/>
        <v/>
      </c>
      <c r="F1064" s="316"/>
      <c r="G1064" s="317"/>
      <c r="H1064" s="318"/>
      <c r="I1064" s="318"/>
      <c r="J1064" s="318"/>
      <c r="K1064" s="319">
        <f t="shared" si="39"/>
        <v>0</v>
      </c>
      <c r="L1064" s="320" t="str">
        <f t="shared" si="34"/>
        <v/>
      </c>
      <c r="T1064" s="344"/>
      <c r="U1064" s="345"/>
      <c r="V1064" s="346"/>
    </row>
    <row r="1065">
      <c r="A1065" s="339"/>
      <c r="B1065" s="313"/>
      <c r="C1065" s="314"/>
      <c r="D1065" s="315" t="str">
        <f t="shared" si="35"/>
        <v/>
      </c>
      <c r="E1065" s="315" t="str">
        <f t="shared" si="36"/>
        <v/>
      </c>
      <c r="F1065" s="318"/>
      <c r="G1065" s="318"/>
      <c r="H1065" s="318"/>
      <c r="I1065" s="318"/>
      <c r="J1065" s="318"/>
      <c r="K1065" s="319">
        <f t="shared" si="39"/>
        <v>0</v>
      </c>
      <c r="L1065" s="320" t="str">
        <f t="shared" si="34"/>
        <v/>
      </c>
      <c r="M1065" s="239"/>
      <c r="T1065" s="344"/>
      <c r="U1065" s="345"/>
      <c r="V1065" s="346"/>
    </row>
    <row r="1066">
      <c r="A1066" s="339"/>
      <c r="B1066" s="313"/>
      <c r="C1066" s="314"/>
      <c r="D1066" s="315" t="str">
        <f t="shared" si="35"/>
        <v/>
      </c>
      <c r="E1066" s="315" t="str">
        <f t="shared" si="36"/>
        <v/>
      </c>
      <c r="F1066" s="316"/>
      <c r="G1066" s="317"/>
      <c r="H1066" s="318"/>
      <c r="I1066" s="318"/>
      <c r="J1066" s="318"/>
      <c r="K1066" s="319">
        <f t="shared" si="39"/>
        <v>0</v>
      </c>
      <c r="L1066" s="320" t="str">
        <f t="shared" si="34"/>
        <v/>
      </c>
      <c r="T1066" s="344"/>
      <c r="U1066" s="345"/>
      <c r="V1066" s="346"/>
    </row>
    <row r="1067">
      <c r="A1067" s="339"/>
      <c r="B1067" s="313"/>
      <c r="C1067" s="314"/>
      <c r="D1067" s="315" t="str">
        <f t="shared" si="35"/>
        <v/>
      </c>
      <c r="E1067" s="315" t="str">
        <f t="shared" si="36"/>
        <v/>
      </c>
      <c r="F1067" s="316"/>
      <c r="G1067" s="317"/>
      <c r="H1067" s="318"/>
      <c r="I1067" s="318"/>
      <c r="J1067" s="318"/>
      <c r="K1067" s="319">
        <f t="shared" si="39"/>
        <v>0</v>
      </c>
      <c r="L1067" s="320" t="str">
        <f t="shared" si="34"/>
        <v/>
      </c>
      <c r="T1067" s="344"/>
      <c r="U1067" s="345"/>
      <c r="V1067" s="346"/>
    </row>
    <row r="1068">
      <c r="A1068" s="339"/>
      <c r="B1068" s="313"/>
      <c r="C1068" s="314"/>
      <c r="D1068" s="315" t="str">
        <f t="shared" si="35"/>
        <v/>
      </c>
      <c r="E1068" s="315" t="str">
        <f t="shared" si="36"/>
        <v/>
      </c>
      <c r="F1068" s="316"/>
      <c r="G1068" s="317"/>
      <c r="H1068" s="318"/>
      <c r="I1068" s="318"/>
      <c r="J1068" s="318"/>
      <c r="K1068" s="319">
        <f t="shared" si="39"/>
        <v>0</v>
      </c>
      <c r="L1068" s="320" t="str">
        <f t="shared" si="34"/>
        <v/>
      </c>
      <c r="T1068" s="344"/>
      <c r="U1068" s="345"/>
      <c r="V1068" s="346"/>
    </row>
    <row r="1069">
      <c r="A1069" s="339"/>
      <c r="B1069" s="313"/>
      <c r="C1069" s="314"/>
      <c r="D1069" s="315" t="str">
        <f t="shared" si="35"/>
        <v/>
      </c>
      <c r="E1069" s="315" t="str">
        <f t="shared" si="36"/>
        <v/>
      </c>
      <c r="F1069" s="316"/>
      <c r="G1069" s="317"/>
      <c r="H1069" s="318"/>
      <c r="I1069" s="318"/>
      <c r="J1069" s="318"/>
      <c r="K1069" s="319">
        <f t="shared" si="39"/>
        <v>0</v>
      </c>
      <c r="L1069" s="320" t="str">
        <f t="shared" si="34"/>
        <v/>
      </c>
      <c r="T1069" s="344"/>
      <c r="U1069" s="345"/>
      <c r="V1069" s="346"/>
    </row>
    <row r="1070">
      <c r="A1070" s="339"/>
      <c r="B1070" s="313"/>
      <c r="C1070" s="314"/>
      <c r="D1070" s="315" t="str">
        <f t="shared" si="35"/>
        <v/>
      </c>
      <c r="E1070" s="315" t="str">
        <f t="shared" si="36"/>
        <v/>
      </c>
      <c r="F1070" s="316"/>
      <c r="G1070" s="317"/>
      <c r="H1070" s="318"/>
      <c r="I1070" s="318"/>
      <c r="J1070" s="318"/>
      <c r="K1070" s="319">
        <f t="shared" si="39"/>
        <v>0</v>
      </c>
      <c r="L1070" s="320" t="str">
        <f t="shared" si="34"/>
        <v/>
      </c>
      <c r="T1070" s="344"/>
      <c r="U1070" s="345"/>
      <c r="V1070" s="346"/>
    </row>
    <row r="1071">
      <c r="A1071" s="339"/>
      <c r="B1071" s="313"/>
      <c r="C1071" s="314"/>
      <c r="D1071" s="315" t="str">
        <f t="shared" si="35"/>
        <v/>
      </c>
      <c r="E1071" s="315" t="str">
        <f t="shared" si="36"/>
        <v/>
      </c>
      <c r="F1071" s="316"/>
      <c r="G1071" s="317"/>
      <c r="H1071" s="318"/>
      <c r="I1071" s="318"/>
      <c r="J1071" s="318"/>
      <c r="K1071" s="319">
        <f t="shared" si="39"/>
        <v>0</v>
      </c>
      <c r="L1071" s="320" t="str">
        <f t="shared" si="34"/>
        <v/>
      </c>
      <c r="T1071" s="344"/>
      <c r="U1071" s="345"/>
      <c r="V1071" s="346"/>
    </row>
    <row r="1072">
      <c r="A1072" s="339"/>
      <c r="B1072" s="313"/>
      <c r="C1072" s="314"/>
      <c r="D1072" s="315" t="str">
        <f t="shared" si="35"/>
        <v/>
      </c>
      <c r="E1072" s="315" t="str">
        <f t="shared" si="36"/>
        <v/>
      </c>
      <c r="F1072" s="316"/>
      <c r="G1072" s="317"/>
      <c r="H1072" s="318"/>
      <c r="I1072" s="318"/>
      <c r="J1072" s="318"/>
      <c r="K1072" s="319">
        <f t="shared" si="39"/>
        <v>0</v>
      </c>
      <c r="L1072" s="320" t="str">
        <f t="shared" si="34"/>
        <v/>
      </c>
      <c r="T1072" s="344"/>
      <c r="U1072" s="345"/>
      <c r="V1072" s="346"/>
    </row>
    <row r="1073">
      <c r="A1073" s="339"/>
      <c r="B1073" s="313"/>
      <c r="C1073" s="314"/>
      <c r="D1073" s="315" t="str">
        <f t="shared" si="35"/>
        <v/>
      </c>
      <c r="E1073" s="315" t="str">
        <f t="shared" si="36"/>
        <v/>
      </c>
      <c r="F1073" s="316"/>
      <c r="G1073" s="317"/>
      <c r="H1073" s="318"/>
      <c r="I1073" s="318"/>
      <c r="J1073" s="318"/>
      <c r="K1073" s="319">
        <f t="shared" si="39"/>
        <v>0</v>
      </c>
      <c r="L1073" s="320" t="str">
        <f t="shared" si="34"/>
        <v/>
      </c>
      <c r="T1073" s="344"/>
      <c r="U1073" s="345"/>
      <c r="V1073" s="346"/>
    </row>
    <row r="1074">
      <c r="A1074" s="339"/>
      <c r="B1074" s="313"/>
      <c r="C1074" s="314"/>
      <c r="D1074" s="315" t="str">
        <f t="shared" si="35"/>
        <v/>
      </c>
      <c r="E1074" s="315" t="str">
        <f t="shared" si="36"/>
        <v/>
      </c>
      <c r="F1074" s="316"/>
      <c r="G1074" s="316"/>
      <c r="H1074" s="318"/>
      <c r="I1074" s="318"/>
      <c r="J1074" s="318"/>
      <c r="K1074" s="319">
        <f t="shared" si="39"/>
        <v>0</v>
      </c>
      <c r="L1074" s="320" t="str">
        <f t="shared" si="34"/>
        <v/>
      </c>
      <c r="M1074" s="239"/>
      <c r="T1074" s="344"/>
      <c r="U1074" s="345"/>
      <c r="V1074" s="346"/>
    </row>
    <row r="1075">
      <c r="A1075" s="339"/>
      <c r="B1075" s="313"/>
      <c r="C1075" s="314"/>
      <c r="D1075" s="315" t="str">
        <f t="shared" si="35"/>
        <v/>
      </c>
      <c r="E1075" s="315" t="str">
        <f t="shared" si="36"/>
        <v/>
      </c>
      <c r="F1075" s="316"/>
      <c r="G1075" s="317"/>
      <c r="H1075" s="318"/>
      <c r="I1075" s="318"/>
      <c r="J1075" s="318"/>
      <c r="K1075" s="319">
        <f t="shared" si="39"/>
        <v>0</v>
      </c>
      <c r="L1075" s="320" t="str">
        <f t="shared" si="34"/>
        <v/>
      </c>
      <c r="T1075" s="344"/>
      <c r="U1075" s="345"/>
      <c r="V1075" s="346"/>
    </row>
    <row r="1076">
      <c r="A1076" s="339"/>
      <c r="B1076" s="313"/>
      <c r="C1076" s="314"/>
      <c r="D1076" s="315" t="str">
        <f t="shared" si="35"/>
        <v/>
      </c>
      <c r="E1076" s="315" t="str">
        <f t="shared" si="36"/>
        <v/>
      </c>
      <c r="F1076" s="316"/>
      <c r="G1076" s="317"/>
      <c r="H1076" s="318"/>
      <c r="I1076" s="318"/>
      <c r="J1076" s="318"/>
      <c r="K1076" s="319">
        <f t="shared" si="39"/>
        <v>0</v>
      </c>
      <c r="L1076" s="320" t="str">
        <f t="shared" si="34"/>
        <v/>
      </c>
      <c r="T1076" s="344"/>
      <c r="U1076" s="345"/>
      <c r="V1076" s="346"/>
    </row>
    <row r="1077">
      <c r="A1077" s="339"/>
      <c r="B1077" s="313"/>
      <c r="C1077" s="314"/>
      <c r="D1077" s="315" t="str">
        <f t="shared" si="35"/>
        <v/>
      </c>
      <c r="E1077" s="315" t="str">
        <f t="shared" si="36"/>
        <v/>
      </c>
      <c r="F1077" s="316"/>
      <c r="G1077" s="317"/>
      <c r="H1077" s="318"/>
      <c r="I1077" s="318"/>
      <c r="J1077" s="318"/>
      <c r="K1077" s="319">
        <f t="shared" si="39"/>
        <v>0</v>
      </c>
      <c r="L1077" s="320" t="str">
        <f t="shared" si="34"/>
        <v/>
      </c>
      <c r="T1077" s="344"/>
      <c r="U1077" s="345"/>
      <c r="V1077" s="346"/>
    </row>
    <row r="1078">
      <c r="A1078" s="339"/>
      <c r="B1078" s="313"/>
      <c r="C1078" s="314"/>
      <c r="D1078" s="315" t="str">
        <f t="shared" si="35"/>
        <v/>
      </c>
      <c r="E1078" s="315" t="str">
        <f t="shared" si="36"/>
        <v/>
      </c>
      <c r="F1078" s="316"/>
      <c r="G1078" s="317"/>
      <c r="H1078" s="318"/>
      <c r="I1078" s="318"/>
      <c r="J1078" s="318"/>
      <c r="K1078" s="319">
        <f t="shared" si="39"/>
        <v>0</v>
      </c>
      <c r="L1078" s="320" t="str">
        <f t="shared" si="34"/>
        <v/>
      </c>
      <c r="T1078" s="344"/>
      <c r="U1078" s="345"/>
      <c r="V1078" s="346"/>
    </row>
    <row r="1079">
      <c r="A1079" s="339"/>
      <c r="B1079" s="313"/>
      <c r="C1079" s="314"/>
      <c r="D1079" s="315" t="str">
        <f t="shared" si="35"/>
        <v/>
      </c>
      <c r="E1079" s="315" t="str">
        <f t="shared" si="36"/>
        <v/>
      </c>
      <c r="F1079" s="316"/>
      <c r="G1079" s="317"/>
      <c r="H1079" s="318"/>
      <c r="I1079" s="318"/>
      <c r="J1079" s="318"/>
      <c r="K1079" s="319">
        <f t="shared" si="39"/>
        <v>0</v>
      </c>
      <c r="L1079" s="320" t="str">
        <f t="shared" si="34"/>
        <v/>
      </c>
      <c r="T1079" s="344"/>
      <c r="U1079" s="345"/>
      <c r="V1079" s="346"/>
    </row>
    <row r="1080">
      <c r="A1080" s="339"/>
      <c r="B1080" s="313"/>
      <c r="C1080" s="314"/>
      <c r="D1080" s="315" t="str">
        <f t="shared" si="35"/>
        <v/>
      </c>
      <c r="E1080" s="315" t="str">
        <f t="shared" si="36"/>
        <v/>
      </c>
      <c r="F1080" s="316"/>
      <c r="G1080" s="317"/>
      <c r="H1080" s="318"/>
      <c r="I1080" s="318"/>
      <c r="J1080" s="318"/>
      <c r="K1080" s="319">
        <f t="shared" si="39"/>
        <v>0</v>
      </c>
      <c r="L1080" s="320" t="str">
        <f t="shared" si="34"/>
        <v/>
      </c>
      <c r="T1080" s="344"/>
      <c r="U1080" s="345"/>
      <c r="V1080" s="346"/>
    </row>
    <row r="1081">
      <c r="A1081" s="339"/>
      <c r="B1081" s="313"/>
      <c r="C1081" s="314"/>
      <c r="D1081" s="315" t="str">
        <f t="shared" si="35"/>
        <v/>
      </c>
      <c r="E1081" s="315" t="str">
        <f t="shared" si="36"/>
        <v/>
      </c>
      <c r="F1081" s="316"/>
      <c r="G1081" s="317"/>
      <c r="H1081" s="318"/>
      <c r="I1081" s="318"/>
      <c r="J1081" s="318"/>
      <c r="K1081" s="319">
        <f t="shared" si="39"/>
        <v>0</v>
      </c>
      <c r="L1081" s="320" t="str">
        <f t="shared" si="34"/>
        <v/>
      </c>
      <c r="T1081" s="344"/>
      <c r="U1081" s="345"/>
      <c r="V1081" s="346"/>
    </row>
    <row r="1082">
      <c r="A1082" s="339"/>
      <c r="B1082" s="313"/>
      <c r="C1082" s="314"/>
      <c r="D1082" s="315" t="str">
        <f t="shared" si="35"/>
        <v/>
      </c>
      <c r="E1082" s="315" t="str">
        <f t="shared" si="36"/>
        <v/>
      </c>
      <c r="F1082" s="316"/>
      <c r="G1082" s="317"/>
      <c r="H1082" s="318"/>
      <c r="I1082" s="318"/>
      <c r="J1082" s="318"/>
      <c r="K1082" s="319">
        <f t="shared" si="39"/>
        <v>0</v>
      </c>
      <c r="L1082" s="320" t="str">
        <f t="shared" si="34"/>
        <v/>
      </c>
      <c r="T1082" s="344"/>
      <c r="U1082" s="345"/>
      <c r="V1082" s="346"/>
    </row>
    <row r="1083">
      <c r="A1083" s="339"/>
      <c r="B1083" s="313"/>
      <c r="C1083" s="314"/>
      <c r="D1083" s="315" t="str">
        <f t="shared" si="35"/>
        <v/>
      </c>
      <c r="E1083" s="315" t="str">
        <f t="shared" si="36"/>
        <v/>
      </c>
      <c r="F1083" s="318"/>
      <c r="G1083" s="318"/>
      <c r="H1083" s="318"/>
      <c r="I1083" s="318"/>
      <c r="J1083" s="318"/>
      <c r="K1083" s="319">
        <f t="shared" si="39"/>
        <v>0</v>
      </c>
      <c r="L1083" s="320" t="str">
        <f t="shared" si="34"/>
        <v/>
      </c>
      <c r="M1083" s="239"/>
      <c r="T1083" s="344"/>
      <c r="U1083" s="345"/>
      <c r="V1083" s="346"/>
    </row>
    <row r="1084">
      <c r="A1084" s="339"/>
      <c r="B1084" s="313"/>
      <c r="C1084" s="314"/>
      <c r="D1084" s="315" t="str">
        <f t="shared" si="35"/>
        <v/>
      </c>
      <c r="E1084" s="315" t="str">
        <f t="shared" si="36"/>
        <v/>
      </c>
      <c r="F1084" s="318"/>
      <c r="G1084" s="318"/>
      <c r="H1084" s="318"/>
      <c r="I1084" s="318"/>
      <c r="J1084" s="318"/>
      <c r="K1084" s="319">
        <f t="shared" si="39"/>
        <v>0</v>
      </c>
      <c r="L1084" s="320" t="str">
        <f t="shared" si="34"/>
        <v/>
      </c>
      <c r="M1084" s="239"/>
      <c r="T1084" s="344"/>
      <c r="U1084" s="345"/>
      <c r="V1084" s="346"/>
    </row>
    <row r="1085">
      <c r="A1085" s="339"/>
      <c r="B1085" s="313"/>
      <c r="C1085" s="314"/>
      <c r="D1085" s="315" t="str">
        <f t="shared" si="35"/>
        <v/>
      </c>
      <c r="E1085" s="315" t="str">
        <f t="shared" si="36"/>
        <v/>
      </c>
      <c r="F1085" s="316"/>
      <c r="G1085" s="317"/>
      <c r="H1085" s="318"/>
      <c r="I1085" s="318"/>
      <c r="J1085" s="318"/>
      <c r="K1085" s="319">
        <f t="shared" si="39"/>
        <v>0</v>
      </c>
      <c r="L1085" s="320" t="str">
        <f t="shared" si="34"/>
        <v/>
      </c>
      <c r="T1085" s="344"/>
      <c r="U1085" s="345"/>
      <c r="V1085" s="346"/>
    </row>
    <row r="1086">
      <c r="A1086" s="339"/>
      <c r="B1086" s="313"/>
      <c r="C1086" s="314"/>
      <c r="D1086" s="315" t="str">
        <f t="shared" si="35"/>
        <v/>
      </c>
      <c r="E1086" s="315" t="str">
        <f t="shared" si="36"/>
        <v/>
      </c>
      <c r="F1086" s="316"/>
      <c r="G1086" s="317"/>
      <c r="H1086" s="318"/>
      <c r="I1086" s="318"/>
      <c r="J1086" s="318"/>
      <c r="K1086" s="319">
        <f t="shared" si="39"/>
        <v>0</v>
      </c>
      <c r="L1086" s="320" t="str">
        <f t="shared" si="34"/>
        <v/>
      </c>
      <c r="T1086" s="344"/>
      <c r="U1086" s="345"/>
      <c r="V1086" s="346"/>
    </row>
    <row r="1087">
      <c r="A1087" s="339"/>
      <c r="B1087" s="313"/>
      <c r="C1087" s="314"/>
      <c r="D1087" s="315" t="str">
        <f t="shared" si="35"/>
        <v/>
      </c>
      <c r="E1087" s="315" t="str">
        <f t="shared" si="36"/>
        <v/>
      </c>
      <c r="F1087" s="316"/>
      <c r="G1087" s="317"/>
      <c r="H1087" s="318"/>
      <c r="I1087" s="318"/>
      <c r="J1087" s="318"/>
      <c r="K1087" s="319">
        <f t="shared" si="39"/>
        <v>0</v>
      </c>
      <c r="L1087" s="320" t="str">
        <f t="shared" si="34"/>
        <v/>
      </c>
      <c r="T1087" s="344"/>
      <c r="U1087" s="345"/>
      <c r="V1087" s="346"/>
    </row>
    <row r="1088">
      <c r="A1088" s="339"/>
      <c r="B1088" s="313"/>
      <c r="C1088" s="314"/>
      <c r="D1088" s="315" t="str">
        <f t="shared" si="35"/>
        <v/>
      </c>
      <c r="E1088" s="315" t="str">
        <f t="shared" si="36"/>
        <v/>
      </c>
      <c r="F1088" s="316"/>
      <c r="G1088" s="317"/>
      <c r="H1088" s="318"/>
      <c r="I1088" s="318"/>
      <c r="J1088" s="318"/>
      <c r="K1088" s="319">
        <f t="shared" si="39"/>
        <v>0</v>
      </c>
      <c r="L1088" s="320" t="str">
        <f t="shared" si="34"/>
        <v/>
      </c>
      <c r="T1088" s="344"/>
      <c r="U1088" s="345"/>
      <c r="V1088" s="346"/>
    </row>
    <row r="1089">
      <c r="A1089" s="339"/>
      <c r="B1089" s="313"/>
      <c r="C1089" s="314"/>
      <c r="D1089" s="315" t="str">
        <f t="shared" si="35"/>
        <v/>
      </c>
      <c r="E1089" s="315" t="str">
        <f t="shared" si="36"/>
        <v/>
      </c>
      <c r="F1089" s="316"/>
      <c r="G1089" s="317"/>
      <c r="H1089" s="318"/>
      <c r="I1089" s="318"/>
      <c r="J1089" s="318"/>
      <c r="K1089" s="319">
        <f t="shared" si="39"/>
        <v>0</v>
      </c>
      <c r="L1089" s="320" t="str">
        <f t="shared" si="34"/>
        <v/>
      </c>
      <c r="T1089" s="344"/>
      <c r="U1089" s="345"/>
      <c r="V1089" s="346"/>
    </row>
    <row r="1090">
      <c r="A1090" s="339"/>
      <c r="B1090" s="313"/>
      <c r="C1090" s="314"/>
      <c r="D1090" s="315" t="str">
        <f t="shared" si="35"/>
        <v/>
      </c>
      <c r="E1090" s="315" t="str">
        <f t="shared" si="36"/>
        <v/>
      </c>
      <c r="F1090" s="316"/>
      <c r="G1090" s="317"/>
      <c r="H1090" s="318"/>
      <c r="I1090" s="318"/>
      <c r="J1090" s="318"/>
      <c r="K1090" s="319">
        <f t="shared" si="39"/>
        <v>0</v>
      </c>
      <c r="L1090" s="320" t="str">
        <f t="shared" si="34"/>
        <v/>
      </c>
      <c r="T1090" s="344"/>
      <c r="U1090" s="345"/>
      <c r="V1090" s="346"/>
    </row>
    <row r="1091">
      <c r="A1091" s="339"/>
      <c r="B1091" s="313"/>
      <c r="C1091" s="314"/>
      <c r="D1091" s="315" t="str">
        <f t="shared" si="35"/>
        <v/>
      </c>
      <c r="E1091" s="315" t="str">
        <f t="shared" si="36"/>
        <v/>
      </c>
      <c r="F1091" s="316"/>
      <c r="G1091" s="317"/>
      <c r="H1091" s="318"/>
      <c r="I1091" s="318"/>
      <c r="J1091" s="318"/>
      <c r="K1091" s="319">
        <f t="shared" si="39"/>
        <v>0</v>
      </c>
      <c r="L1091" s="320" t="str">
        <f t="shared" si="34"/>
        <v/>
      </c>
      <c r="T1091" s="344"/>
      <c r="U1091" s="345"/>
      <c r="V1091" s="346"/>
    </row>
    <row r="1092">
      <c r="A1092" s="339"/>
      <c r="B1092" s="313"/>
      <c r="C1092" s="314"/>
      <c r="D1092" s="315" t="str">
        <f t="shared" si="35"/>
        <v/>
      </c>
      <c r="E1092" s="315" t="str">
        <f t="shared" si="36"/>
        <v/>
      </c>
      <c r="F1092" s="316"/>
      <c r="G1092" s="317"/>
      <c r="H1092" s="318"/>
      <c r="I1092" s="318"/>
      <c r="J1092" s="318"/>
      <c r="K1092" s="319">
        <f t="shared" si="39"/>
        <v>0</v>
      </c>
      <c r="L1092" s="320" t="str">
        <f t="shared" si="34"/>
        <v/>
      </c>
      <c r="T1092" s="344"/>
      <c r="U1092" s="345"/>
      <c r="V1092" s="346"/>
    </row>
    <row r="1093">
      <c r="A1093" s="339"/>
      <c r="B1093" s="313"/>
      <c r="C1093" s="314"/>
      <c r="D1093" s="315" t="str">
        <f t="shared" si="35"/>
        <v/>
      </c>
      <c r="E1093" s="315" t="str">
        <f t="shared" si="36"/>
        <v/>
      </c>
      <c r="F1093" s="316"/>
      <c r="G1093" s="317"/>
      <c r="H1093" s="318"/>
      <c r="I1093" s="318"/>
      <c r="J1093" s="318"/>
      <c r="K1093" s="319">
        <f t="shared" si="39"/>
        <v>0</v>
      </c>
      <c r="L1093" s="320" t="str">
        <f t="shared" si="34"/>
        <v/>
      </c>
      <c r="T1093" s="344"/>
      <c r="U1093" s="345"/>
      <c r="V1093" s="346"/>
    </row>
    <row r="1094">
      <c r="A1094" s="339"/>
      <c r="B1094" s="313"/>
      <c r="C1094" s="314"/>
      <c r="D1094" s="315" t="str">
        <f t="shared" si="35"/>
        <v/>
      </c>
      <c r="E1094" s="315" t="str">
        <f t="shared" si="36"/>
        <v/>
      </c>
      <c r="F1094" s="316"/>
      <c r="G1094" s="317"/>
      <c r="H1094" s="318"/>
      <c r="I1094" s="318"/>
      <c r="J1094" s="318"/>
      <c r="K1094" s="319">
        <f t="shared" si="39"/>
        <v>0</v>
      </c>
      <c r="L1094" s="320" t="str">
        <f t="shared" si="34"/>
        <v/>
      </c>
      <c r="T1094" s="344"/>
      <c r="U1094" s="345"/>
      <c r="V1094" s="346"/>
    </row>
    <row r="1095">
      <c r="A1095" s="339"/>
      <c r="B1095" s="313"/>
      <c r="C1095" s="314"/>
      <c r="D1095" s="315" t="str">
        <f t="shared" si="35"/>
        <v/>
      </c>
      <c r="E1095" s="315" t="str">
        <f t="shared" si="36"/>
        <v/>
      </c>
      <c r="F1095" s="316"/>
      <c r="G1095" s="317"/>
      <c r="H1095" s="318"/>
      <c r="I1095" s="318"/>
      <c r="J1095" s="318"/>
      <c r="K1095" s="319">
        <f t="shared" si="39"/>
        <v>0</v>
      </c>
      <c r="L1095" s="320" t="str">
        <f t="shared" si="34"/>
        <v/>
      </c>
      <c r="T1095" s="344"/>
      <c r="U1095" s="345"/>
      <c r="V1095" s="346"/>
    </row>
    <row r="1096">
      <c r="A1096" s="339"/>
      <c r="B1096" s="313"/>
      <c r="C1096" s="314"/>
      <c r="D1096" s="315" t="str">
        <f t="shared" si="35"/>
        <v/>
      </c>
      <c r="E1096" s="315" t="str">
        <f t="shared" si="36"/>
        <v/>
      </c>
      <c r="F1096" s="318"/>
      <c r="G1096" s="318"/>
      <c r="H1096" s="318"/>
      <c r="I1096" s="318"/>
      <c r="J1096" s="318"/>
      <c r="K1096" s="319">
        <f t="shared" si="39"/>
        <v>0</v>
      </c>
      <c r="L1096" s="320" t="str">
        <f t="shared" si="34"/>
        <v/>
      </c>
      <c r="M1096" s="239"/>
      <c r="T1096" s="344"/>
      <c r="U1096" s="345"/>
      <c r="V1096" s="346"/>
    </row>
    <row r="1097">
      <c r="A1097" s="339"/>
      <c r="B1097" s="313"/>
      <c r="C1097" s="314"/>
      <c r="D1097" s="315" t="str">
        <f t="shared" si="35"/>
        <v/>
      </c>
      <c r="E1097" s="315" t="str">
        <f t="shared" si="36"/>
        <v/>
      </c>
      <c r="F1097" s="316"/>
      <c r="G1097" s="317"/>
      <c r="H1097" s="318"/>
      <c r="I1097" s="318"/>
      <c r="J1097" s="318"/>
      <c r="K1097" s="319">
        <f t="shared" si="39"/>
        <v>0</v>
      </c>
      <c r="L1097" s="320" t="str">
        <f t="shared" si="34"/>
        <v/>
      </c>
      <c r="T1097" s="344"/>
      <c r="U1097" s="345"/>
      <c r="V1097" s="346"/>
    </row>
    <row r="1098">
      <c r="A1098" s="339"/>
      <c r="B1098" s="313"/>
      <c r="C1098" s="314"/>
      <c r="D1098" s="315" t="str">
        <f t="shared" si="35"/>
        <v/>
      </c>
      <c r="E1098" s="315" t="str">
        <f t="shared" si="36"/>
        <v/>
      </c>
      <c r="F1098" s="316"/>
      <c r="G1098" s="317"/>
      <c r="H1098" s="318"/>
      <c r="I1098" s="318"/>
      <c r="J1098" s="318"/>
      <c r="K1098" s="319">
        <f t="shared" si="39"/>
        <v>0</v>
      </c>
      <c r="L1098" s="320" t="str">
        <f t="shared" si="34"/>
        <v/>
      </c>
      <c r="T1098" s="344"/>
      <c r="U1098" s="345"/>
      <c r="V1098" s="346"/>
    </row>
    <row r="1099">
      <c r="A1099" s="339"/>
      <c r="B1099" s="313"/>
      <c r="C1099" s="314"/>
      <c r="D1099" s="315" t="str">
        <f t="shared" si="35"/>
        <v/>
      </c>
      <c r="E1099" s="315" t="str">
        <f t="shared" si="36"/>
        <v/>
      </c>
      <c r="F1099" s="316"/>
      <c r="G1099" s="317"/>
      <c r="H1099" s="318"/>
      <c r="I1099" s="318"/>
      <c r="J1099" s="318"/>
      <c r="K1099" s="319">
        <f t="shared" si="39"/>
        <v>0</v>
      </c>
      <c r="L1099" s="320" t="str">
        <f t="shared" si="34"/>
        <v/>
      </c>
      <c r="T1099" s="344"/>
      <c r="U1099" s="345"/>
      <c r="V1099" s="346"/>
    </row>
    <row r="1100">
      <c r="A1100" s="339"/>
      <c r="B1100" s="313"/>
      <c r="C1100" s="314"/>
      <c r="D1100" s="315" t="str">
        <f t="shared" si="35"/>
        <v/>
      </c>
      <c r="E1100" s="315" t="str">
        <f t="shared" si="36"/>
        <v/>
      </c>
      <c r="F1100" s="316"/>
      <c r="G1100" s="317"/>
      <c r="H1100" s="318"/>
      <c r="I1100" s="318"/>
      <c r="J1100" s="318"/>
      <c r="K1100" s="319">
        <f t="shared" si="39"/>
        <v>0</v>
      </c>
      <c r="L1100" s="320" t="str">
        <f t="shared" si="34"/>
        <v/>
      </c>
      <c r="T1100" s="344"/>
      <c r="U1100" s="345"/>
      <c r="V1100" s="346"/>
    </row>
    <row r="1101">
      <c r="A1101" s="339"/>
      <c r="B1101" s="313"/>
      <c r="C1101" s="314"/>
      <c r="D1101" s="315" t="str">
        <f t="shared" si="35"/>
        <v/>
      </c>
      <c r="E1101" s="315" t="str">
        <f t="shared" si="36"/>
        <v/>
      </c>
      <c r="F1101" s="316"/>
      <c r="G1101" s="317"/>
      <c r="H1101" s="318"/>
      <c r="I1101" s="318"/>
      <c r="J1101" s="318"/>
      <c r="K1101" s="319">
        <f t="shared" si="39"/>
        <v>0</v>
      </c>
      <c r="L1101" s="320" t="str">
        <f t="shared" si="34"/>
        <v/>
      </c>
      <c r="T1101" s="344"/>
      <c r="U1101" s="345"/>
      <c r="V1101" s="346"/>
    </row>
    <row r="1102">
      <c r="A1102" s="339"/>
      <c r="B1102" s="313"/>
      <c r="C1102" s="314"/>
      <c r="D1102" s="315" t="str">
        <f t="shared" si="35"/>
        <v/>
      </c>
      <c r="E1102" s="315" t="str">
        <f t="shared" si="36"/>
        <v/>
      </c>
      <c r="F1102" s="316"/>
      <c r="G1102" s="317"/>
      <c r="H1102" s="318"/>
      <c r="I1102" s="318"/>
      <c r="J1102" s="318"/>
      <c r="K1102" s="319">
        <f t="shared" si="39"/>
        <v>0</v>
      </c>
      <c r="L1102" s="320" t="str">
        <f t="shared" si="34"/>
        <v/>
      </c>
      <c r="T1102" s="344"/>
      <c r="U1102" s="345"/>
      <c r="V1102" s="346"/>
    </row>
    <row r="1103">
      <c r="A1103" s="339"/>
      <c r="B1103" s="313"/>
      <c r="C1103" s="314"/>
      <c r="D1103" s="315" t="str">
        <f t="shared" si="35"/>
        <v/>
      </c>
      <c r="E1103" s="315" t="str">
        <f t="shared" si="36"/>
        <v/>
      </c>
      <c r="F1103" s="316"/>
      <c r="G1103" s="317"/>
      <c r="H1103" s="318"/>
      <c r="I1103" s="318"/>
      <c r="J1103" s="318"/>
      <c r="K1103" s="319">
        <f t="shared" si="39"/>
        <v>0</v>
      </c>
      <c r="L1103" s="320" t="str">
        <f t="shared" si="34"/>
        <v/>
      </c>
      <c r="T1103" s="344"/>
      <c r="U1103" s="345"/>
      <c r="V1103" s="346"/>
    </row>
    <row r="1104">
      <c r="A1104" s="339"/>
      <c r="B1104" s="313"/>
      <c r="C1104" s="314"/>
      <c r="D1104" s="315" t="str">
        <f t="shared" si="35"/>
        <v/>
      </c>
      <c r="E1104" s="315" t="str">
        <f t="shared" si="36"/>
        <v/>
      </c>
      <c r="F1104" s="316"/>
      <c r="G1104" s="317"/>
      <c r="H1104" s="318"/>
      <c r="I1104" s="318"/>
      <c r="J1104" s="318"/>
      <c r="K1104" s="319">
        <f t="shared" si="39"/>
        <v>0</v>
      </c>
      <c r="L1104" s="320" t="str">
        <f t="shared" si="34"/>
        <v/>
      </c>
      <c r="T1104" s="344"/>
      <c r="U1104" s="345"/>
      <c r="V1104" s="346"/>
    </row>
    <row r="1105">
      <c r="A1105" s="339"/>
      <c r="B1105" s="313"/>
      <c r="C1105" s="314"/>
      <c r="D1105" s="315" t="str">
        <f t="shared" si="35"/>
        <v/>
      </c>
      <c r="E1105" s="315" t="str">
        <f t="shared" si="36"/>
        <v/>
      </c>
      <c r="F1105" s="316"/>
      <c r="G1105" s="317"/>
      <c r="H1105" s="318"/>
      <c r="I1105" s="318"/>
      <c r="J1105" s="318"/>
      <c r="K1105" s="319">
        <f t="shared" si="39"/>
        <v>0</v>
      </c>
      <c r="L1105" s="320" t="str">
        <f t="shared" si="34"/>
        <v/>
      </c>
      <c r="T1105" s="344"/>
      <c r="U1105" s="345"/>
      <c r="V1105" s="346"/>
    </row>
    <row r="1106">
      <c r="A1106" s="339"/>
      <c r="B1106" s="313"/>
      <c r="C1106" s="314"/>
      <c r="D1106" s="315" t="str">
        <f t="shared" si="35"/>
        <v/>
      </c>
      <c r="E1106" s="315" t="str">
        <f t="shared" si="36"/>
        <v/>
      </c>
      <c r="F1106" s="316"/>
      <c r="G1106" s="317"/>
      <c r="H1106" s="318"/>
      <c r="I1106" s="318"/>
      <c r="J1106" s="318"/>
      <c r="K1106" s="319">
        <f t="shared" si="39"/>
        <v>0</v>
      </c>
      <c r="L1106" s="320" t="str">
        <f t="shared" si="34"/>
        <v/>
      </c>
      <c r="T1106" s="344"/>
      <c r="U1106" s="345"/>
      <c r="V1106" s="346"/>
    </row>
    <row r="1107">
      <c r="A1107" s="339"/>
      <c r="B1107" s="313"/>
      <c r="C1107" s="314"/>
      <c r="D1107" s="315" t="str">
        <f t="shared" si="35"/>
        <v/>
      </c>
      <c r="E1107" s="315" t="str">
        <f t="shared" si="36"/>
        <v/>
      </c>
      <c r="F1107" s="318"/>
      <c r="G1107" s="318"/>
      <c r="H1107" s="318"/>
      <c r="I1107" s="318"/>
      <c r="J1107" s="318"/>
      <c r="K1107" s="319">
        <f t="shared" si="39"/>
        <v>0</v>
      </c>
      <c r="L1107" s="320" t="str">
        <f t="shared" si="34"/>
        <v/>
      </c>
      <c r="M1107" s="239"/>
      <c r="T1107" s="344"/>
      <c r="U1107" s="345"/>
      <c r="V1107" s="346"/>
    </row>
    <row r="1108">
      <c r="A1108" s="339"/>
      <c r="B1108" s="313"/>
      <c r="C1108" s="314"/>
      <c r="D1108" s="315" t="str">
        <f t="shared" si="35"/>
        <v/>
      </c>
      <c r="E1108" s="315" t="str">
        <f t="shared" si="36"/>
        <v/>
      </c>
      <c r="F1108" s="316"/>
      <c r="G1108" s="317"/>
      <c r="H1108" s="318"/>
      <c r="I1108" s="318"/>
      <c r="J1108" s="318"/>
      <c r="K1108" s="319">
        <f t="shared" si="39"/>
        <v>0</v>
      </c>
      <c r="L1108" s="320" t="str">
        <f t="shared" si="34"/>
        <v/>
      </c>
      <c r="T1108" s="344"/>
      <c r="U1108" s="345"/>
      <c r="V1108" s="346"/>
    </row>
    <row r="1109">
      <c r="A1109" s="339"/>
      <c r="B1109" s="313"/>
      <c r="C1109" s="314"/>
      <c r="D1109" s="315" t="str">
        <f t="shared" si="35"/>
        <v/>
      </c>
      <c r="E1109" s="315" t="str">
        <f t="shared" si="36"/>
        <v/>
      </c>
      <c r="F1109" s="316"/>
      <c r="G1109" s="317"/>
      <c r="H1109" s="318"/>
      <c r="I1109" s="318"/>
      <c r="J1109" s="318"/>
      <c r="K1109" s="319">
        <f t="shared" si="39"/>
        <v>0</v>
      </c>
      <c r="L1109" s="320" t="str">
        <f t="shared" si="34"/>
        <v/>
      </c>
      <c r="T1109" s="344"/>
      <c r="U1109" s="345"/>
      <c r="V1109" s="346"/>
    </row>
    <row r="1110">
      <c r="A1110" s="339"/>
      <c r="B1110" s="313"/>
      <c r="C1110" s="314"/>
      <c r="D1110" s="315" t="str">
        <f t="shared" si="35"/>
        <v/>
      </c>
      <c r="E1110" s="315" t="str">
        <f t="shared" si="36"/>
        <v/>
      </c>
      <c r="F1110" s="316"/>
      <c r="G1110" s="317"/>
      <c r="H1110" s="318"/>
      <c r="I1110" s="318"/>
      <c r="J1110" s="318"/>
      <c r="K1110" s="319">
        <f t="shared" si="39"/>
        <v>0</v>
      </c>
      <c r="L1110" s="320" t="str">
        <f t="shared" si="34"/>
        <v/>
      </c>
      <c r="T1110" s="344"/>
      <c r="U1110" s="345"/>
      <c r="V1110" s="346"/>
    </row>
    <row r="1111">
      <c r="A1111" s="339"/>
      <c r="B1111" s="313"/>
      <c r="C1111" s="314"/>
      <c r="D1111" s="315" t="str">
        <f t="shared" si="35"/>
        <v/>
      </c>
      <c r="E1111" s="315" t="str">
        <f t="shared" si="36"/>
        <v/>
      </c>
      <c r="F1111" s="318"/>
      <c r="G1111" s="318"/>
      <c r="H1111" s="318"/>
      <c r="I1111" s="318"/>
      <c r="J1111" s="318"/>
      <c r="K1111" s="319">
        <f t="shared" si="39"/>
        <v>0</v>
      </c>
      <c r="L1111" s="320" t="str">
        <f t="shared" si="34"/>
        <v/>
      </c>
      <c r="M1111" s="239"/>
      <c r="T1111" s="344"/>
      <c r="U1111" s="345"/>
      <c r="V1111" s="346"/>
    </row>
    <row r="1112">
      <c r="A1112" s="339"/>
      <c r="B1112" s="313"/>
      <c r="C1112" s="314"/>
      <c r="D1112" s="315" t="str">
        <f t="shared" si="35"/>
        <v/>
      </c>
      <c r="E1112" s="315" t="str">
        <f t="shared" si="36"/>
        <v/>
      </c>
      <c r="F1112" s="316"/>
      <c r="G1112" s="317"/>
      <c r="H1112" s="318"/>
      <c r="I1112" s="318"/>
      <c r="J1112" s="318"/>
      <c r="K1112" s="319">
        <f t="shared" si="39"/>
        <v>0</v>
      </c>
      <c r="L1112" s="320" t="str">
        <f t="shared" si="34"/>
        <v/>
      </c>
      <c r="T1112" s="344"/>
      <c r="U1112" s="345"/>
      <c r="V1112" s="346"/>
    </row>
    <row r="1113">
      <c r="A1113" s="339"/>
      <c r="B1113" s="313"/>
      <c r="C1113" s="314"/>
      <c r="D1113" s="315" t="str">
        <f t="shared" si="35"/>
        <v/>
      </c>
      <c r="E1113" s="315" t="str">
        <f t="shared" si="36"/>
        <v/>
      </c>
      <c r="F1113" s="316"/>
      <c r="G1113" s="317"/>
      <c r="H1113" s="318"/>
      <c r="I1113" s="318"/>
      <c r="J1113" s="318"/>
      <c r="K1113" s="319">
        <f t="shared" si="39"/>
        <v>0</v>
      </c>
      <c r="L1113" s="320" t="str">
        <f t="shared" si="34"/>
        <v/>
      </c>
      <c r="T1113" s="344"/>
      <c r="U1113" s="345"/>
      <c r="V1113" s="346"/>
    </row>
    <row r="1114">
      <c r="A1114" s="339"/>
      <c r="B1114" s="313"/>
      <c r="C1114" s="314"/>
      <c r="D1114" s="315" t="str">
        <f t="shared" si="35"/>
        <v/>
      </c>
      <c r="E1114" s="315" t="str">
        <f t="shared" si="36"/>
        <v/>
      </c>
      <c r="F1114" s="316"/>
      <c r="G1114" s="317"/>
      <c r="H1114" s="318"/>
      <c r="I1114" s="318"/>
      <c r="J1114" s="318"/>
      <c r="K1114" s="319">
        <f t="shared" si="39"/>
        <v>0</v>
      </c>
      <c r="L1114" s="320" t="str">
        <f t="shared" si="34"/>
        <v/>
      </c>
      <c r="T1114" s="344"/>
      <c r="U1114" s="345"/>
      <c r="V1114" s="346"/>
    </row>
    <row r="1115">
      <c r="A1115" s="339"/>
      <c r="B1115" s="313"/>
      <c r="C1115" s="314"/>
      <c r="D1115" s="315" t="str">
        <f t="shared" si="35"/>
        <v/>
      </c>
      <c r="E1115" s="315" t="str">
        <f t="shared" si="36"/>
        <v/>
      </c>
      <c r="F1115" s="316"/>
      <c r="G1115" s="317"/>
      <c r="H1115" s="318"/>
      <c r="I1115" s="318"/>
      <c r="J1115" s="318"/>
      <c r="K1115" s="319">
        <f t="shared" si="39"/>
        <v>0</v>
      </c>
      <c r="L1115" s="320" t="str">
        <f t="shared" si="34"/>
        <v/>
      </c>
      <c r="T1115" s="344"/>
      <c r="U1115" s="345"/>
      <c r="V1115" s="346"/>
    </row>
    <row r="1116">
      <c r="A1116" s="339"/>
      <c r="B1116" s="313"/>
      <c r="C1116" s="314"/>
      <c r="D1116" s="315" t="str">
        <f t="shared" si="35"/>
        <v/>
      </c>
      <c r="E1116" s="315" t="str">
        <f t="shared" si="36"/>
        <v/>
      </c>
      <c r="F1116" s="316"/>
      <c r="G1116" s="317"/>
      <c r="H1116" s="318"/>
      <c r="I1116" s="318"/>
      <c r="J1116" s="318"/>
      <c r="K1116" s="319">
        <f t="shared" si="39"/>
        <v>0</v>
      </c>
      <c r="L1116" s="320" t="str">
        <f t="shared" si="34"/>
        <v/>
      </c>
      <c r="T1116" s="344"/>
      <c r="U1116" s="345"/>
      <c r="V1116" s="346"/>
    </row>
    <row r="1117">
      <c r="A1117" s="339"/>
      <c r="B1117" s="313"/>
      <c r="C1117" s="314"/>
      <c r="D1117" s="315" t="str">
        <f t="shared" si="35"/>
        <v/>
      </c>
      <c r="E1117" s="315" t="str">
        <f t="shared" si="36"/>
        <v/>
      </c>
      <c r="F1117" s="318"/>
      <c r="G1117" s="318"/>
      <c r="H1117" s="318"/>
      <c r="I1117" s="318"/>
      <c r="J1117" s="318"/>
      <c r="K1117" s="319">
        <f t="shared" si="39"/>
        <v>0</v>
      </c>
      <c r="L1117" s="320" t="str">
        <f t="shared" si="34"/>
        <v/>
      </c>
      <c r="M1117" s="239"/>
      <c r="T1117" s="344"/>
      <c r="U1117" s="345"/>
      <c r="V1117" s="346"/>
    </row>
    <row r="1118">
      <c r="A1118" s="339"/>
      <c r="B1118" s="313"/>
      <c r="C1118" s="314"/>
      <c r="D1118" s="315" t="str">
        <f t="shared" si="35"/>
        <v/>
      </c>
      <c r="E1118" s="315" t="str">
        <f t="shared" si="36"/>
        <v/>
      </c>
      <c r="F1118" s="316"/>
      <c r="G1118" s="316"/>
      <c r="H1118" s="318"/>
      <c r="I1118" s="318"/>
      <c r="J1118" s="318"/>
      <c r="K1118" s="319">
        <f t="shared" si="39"/>
        <v>0</v>
      </c>
      <c r="L1118" s="320" t="str">
        <f t="shared" si="34"/>
        <v/>
      </c>
      <c r="M1118" s="239"/>
      <c r="T1118" s="344"/>
      <c r="U1118" s="345"/>
      <c r="V1118" s="346"/>
    </row>
    <row r="1119">
      <c r="A1119" s="339"/>
      <c r="B1119" s="313"/>
      <c r="C1119" s="314"/>
      <c r="D1119" s="315" t="str">
        <f t="shared" si="35"/>
        <v/>
      </c>
      <c r="E1119" s="315" t="str">
        <f t="shared" si="36"/>
        <v/>
      </c>
      <c r="F1119" s="316"/>
      <c r="G1119" s="317"/>
      <c r="H1119" s="318"/>
      <c r="I1119" s="318"/>
      <c r="J1119" s="318"/>
      <c r="K1119" s="319">
        <f t="shared" si="39"/>
        <v>0</v>
      </c>
      <c r="L1119" s="320" t="str">
        <f t="shared" si="34"/>
        <v/>
      </c>
      <c r="T1119" s="344"/>
      <c r="U1119" s="345"/>
      <c r="V1119" s="346"/>
    </row>
    <row r="1120">
      <c r="A1120" s="339"/>
      <c r="B1120" s="313"/>
      <c r="C1120" s="314"/>
      <c r="D1120" s="315" t="str">
        <f t="shared" si="35"/>
        <v/>
      </c>
      <c r="E1120" s="315" t="str">
        <f t="shared" si="36"/>
        <v/>
      </c>
      <c r="F1120" s="316"/>
      <c r="G1120" s="317"/>
      <c r="H1120" s="318"/>
      <c r="I1120" s="318"/>
      <c r="J1120" s="318"/>
      <c r="K1120" s="319">
        <f t="shared" si="39"/>
        <v>0</v>
      </c>
      <c r="L1120" s="320" t="str">
        <f t="shared" si="34"/>
        <v/>
      </c>
      <c r="T1120" s="344"/>
      <c r="U1120" s="345"/>
      <c r="V1120" s="346"/>
    </row>
    <row r="1121">
      <c r="A1121" s="339"/>
      <c r="B1121" s="313"/>
      <c r="C1121" s="314"/>
      <c r="D1121" s="315" t="str">
        <f t="shared" si="35"/>
        <v/>
      </c>
      <c r="E1121" s="315" t="str">
        <f t="shared" si="36"/>
        <v/>
      </c>
      <c r="F1121" s="316"/>
      <c r="G1121" s="317"/>
      <c r="H1121" s="318"/>
      <c r="I1121" s="318"/>
      <c r="J1121" s="318"/>
      <c r="K1121" s="319">
        <f t="shared" si="39"/>
        <v>0</v>
      </c>
      <c r="L1121" s="320" t="str">
        <f t="shared" si="34"/>
        <v/>
      </c>
      <c r="T1121" s="344"/>
      <c r="U1121" s="345"/>
      <c r="V1121" s="346"/>
    </row>
    <row r="1122">
      <c r="A1122" s="339"/>
      <c r="B1122" s="313"/>
      <c r="C1122" s="314"/>
      <c r="D1122" s="315" t="str">
        <f t="shared" si="35"/>
        <v/>
      </c>
      <c r="E1122" s="315" t="str">
        <f t="shared" si="36"/>
        <v/>
      </c>
      <c r="F1122" s="316"/>
      <c r="G1122" s="317"/>
      <c r="H1122" s="318"/>
      <c r="I1122" s="318"/>
      <c r="J1122" s="318"/>
      <c r="K1122" s="319">
        <f t="shared" si="39"/>
        <v>0</v>
      </c>
      <c r="L1122" s="320" t="str">
        <f t="shared" si="34"/>
        <v/>
      </c>
      <c r="T1122" s="344"/>
      <c r="U1122" s="345"/>
      <c r="V1122" s="346"/>
    </row>
    <row r="1123">
      <c r="A1123" s="339"/>
      <c r="B1123" s="313"/>
      <c r="C1123" s="314"/>
      <c r="D1123" s="315" t="str">
        <f t="shared" si="35"/>
        <v/>
      </c>
      <c r="E1123" s="315" t="str">
        <f t="shared" si="36"/>
        <v/>
      </c>
      <c r="F1123" s="316"/>
      <c r="G1123" s="317"/>
      <c r="H1123" s="318"/>
      <c r="I1123" s="318"/>
      <c r="J1123" s="318"/>
      <c r="K1123" s="319">
        <f t="shared" si="39"/>
        <v>0</v>
      </c>
      <c r="L1123" s="320" t="str">
        <f t="shared" si="34"/>
        <v/>
      </c>
      <c r="T1123" s="344"/>
      <c r="U1123" s="345"/>
      <c r="V1123" s="346"/>
    </row>
    <row r="1124">
      <c r="A1124" s="339"/>
      <c r="B1124" s="313"/>
      <c r="C1124" s="314"/>
      <c r="D1124" s="315" t="str">
        <f t="shared" si="35"/>
        <v/>
      </c>
      <c r="E1124" s="315" t="str">
        <f t="shared" si="36"/>
        <v/>
      </c>
      <c r="F1124" s="318"/>
      <c r="G1124" s="318"/>
      <c r="H1124" s="318"/>
      <c r="I1124" s="318"/>
      <c r="J1124" s="318"/>
      <c r="K1124" s="319">
        <f t="shared" si="39"/>
        <v>0</v>
      </c>
      <c r="L1124" s="320" t="str">
        <f t="shared" si="34"/>
        <v/>
      </c>
      <c r="M1124" s="239"/>
      <c r="T1124" s="344"/>
      <c r="U1124" s="345"/>
      <c r="V1124" s="346"/>
    </row>
    <row r="1125">
      <c r="A1125" s="339"/>
      <c r="B1125" s="313"/>
      <c r="C1125" s="314"/>
      <c r="D1125" s="315" t="str">
        <f t="shared" si="35"/>
        <v/>
      </c>
      <c r="E1125" s="315" t="str">
        <f t="shared" si="36"/>
        <v/>
      </c>
      <c r="F1125" s="316"/>
      <c r="G1125" s="317"/>
      <c r="H1125" s="318"/>
      <c r="I1125" s="318"/>
      <c r="J1125" s="318"/>
      <c r="K1125" s="319">
        <f t="shared" si="39"/>
        <v>0</v>
      </c>
      <c r="L1125" s="320" t="str">
        <f t="shared" si="34"/>
        <v/>
      </c>
      <c r="T1125" s="344"/>
      <c r="U1125" s="345"/>
      <c r="V1125" s="346"/>
    </row>
    <row r="1126">
      <c r="A1126" s="339"/>
      <c r="B1126" s="313"/>
      <c r="C1126" s="314"/>
      <c r="D1126" s="315" t="str">
        <f t="shared" si="35"/>
        <v/>
      </c>
      <c r="E1126" s="315" t="str">
        <f t="shared" si="36"/>
        <v/>
      </c>
      <c r="F1126" s="316"/>
      <c r="G1126" s="317"/>
      <c r="H1126" s="318"/>
      <c r="I1126" s="318"/>
      <c r="J1126" s="318"/>
      <c r="K1126" s="319">
        <f t="shared" si="39"/>
        <v>0</v>
      </c>
      <c r="L1126" s="320" t="str">
        <f t="shared" si="34"/>
        <v/>
      </c>
      <c r="T1126" s="344"/>
      <c r="U1126" s="345"/>
      <c r="V1126" s="346"/>
    </row>
    <row r="1127">
      <c r="A1127" s="339"/>
      <c r="B1127" s="313"/>
      <c r="C1127" s="314"/>
      <c r="D1127" s="315" t="str">
        <f t="shared" si="35"/>
        <v/>
      </c>
      <c r="E1127" s="315" t="str">
        <f t="shared" si="36"/>
        <v/>
      </c>
      <c r="F1127" s="316"/>
      <c r="G1127" s="317"/>
      <c r="H1127" s="318"/>
      <c r="I1127" s="318"/>
      <c r="J1127" s="318"/>
      <c r="K1127" s="319">
        <f t="shared" si="39"/>
        <v>0</v>
      </c>
      <c r="L1127" s="320" t="str">
        <f t="shared" si="34"/>
        <v/>
      </c>
      <c r="T1127" s="344"/>
      <c r="U1127" s="345"/>
      <c r="V1127" s="346"/>
    </row>
    <row r="1128">
      <c r="A1128" s="339"/>
      <c r="B1128" s="313"/>
      <c r="C1128" s="314"/>
      <c r="D1128" s="315" t="str">
        <f t="shared" si="35"/>
        <v/>
      </c>
      <c r="E1128" s="315" t="str">
        <f t="shared" si="36"/>
        <v/>
      </c>
      <c r="F1128" s="316"/>
      <c r="G1128" s="317"/>
      <c r="H1128" s="318"/>
      <c r="I1128" s="318"/>
      <c r="J1128" s="318"/>
      <c r="K1128" s="319">
        <f t="shared" si="39"/>
        <v>0</v>
      </c>
      <c r="L1128" s="320" t="str">
        <f t="shared" si="34"/>
        <v/>
      </c>
      <c r="T1128" s="344"/>
      <c r="U1128" s="345"/>
      <c r="V1128" s="346"/>
    </row>
    <row r="1129">
      <c r="A1129" s="339"/>
      <c r="B1129" s="313"/>
      <c r="C1129" s="314"/>
      <c r="D1129" s="315" t="str">
        <f t="shared" si="35"/>
        <v/>
      </c>
      <c r="E1129" s="315" t="str">
        <f t="shared" si="36"/>
        <v/>
      </c>
      <c r="F1129" s="316"/>
      <c r="G1129" s="317"/>
      <c r="H1129" s="318"/>
      <c r="I1129" s="318"/>
      <c r="J1129" s="318"/>
      <c r="K1129" s="319">
        <f t="shared" si="39"/>
        <v>0</v>
      </c>
      <c r="L1129" s="320" t="str">
        <f t="shared" si="34"/>
        <v/>
      </c>
      <c r="M1129" s="239"/>
      <c r="T1129" s="344"/>
      <c r="U1129" s="345"/>
      <c r="V1129" s="346"/>
    </row>
    <row r="1130">
      <c r="A1130" s="339"/>
      <c r="B1130" s="313"/>
      <c r="C1130" s="314"/>
      <c r="D1130" s="315" t="str">
        <f t="shared" si="35"/>
        <v/>
      </c>
      <c r="E1130" s="315" t="str">
        <f t="shared" si="36"/>
        <v/>
      </c>
      <c r="F1130" s="316"/>
      <c r="G1130" s="317"/>
      <c r="H1130" s="318"/>
      <c r="I1130" s="318"/>
      <c r="J1130" s="318"/>
      <c r="K1130" s="319">
        <f t="shared" si="39"/>
        <v>0</v>
      </c>
      <c r="L1130" s="320" t="str">
        <f t="shared" si="34"/>
        <v/>
      </c>
      <c r="T1130" s="344"/>
      <c r="U1130" s="345"/>
      <c r="V1130" s="346"/>
    </row>
    <row r="1131">
      <c r="A1131" s="339"/>
      <c r="B1131" s="313"/>
      <c r="C1131" s="314"/>
      <c r="D1131" s="315" t="str">
        <f t="shared" si="35"/>
        <v/>
      </c>
      <c r="E1131" s="315" t="str">
        <f t="shared" si="36"/>
        <v/>
      </c>
      <c r="F1131" s="316"/>
      <c r="G1131" s="317"/>
      <c r="H1131" s="318"/>
      <c r="I1131" s="318"/>
      <c r="J1131" s="318"/>
      <c r="K1131" s="319">
        <f t="shared" si="39"/>
        <v>0</v>
      </c>
      <c r="L1131" s="320" t="str">
        <f t="shared" si="34"/>
        <v/>
      </c>
      <c r="T1131" s="344"/>
      <c r="U1131" s="345"/>
      <c r="V1131" s="346"/>
    </row>
    <row r="1132">
      <c r="A1132" s="339"/>
      <c r="B1132" s="313"/>
      <c r="C1132" s="314"/>
      <c r="D1132" s="315" t="str">
        <f t="shared" si="35"/>
        <v/>
      </c>
      <c r="E1132" s="315" t="str">
        <f t="shared" si="36"/>
        <v/>
      </c>
      <c r="F1132" s="316"/>
      <c r="G1132" s="317"/>
      <c r="H1132" s="318"/>
      <c r="I1132" s="318"/>
      <c r="J1132" s="318"/>
      <c r="K1132" s="319">
        <f t="shared" si="39"/>
        <v>0</v>
      </c>
      <c r="L1132" s="320" t="str">
        <f t="shared" si="34"/>
        <v/>
      </c>
      <c r="T1132" s="344"/>
      <c r="U1132" s="345"/>
      <c r="V1132" s="346"/>
    </row>
    <row r="1133">
      <c r="A1133" s="339"/>
      <c r="B1133" s="313"/>
      <c r="C1133" s="314"/>
      <c r="D1133" s="315" t="str">
        <f t="shared" si="35"/>
        <v/>
      </c>
      <c r="E1133" s="315" t="str">
        <f t="shared" si="36"/>
        <v/>
      </c>
      <c r="F1133" s="316"/>
      <c r="G1133" s="317"/>
      <c r="H1133" s="318"/>
      <c r="I1133" s="318"/>
      <c r="J1133" s="318"/>
      <c r="K1133" s="319">
        <f t="shared" si="39"/>
        <v>0</v>
      </c>
      <c r="L1133" s="320" t="str">
        <f t="shared" si="34"/>
        <v/>
      </c>
      <c r="T1133" s="344"/>
      <c r="U1133" s="345"/>
      <c r="V1133" s="346"/>
    </row>
    <row r="1134">
      <c r="A1134" s="339"/>
      <c r="B1134" s="313"/>
      <c r="C1134" s="314"/>
      <c r="D1134" s="315" t="str">
        <f t="shared" si="35"/>
        <v/>
      </c>
      <c r="E1134" s="315" t="str">
        <f t="shared" si="36"/>
        <v/>
      </c>
      <c r="F1134" s="318"/>
      <c r="G1134" s="318"/>
      <c r="H1134" s="318"/>
      <c r="I1134" s="318"/>
      <c r="J1134" s="318"/>
      <c r="K1134" s="319">
        <f t="shared" si="39"/>
        <v>0</v>
      </c>
      <c r="L1134" s="320" t="str">
        <f t="shared" si="34"/>
        <v/>
      </c>
      <c r="M1134" s="239"/>
      <c r="T1134" s="344"/>
      <c r="U1134" s="345"/>
      <c r="V1134" s="346"/>
    </row>
    <row r="1135">
      <c r="A1135" s="339"/>
      <c r="B1135" s="313"/>
      <c r="C1135" s="314"/>
      <c r="D1135" s="315" t="str">
        <f t="shared" si="35"/>
        <v/>
      </c>
      <c r="E1135" s="315" t="str">
        <f t="shared" si="36"/>
        <v/>
      </c>
      <c r="F1135" s="316"/>
      <c r="G1135" s="317"/>
      <c r="H1135" s="318"/>
      <c r="I1135" s="318"/>
      <c r="J1135" s="318"/>
      <c r="K1135" s="319">
        <f t="shared" si="39"/>
        <v>0</v>
      </c>
      <c r="L1135" s="320" t="str">
        <f t="shared" si="34"/>
        <v/>
      </c>
      <c r="T1135" s="344"/>
      <c r="U1135" s="345"/>
      <c r="V1135" s="346"/>
    </row>
    <row r="1136">
      <c r="A1136" s="339"/>
      <c r="B1136" s="313"/>
      <c r="C1136" s="314"/>
      <c r="D1136" s="315" t="str">
        <f t="shared" si="35"/>
        <v/>
      </c>
      <c r="E1136" s="315" t="str">
        <f t="shared" si="36"/>
        <v/>
      </c>
      <c r="F1136" s="316"/>
      <c r="G1136" s="317"/>
      <c r="H1136" s="318"/>
      <c r="I1136" s="318"/>
      <c r="J1136" s="318"/>
      <c r="K1136" s="319">
        <f t="shared" si="39"/>
        <v>0</v>
      </c>
      <c r="L1136" s="320" t="str">
        <f t="shared" si="34"/>
        <v/>
      </c>
      <c r="T1136" s="344"/>
      <c r="U1136" s="345"/>
      <c r="V1136" s="346"/>
    </row>
    <row r="1137">
      <c r="A1137" s="339"/>
      <c r="B1137" s="313"/>
      <c r="C1137" s="314"/>
      <c r="D1137" s="315" t="str">
        <f t="shared" si="35"/>
        <v/>
      </c>
      <c r="E1137" s="315" t="str">
        <f t="shared" si="36"/>
        <v/>
      </c>
      <c r="F1137" s="316"/>
      <c r="G1137" s="317"/>
      <c r="H1137" s="318"/>
      <c r="I1137" s="318"/>
      <c r="J1137" s="318"/>
      <c r="K1137" s="319">
        <f t="shared" si="39"/>
        <v>0</v>
      </c>
      <c r="L1137" s="320" t="str">
        <f t="shared" si="34"/>
        <v/>
      </c>
      <c r="T1137" s="344"/>
      <c r="U1137" s="345"/>
      <c r="V1137" s="346"/>
    </row>
    <row r="1138">
      <c r="A1138" s="339"/>
      <c r="B1138" s="313"/>
      <c r="C1138" s="314"/>
      <c r="D1138" s="315" t="str">
        <f t="shared" si="35"/>
        <v/>
      </c>
      <c r="E1138" s="315" t="str">
        <f t="shared" si="36"/>
        <v/>
      </c>
      <c r="F1138" s="316"/>
      <c r="G1138" s="317"/>
      <c r="H1138" s="318"/>
      <c r="I1138" s="318"/>
      <c r="J1138" s="318"/>
      <c r="K1138" s="319">
        <f t="shared" si="39"/>
        <v>0</v>
      </c>
      <c r="L1138" s="320" t="str">
        <f t="shared" si="34"/>
        <v/>
      </c>
      <c r="T1138" s="344"/>
      <c r="U1138" s="345"/>
      <c r="V1138" s="346"/>
    </row>
    <row r="1139">
      <c r="A1139" s="339"/>
      <c r="B1139" s="313"/>
      <c r="C1139" s="314"/>
      <c r="D1139" s="315" t="str">
        <f t="shared" si="35"/>
        <v/>
      </c>
      <c r="E1139" s="315" t="str">
        <f t="shared" si="36"/>
        <v/>
      </c>
      <c r="F1139" s="316"/>
      <c r="G1139" s="317"/>
      <c r="H1139" s="318"/>
      <c r="I1139" s="318"/>
      <c r="J1139" s="318"/>
      <c r="K1139" s="319">
        <f t="shared" si="39"/>
        <v>0</v>
      </c>
      <c r="L1139" s="320" t="str">
        <f t="shared" si="34"/>
        <v/>
      </c>
      <c r="T1139" s="344"/>
      <c r="U1139" s="345"/>
      <c r="V1139" s="346"/>
    </row>
    <row r="1140">
      <c r="A1140" s="339"/>
      <c r="B1140" s="313"/>
      <c r="C1140" s="314"/>
      <c r="D1140" s="315" t="str">
        <f t="shared" si="35"/>
        <v/>
      </c>
      <c r="E1140" s="315" t="str">
        <f t="shared" si="36"/>
        <v/>
      </c>
      <c r="F1140" s="316"/>
      <c r="G1140" s="317"/>
      <c r="H1140" s="318"/>
      <c r="I1140" s="318"/>
      <c r="J1140" s="318"/>
      <c r="K1140" s="319">
        <f t="shared" si="39"/>
        <v>0</v>
      </c>
      <c r="L1140" s="320" t="str">
        <f t="shared" si="34"/>
        <v/>
      </c>
      <c r="T1140" s="344"/>
      <c r="U1140" s="345"/>
      <c r="V1140" s="346"/>
    </row>
    <row r="1141">
      <c r="A1141" s="339"/>
      <c r="B1141" s="313"/>
      <c r="C1141" s="314"/>
      <c r="D1141" s="315" t="str">
        <f t="shared" si="35"/>
        <v/>
      </c>
      <c r="E1141" s="315" t="str">
        <f t="shared" si="36"/>
        <v/>
      </c>
      <c r="F1141" s="316"/>
      <c r="G1141" s="317"/>
      <c r="H1141" s="318"/>
      <c r="I1141" s="318"/>
      <c r="J1141" s="318"/>
      <c r="K1141" s="319">
        <f t="shared" si="39"/>
        <v>0</v>
      </c>
      <c r="L1141" s="320" t="str">
        <f t="shared" si="34"/>
        <v/>
      </c>
      <c r="T1141" s="344"/>
      <c r="U1141" s="345"/>
      <c r="V1141" s="346"/>
    </row>
    <row r="1142">
      <c r="A1142" s="339"/>
      <c r="B1142" s="313"/>
      <c r="C1142" s="314"/>
      <c r="D1142" s="315" t="str">
        <f t="shared" si="35"/>
        <v/>
      </c>
      <c r="E1142" s="315" t="str">
        <f t="shared" si="36"/>
        <v/>
      </c>
      <c r="F1142" s="316"/>
      <c r="G1142" s="317"/>
      <c r="H1142" s="318"/>
      <c r="I1142" s="318"/>
      <c r="J1142" s="318"/>
      <c r="K1142" s="319">
        <f t="shared" si="39"/>
        <v>0</v>
      </c>
      <c r="L1142" s="320" t="str">
        <f t="shared" si="34"/>
        <v/>
      </c>
      <c r="T1142" s="344"/>
      <c r="U1142" s="345"/>
      <c r="V1142" s="346"/>
    </row>
    <row r="1143">
      <c r="A1143" s="339"/>
      <c r="B1143" s="313"/>
      <c r="C1143" s="314"/>
      <c r="D1143" s="315" t="str">
        <f t="shared" si="35"/>
        <v/>
      </c>
      <c r="E1143" s="315" t="str">
        <f t="shared" si="36"/>
        <v/>
      </c>
      <c r="F1143" s="316"/>
      <c r="G1143" s="317"/>
      <c r="H1143" s="318"/>
      <c r="I1143" s="318"/>
      <c r="J1143" s="318"/>
      <c r="K1143" s="319">
        <f t="shared" si="39"/>
        <v>0</v>
      </c>
      <c r="L1143" s="320" t="str">
        <f t="shared" si="34"/>
        <v/>
      </c>
      <c r="T1143" s="344"/>
      <c r="U1143" s="345"/>
      <c r="V1143" s="346"/>
    </row>
    <row r="1144">
      <c r="A1144" s="339"/>
      <c r="B1144" s="313"/>
      <c r="C1144" s="314"/>
      <c r="D1144" s="315" t="str">
        <f t="shared" si="35"/>
        <v/>
      </c>
      <c r="E1144" s="315" t="str">
        <f t="shared" si="36"/>
        <v/>
      </c>
      <c r="F1144" s="316"/>
      <c r="G1144" s="317"/>
      <c r="H1144" s="318"/>
      <c r="I1144" s="318"/>
      <c r="J1144" s="318"/>
      <c r="K1144" s="319">
        <f t="shared" si="39"/>
        <v>0</v>
      </c>
      <c r="L1144" s="320" t="str">
        <f t="shared" si="34"/>
        <v/>
      </c>
      <c r="T1144" s="344"/>
      <c r="U1144" s="345"/>
      <c r="V1144" s="346"/>
    </row>
    <row r="1145">
      <c r="A1145" s="339"/>
      <c r="B1145" s="313"/>
      <c r="C1145" s="314"/>
      <c r="D1145" s="315" t="str">
        <f t="shared" si="35"/>
        <v/>
      </c>
      <c r="E1145" s="315" t="str">
        <f t="shared" si="36"/>
        <v/>
      </c>
      <c r="F1145" s="316"/>
      <c r="G1145" s="317"/>
      <c r="H1145" s="318"/>
      <c r="I1145" s="318"/>
      <c r="J1145" s="318"/>
      <c r="K1145" s="319">
        <f t="shared" si="39"/>
        <v>0</v>
      </c>
      <c r="L1145" s="320" t="str">
        <f t="shared" si="34"/>
        <v/>
      </c>
      <c r="T1145" s="344"/>
      <c r="U1145" s="345"/>
      <c r="V1145" s="346"/>
    </row>
    <row r="1146">
      <c r="A1146" s="339"/>
      <c r="B1146" s="313"/>
      <c r="C1146" s="314"/>
      <c r="D1146" s="315" t="str">
        <f t="shared" si="35"/>
        <v/>
      </c>
      <c r="E1146" s="315" t="str">
        <f t="shared" si="36"/>
        <v/>
      </c>
      <c r="F1146" s="316"/>
      <c r="G1146" s="317"/>
      <c r="H1146" s="318"/>
      <c r="I1146" s="318"/>
      <c r="J1146" s="318"/>
      <c r="K1146" s="319">
        <f t="shared" si="39"/>
        <v>0</v>
      </c>
      <c r="L1146" s="320" t="str">
        <f t="shared" si="34"/>
        <v/>
      </c>
      <c r="T1146" s="344"/>
      <c r="U1146" s="345"/>
      <c r="V1146" s="346"/>
    </row>
    <row r="1147">
      <c r="A1147" s="339"/>
      <c r="B1147" s="313"/>
      <c r="C1147" s="314"/>
      <c r="D1147" s="315" t="str">
        <f t="shared" si="35"/>
        <v/>
      </c>
      <c r="E1147" s="315" t="str">
        <f t="shared" si="36"/>
        <v/>
      </c>
      <c r="F1147" s="316"/>
      <c r="G1147" s="317"/>
      <c r="H1147" s="318"/>
      <c r="I1147" s="318"/>
      <c r="J1147" s="318"/>
      <c r="K1147" s="319">
        <f t="shared" si="39"/>
        <v>0</v>
      </c>
      <c r="L1147" s="320" t="str">
        <f t="shared" si="34"/>
        <v/>
      </c>
      <c r="T1147" s="344"/>
      <c r="U1147" s="345"/>
      <c r="V1147" s="346"/>
    </row>
    <row r="1148">
      <c r="A1148" s="339"/>
      <c r="B1148" s="313"/>
      <c r="C1148" s="314"/>
      <c r="D1148" s="315" t="str">
        <f t="shared" si="35"/>
        <v/>
      </c>
      <c r="E1148" s="315" t="str">
        <f t="shared" si="36"/>
        <v/>
      </c>
      <c r="F1148" s="316"/>
      <c r="G1148" s="317"/>
      <c r="H1148" s="318"/>
      <c r="I1148" s="318"/>
      <c r="J1148" s="318"/>
      <c r="K1148" s="319">
        <f t="shared" si="39"/>
        <v>0</v>
      </c>
      <c r="L1148" s="320" t="str">
        <f t="shared" si="34"/>
        <v/>
      </c>
      <c r="T1148" s="344"/>
      <c r="U1148" s="345"/>
      <c r="V1148" s="346"/>
    </row>
    <row r="1149">
      <c r="A1149" s="339"/>
      <c r="B1149" s="313"/>
      <c r="C1149" s="314"/>
      <c r="D1149" s="315" t="str">
        <f t="shared" si="35"/>
        <v/>
      </c>
      <c r="E1149" s="315" t="str">
        <f t="shared" si="36"/>
        <v/>
      </c>
      <c r="F1149" s="316"/>
      <c r="G1149" s="317"/>
      <c r="H1149" s="318"/>
      <c r="I1149" s="318"/>
      <c r="J1149" s="318"/>
      <c r="K1149" s="319">
        <f t="shared" si="39"/>
        <v>0</v>
      </c>
      <c r="L1149" s="320" t="str">
        <f t="shared" si="34"/>
        <v/>
      </c>
      <c r="T1149" s="344"/>
      <c r="U1149" s="345"/>
      <c r="V1149" s="346"/>
    </row>
    <row r="1150">
      <c r="A1150" s="339"/>
      <c r="B1150" s="313"/>
      <c r="C1150" s="314"/>
      <c r="D1150" s="315" t="str">
        <f t="shared" si="35"/>
        <v/>
      </c>
      <c r="E1150" s="315" t="str">
        <f t="shared" si="36"/>
        <v/>
      </c>
      <c r="F1150" s="316"/>
      <c r="G1150" s="317"/>
      <c r="H1150" s="318"/>
      <c r="I1150" s="318"/>
      <c r="J1150" s="318"/>
      <c r="K1150" s="319">
        <f t="shared" si="39"/>
        <v>0</v>
      </c>
      <c r="L1150" s="320" t="str">
        <f t="shared" si="34"/>
        <v/>
      </c>
      <c r="T1150" s="344"/>
      <c r="U1150" s="345"/>
      <c r="V1150" s="346"/>
    </row>
    <row r="1151">
      <c r="A1151" s="339"/>
      <c r="B1151" s="313"/>
      <c r="C1151" s="314"/>
      <c r="D1151" s="315" t="str">
        <f t="shared" si="35"/>
        <v/>
      </c>
      <c r="E1151" s="315" t="str">
        <f t="shared" si="36"/>
        <v/>
      </c>
      <c r="F1151" s="316"/>
      <c r="G1151" s="317"/>
      <c r="H1151" s="318"/>
      <c r="I1151" s="318"/>
      <c r="J1151" s="318"/>
      <c r="K1151" s="319">
        <f t="shared" si="39"/>
        <v>0</v>
      </c>
      <c r="L1151" s="320" t="str">
        <f t="shared" si="34"/>
        <v/>
      </c>
      <c r="T1151" s="344"/>
      <c r="U1151" s="345"/>
      <c r="V1151" s="346"/>
    </row>
    <row r="1152">
      <c r="A1152" s="339"/>
      <c r="B1152" s="313"/>
      <c r="C1152" s="314"/>
      <c r="D1152" s="315" t="str">
        <f t="shared" si="35"/>
        <v/>
      </c>
      <c r="E1152" s="315" t="str">
        <f t="shared" si="36"/>
        <v/>
      </c>
      <c r="F1152" s="316"/>
      <c r="G1152" s="317"/>
      <c r="H1152" s="318"/>
      <c r="I1152" s="318"/>
      <c r="J1152" s="318"/>
      <c r="K1152" s="319">
        <f t="shared" si="39"/>
        <v>0</v>
      </c>
      <c r="L1152" s="320" t="str">
        <f t="shared" si="34"/>
        <v/>
      </c>
      <c r="T1152" s="344"/>
      <c r="U1152" s="345"/>
      <c r="V1152" s="346"/>
    </row>
    <row r="1153">
      <c r="A1153" s="339"/>
      <c r="B1153" s="313"/>
      <c r="C1153" s="314"/>
      <c r="D1153" s="315" t="str">
        <f t="shared" si="35"/>
        <v/>
      </c>
      <c r="E1153" s="315" t="str">
        <f t="shared" si="36"/>
        <v/>
      </c>
      <c r="F1153" s="316"/>
      <c r="G1153" s="317"/>
      <c r="H1153" s="318"/>
      <c r="I1153" s="318"/>
      <c r="J1153" s="318"/>
      <c r="K1153" s="319">
        <f t="shared" si="39"/>
        <v>0</v>
      </c>
      <c r="L1153" s="320" t="str">
        <f t="shared" si="34"/>
        <v/>
      </c>
      <c r="T1153" s="344"/>
      <c r="U1153" s="345"/>
      <c r="V1153" s="346"/>
    </row>
    <row r="1154">
      <c r="A1154" s="339"/>
      <c r="B1154" s="313"/>
      <c r="C1154" s="314"/>
      <c r="D1154" s="315" t="str">
        <f t="shared" si="35"/>
        <v/>
      </c>
      <c r="E1154" s="315" t="str">
        <f t="shared" si="36"/>
        <v/>
      </c>
      <c r="F1154" s="316"/>
      <c r="G1154" s="317"/>
      <c r="H1154" s="318"/>
      <c r="I1154" s="318"/>
      <c r="J1154" s="318"/>
      <c r="K1154" s="319">
        <f t="shared" si="39"/>
        <v>0</v>
      </c>
      <c r="L1154" s="320" t="str">
        <f t="shared" si="34"/>
        <v/>
      </c>
      <c r="T1154" s="344"/>
      <c r="U1154" s="345"/>
      <c r="V1154" s="346"/>
    </row>
    <row r="1155">
      <c r="A1155" s="339"/>
      <c r="B1155" s="313"/>
      <c r="C1155" s="314"/>
      <c r="D1155" s="315" t="str">
        <f t="shared" si="35"/>
        <v/>
      </c>
      <c r="E1155" s="315" t="str">
        <f t="shared" si="36"/>
        <v/>
      </c>
      <c r="F1155" s="316"/>
      <c r="G1155" s="317"/>
      <c r="H1155" s="318"/>
      <c r="I1155" s="318"/>
      <c r="J1155" s="318"/>
      <c r="K1155" s="319">
        <f t="shared" si="39"/>
        <v>0</v>
      </c>
      <c r="L1155" s="320" t="str">
        <f t="shared" si="34"/>
        <v/>
      </c>
      <c r="T1155" s="344"/>
      <c r="U1155" s="345"/>
      <c r="V1155" s="346"/>
    </row>
    <row r="1156">
      <c r="A1156" s="339"/>
      <c r="B1156" s="313"/>
      <c r="C1156" s="314"/>
      <c r="D1156" s="315" t="str">
        <f t="shared" si="35"/>
        <v/>
      </c>
      <c r="E1156" s="315" t="str">
        <f t="shared" si="36"/>
        <v/>
      </c>
      <c r="F1156" s="318"/>
      <c r="G1156" s="318"/>
      <c r="H1156" s="318"/>
      <c r="I1156" s="318"/>
      <c r="J1156" s="318"/>
      <c r="K1156" s="319">
        <f t="shared" si="39"/>
        <v>0</v>
      </c>
      <c r="L1156" s="320" t="str">
        <f t="shared" si="34"/>
        <v/>
      </c>
      <c r="M1156" s="239"/>
      <c r="T1156" s="344"/>
      <c r="U1156" s="345"/>
      <c r="V1156" s="346"/>
    </row>
    <row r="1157">
      <c r="A1157" s="339"/>
      <c r="B1157" s="313"/>
      <c r="C1157" s="314"/>
      <c r="D1157" s="315" t="str">
        <f t="shared" si="35"/>
        <v/>
      </c>
      <c r="E1157" s="315" t="str">
        <f t="shared" si="36"/>
        <v/>
      </c>
      <c r="F1157" s="316"/>
      <c r="G1157" s="317"/>
      <c r="H1157" s="318"/>
      <c r="I1157" s="318"/>
      <c r="J1157" s="318"/>
      <c r="K1157" s="319">
        <f t="shared" si="39"/>
        <v>0</v>
      </c>
      <c r="L1157" s="320" t="str">
        <f t="shared" si="34"/>
        <v/>
      </c>
      <c r="T1157" s="344"/>
      <c r="U1157" s="345"/>
      <c r="V1157" s="346"/>
    </row>
    <row r="1158">
      <c r="A1158" s="339"/>
      <c r="B1158" s="313"/>
      <c r="C1158" s="314"/>
      <c r="D1158" s="315" t="str">
        <f t="shared" si="35"/>
        <v/>
      </c>
      <c r="E1158" s="315" t="str">
        <f t="shared" si="36"/>
        <v/>
      </c>
      <c r="F1158" s="316"/>
      <c r="G1158" s="317"/>
      <c r="H1158" s="318"/>
      <c r="I1158" s="318"/>
      <c r="J1158" s="318"/>
      <c r="K1158" s="319">
        <f t="shared" si="39"/>
        <v>0</v>
      </c>
      <c r="L1158" s="320" t="str">
        <f t="shared" si="34"/>
        <v/>
      </c>
      <c r="T1158" s="344"/>
      <c r="U1158" s="345"/>
      <c r="V1158" s="346"/>
    </row>
    <row r="1159">
      <c r="A1159" s="339"/>
      <c r="B1159" s="313"/>
      <c r="C1159" s="314"/>
      <c r="D1159" s="315" t="str">
        <f t="shared" si="35"/>
        <v/>
      </c>
      <c r="E1159" s="315" t="str">
        <f t="shared" si="36"/>
        <v/>
      </c>
      <c r="F1159" s="316"/>
      <c r="G1159" s="317"/>
      <c r="H1159" s="318"/>
      <c r="I1159" s="318"/>
      <c r="J1159" s="318"/>
      <c r="K1159" s="319">
        <f t="shared" si="39"/>
        <v>0</v>
      </c>
      <c r="L1159" s="320" t="str">
        <f t="shared" si="34"/>
        <v/>
      </c>
      <c r="T1159" s="344"/>
      <c r="U1159" s="345"/>
      <c r="V1159" s="346"/>
    </row>
    <row r="1160">
      <c r="A1160" s="339"/>
      <c r="B1160" s="313"/>
      <c r="C1160" s="314"/>
      <c r="D1160" s="315" t="str">
        <f t="shared" si="35"/>
        <v/>
      </c>
      <c r="E1160" s="315" t="str">
        <f t="shared" si="36"/>
        <v/>
      </c>
      <c r="F1160" s="318"/>
      <c r="G1160" s="318"/>
      <c r="H1160" s="318"/>
      <c r="I1160" s="318"/>
      <c r="J1160" s="318"/>
      <c r="K1160" s="319">
        <f t="shared" si="39"/>
        <v>0</v>
      </c>
      <c r="L1160" s="320" t="str">
        <f t="shared" si="34"/>
        <v/>
      </c>
      <c r="M1160" s="239"/>
      <c r="T1160" s="344"/>
      <c r="U1160" s="345"/>
      <c r="V1160" s="346"/>
    </row>
    <row r="1161">
      <c r="A1161" s="339"/>
      <c r="B1161" s="313"/>
      <c r="C1161" s="314"/>
      <c r="D1161" s="315" t="str">
        <f t="shared" si="35"/>
        <v/>
      </c>
      <c r="E1161" s="315" t="str">
        <f t="shared" si="36"/>
        <v/>
      </c>
      <c r="F1161" s="316"/>
      <c r="G1161" s="317"/>
      <c r="H1161" s="318"/>
      <c r="I1161" s="318"/>
      <c r="J1161" s="318"/>
      <c r="K1161" s="319">
        <f t="shared" si="39"/>
        <v>0</v>
      </c>
      <c r="L1161" s="320" t="str">
        <f t="shared" si="34"/>
        <v/>
      </c>
      <c r="T1161" s="344"/>
      <c r="U1161" s="345"/>
      <c r="V1161" s="346"/>
    </row>
    <row r="1162">
      <c r="A1162" s="339"/>
      <c r="B1162" s="313"/>
      <c r="C1162" s="314"/>
      <c r="D1162" s="315" t="str">
        <f t="shared" si="35"/>
        <v/>
      </c>
      <c r="E1162" s="315" t="str">
        <f t="shared" si="36"/>
        <v/>
      </c>
      <c r="F1162" s="316"/>
      <c r="G1162" s="317"/>
      <c r="H1162" s="318"/>
      <c r="I1162" s="318"/>
      <c r="J1162" s="318"/>
      <c r="K1162" s="319">
        <f t="shared" si="39"/>
        <v>0</v>
      </c>
      <c r="L1162" s="320" t="str">
        <f t="shared" si="34"/>
        <v/>
      </c>
      <c r="T1162" s="344"/>
      <c r="U1162" s="345"/>
      <c r="V1162" s="346"/>
    </row>
    <row r="1163">
      <c r="A1163" s="339"/>
      <c r="B1163" s="313"/>
      <c r="C1163" s="314"/>
      <c r="D1163" s="315" t="str">
        <f t="shared" si="35"/>
        <v/>
      </c>
      <c r="E1163" s="315" t="str">
        <f t="shared" si="36"/>
        <v/>
      </c>
      <c r="F1163" s="316"/>
      <c r="G1163" s="317"/>
      <c r="H1163" s="318"/>
      <c r="I1163" s="318"/>
      <c r="J1163" s="318"/>
      <c r="K1163" s="319">
        <f t="shared" si="39"/>
        <v>0</v>
      </c>
      <c r="L1163" s="320" t="str">
        <f t="shared" si="34"/>
        <v/>
      </c>
      <c r="T1163" s="344"/>
      <c r="U1163" s="345"/>
      <c r="V1163" s="346"/>
    </row>
    <row r="1164">
      <c r="A1164" s="339"/>
      <c r="B1164" s="313"/>
      <c r="C1164" s="314"/>
      <c r="D1164" s="315" t="str">
        <f t="shared" si="35"/>
        <v/>
      </c>
      <c r="E1164" s="315" t="str">
        <f t="shared" si="36"/>
        <v/>
      </c>
      <c r="F1164" s="316"/>
      <c r="G1164" s="317"/>
      <c r="H1164" s="318"/>
      <c r="I1164" s="318"/>
      <c r="J1164" s="318"/>
      <c r="K1164" s="319">
        <f t="shared" si="39"/>
        <v>0</v>
      </c>
      <c r="L1164" s="320" t="str">
        <f t="shared" si="34"/>
        <v/>
      </c>
      <c r="T1164" s="344"/>
      <c r="U1164" s="345"/>
      <c r="V1164" s="346"/>
    </row>
    <row r="1165">
      <c r="A1165" s="339"/>
      <c r="B1165" s="313"/>
      <c r="C1165" s="314"/>
      <c r="D1165" s="315" t="str">
        <f t="shared" si="35"/>
        <v/>
      </c>
      <c r="E1165" s="315" t="str">
        <f t="shared" si="36"/>
        <v/>
      </c>
      <c r="F1165" s="316"/>
      <c r="G1165" s="317"/>
      <c r="H1165" s="318"/>
      <c r="I1165" s="318"/>
      <c r="J1165" s="318"/>
      <c r="K1165" s="319">
        <f t="shared" si="39"/>
        <v>0</v>
      </c>
      <c r="L1165" s="320" t="str">
        <f t="shared" si="34"/>
        <v/>
      </c>
      <c r="T1165" s="344"/>
      <c r="U1165" s="345"/>
      <c r="V1165" s="346"/>
    </row>
    <row r="1166">
      <c r="A1166" s="339"/>
      <c r="B1166" s="313"/>
      <c r="C1166" s="314"/>
      <c r="D1166" s="315" t="str">
        <f t="shared" si="35"/>
        <v/>
      </c>
      <c r="E1166" s="315" t="str">
        <f t="shared" si="36"/>
        <v/>
      </c>
      <c r="F1166" s="318"/>
      <c r="G1166" s="318"/>
      <c r="H1166" s="318"/>
      <c r="I1166" s="318"/>
      <c r="J1166" s="318"/>
      <c r="K1166" s="319">
        <f t="shared" si="39"/>
        <v>0</v>
      </c>
      <c r="L1166" s="320" t="str">
        <f t="shared" si="34"/>
        <v/>
      </c>
      <c r="M1166" s="239"/>
      <c r="T1166" s="344"/>
      <c r="U1166" s="345"/>
      <c r="V1166" s="346"/>
    </row>
    <row r="1167">
      <c r="A1167" s="339"/>
      <c r="B1167" s="313"/>
      <c r="C1167" s="314"/>
      <c r="D1167" s="315" t="str">
        <f t="shared" si="35"/>
        <v/>
      </c>
      <c r="E1167" s="315" t="str">
        <f t="shared" si="36"/>
        <v/>
      </c>
      <c r="F1167" s="316"/>
      <c r="G1167" s="316"/>
      <c r="H1167" s="318"/>
      <c r="I1167" s="318"/>
      <c r="J1167" s="318"/>
      <c r="K1167" s="319">
        <f t="shared" si="39"/>
        <v>0</v>
      </c>
      <c r="L1167" s="320" t="str">
        <f t="shared" si="34"/>
        <v/>
      </c>
      <c r="M1167" s="239"/>
      <c r="T1167" s="344"/>
      <c r="U1167" s="345"/>
      <c r="V1167" s="346"/>
    </row>
    <row r="1168">
      <c r="A1168" s="339"/>
      <c r="B1168" s="313"/>
      <c r="C1168" s="314"/>
      <c r="D1168" s="315" t="str">
        <f t="shared" si="35"/>
        <v/>
      </c>
      <c r="E1168" s="315" t="str">
        <f t="shared" si="36"/>
        <v/>
      </c>
      <c r="F1168" s="316"/>
      <c r="G1168" s="317"/>
      <c r="H1168" s="318"/>
      <c r="I1168" s="318"/>
      <c r="J1168" s="318"/>
      <c r="K1168" s="319">
        <f t="shared" si="39"/>
        <v>0</v>
      </c>
      <c r="L1168" s="320" t="str">
        <f t="shared" si="34"/>
        <v/>
      </c>
      <c r="T1168" s="344"/>
      <c r="U1168" s="345"/>
      <c r="V1168" s="346"/>
    </row>
    <row r="1169">
      <c r="A1169" s="339"/>
      <c r="B1169" s="313"/>
      <c r="C1169" s="314"/>
      <c r="D1169" s="315" t="str">
        <f t="shared" si="35"/>
        <v/>
      </c>
      <c r="E1169" s="315" t="str">
        <f t="shared" si="36"/>
        <v/>
      </c>
      <c r="F1169" s="316"/>
      <c r="G1169" s="317"/>
      <c r="H1169" s="318"/>
      <c r="I1169" s="318"/>
      <c r="J1169" s="318"/>
      <c r="K1169" s="319">
        <f t="shared" si="39"/>
        <v>0</v>
      </c>
      <c r="L1169" s="320" t="str">
        <f t="shared" si="34"/>
        <v/>
      </c>
      <c r="T1169" s="344"/>
      <c r="U1169" s="345"/>
      <c r="V1169" s="346"/>
    </row>
    <row r="1170">
      <c r="A1170" s="339"/>
      <c r="B1170" s="313"/>
      <c r="C1170" s="314"/>
      <c r="D1170" s="315" t="str">
        <f t="shared" si="35"/>
        <v/>
      </c>
      <c r="E1170" s="315" t="str">
        <f t="shared" si="36"/>
        <v/>
      </c>
      <c r="F1170" s="316"/>
      <c r="G1170" s="317"/>
      <c r="H1170" s="318"/>
      <c r="I1170" s="318"/>
      <c r="J1170" s="318"/>
      <c r="K1170" s="319">
        <f t="shared" si="39"/>
        <v>0</v>
      </c>
      <c r="L1170" s="320" t="str">
        <f t="shared" si="34"/>
        <v/>
      </c>
      <c r="T1170" s="344"/>
      <c r="U1170" s="345"/>
      <c r="V1170" s="346"/>
    </row>
    <row r="1171">
      <c r="A1171" s="339"/>
      <c r="B1171" s="313"/>
      <c r="C1171" s="314"/>
      <c r="D1171" s="315" t="str">
        <f t="shared" si="35"/>
        <v/>
      </c>
      <c r="E1171" s="315" t="str">
        <f t="shared" si="36"/>
        <v/>
      </c>
      <c r="F1171" s="318"/>
      <c r="G1171" s="318"/>
      <c r="H1171" s="318"/>
      <c r="I1171" s="318"/>
      <c r="J1171" s="318"/>
      <c r="K1171" s="319">
        <f t="shared" si="39"/>
        <v>0</v>
      </c>
      <c r="L1171" s="320" t="str">
        <f t="shared" si="34"/>
        <v/>
      </c>
      <c r="M1171" s="239"/>
      <c r="T1171" s="344"/>
      <c r="U1171" s="345"/>
      <c r="V1171" s="346"/>
    </row>
    <row r="1172">
      <c r="A1172" s="339"/>
      <c r="B1172" s="313"/>
      <c r="C1172" s="314"/>
      <c r="D1172" s="315" t="str">
        <f t="shared" si="35"/>
        <v/>
      </c>
      <c r="E1172" s="315" t="str">
        <f t="shared" si="36"/>
        <v/>
      </c>
      <c r="F1172" s="318"/>
      <c r="G1172" s="318"/>
      <c r="H1172" s="318"/>
      <c r="I1172" s="318"/>
      <c r="J1172" s="318"/>
      <c r="K1172" s="319">
        <f t="shared" si="39"/>
        <v>0</v>
      </c>
      <c r="L1172" s="320" t="str">
        <f t="shared" si="34"/>
        <v/>
      </c>
      <c r="M1172" s="239"/>
      <c r="T1172" s="344"/>
      <c r="U1172" s="345"/>
      <c r="V1172" s="346"/>
    </row>
    <row r="1173">
      <c r="A1173" s="339"/>
      <c r="B1173" s="313"/>
      <c r="C1173" s="314"/>
      <c r="D1173" s="315" t="str">
        <f t="shared" si="35"/>
        <v/>
      </c>
      <c r="E1173" s="315" t="str">
        <f t="shared" si="36"/>
        <v/>
      </c>
      <c r="F1173" s="316"/>
      <c r="G1173" s="317"/>
      <c r="H1173" s="318"/>
      <c r="I1173" s="318"/>
      <c r="J1173" s="318"/>
      <c r="K1173" s="319">
        <f t="shared" si="39"/>
        <v>0</v>
      </c>
      <c r="L1173" s="320" t="str">
        <f t="shared" si="34"/>
        <v/>
      </c>
      <c r="T1173" s="344"/>
      <c r="U1173" s="345"/>
      <c r="V1173" s="346"/>
    </row>
    <row r="1174">
      <c r="A1174" s="339"/>
      <c r="B1174" s="313"/>
      <c r="C1174" s="314"/>
      <c r="D1174" s="315" t="str">
        <f t="shared" si="35"/>
        <v/>
      </c>
      <c r="E1174" s="315" t="str">
        <f t="shared" si="36"/>
        <v/>
      </c>
      <c r="F1174" s="316"/>
      <c r="G1174" s="317"/>
      <c r="H1174" s="318"/>
      <c r="I1174" s="318"/>
      <c r="J1174" s="318"/>
      <c r="K1174" s="319">
        <f t="shared" si="39"/>
        <v>0</v>
      </c>
      <c r="L1174" s="320" t="str">
        <f t="shared" si="34"/>
        <v/>
      </c>
      <c r="T1174" s="344"/>
      <c r="U1174" s="345"/>
      <c r="V1174" s="346"/>
    </row>
    <row r="1175">
      <c r="A1175" s="339"/>
      <c r="B1175" s="313"/>
      <c r="C1175" s="314"/>
      <c r="D1175" s="315" t="str">
        <f t="shared" si="35"/>
        <v/>
      </c>
      <c r="E1175" s="315" t="str">
        <f t="shared" si="36"/>
        <v/>
      </c>
      <c r="F1175" s="316"/>
      <c r="G1175" s="317"/>
      <c r="H1175" s="318"/>
      <c r="I1175" s="318"/>
      <c r="J1175" s="318"/>
      <c r="K1175" s="319">
        <f t="shared" si="39"/>
        <v>0</v>
      </c>
      <c r="L1175" s="320" t="str">
        <f t="shared" si="34"/>
        <v/>
      </c>
      <c r="T1175" s="344"/>
      <c r="U1175" s="345"/>
      <c r="V1175" s="346"/>
    </row>
    <row r="1176">
      <c r="A1176" s="339"/>
      <c r="B1176" s="313"/>
      <c r="C1176" s="314"/>
      <c r="D1176" s="315" t="str">
        <f t="shared" si="35"/>
        <v/>
      </c>
      <c r="E1176" s="315" t="str">
        <f t="shared" si="36"/>
        <v/>
      </c>
      <c r="F1176" s="316"/>
      <c r="G1176" s="317"/>
      <c r="H1176" s="318"/>
      <c r="I1176" s="318"/>
      <c r="J1176" s="318"/>
      <c r="K1176" s="319">
        <f t="shared" si="39"/>
        <v>0</v>
      </c>
      <c r="L1176" s="320" t="str">
        <f t="shared" si="34"/>
        <v/>
      </c>
      <c r="T1176" s="344"/>
      <c r="U1176" s="345"/>
      <c r="V1176" s="346"/>
    </row>
    <row r="1177">
      <c r="A1177" s="339"/>
      <c r="B1177" s="313"/>
      <c r="C1177" s="314"/>
      <c r="D1177" s="315" t="str">
        <f t="shared" si="35"/>
        <v/>
      </c>
      <c r="E1177" s="315" t="str">
        <f t="shared" si="36"/>
        <v/>
      </c>
      <c r="F1177" s="316"/>
      <c r="G1177" s="317"/>
      <c r="H1177" s="318"/>
      <c r="I1177" s="318"/>
      <c r="J1177" s="318"/>
      <c r="K1177" s="319">
        <f t="shared" si="39"/>
        <v>0</v>
      </c>
      <c r="L1177" s="320" t="str">
        <f t="shared" si="34"/>
        <v/>
      </c>
      <c r="T1177" s="344"/>
      <c r="U1177" s="345"/>
      <c r="V1177" s="346"/>
    </row>
    <row r="1178">
      <c r="A1178" s="339"/>
      <c r="B1178" s="313"/>
      <c r="C1178" s="314"/>
      <c r="D1178" s="315" t="str">
        <f t="shared" si="35"/>
        <v/>
      </c>
      <c r="E1178" s="315" t="str">
        <f t="shared" si="36"/>
        <v/>
      </c>
      <c r="F1178" s="316"/>
      <c r="G1178" s="317"/>
      <c r="H1178" s="318"/>
      <c r="I1178" s="318"/>
      <c r="J1178" s="318"/>
      <c r="K1178" s="319">
        <f t="shared" si="39"/>
        <v>0</v>
      </c>
      <c r="L1178" s="320" t="str">
        <f t="shared" si="34"/>
        <v/>
      </c>
      <c r="T1178" s="344"/>
      <c r="U1178" s="345"/>
      <c r="V1178" s="346"/>
    </row>
    <row r="1179">
      <c r="A1179" s="339"/>
      <c r="B1179" s="313"/>
      <c r="C1179" s="314"/>
      <c r="D1179" s="315" t="str">
        <f t="shared" si="35"/>
        <v/>
      </c>
      <c r="E1179" s="315" t="str">
        <f t="shared" si="36"/>
        <v/>
      </c>
      <c r="F1179" s="318"/>
      <c r="G1179" s="318"/>
      <c r="H1179" s="318"/>
      <c r="I1179" s="318"/>
      <c r="J1179" s="318"/>
      <c r="K1179" s="319">
        <f t="shared" si="39"/>
        <v>0</v>
      </c>
      <c r="L1179" s="320" t="str">
        <f t="shared" si="34"/>
        <v/>
      </c>
      <c r="M1179" s="239"/>
      <c r="T1179" s="344"/>
      <c r="U1179" s="345"/>
      <c r="V1179" s="346"/>
    </row>
    <row r="1180">
      <c r="A1180" s="339"/>
      <c r="B1180" s="313"/>
      <c r="C1180" s="314"/>
      <c r="D1180" s="315" t="str">
        <f t="shared" si="35"/>
        <v/>
      </c>
      <c r="E1180" s="315" t="str">
        <f t="shared" si="36"/>
        <v/>
      </c>
      <c r="F1180" s="316"/>
      <c r="G1180" s="317"/>
      <c r="H1180" s="318"/>
      <c r="I1180" s="318"/>
      <c r="J1180" s="318"/>
      <c r="K1180" s="319">
        <f t="shared" si="39"/>
        <v>0</v>
      </c>
      <c r="L1180" s="320" t="str">
        <f t="shared" si="34"/>
        <v/>
      </c>
      <c r="T1180" s="344"/>
      <c r="U1180" s="345"/>
      <c r="V1180" s="346"/>
    </row>
    <row r="1181">
      <c r="A1181" s="339"/>
      <c r="B1181" s="313"/>
      <c r="C1181" s="314"/>
      <c r="D1181" s="315" t="str">
        <f t="shared" si="35"/>
        <v/>
      </c>
      <c r="E1181" s="315" t="str">
        <f t="shared" si="36"/>
        <v/>
      </c>
      <c r="F1181" s="316"/>
      <c r="G1181" s="317"/>
      <c r="H1181" s="318"/>
      <c r="I1181" s="318"/>
      <c r="J1181" s="318"/>
      <c r="K1181" s="319">
        <f t="shared" si="39"/>
        <v>0</v>
      </c>
      <c r="L1181" s="320" t="str">
        <f t="shared" si="34"/>
        <v/>
      </c>
      <c r="T1181" s="344"/>
      <c r="U1181" s="345"/>
      <c r="V1181" s="346"/>
    </row>
    <row r="1182">
      <c r="A1182" s="339"/>
      <c r="B1182" s="313"/>
      <c r="C1182" s="314"/>
      <c r="D1182" s="315" t="str">
        <f t="shared" si="35"/>
        <v/>
      </c>
      <c r="E1182" s="315" t="str">
        <f t="shared" si="36"/>
        <v/>
      </c>
      <c r="F1182" s="316"/>
      <c r="G1182" s="317"/>
      <c r="H1182" s="318"/>
      <c r="I1182" s="318"/>
      <c r="J1182" s="318"/>
      <c r="K1182" s="319">
        <f t="shared" si="39"/>
        <v>0</v>
      </c>
      <c r="L1182" s="320" t="str">
        <f t="shared" si="34"/>
        <v/>
      </c>
      <c r="T1182" s="344"/>
      <c r="U1182" s="345"/>
      <c r="V1182" s="346"/>
    </row>
    <row r="1183">
      <c r="A1183" s="339"/>
      <c r="B1183" s="313"/>
      <c r="C1183" s="314"/>
      <c r="D1183" s="315" t="str">
        <f t="shared" si="35"/>
        <v/>
      </c>
      <c r="E1183" s="315" t="str">
        <f t="shared" si="36"/>
        <v/>
      </c>
      <c r="F1183" s="316"/>
      <c r="G1183" s="317"/>
      <c r="H1183" s="318"/>
      <c r="I1183" s="318"/>
      <c r="J1183" s="318"/>
      <c r="K1183" s="319">
        <f t="shared" si="39"/>
        <v>0</v>
      </c>
      <c r="L1183" s="320" t="str">
        <f t="shared" si="34"/>
        <v/>
      </c>
      <c r="T1183" s="344"/>
      <c r="U1183" s="345"/>
      <c r="V1183" s="346"/>
    </row>
    <row r="1184">
      <c r="A1184" s="339"/>
      <c r="B1184" s="313"/>
      <c r="C1184" s="314"/>
      <c r="D1184" s="315" t="str">
        <f t="shared" si="35"/>
        <v/>
      </c>
      <c r="E1184" s="315" t="str">
        <f t="shared" si="36"/>
        <v/>
      </c>
      <c r="F1184" s="316"/>
      <c r="G1184" s="317"/>
      <c r="H1184" s="318"/>
      <c r="I1184" s="318"/>
      <c r="J1184" s="318"/>
      <c r="K1184" s="319">
        <f t="shared" si="39"/>
        <v>0</v>
      </c>
      <c r="L1184" s="320" t="str">
        <f t="shared" si="34"/>
        <v/>
      </c>
      <c r="T1184" s="344"/>
      <c r="U1184" s="345"/>
      <c r="V1184" s="346"/>
    </row>
    <row r="1185">
      <c r="A1185" s="339"/>
      <c r="B1185" s="313"/>
      <c r="C1185" s="314"/>
      <c r="D1185" s="315" t="str">
        <f t="shared" si="35"/>
        <v/>
      </c>
      <c r="E1185" s="315" t="str">
        <f t="shared" si="36"/>
        <v/>
      </c>
      <c r="F1185" s="318"/>
      <c r="G1185" s="318"/>
      <c r="H1185" s="318"/>
      <c r="I1185" s="318"/>
      <c r="J1185" s="318"/>
      <c r="K1185" s="319">
        <f t="shared" si="39"/>
        <v>0</v>
      </c>
      <c r="L1185" s="320" t="str">
        <f t="shared" si="34"/>
        <v/>
      </c>
      <c r="M1185" s="239"/>
      <c r="T1185" s="344"/>
      <c r="U1185" s="345"/>
      <c r="V1185" s="346"/>
    </row>
    <row r="1186">
      <c r="A1186" s="339"/>
      <c r="B1186" s="313"/>
      <c r="C1186" s="314"/>
      <c r="D1186" s="315" t="str">
        <f t="shared" si="35"/>
        <v/>
      </c>
      <c r="E1186" s="315" t="str">
        <f t="shared" si="36"/>
        <v/>
      </c>
      <c r="F1186" s="316"/>
      <c r="G1186" s="317"/>
      <c r="H1186" s="318"/>
      <c r="I1186" s="318"/>
      <c r="J1186" s="318"/>
      <c r="K1186" s="319">
        <f t="shared" si="39"/>
        <v>0</v>
      </c>
      <c r="L1186" s="320" t="str">
        <f t="shared" si="34"/>
        <v/>
      </c>
      <c r="T1186" s="344"/>
      <c r="U1186" s="345"/>
      <c r="V1186" s="346"/>
    </row>
    <row r="1187">
      <c r="A1187" s="339"/>
      <c r="B1187" s="313"/>
      <c r="C1187" s="314"/>
      <c r="D1187" s="315" t="str">
        <f t="shared" si="35"/>
        <v/>
      </c>
      <c r="E1187" s="315" t="str">
        <f t="shared" si="36"/>
        <v/>
      </c>
      <c r="F1187" s="316"/>
      <c r="G1187" s="317"/>
      <c r="H1187" s="318"/>
      <c r="I1187" s="318"/>
      <c r="J1187" s="318"/>
      <c r="K1187" s="319">
        <f t="shared" si="39"/>
        <v>0</v>
      </c>
      <c r="L1187" s="320" t="str">
        <f t="shared" si="34"/>
        <v/>
      </c>
      <c r="T1187" s="344"/>
      <c r="U1187" s="345"/>
      <c r="V1187" s="346"/>
    </row>
    <row r="1188">
      <c r="A1188" s="339"/>
      <c r="B1188" s="313"/>
      <c r="C1188" s="314"/>
      <c r="D1188" s="315" t="str">
        <f t="shared" si="35"/>
        <v/>
      </c>
      <c r="E1188" s="315" t="str">
        <f t="shared" si="36"/>
        <v/>
      </c>
      <c r="F1188" s="316"/>
      <c r="G1188" s="317"/>
      <c r="H1188" s="318"/>
      <c r="I1188" s="318"/>
      <c r="J1188" s="318"/>
      <c r="K1188" s="319">
        <f t="shared" si="39"/>
        <v>0</v>
      </c>
      <c r="L1188" s="320" t="str">
        <f t="shared" si="34"/>
        <v/>
      </c>
      <c r="T1188" s="344"/>
      <c r="U1188" s="345"/>
      <c r="V1188" s="346"/>
    </row>
    <row r="1189">
      <c r="A1189" s="339"/>
      <c r="B1189" s="313"/>
      <c r="C1189" s="314"/>
      <c r="D1189" s="315" t="str">
        <f t="shared" si="35"/>
        <v/>
      </c>
      <c r="E1189" s="315" t="str">
        <f t="shared" si="36"/>
        <v/>
      </c>
      <c r="F1189" s="316"/>
      <c r="G1189" s="317"/>
      <c r="H1189" s="318"/>
      <c r="I1189" s="318"/>
      <c r="J1189" s="318"/>
      <c r="K1189" s="319">
        <f t="shared" si="39"/>
        <v>0</v>
      </c>
      <c r="L1189" s="320" t="str">
        <f t="shared" si="34"/>
        <v/>
      </c>
      <c r="T1189" s="344"/>
      <c r="U1189" s="345"/>
      <c r="V1189" s="346"/>
    </row>
    <row r="1190">
      <c r="A1190" s="339"/>
      <c r="B1190" s="313"/>
      <c r="C1190" s="314"/>
      <c r="D1190" s="315" t="str">
        <f t="shared" si="35"/>
        <v/>
      </c>
      <c r="E1190" s="315" t="str">
        <f t="shared" si="36"/>
        <v/>
      </c>
      <c r="F1190" s="316"/>
      <c r="G1190" s="317"/>
      <c r="H1190" s="318"/>
      <c r="I1190" s="318"/>
      <c r="J1190" s="318"/>
      <c r="K1190" s="319">
        <f t="shared" si="39"/>
        <v>0</v>
      </c>
      <c r="L1190" s="320" t="str">
        <f t="shared" si="34"/>
        <v/>
      </c>
      <c r="T1190" s="344"/>
      <c r="U1190" s="345"/>
      <c r="V1190" s="346"/>
    </row>
    <row r="1191">
      <c r="A1191" s="339"/>
      <c r="B1191" s="313"/>
      <c r="C1191" s="314"/>
      <c r="D1191" s="315" t="str">
        <f t="shared" si="35"/>
        <v/>
      </c>
      <c r="E1191" s="315" t="str">
        <f t="shared" si="36"/>
        <v/>
      </c>
      <c r="F1191" s="316"/>
      <c r="G1191" s="317"/>
      <c r="H1191" s="318"/>
      <c r="I1191" s="318"/>
      <c r="J1191" s="318"/>
      <c r="K1191" s="319">
        <f t="shared" si="39"/>
        <v>0</v>
      </c>
      <c r="L1191" s="320" t="str">
        <f t="shared" si="34"/>
        <v/>
      </c>
      <c r="T1191" s="344"/>
      <c r="U1191" s="345"/>
      <c r="V1191" s="346"/>
    </row>
    <row r="1192">
      <c r="A1192" s="339"/>
      <c r="B1192" s="313"/>
      <c r="C1192" s="314"/>
      <c r="D1192" s="315" t="str">
        <f t="shared" si="35"/>
        <v/>
      </c>
      <c r="E1192" s="315" t="str">
        <f t="shared" si="36"/>
        <v/>
      </c>
      <c r="F1192" s="316"/>
      <c r="G1192" s="317"/>
      <c r="H1192" s="318"/>
      <c r="I1192" s="318"/>
      <c r="J1192" s="318"/>
      <c r="K1192" s="319">
        <f t="shared" si="39"/>
        <v>0</v>
      </c>
      <c r="L1192" s="320" t="str">
        <f t="shared" si="34"/>
        <v/>
      </c>
      <c r="T1192" s="344"/>
      <c r="U1192" s="345"/>
      <c r="V1192" s="346"/>
    </row>
    <row r="1193">
      <c r="A1193" s="339"/>
      <c r="B1193" s="313"/>
      <c r="C1193" s="314"/>
      <c r="D1193" s="315" t="str">
        <f t="shared" si="35"/>
        <v/>
      </c>
      <c r="E1193" s="315" t="str">
        <f t="shared" si="36"/>
        <v/>
      </c>
      <c r="F1193" s="316"/>
      <c r="G1193" s="317"/>
      <c r="H1193" s="318"/>
      <c r="I1193" s="318"/>
      <c r="J1193" s="318"/>
      <c r="K1193" s="319">
        <f t="shared" si="39"/>
        <v>0</v>
      </c>
      <c r="L1193" s="320" t="str">
        <f t="shared" si="34"/>
        <v/>
      </c>
      <c r="T1193" s="344"/>
      <c r="U1193" s="345"/>
      <c r="V1193" s="346"/>
    </row>
    <row r="1194">
      <c r="A1194" s="339"/>
      <c r="B1194" s="313"/>
      <c r="C1194" s="314"/>
      <c r="D1194" s="315" t="str">
        <f t="shared" si="35"/>
        <v/>
      </c>
      <c r="E1194" s="315" t="str">
        <f t="shared" si="36"/>
        <v/>
      </c>
      <c r="F1194" s="316"/>
      <c r="G1194" s="317"/>
      <c r="H1194" s="318"/>
      <c r="I1194" s="318"/>
      <c r="J1194" s="318"/>
      <c r="K1194" s="319">
        <f t="shared" si="39"/>
        <v>0</v>
      </c>
      <c r="L1194" s="320" t="str">
        <f t="shared" si="34"/>
        <v/>
      </c>
      <c r="T1194" s="344"/>
      <c r="U1194" s="345"/>
      <c r="V1194" s="346"/>
    </row>
    <row r="1195">
      <c r="A1195" s="339"/>
      <c r="B1195" s="313"/>
      <c r="C1195" s="314"/>
      <c r="D1195" s="315" t="str">
        <f t="shared" si="35"/>
        <v/>
      </c>
      <c r="E1195" s="315" t="str">
        <f t="shared" si="36"/>
        <v/>
      </c>
      <c r="F1195" s="316"/>
      <c r="G1195" s="317"/>
      <c r="H1195" s="318"/>
      <c r="I1195" s="318"/>
      <c r="J1195" s="318"/>
      <c r="K1195" s="319">
        <f t="shared" si="39"/>
        <v>0</v>
      </c>
      <c r="L1195" s="320" t="str">
        <f t="shared" si="34"/>
        <v/>
      </c>
      <c r="T1195" s="344"/>
      <c r="U1195" s="345"/>
      <c r="V1195" s="346"/>
    </row>
    <row r="1196">
      <c r="A1196" s="339"/>
      <c r="B1196" s="313"/>
      <c r="C1196" s="314"/>
      <c r="D1196" s="315" t="str">
        <f t="shared" si="35"/>
        <v/>
      </c>
      <c r="E1196" s="315" t="str">
        <f t="shared" si="36"/>
        <v/>
      </c>
      <c r="F1196" s="316"/>
      <c r="G1196" s="317"/>
      <c r="H1196" s="318"/>
      <c r="I1196" s="318"/>
      <c r="J1196" s="318"/>
      <c r="K1196" s="319">
        <f t="shared" si="39"/>
        <v>0</v>
      </c>
      <c r="L1196" s="320" t="str">
        <f t="shared" si="34"/>
        <v/>
      </c>
      <c r="T1196" s="344"/>
      <c r="U1196" s="345"/>
      <c r="V1196" s="346"/>
    </row>
    <row r="1197">
      <c r="A1197" s="339"/>
      <c r="B1197" s="313"/>
      <c r="C1197" s="314"/>
      <c r="D1197" s="315" t="str">
        <f t="shared" si="35"/>
        <v/>
      </c>
      <c r="E1197" s="315" t="str">
        <f t="shared" si="36"/>
        <v/>
      </c>
      <c r="F1197" s="316"/>
      <c r="G1197" s="317"/>
      <c r="H1197" s="318"/>
      <c r="I1197" s="318"/>
      <c r="J1197" s="318"/>
      <c r="K1197" s="319">
        <f t="shared" si="39"/>
        <v>0</v>
      </c>
      <c r="L1197" s="320" t="str">
        <f t="shared" si="34"/>
        <v/>
      </c>
      <c r="T1197" s="344"/>
      <c r="U1197" s="345"/>
      <c r="V1197" s="346"/>
    </row>
    <row r="1198">
      <c r="A1198" s="339"/>
      <c r="B1198" s="313"/>
      <c r="C1198" s="314"/>
      <c r="D1198" s="315" t="str">
        <f t="shared" si="35"/>
        <v/>
      </c>
      <c r="E1198" s="315" t="str">
        <f t="shared" si="36"/>
        <v/>
      </c>
      <c r="F1198" s="316"/>
      <c r="G1198" s="317"/>
      <c r="H1198" s="318"/>
      <c r="I1198" s="318"/>
      <c r="J1198" s="318"/>
      <c r="K1198" s="319">
        <f t="shared" si="39"/>
        <v>0</v>
      </c>
      <c r="L1198" s="320" t="str">
        <f t="shared" si="34"/>
        <v/>
      </c>
      <c r="T1198" s="344"/>
      <c r="U1198" s="345"/>
      <c r="V1198" s="346"/>
    </row>
    <row r="1199">
      <c r="A1199" s="339"/>
      <c r="B1199" s="313"/>
      <c r="C1199" s="314"/>
      <c r="D1199" s="315" t="str">
        <f t="shared" si="35"/>
        <v/>
      </c>
      <c r="E1199" s="315" t="str">
        <f t="shared" si="36"/>
        <v/>
      </c>
      <c r="F1199" s="316"/>
      <c r="G1199" s="317"/>
      <c r="H1199" s="318"/>
      <c r="I1199" s="318"/>
      <c r="J1199" s="318"/>
      <c r="K1199" s="319">
        <f t="shared" si="39"/>
        <v>0</v>
      </c>
      <c r="L1199" s="320" t="str">
        <f t="shared" si="34"/>
        <v/>
      </c>
      <c r="T1199" s="344"/>
      <c r="U1199" s="345"/>
      <c r="V1199" s="346"/>
    </row>
    <row r="1200">
      <c r="A1200" s="339"/>
      <c r="B1200" s="313"/>
      <c r="C1200" s="314"/>
      <c r="D1200" s="315" t="str">
        <f t="shared" si="35"/>
        <v/>
      </c>
      <c r="E1200" s="315" t="str">
        <f t="shared" si="36"/>
        <v/>
      </c>
      <c r="F1200" s="316"/>
      <c r="G1200" s="317"/>
      <c r="H1200" s="318"/>
      <c r="I1200" s="318"/>
      <c r="J1200" s="318"/>
      <c r="K1200" s="319">
        <f t="shared" si="39"/>
        <v>0</v>
      </c>
      <c r="L1200" s="320" t="str">
        <f t="shared" si="34"/>
        <v/>
      </c>
      <c r="T1200" s="344"/>
      <c r="U1200" s="345"/>
      <c r="V1200" s="346"/>
    </row>
    <row r="1201">
      <c r="A1201" s="339"/>
      <c r="B1201" s="313"/>
      <c r="C1201" s="314"/>
      <c r="D1201" s="315" t="str">
        <f t="shared" si="35"/>
        <v/>
      </c>
      <c r="E1201" s="315" t="str">
        <f t="shared" si="36"/>
        <v/>
      </c>
      <c r="F1201" s="316"/>
      <c r="G1201" s="317"/>
      <c r="H1201" s="318"/>
      <c r="I1201" s="318"/>
      <c r="J1201" s="318"/>
      <c r="K1201" s="319">
        <f t="shared" si="39"/>
        <v>0</v>
      </c>
      <c r="L1201" s="320" t="str">
        <f t="shared" si="34"/>
        <v/>
      </c>
      <c r="T1201" s="344"/>
      <c r="U1201" s="345"/>
      <c r="V1201" s="346"/>
    </row>
    <row r="1202">
      <c r="A1202" s="339"/>
      <c r="B1202" s="313"/>
      <c r="C1202" s="314"/>
      <c r="D1202" s="315" t="str">
        <f t="shared" si="35"/>
        <v/>
      </c>
      <c r="E1202" s="315" t="str">
        <f t="shared" si="36"/>
        <v/>
      </c>
      <c r="F1202" s="316"/>
      <c r="G1202" s="317"/>
      <c r="H1202" s="318"/>
      <c r="I1202" s="318"/>
      <c r="J1202" s="318"/>
      <c r="K1202" s="319">
        <f t="shared" si="39"/>
        <v>0</v>
      </c>
      <c r="L1202" s="320" t="str">
        <f t="shared" si="34"/>
        <v/>
      </c>
      <c r="T1202" s="344"/>
      <c r="U1202" s="345"/>
      <c r="V1202" s="346"/>
    </row>
    <row r="1203">
      <c r="A1203" s="339"/>
      <c r="B1203" s="313"/>
      <c r="C1203" s="314"/>
      <c r="D1203" s="315" t="str">
        <f t="shared" si="35"/>
        <v/>
      </c>
      <c r="E1203" s="315" t="str">
        <f t="shared" si="36"/>
        <v/>
      </c>
      <c r="F1203" s="316"/>
      <c r="G1203" s="317"/>
      <c r="H1203" s="318"/>
      <c r="I1203" s="318"/>
      <c r="J1203" s="318"/>
      <c r="K1203" s="319">
        <f t="shared" si="39"/>
        <v>0</v>
      </c>
      <c r="L1203" s="320" t="str">
        <f t="shared" si="34"/>
        <v/>
      </c>
      <c r="T1203" s="344"/>
      <c r="U1203" s="345"/>
      <c r="V1203" s="346"/>
    </row>
    <row r="1204">
      <c r="A1204" s="339"/>
      <c r="B1204" s="313"/>
      <c r="C1204" s="314"/>
      <c r="D1204" s="315" t="str">
        <f t="shared" si="35"/>
        <v/>
      </c>
      <c r="E1204" s="315" t="str">
        <f t="shared" si="36"/>
        <v/>
      </c>
      <c r="F1204" s="318"/>
      <c r="G1204" s="318"/>
      <c r="H1204" s="318"/>
      <c r="I1204" s="318"/>
      <c r="J1204" s="318"/>
      <c r="K1204" s="319">
        <f t="shared" si="39"/>
        <v>0</v>
      </c>
      <c r="L1204" s="320" t="str">
        <f t="shared" si="34"/>
        <v/>
      </c>
      <c r="M1204" s="239"/>
      <c r="T1204" s="344"/>
      <c r="U1204" s="345"/>
      <c r="V1204" s="346"/>
    </row>
    <row r="1205">
      <c r="A1205" s="339"/>
      <c r="B1205" s="313"/>
      <c r="C1205" s="314"/>
      <c r="D1205" s="315" t="str">
        <f t="shared" si="35"/>
        <v/>
      </c>
      <c r="E1205" s="315" t="str">
        <f t="shared" si="36"/>
        <v/>
      </c>
      <c r="F1205" s="316"/>
      <c r="G1205" s="317"/>
      <c r="H1205" s="318"/>
      <c r="I1205" s="318"/>
      <c r="J1205" s="318"/>
      <c r="K1205" s="319">
        <f t="shared" si="39"/>
        <v>0</v>
      </c>
      <c r="L1205" s="320" t="str">
        <f t="shared" si="34"/>
        <v/>
      </c>
      <c r="T1205" s="344"/>
      <c r="U1205" s="345"/>
      <c r="V1205" s="346"/>
    </row>
    <row r="1206">
      <c r="A1206" s="339"/>
      <c r="B1206" s="313"/>
      <c r="C1206" s="314"/>
      <c r="D1206" s="315" t="str">
        <f t="shared" si="35"/>
        <v/>
      </c>
      <c r="E1206" s="315" t="str">
        <f t="shared" si="36"/>
        <v/>
      </c>
      <c r="F1206" s="316"/>
      <c r="G1206" s="317"/>
      <c r="H1206" s="318"/>
      <c r="I1206" s="318"/>
      <c r="J1206" s="318"/>
      <c r="K1206" s="319">
        <f t="shared" si="39"/>
        <v>0</v>
      </c>
      <c r="L1206" s="320" t="str">
        <f t="shared" si="34"/>
        <v/>
      </c>
      <c r="T1206" s="344"/>
      <c r="U1206" s="345"/>
      <c r="V1206" s="346"/>
    </row>
    <row r="1207">
      <c r="A1207" s="339"/>
      <c r="B1207" s="313"/>
      <c r="C1207" s="314"/>
      <c r="D1207" s="315" t="str">
        <f t="shared" si="35"/>
        <v/>
      </c>
      <c r="E1207" s="315" t="str">
        <f t="shared" si="36"/>
        <v/>
      </c>
      <c r="F1207" s="318"/>
      <c r="G1207" s="318"/>
      <c r="H1207" s="318"/>
      <c r="I1207" s="318"/>
      <c r="J1207" s="318"/>
      <c r="K1207" s="319">
        <f t="shared" si="39"/>
        <v>0</v>
      </c>
      <c r="L1207" s="320" t="str">
        <f t="shared" si="34"/>
        <v/>
      </c>
      <c r="M1207" s="239"/>
      <c r="T1207" s="344"/>
      <c r="U1207" s="345"/>
      <c r="V1207" s="346"/>
    </row>
    <row r="1208">
      <c r="A1208" s="339"/>
      <c r="B1208" s="313"/>
      <c r="C1208" s="314"/>
      <c r="D1208" s="315" t="str">
        <f t="shared" si="35"/>
        <v/>
      </c>
      <c r="E1208" s="315" t="str">
        <f t="shared" si="36"/>
        <v/>
      </c>
      <c r="F1208" s="316"/>
      <c r="G1208" s="317"/>
      <c r="H1208" s="318"/>
      <c r="I1208" s="318"/>
      <c r="J1208" s="318"/>
      <c r="K1208" s="319">
        <f t="shared" si="39"/>
        <v>0</v>
      </c>
      <c r="L1208" s="320" t="str">
        <f t="shared" si="34"/>
        <v/>
      </c>
      <c r="T1208" s="344"/>
      <c r="U1208" s="345"/>
      <c r="V1208" s="346"/>
    </row>
    <row r="1209">
      <c r="A1209" s="339"/>
      <c r="B1209" s="313"/>
      <c r="C1209" s="314"/>
      <c r="D1209" s="315" t="str">
        <f t="shared" si="35"/>
        <v/>
      </c>
      <c r="E1209" s="315" t="str">
        <f t="shared" si="36"/>
        <v/>
      </c>
      <c r="F1209" s="316"/>
      <c r="G1209" s="317"/>
      <c r="H1209" s="318"/>
      <c r="I1209" s="318"/>
      <c r="J1209" s="318"/>
      <c r="K1209" s="319">
        <f t="shared" si="39"/>
        <v>0</v>
      </c>
      <c r="L1209" s="320" t="str">
        <f t="shared" si="34"/>
        <v/>
      </c>
      <c r="T1209" s="344"/>
      <c r="U1209" s="345"/>
      <c r="V1209" s="346"/>
    </row>
    <row r="1210">
      <c r="A1210" s="339"/>
      <c r="B1210" s="313"/>
      <c r="C1210" s="314"/>
      <c r="D1210" s="315" t="str">
        <f t="shared" si="35"/>
        <v/>
      </c>
      <c r="E1210" s="315" t="str">
        <f t="shared" si="36"/>
        <v/>
      </c>
      <c r="F1210" s="316"/>
      <c r="G1210" s="317"/>
      <c r="H1210" s="318"/>
      <c r="I1210" s="318"/>
      <c r="J1210" s="318"/>
      <c r="K1210" s="319">
        <f t="shared" si="39"/>
        <v>0</v>
      </c>
      <c r="L1210" s="320" t="str">
        <f t="shared" si="34"/>
        <v/>
      </c>
      <c r="T1210" s="344"/>
      <c r="U1210" s="345"/>
      <c r="V1210" s="346"/>
    </row>
    <row r="1211">
      <c r="A1211" s="339"/>
      <c r="B1211" s="313"/>
      <c r="C1211" s="314"/>
      <c r="D1211" s="315" t="str">
        <f t="shared" si="35"/>
        <v/>
      </c>
      <c r="E1211" s="315" t="str">
        <f t="shared" si="36"/>
        <v/>
      </c>
      <c r="F1211" s="316"/>
      <c r="G1211" s="317"/>
      <c r="H1211" s="318"/>
      <c r="I1211" s="318"/>
      <c r="J1211" s="318"/>
      <c r="K1211" s="319">
        <f t="shared" si="39"/>
        <v>0</v>
      </c>
      <c r="L1211" s="320" t="str">
        <f t="shared" si="34"/>
        <v/>
      </c>
      <c r="T1211" s="344"/>
      <c r="U1211" s="345"/>
      <c r="V1211" s="346"/>
    </row>
    <row r="1212">
      <c r="A1212" s="339"/>
      <c r="B1212" s="313"/>
      <c r="C1212" s="314"/>
      <c r="D1212" s="315" t="str">
        <f t="shared" si="35"/>
        <v/>
      </c>
      <c r="E1212" s="315" t="str">
        <f t="shared" si="36"/>
        <v/>
      </c>
      <c r="F1212" s="318"/>
      <c r="G1212" s="318"/>
      <c r="H1212" s="318"/>
      <c r="I1212" s="318"/>
      <c r="J1212" s="318"/>
      <c r="K1212" s="319">
        <f t="shared" si="39"/>
        <v>0</v>
      </c>
      <c r="L1212" s="320" t="str">
        <f t="shared" si="34"/>
        <v/>
      </c>
      <c r="M1212" s="239"/>
      <c r="T1212" s="344"/>
      <c r="U1212" s="345"/>
      <c r="V1212" s="346"/>
    </row>
    <row r="1213">
      <c r="A1213" s="339"/>
      <c r="B1213" s="313"/>
      <c r="C1213" s="314"/>
      <c r="D1213" s="315" t="str">
        <f t="shared" si="35"/>
        <v/>
      </c>
      <c r="E1213" s="315" t="str">
        <f t="shared" si="36"/>
        <v/>
      </c>
      <c r="F1213" s="316"/>
      <c r="G1213" s="317"/>
      <c r="H1213" s="318"/>
      <c r="I1213" s="318"/>
      <c r="J1213" s="318"/>
      <c r="K1213" s="319">
        <f t="shared" si="39"/>
        <v>0</v>
      </c>
      <c r="L1213" s="320" t="str">
        <f t="shared" si="34"/>
        <v/>
      </c>
      <c r="T1213" s="344"/>
      <c r="U1213" s="345"/>
      <c r="V1213" s="346"/>
    </row>
    <row r="1214">
      <c r="A1214" s="339"/>
      <c r="B1214" s="313"/>
      <c r="C1214" s="314"/>
      <c r="D1214" s="315" t="str">
        <f t="shared" si="35"/>
        <v/>
      </c>
      <c r="E1214" s="315" t="str">
        <f t="shared" si="36"/>
        <v/>
      </c>
      <c r="F1214" s="316"/>
      <c r="G1214" s="317"/>
      <c r="H1214" s="318"/>
      <c r="I1214" s="318"/>
      <c r="J1214" s="318"/>
      <c r="K1214" s="319">
        <f t="shared" si="39"/>
        <v>0</v>
      </c>
      <c r="L1214" s="320" t="str">
        <f t="shared" si="34"/>
        <v/>
      </c>
      <c r="T1214" s="344"/>
      <c r="U1214" s="345"/>
      <c r="V1214" s="346"/>
    </row>
    <row r="1215">
      <c r="A1215" s="339"/>
      <c r="B1215" s="313"/>
      <c r="C1215" s="314"/>
      <c r="D1215" s="315" t="str">
        <f t="shared" si="35"/>
        <v/>
      </c>
      <c r="E1215" s="315" t="str">
        <f t="shared" si="36"/>
        <v/>
      </c>
      <c r="F1215" s="316"/>
      <c r="G1215" s="316"/>
      <c r="H1215" s="318"/>
      <c r="I1215" s="318"/>
      <c r="J1215" s="318"/>
      <c r="K1215" s="319">
        <f t="shared" si="39"/>
        <v>0</v>
      </c>
      <c r="L1215" s="320" t="str">
        <f t="shared" si="34"/>
        <v/>
      </c>
      <c r="M1215" s="239"/>
      <c r="T1215" s="344"/>
      <c r="U1215" s="345"/>
      <c r="V1215" s="346"/>
    </row>
    <row r="1216">
      <c r="A1216" s="339"/>
      <c r="B1216" s="313"/>
      <c r="C1216" s="314"/>
      <c r="D1216" s="315" t="str">
        <f t="shared" si="35"/>
        <v/>
      </c>
      <c r="E1216" s="315" t="str">
        <f t="shared" si="36"/>
        <v/>
      </c>
      <c r="F1216" s="316"/>
      <c r="G1216" s="317"/>
      <c r="H1216" s="318"/>
      <c r="I1216" s="318"/>
      <c r="J1216" s="318"/>
      <c r="K1216" s="319">
        <f t="shared" si="39"/>
        <v>0</v>
      </c>
      <c r="L1216" s="320" t="str">
        <f t="shared" si="34"/>
        <v/>
      </c>
      <c r="T1216" s="344"/>
      <c r="U1216" s="345"/>
      <c r="V1216" s="346"/>
    </row>
    <row r="1217">
      <c r="A1217" s="339"/>
      <c r="B1217" s="313"/>
      <c r="C1217" s="314"/>
      <c r="D1217" s="315" t="str">
        <f t="shared" si="35"/>
        <v/>
      </c>
      <c r="E1217" s="315" t="str">
        <f t="shared" si="36"/>
        <v/>
      </c>
      <c r="F1217" s="316"/>
      <c r="G1217" s="317"/>
      <c r="H1217" s="318"/>
      <c r="I1217" s="318"/>
      <c r="J1217" s="318"/>
      <c r="K1217" s="319">
        <f t="shared" si="39"/>
        <v>0</v>
      </c>
      <c r="L1217" s="320" t="str">
        <f t="shared" si="34"/>
        <v/>
      </c>
      <c r="T1217" s="344"/>
      <c r="U1217" s="345"/>
      <c r="V1217" s="346"/>
    </row>
    <row r="1218">
      <c r="A1218" s="339"/>
      <c r="B1218" s="313"/>
      <c r="C1218" s="314"/>
      <c r="D1218" s="315" t="str">
        <f t="shared" si="35"/>
        <v/>
      </c>
      <c r="E1218" s="315" t="str">
        <f t="shared" si="36"/>
        <v/>
      </c>
      <c r="F1218" s="318"/>
      <c r="G1218" s="318"/>
      <c r="H1218" s="318"/>
      <c r="I1218" s="318"/>
      <c r="J1218" s="318"/>
      <c r="K1218" s="319">
        <f t="shared" si="39"/>
        <v>0</v>
      </c>
      <c r="L1218" s="320" t="str">
        <f t="shared" si="34"/>
        <v/>
      </c>
      <c r="M1218" s="239"/>
      <c r="T1218" s="344"/>
      <c r="U1218" s="345"/>
      <c r="V1218" s="346"/>
    </row>
    <row r="1219">
      <c r="A1219" s="339"/>
      <c r="B1219" s="313"/>
      <c r="C1219" s="314"/>
      <c r="D1219" s="315" t="str">
        <f t="shared" si="35"/>
        <v/>
      </c>
      <c r="E1219" s="315" t="str">
        <f t="shared" si="36"/>
        <v/>
      </c>
      <c r="F1219" s="316"/>
      <c r="G1219" s="317"/>
      <c r="H1219" s="318"/>
      <c r="I1219" s="318"/>
      <c r="J1219" s="318"/>
      <c r="K1219" s="319">
        <f t="shared" si="39"/>
        <v>0</v>
      </c>
      <c r="L1219" s="320" t="str">
        <f t="shared" si="34"/>
        <v/>
      </c>
      <c r="T1219" s="344"/>
      <c r="U1219" s="345"/>
      <c r="V1219" s="346"/>
    </row>
    <row r="1220">
      <c r="A1220" s="339"/>
      <c r="B1220" s="313"/>
      <c r="C1220" s="314"/>
      <c r="D1220" s="315" t="str">
        <f t="shared" si="35"/>
        <v/>
      </c>
      <c r="E1220" s="315" t="str">
        <f t="shared" si="36"/>
        <v/>
      </c>
      <c r="F1220" s="316"/>
      <c r="G1220" s="317"/>
      <c r="H1220" s="318"/>
      <c r="I1220" s="318"/>
      <c r="J1220" s="318"/>
      <c r="K1220" s="319">
        <f t="shared" si="39"/>
        <v>0</v>
      </c>
      <c r="L1220" s="320" t="str">
        <f t="shared" si="34"/>
        <v/>
      </c>
      <c r="T1220" s="344"/>
      <c r="U1220" s="345"/>
      <c r="V1220" s="346"/>
    </row>
    <row r="1221">
      <c r="A1221" s="339"/>
      <c r="B1221" s="313"/>
      <c r="C1221" s="314"/>
      <c r="D1221" s="315" t="str">
        <f t="shared" si="35"/>
        <v/>
      </c>
      <c r="E1221" s="315" t="str">
        <f t="shared" si="36"/>
        <v/>
      </c>
      <c r="F1221" s="316"/>
      <c r="G1221" s="317"/>
      <c r="H1221" s="318"/>
      <c r="I1221" s="318"/>
      <c r="J1221" s="318"/>
      <c r="K1221" s="319">
        <f t="shared" si="39"/>
        <v>0</v>
      </c>
      <c r="L1221" s="320" t="str">
        <f t="shared" si="34"/>
        <v/>
      </c>
      <c r="T1221" s="344"/>
      <c r="U1221" s="345"/>
      <c r="V1221" s="346"/>
    </row>
    <row r="1222">
      <c r="A1222" s="339"/>
      <c r="B1222" s="313"/>
      <c r="C1222" s="314"/>
      <c r="D1222" s="315" t="str">
        <f t="shared" si="35"/>
        <v/>
      </c>
      <c r="E1222" s="315" t="str">
        <f t="shared" si="36"/>
        <v/>
      </c>
      <c r="F1222" s="316"/>
      <c r="G1222" s="317"/>
      <c r="H1222" s="318"/>
      <c r="I1222" s="318"/>
      <c r="J1222" s="318"/>
      <c r="K1222" s="319">
        <f t="shared" si="39"/>
        <v>0</v>
      </c>
      <c r="L1222" s="320" t="str">
        <f t="shared" si="34"/>
        <v/>
      </c>
      <c r="T1222" s="344"/>
      <c r="U1222" s="345"/>
      <c r="V1222" s="346"/>
    </row>
    <row r="1223">
      <c r="A1223" s="339"/>
      <c r="B1223" s="313"/>
      <c r="C1223" s="314"/>
      <c r="D1223" s="315" t="str">
        <f t="shared" si="35"/>
        <v/>
      </c>
      <c r="E1223" s="315" t="str">
        <f t="shared" si="36"/>
        <v/>
      </c>
      <c r="F1223" s="316"/>
      <c r="G1223" s="317"/>
      <c r="H1223" s="318"/>
      <c r="I1223" s="318"/>
      <c r="J1223" s="318"/>
      <c r="K1223" s="319">
        <f t="shared" si="39"/>
        <v>0</v>
      </c>
      <c r="L1223" s="320" t="str">
        <f t="shared" si="34"/>
        <v/>
      </c>
      <c r="T1223" s="344"/>
      <c r="U1223" s="345"/>
      <c r="V1223" s="346"/>
    </row>
    <row r="1224">
      <c r="A1224" s="339"/>
      <c r="B1224" s="313"/>
      <c r="C1224" s="314"/>
      <c r="D1224" s="315" t="str">
        <f t="shared" si="35"/>
        <v/>
      </c>
      <c r="E1224" s="315" t="str">
        <f t="shared" si="36"/>
        <v/>
      </c>
      <c r="F1224" s="316"/>
      <c r="G1224" s="317"/>
      <c r="H1224" s="318"/>
      <c r="I1224" s="318"/>
      <c r="J1224" s="318"/>
      <c r="K1224" s="319">
        <f t="shared" si="39"/>
        <v>0</v>
      </c>
      <c r="L1224" s="320" t="str">
        <f t="shared" si="34"/>
        <v/>
      </c>
      <c r="T1224" s="344"/>
      <c r="U1224" s="345"/>
      <c r="V1224" s="346"/>
    </row>
    <row r="1225">
      <c r="A1225" s="339"/>
      <c r="B1225" s="313"/>
      <c r="C1225" s="314"/>
      <c r="D1225" s="315" t="str">
        <f t="shared" si="35"/>
        <v/>
      </c>
      <c r="E1225" s="315" t="str">
        <f t="shared" si="36"/>
        <v/>
      </c>
      <c r="F1225" s="316"/>
      <c r="G1225" s="317"/>
      <c r="H1225" s="318"/>
      <c r="I1225" s="318"/>
      <c r="J1225" s="318"/>
      <c r="K1225" s="319">
        <f t="shared" si="39"/>
        <v>0</v>
      </c>
      <c r="L1225" s="320" t="str">
        <f t="shared" si="34"/>
        <v/>
      </c>
      <c r="T1225" s="344"/>
      <c r="U1225" s="345"/>
      <c r="V1225" s="346"/>
    </row>
    <row r="1226">
      <c r="A1226" s="339"/>
      <c r="B1226" s="313"/>
      <c r="C1226" s="314"/>
      <c r="D1226" s="315" t="str">
        <f t="shared" si="35"/>
        <v/>
      </c>
      <c r="E1226" s="315" t="str">
        <f t="shared" si="36"/>
        <v/>
      </c>
      <c r="F1226" s="316"/>
      <c r="G1226" s="317"/>
      <c r="H1226" s="318"/>
      <c r="I1226" s="318"/>
      <c r="J1226" s="318"/>
      <c r="K1226" s="319">
        <f t="shared" si="39"/>
        <v>0</v>
      </c>
      <c r="L1226" s="320" t="str">
        <f t="shared" si="34"/>
        <v/>
      </c>
      <c r="T1226" s="344"/>
      <c r="U1226" s="345"/>
      <c r="V1226" s="346"/>
    </row>
    <row r="1227">
      <c r="A1227" s="339"/>
      <c r="B1227" s="313"/>
      <c r="C1227" s="314"/>
      <c r="D1227" s="315" t="str">
        <f t="shared" si="35"/>
        <v/>
      </c>
      <c r="E1227" s="315" t="str">
        <f t="shared" si="36"/>
        <v/>
      </c>
      <c r="F1227" s="316"/>
      <c r="G1227" s="317"/>
      <c r="H1227" s="318"/>
      <c r="I1227" s="318"/>
      <c r="J1227" s="318"/>
      <c r="K1227" s="319">
        <f t="shared" si="39"/>
        <v>0</v>
      </c>
      <c r="L1227" s="320" t="str">
        <f t="shared" si="34"/>
        <v/>
      </c>
      <c r="T1227" s="344"/>
      <c r="U1227" s="345"/>
      <c r="V1227" s="346"/>
    </row>
    <row r="1228">
      <c r="A1228" s="339"/>
      <c r="B1228" s="313"/>
      <c r="C1228" s="314"/>
      <c r="D1228" s="315" t="str">
        <f t="shared" si="35"/>
        <v/>
      </c>
      <c r="E1228" s="315" t="str">
        <f t="shared" si="36"/>
        <v/>
      </c>
      <c r="F1228" s="316"/>
      <c r="G1228" s="317"/>
      <c r="H1228" s="318"/>
      <c r="I1228" s="318"/>
      <c r="J1228" s="318"/>
      <c r="K1228" s="319">
        <f t="shared" si="39"/>
        <v>0</v>
      </c>
      <c r="L1228" s="320" t="str">
        <f t="shared" si="34"/>
        <v/>
      </c>
      <c r="T1228" s="344"/>
      <c r="U1228" s="345"/>
      <c r="V1228" s="346"/>
    </row>
    <row r="1229">
      <c r="A1229" s="339"/>
      <c r="B1229" s="313"/>
      <c r="C1229" s="314"/>
      <c r="D1229" s="315" t="str">
        <f t="shared" si="35"/>
        <v/>
      </c>
      <c r="E1229" s="315" t="str">
        <f t="shared" si="36"/>
        <v/>
      </c>
      <c r="F1229" s="316"/>
      <c r="G1229" s="317"/>
      <c r="H1229" s="318"/>
      <c r="I1229" s="318"/>
      <c r="J1229" s="318"/>
      <c r="K1229" s="319">
        <f t="shared" si="39"/>
        <v>0</v>
      </c>
      <c r="L1229" s="320" t="str">
        <f t="shared" si="34"/>
        <v/>
      </c>
      <c r="T1229" s="344"/>
      <c r="U1229" s="345"/>
      <c r="V1229" s="346"/>
    </row>
    <row r="1230">
      <c r="A1230" s="339"/>
      <c r="B1230" s="313"/>
      <c r="C1230" s="314"/>
      <c r="D1230" s="315" t="str">
        <f t="shared" si="35"/>
        <v/>
      </c>
      <c r="E1230" s="315" t="str">
        <f t="shared" si="36"/>
        <v/>
      </c>
      <c r="F1230" s="316"/>
      <c r="G1230" s="317"/>
      <c r="H1230" s="318"/>
      <c r="I1230" s="318"/>
      <c r="J1230" s="318"/>
      <c r="K1230" s="319">
        <f t="shared" si="39"/>
        <v>0</v>
      </c>
      <c r="L1230" s="320" t="str">
        <f t="shared" si="34"/>
        <v/>
      </c>
      <c r="T1230" s="344"/>
      <c r="U1230" s="345"/>
      <c r="V1230" s="346"/>
    </row>
    <row r="1231">
      <c r="A1231" s="339"/>
      <c r="B1231" s="313"/>
      <c r="C1231" s="314"/>
      <c r="D1231" s="315" t="str">
        <f t="shared" si="35"/>
        <v/>
      </c>
      <c r="E1231" s="315" t="str">
        <f t="shared" si="36"/>
        <v/>
      </c>
      <c r="F1231" s="316"/>
      <c r="G1231" s="317"/>
      <c r="H1231" s="318"/>
      <c r="I1231" s="318"/>
      <c r="J1231" s="318"/>
      <c r="K1231" s="319">
        <f t="shared" si="39"/>
        <v>0</v>
      </c>
      <c r="L1231" s="320" t="str">
        <f t="shared" si="34"/>
        <v/>
      </c>
      <c r="T1231" s="344"/>
      <c r="U1231" s="345"/>
      <c r="V1231" s="346"/>
    </row>
    <row r="1232">
      <c r="A1232" s="339"/>
      <c r="B1232" s="313"/>
      <c r="C1232" s="314"/>
      <c r="D1232" s="315" t="str">
        <f t="shared" si="35"/>
        <v/>
      </c>
      <c r="E1232" s="315" t="str">
        <f t="shared" si="36"/>
        <v/>
      </c>
      <c r="F1232" s="316"/>
      <c r="G1232" s="317"/>
      <c r="H1232" s="318"/>
      <c r="I1232" s="318"/>
      <c r="J1232" s="318"/>
      <c r="K1232" s="319">
        <f t="shared" si="39"/>
        <v>0</v>
      </c>
      <c r="L1232" s="320" t="str">
        <f t="shared" si="34"/>
        <v/>
      </c>
      <c r="T1232" s="344"/>
      <c r="U1232" s="345"/>
      <c r="V1232" s="346"/>
    </row>
    <row r="1233">
      <c r="A1233" s="339"/>
      <c r="B1233" s="313"/>
      <c r="C1233" s="314"/>
      <c r="D1233" s="315" t="str">
        <f t="shared" si="35"/>
        <v/>
      </c>
      <c r="E1233" s="315" t="str">
        <f t="shared" si="36"/>
        <v/>
      </c>
      <c r="F1233" s="316"/>
      <c r="G1233" s="317"/>
      <c r="H1233" s="318"/>
      <c r="I1233" s="318"/>
      <c r="J1233" s="318"/>
      <c r="K1233" s="319">
        <f t="shared" si="39"/>
        <v>0</v>
      </c>
      <c r="L1233" s="320" t="str">
        <f t="shared" si="34"/>
        <v/>
      </c>
      <c r="T1233" s="344"/>
      <c r="U1233" s="345"/>
      <c r="V1233" s="346"/>
    </row>
    <row r="1234">
      <c r="A1234" s="339"/>
      <c r="B1234" s="313"/>
      <c r="C1234" s="314"/>
      <c r="D1234" s="315" t="str">
        <f t="shared" si="35"/>
        <v/>
      </c>
      <c r="E1234" s="315" t="str">
        <f t="shared" si="36"/>
        <v/>
      </c>
      <c r="F1234" s="316"/>
      <c r="G1234" s="317"/>
      <c r="H1234" s="318"/>
      <c r="I1234" s="318"/>
      <c r="J1234" s="318"/>
      <c r="K1234" s="319">
        <f t="shared" si="39"/>
        <v>0</v>
      </c>
      <c r="L1234" s="320" t="str">
        <f t="shared" si="34"/>
        <v/>
      </c>
      <c r="T1234" s="344"/>
      <c r="U1234" s="345"/>
      <c r="V1234" s="346"/>
    </row>
    <row r="1235">
      <c r="A1235" s="339"/>
      <c r="B1235" s="313"/>
      <c r="C1235" s="314"/>
      <c r="D1235" s="315" t="str">
        <f t="shared" si="35"/>
        <v/>
      </c>
      <c r="E1235" s="315" t="str">
        <f t="shared" si="36"/>
        <v/>
      </c>
      <c r="F1235" s="316"/>
      <c r="G1235" s="317"/>
      <c r="H1235" s="318"/>
      <c r="I1235" s="318"/>
      <c r="J1235" s="318"/>
      <c r="K1235" s="319">
        <f t="shared" si="39"/>
        <v>0</v>
      </c>
      <c r="L1235" s="320" t="str">
        <f t="shared" si="34"/>
        <v/>
      </c>
      <c r="T1235" s="344"/>
      <c r="U1235" s="345"/>
      <c r="V1235" s="346"/>
    </row>
    <row r="1236">
      <c r="A1236" s="339"/>
      <c r="B1236" s="313"/>
      <c r="C1236" s="314"/>
      <c r="D1236" s="315" t="str">
        <f t="shared" si="35"/>
        <v/>
      </c>
      <c r="E1236" s="315" t="str">
        <f t="shared" si="36"/>
        <v/>
      </c>
      <c r="F1236" s="316"/>
      <c r="G1236" s="317"/>
      <c r="H1236" s="318"/>
      <c r="I1236" s="318"/>
      <c r="J1236" s="318"/>
      <c r="K1236" s="319">
        <f t="shared" si="39"/>
        <v>0</v>
      </c>
      <c r="L1236" s="320" t="str">
        <f t="shared" si="34"/>
        <v/>
      </c>
      <c r="T1236" s="344"/>
      <c r="U1236" s="345"/>
      <c r="V1236" s="346"/>
    </row>
    <row r="1237">
      <c r="A1237" s="339"/>
      <c r="B1237" s="313"/>
      <c r="C1237" s="314"/>
      <c r="D1237" s="315" t="str">
        <f t="shared" si="35"/>
        <v/>
      </c>
      <c r="E1237" s="315" t="str">
        <f t="shared" si="36"/>
        <v/>
      </c>
      <c r="F1237" s="316"/>
      <c r="G1237" s="317"/>
      <c r="H1237" s="318"/>
      <c r="I1237" s="318"/>
      <c r="J1237" s="318"/>
      <c r="K1237" s="319">
        <f t="shared" si="39"/>
        <v>0</v>
      </c>
      <c r="L1237" s="320" t="str">
        <f t="shared" si="34"/>
        <v/>
      </c>
      <c r="T1237" s="344"/>
      <c r="U1237" s="345"/>
      <c r="V1237" s="346"/>
    </row>
    <row r="1238">
      <c r="A1238" s="339"/>
      <c r="B1238" s="313"/>
      <c r="C1238" s="314"/>
      <c r="D1238" s="315" t="str">
        <f t="shared" si="35"/>
        <v/>
      </c>
      <c r="E1238" s="315" t="str">
        <f t="shared" si="36"/>
        <v/>
      </c>
      <c r="F1238" s="316"/>
      <c r="G1238" s="317"/>
      <c r="H1238" s="318"/>
      <c r="I1238" s="318"/>
      <c r="J1238" s="318"/>
      <c r="K1238" s="319">
        <f t="shared" si="39"/>
        <v>0</v>
      </c>
      <c r="L1238" s="320" t="str">
        <f t="shared" si="34"/>
        <v/>
      </c>
      <c r="T1238" s="344"/>
      <c r="U1238" s="345"/>
      <c r="V1238" s="346"/>
    </row>
    <row r="1239">
      <c r="A1239" s="339"/>
      <c r="B1239" s="313"/>
      <c r="C1239" s="314"/>
      <c r="D1239" s="315" t="str">
        <f t="shared" si="35"/>
        <v/>
      </c>
      <c r="E1239" s="315" t="str">
        <f t="shared" si="36"/>
        <v/>
      </c>
      <c r="F1239" s="316"/>
      <c r="G1239" s="317"/>
      <c r="H1239" s="318"/>
      <c r="I1239" s="318"/>
      <c r="J1239" s="318"/>
      <c r="K1239" s="319">
        <f t="shared" si="39"/>
        <v>0</v>
      </c>
      <c r="L1239" s="320" t="str">
        <f t="shared" si="34"/>
        <v/>
      </c>
      <c r="T1239" s="344"/>
      <c r="U1239" s="345"/>
      <c r="V1239" s="346"/>
    </row>
    <row r="1240">
      <c r="A1240" s="339"/>
      <c r="B1240" s="313"/>
      <c r="C1240" s="314"/>
      <c r="D1240" s="315" t="str">
        <f t="shared" si="35"/>
        <v/>
      </c>
      <c r="E1240" s="315" t="str">
        <f t="shared" si="36"/>
        <v/>
      </c>
      <c r="F1240" s="316"/>
      <c r="G1240" s="317"/>
      <c r="H1240" s="318"/>
      <c r="I1240" s="318"/>
      <c r="J1240" s="318"/>
      <c r="K1240" s="319">
        <f t="shared" si="39"/>
        <v>0</v>
      </c>
      <c r="L1240" s="320" t="str">
        <f t="shared" si="34"/>
        <v/>
      </c>
      <c r="T1240" s="344"/>
      <c r="U1240" s="345"/>
      <c r="V1240" s="346"/>
    </row>
    <row r="1241">
      <c r="A1241" s="339"/>
      <c r="B1241" s="313"/>
      <c r="C1241" s="314"/>
      <c r="D1241" s="315" t="str">
        <f t="shared" si="35"/>
        <v/>
      </c>
      <c r="E1241" s="315" t="str">
        <f t="shared" si="36"/>
        <v/>
      </c>
      <c r="F1241" s="318"/>
      <c r="G1241" s="318"/>
      <c r="H1241" s="318"/>
      <c r="I1241" s="318"/>
      <c r="J1241" s="318"/>
      <c r="K1241" s="319">
        <f t="shared" si="39"/>
        <v>0</v>
      </c>
      <c r="L1241" s="320" t="str">
        <f t="shared" si="34"/>
        <v/>
      </c>
      <c r="M1241" s="239"/>
      <c r="T1241" s="344"/>
      <c r="U1241" s="345"/>
      <c r="V1241" s="346"/>
    </row>
    <row r="1242">
      <c r="A1242" s="339"/>
      <c r="B1242" s="313"/>
      <c r="C1242" s="314"/>
      <c r="D1242" s="315" t="str">
        <f t="shared" si="35"/>
        <v/>
      </c>
      <c r="E1242" s="315" t="str">
        <f t="shared" si="36"/>
        <v/>
      </c>
      <c r="F1242" s="316"/>
      <c r="G1242" s="317"/>
      <c r="H1242" s="318"/>
      <c r="I1242" s="318"/>
      <c r="J1242" s="318"/>
      <c r="K1242" s="319">
        <f t="shared" si="39"/>
        <v>0</v>
      </c>
      <c r="L1242" s="320" t="str">
        <f t="shared" si="34"/>
        <v/>
      </c>
      <c r="T1242" s="344"/>
      <c r="U1242" s="345"/>
      <c r="V1242" s="346"/>
    </row>
    <row r="1243">
      <c r="A1243" s="339"/>
      <c r="B1243" s="313"/>
      <c r="C1243" s="314"/>
      <c r="D1243" s="315" t="str">
        <f t="shared" si="35"/>
        <v/>
      </c>
      <c r="E1243" s="315" t="str">
        <f t="shared" si="36"/>
        <v/>
      </c>
      <c r="F1243" s="316"/>
      <c r="G1243" s="317"/>
      <c r="H1243" s="318"/>
      <c r="I1243" s="318"/>
      <c r="J1243" s="318"/>
      <c r="K1243" s="319">
        <f t="shared" si="39"/>
        <v>0</v>
      </c>
      <c r="L1243" s="320" t="str">
        <f t="shared" si="34"/>
        <v/>
      </c>
      <c r="T1243" s="344"/>
      <c r="U1243" s="345"/>
      <c r="V1243" s="346"/>
    </row>
    <row r="1244">
      <c r="A1244" s="339"/>
      <c r="B1244" s="313"/>
      <c r="C1244" s="314"/>
      <c r="D1244" s="315" t="str">
        <f t="shared" si="35"/>
        <v/>
      </c>
      <c r="E1244" s="315" t="str">
        <f t="shared" si="36"/>
        <v/>
      </c>
      <c r="F1244" s="316"/>
      <c r="G1244" s="317"/>
      <c r="H1244" s="318"/>
      <c r="I1244" s="318"/>
      <c r="J1244" s="318"/>
      <c r="K1244" s="319">
        <f t="shared" si="39"/>
        <v>0</v>
      </c>
      <c r="L1244" s="320" t="str">
        <f t="shared" si="34"/>
        <v/>
      </c>
      <c r="T1244" s="344"/>
      <c r="U1244" s="345"/>
      <c r="V1244" s="346"/>
    </row>
    <row r="1245">
      <c r="A1245" s="339"/>
      <c r="B1245" s="313"/>
      <c r="C1245" s="314"/>
      <c r="D1245" s="315" t="str">
        <f t="shared" si="35"/>
        <v/>
      </c>
      <c r="E1245" s="315" t="str">
        <f t="shared" si="36"/>
        <v/>
      </c>
      <c r="F1245" s="316"/>
      <c r="G1245" s="317"/>
      <c r="H1245" s="318"/>
      <c r="I1245" s="318"/>
      <c r="J1245" s="318"/>
      <c r="K1245" s="319">
        <f t="shared" si="39"/>
        <v>0</v>
      </c>
      <c r="L1245" s="320" t="str">
        <f t="shared" si="34"/>
        <v/>
      </c>
      <c r="T1245" s="344"/>
      <c r="U1245" s="345"/>
      <c r="V1245" s="346"/>
    </row>
    <row r="1246">
      <c r="A1246" s="339"/>
      <c r="B1246" s="313"/>
      <c r="C1246" s="314"/>
      <c r="D1246" s="315" t="str">
        <f t="shared" si="35"/>
        <v/>
      </c>
      <c r="E1246" s="315" t="str">
        <f t="shared" si="36"/>
        <v/>
      </c>
      <c r="F1246" s="316"/>
      <c r="G1246" s="317"/>
      <c r="H1246" s="318"/>
      <c r="I1246" s="318"/>
      <c r="J1246" s="318"/>
      <c r="K1246" s="319">
        <f t="shared" si="39"/>
        <v>0</v>
      </c>
      <c r="L1246" s="320" t="str">
        <f t="shared" si="34"/>
        <v/>
      </c>
      <c r="T1246" s="344"/>
      <c r="U1246" s="345"/>
      <c r="V1246" s="346"/>
    </row>
    <row r="1247">
      <c r="A1247" s="339"/>
      <c r="B1247" s="313"/>
      <c r="C1247" s="314"/>
      <c r="D1247" s="315" t="str">
        <f t="shared" si="35"/>
        <v/>
      </c>
      <c r="E1247" s="315" t="str">
        <f t="shared" si="36"/>
        <v/>
      </c>
      <c r="F1247" s="316"/>
      <c r="G1247" s="317"/>
      <c r="H1247" s="318"/>
      <c r="I1247" s="318"/>
      <c r="J1247" s="318"/>
      <c r="K1247" s="319">
        <f t="shared" si="39"/>
        <v>0</v>
      </c>
      <c r="L1247" s="320" t="str">
        <f t="shared" si="34"/>
        <v/>
      </c>
      <c r="T1247" s="344"/>
      <c r="U1247" s="345"/>
      <c r="V1247" s="346"/>
    </row>
    <row r="1248">
      <c r="A1248" s="339"/>
      <c r="B1248" s="313"/>
      <c r="C1248" s="314"/>
      <c r="D1248" s="315" t="str">
        <f t="shared" si="35"/>
        <v/>
      </c>
      <c r="E1248" s="315" t="str">
        <f t="shared" si="36"/>
        <v/>
      </c>
      <c r="F1248" s="318"/>
      <c r="G1248" s="318"/>
      <c r="H1248" s="318"/>
      <c r="I1248" s="318"/>
      <c r="J1248" s="318"/>
      <c r="K1248" s="319">
        <f t="shared" si="39"/>
        <v>0</v>
      </c>
      <c r="L1248" s="320" t="str">
        <f t="shared" si="34"/>
        <v/>
      </c>
      <c r="M1248" s="239"/>
      <c r="T1248" s="344"/>
      <c r="U1248" s="345"/>
      <c r="V1248" s="346"/>
    </row>
    <row r="1249">
      <c r="A1249" s="339"/>
      <c r="B1249" s="313"/>
      <c r="C1249" s="314"/>
      <c r="D1249" s="315" t="str">
        <f t="shared" si="35"/>
        <v/>
      </c>
      <c r="E1249" s="315" t="str">
        <f t="shared" si="36"/>
        <v/>
      </c>
      <c r="F1249" s="318"/>
      <c r="G1249" s="318"/>
      <c r="H1249" s="318"/>
      <c r="I1249" s="318"/>
      <c r="J1249" s="318"/>
      <c r="K1249" s="319">
        <f t="shared" si="39"/>
        <v>0</v>
      </c>
      <c r="L1249" s="320" t="str">
        <f t="shared" si="34"/>
        <v/>
      </c>
      <c r="M1249" s="239"/>
      <c r="T1249" s="344"/>
      <c r="U1249" s="345"/>
      <c r="V1249" s="346"/>
    </row>
    <row r="1250">
      <c r="A1250" s="339"/>
      <c r="B1250" s="313"/>
      <c r="C1250" s="314"/>
      <c r="D1250" s="315" t="str">
        <f t="shared" si="35"/>
        <v/>
      </c>
      <c r="E1250" s="315" t="str">
        <f t="shared" si="36"/>
        <v/>
      </c>
      <c r="F1250" s="318"/>
      <c r="G1250" s="318"/>
      <c r="H1250" s="318"/>
      <c r="I1250" s="318"/>
      <c r="J1250" s="318"/>
      <c r="K1250" s="319">
        <f t="shared" si="39"/>
        <v>0</v>
      </c>
      <c r="L1250" s="320" t="str">
        <f t="shared" si="34"/>
        <v/>
      </c>
      <c r="M1250" s="239"/>
      <c r="T1250" s="344"/>
      <c r="U1250" s="345"/>
      <c r="V1250" s="346"/>
    </row>
    <row r="1251">
      <c r="A1251" s="339"/>
      <c r="B1251" s="313"/>
      <c r="C1251" s="314"/>
      <c r="D1251" s="315" t="str">
        <f t="shared" si="35"/>
        <v/>
      </c>
      <c r="E1251" s="315" t="str">
        <f t="shared" si="36"/>
        <v/>
      </c>
      <c r="F1251" s="318"/>
      <c r="G1251" s="318"/>
      <c r="H1251" s="318"/>
      <c r="I1251" s="318"/>
      <c r="J1251" s="318"/>
      <c r="K1251" s="319">
        <f t="shared" si="39"/>
        <v>0</v>
      </c>
      <c r="L1251" s="320" t="str">
        <f t="shared" si="34"/>
        <v/>
      </c>
      <c r="M1251" s="239"/>
      <c r="T1251" s="344"/>
      <c r="U1251" s="345"/>
      <c r="V1251" s="346"/>
    </row>
    <row r="1252">
      <c r="A1252" s="339"/>
      <c r="B1252" s="313"/>
      <c r="C1252" s="314"/>
      <c r="D1252" s="315" t="str">
        <f t="shared" si="35"/>
        <v/>
      </c>
      <c r="E1252" s="315" t="str">
        <f t="shared" si="36"/>
        <v/>
      </c>
      <c r="F1252" s="318"/>
      <c r="G1252" s="318"/>
      <c r="H1252" s="318"/>
      <c r="I1252" s="318"/>
      <c r="J1252" s="318"/>
      <c r="K1252" s="319">
        <f t="shared" si="39"/>
        <v>0</v>
      </c>
      <c r="L1252" s="320" t="str">
        <f t="shared" si="34"/>
        <v/>
      </c>
      <c r="M1252" s="239"/>
      <c r="T1252" s="344"/>
      <c r="U1252" s="345"/>
      <c r="V1252" s="346"/>
    </row>
    <row r="1253">
      <c r="A1253" s="339"/>
      <c r="B1253" s="313"/>
      <c r="C1253" s="314"/>
      <c r="D1253" s="315" t="str">
        <f t="shared" si="35"/>
        <v/>
      </c>
      <c r="E1253" s="315" t="str">
        <f t="shared" si="36"/>
        <v/>
      </c>
      <c r="F1253" s="318"/>
      <c r="G1253" s="318"/>
      <c r="H1253" s="318"/>
      <c r="I1253" s="318"/>
      <c r="J1253" s="318"/>
      <c r="K1253" s="319">
        <f t="shared" si="39"/>
        <v>0</v>
      </c>
      <c r="L1253" s="320" t="str">
        <f t="shared" si="34"/>
        <v/>
      </c>
      <c r="M1253" s="239"/>
      <c r="T1253" s="344"/>
      <c r="U1253" s="345"/>
      <c r="V1253" s="346"/>
    </row>
    <row r="1254">
      <c r="A1254" s="339"/>
      <c r="B1254" s="313"/>
      <c r="C1254" s="314"/>
      <c r="D1254" s="315" t="str">
        <f t="shared" si="35"/>
        <v/>
      </c>
      <c r="E1254" s="315" t="str">
        <f t="shared" si="36"/>
        <v/>
      </c>
      <c r="F1254" s="318"/>
      <c r="G1254" s="318"/>
      <c r="H1254" s="318"/>
      <c r="I1254" s="318"/>
      <c r="J1254" s="318"/>
      <c r="K1254" s="319">
        <f t="shared" si="39"/>
        <v>0</v>
      </c>
      <c r="L1254" s="320" t="str">
        <f t="shared" si="34"/>
        <v/>
      </c>
      <c r="M1254" s="239"/>
      <c r="T1254" s="344"/>
      <c r="U1254" s="345"/>
      <c r="V1254" s="346"/>
    </row>
    <row r="1255">
      <c r="A1255" s="339"/>
      <c r="B1255" s="313"/>
      <c r="C1255" s="314"/>
      <c r="D1255" s="315" t="str">
        <f t="shared" si="35"/>
        <v/>
      </c>
      <c r="E1255" s="315" t="str">
        <f t="shared" si="36"/>
        <v/>
      </c>
      <c r="F1255" s="318"/>
      <c r="G1255" s="318"/>
      <c r="H1255" s="318"/>
      <c r="I1255" s="318"/>
      <c r="J1255" s="318"/>
      <c r="K1255" s="319">
        <f t="shared" si="39"/>
        <v>0</v>
      </c>
      <c r="L1255" s="320" t="str">
        <f t="shared" si="34"/>
        <v/>
      </c>
      <c r="M1255" s="239"/>
      <c r="T1255" s="344"/>
      <c r="U1255" s="345"/>
      <c r="V1255" s="346"/>
    </row>
    <row r="1256">
      <c r="A1256" s="339"/>
      <c r="B1256" s="313"/>
      <c r="C1256" s="314"/>
      <c r="D1256" s="315" t="str">
        <f t="shared" si="35"/>
        <v/>
      </c>
      <c r="E1256" s="315" t="str">
        <f t="shared" si="36"/>
        <v/>
      </c>
      <c r="F1256" s="318"/>
      <c r="G1256" s="318"/>
      <c r="H1256" s="318"/>
      <c r="I1256" s="318"/>
      <c r="J1256" s="318"/>
      <c r="K1256" s="319">
        <f t="shared" si="39"/>
        <v>0</v>
      </c>
      <c r="L1256" s="320" t="str">
        <f t="shared" si="34"/>
        <v/>
      </c>
      <c r="M1256" s="239"/>
      <c r="T1256" s="344"/>
      <c r="U1256" s="345"/>
      <c r="V1256" s="346"/>
    </row>
    <row r="1257">
      <c r="A1257" s="339"/>
      <c r="B1257" s="313"/>
      <c r="C1257" s="314"/>
      <c r="D1257" s="315" t="str">
        <f t="shared" si="35"/>
        <v/>
      </c>
      <c r="E1257" s="315" t="str">
        <f t="shared" si="36"/>
        <v/>
      </c>
      <c r="F1257" s="318"/>
      <c r="G1257" s="318"/>
      <c r="H1257" s="318"/>
      <c r="I1257" s="318"/>
      <c r="J1257" s="318"/>
      <c r="K1257" s="319">
        <f t="shared" si="39"/>
        <v>0</v>
      </c>
      <c r="L1257" s="320" t="str">
        <f t="shared" si="34"/>
        <v/>
      </c>
      <c r="M1257" s="239"/>
      <c r="T1257" s="344"/>
      <c r="U1257" s="345"/>
      <c r="V1257" s="346"/>
    </row>
    <row r="1258">
      <c r="A1258" s="339"/>
      <c r="B1258" s="313"/>
      <c r="C1258" s="314"/>
      <c r="D1258" s="315" t="str">
        <f t="shared" si="35"/>
        <v/>
      </c>
      <c r="E1258" s="315" t="str">
        <f t="shared" si="36"/>
        <v/>
      </c>
      <c r="F1258" s="318"/>
      <c r="G1258" s="318"/>
      <c r="H1258" s="318"/>
      <c r="I1258" s="318"/>
      <c r="J1258" s="318"/>
      <c r="K1258" s="319">
        <f t="shared" si="39"/>
        <v>0</v>
      </c>
      <c r="L1258" s="320" t="str">
        <f t="shared" si="34"/>
        <v/>
      </c>
      <c r="M1258" s="239"/>
      <c r="T1258" s="344"/>
      <c r="U1258" s="345"/>
      <c r="V1258" s="346"/>
    </row>
    <row r="1259">
      <c r="A1259" s="339"/>
      <c r="B1259" s="313"/>
      <c r="C1259" s="314"/>
      <c r="D1259" s="315" t="str">
        <f t="shared" si="35"/>
        <v/>
      </c>
      <c r="E1259" s="315" t="str">
        <f t="shared" si="36"/>
        <v/>
      </c>
      <c r="F1259" s="318"/>
      <c r="G1259" s="318"/>
      <c r="H1259" s="318"/>
      <c r="I1259" s="318"/>
      <c r="J1259" s="318"/>
      <c r="K1259" s="319">
        <f t="shared" si="39"/>
        <v>0</v>
      </c>
      <c r="L1259" s="320" t="str">
        <f t="shared" si="34"/>
        <v/>
      </c>
      <c r="M1259" s="239"/>
      <c r="T1259" s="344"/>
      <c r="U1259" s="345"/>
      <c r="V1259" s="346"/>
    </row>
    <row r="1260">
      <c r="A1260" s="339"/>
      <c r="B1260" s="313"/>
      <c r="C1260" s="314"/>
      <c r="D1260" s="315" t="str">
        <f t="shared" si="35"/>
        <v/>
      </c>
      <c r="E1260" s="315" t="str">
        <f t="shared" si="36"/>
        <v/>
      </c>
      <c r="F1260" s="318"/>
      <c r="G1260" s="318"/>
      <c r="H1260" s="318"/>
      <c r="I1260" s="318"/>
      <c r="J1260" s="318"/>
      <c r="K1260" s="319">
        <f t="shared" si="39"/>
        <v>0</v>
      </c>
      <c r="L1260" s="320" t="str">
        <f t="shared" si="34"/>
        <v/>
      </c>
      <c r="M1260" s="239"/>
      <c r="T1260" s="344"/>
      <c r="U1260" s="345"/>
      <c r="V1260" s="346"/>
    </row>
    <row r="1261">
      <c r="A1261" s="339"/>
      <c r="B1261" s="313"/>
      <c r="C1261" s="314"/>
      <c r="D1261" s="315" t="str">
        <f t="shared" si="35"/>
        <v/>
      </c>
      <c r="E1261" s="315" t="str">
        <f t="shared" si="36"/>
        <v/>
      </c>
      <c r="F1261" s="318"/>
      <c r="G1261" s="318"/>
      <c r="H1261" s="318"/>
      <c r="I1261" s="318"/>
      <c r="J1261" s="318"/>
      <c r="K1261" s="319">
        <f t="shared" si="39"/>
        <v>0</v>
      </c>
      <c r="L1261" s="320" t="str">
        <f t="shared" si="34"/>
        <v/>
      </c>
      <c r="M1261" s="239"/>
      <c r="T1261" s="344"/>
      <c r="U1261" s="345"/>
      <c r="V1261" s="346"/>
    </row>
    <row r="1262">
      <c r="A1262" s="339"/>
      <c r="B1262" s="313"/>
      <c r="C1262" s="314"/>
      <c r="D1262" s="315" t="str">
        <f t="shared" si="35"/>
        <v/>
      </c>
      <c r="E1262" s="315" t="str">
        <f t="shared" si="36"/>
        <v/>
      </c>
      <c r="F1262" s="318"/>
      <c r="G1262" s="318"/>
      <c r="H1262" s="318"/>
      <c r="I1262" s="318"/>
      <c r="J1262" s="318"/>
      <c r="K1262" s="319">
        <f t="shared" si="39"/>
        <v>0</v>
      </c>
      <c r="L1262" s="320" t="str">
        <f t="shared" si="34"/>
        <v/>
      </c>
      <c r="M1262" s="239"/>
      <c r="T1262" s="344"/>
      <c r="U1262" s="345"/>
      <c r="V1262" s="346"/>
    </row>
    <row r="1263">
      <c r="A1263" s="339"/>
      <c r="B1263" s="313"/>
      <c r="C1263" s="314"/>
      <c r="D1263" s="315" t="str">
        <f t="shared" si="35"/>
        <v/>
      </c>
      <c r="E1263" s="315" t="str">
        <f t="shared" si="36"/>
        <v/>
      </c>
      <c r="F1263" s="318"/>
      <c r="G1263" s="318"/>
      <c r="H1263" s="318"/>
      <c r="I1263" s="318"/>
      <c r="J1263" s="318"/>
      <c r="K1263" s="319">
        <f t="shared" si="39"/>
        <v>0</v>
      </c>
      <c r="L1263" s="320" t="str">
        <f t="shared" si="34"/>
        <v/>
      </c>
      <c r="M1263" s="239"/>
      <c r="T1263" s="344"/>
      <c r="U1263" s="345"/>
      <c r="V1263" s="346"/>
    </row>
    <row r="1264">
      <c r="A1264" s="339"/>
      <c r="B1264" s="313"/>
      <c r="C1264" s="314"/>
      <c r="D1264" s="315" t="str">
        <f t="shared" si="35"/>
        <v/>
      </c>
      <c r="E1264" s="315" t="str">
        <f t="shared" si="36"/>
        <v/>
      </c>
      <c r="F1264" s="318"/>
      <c r="G1264" s="318"/>
      <c r="H1264" s="318"/>
      <c r="I1264" s="318"/>
      <c r="J1264" s="318"/>
      <c r="K1264" s="319">
        <f t="shared" si="39"/>
        <v>0</v>
      </c>
      <c r="L1264" s="320" t="str">
        <f t="shared" si="34"/>
        <v/>
      </c>
      <c r="M1264" s="239"/>
      <c r="T1264" s="344"/>
      <c r="U1264" s="345"/>
      <c r="V1264" s="346"/>
    </row>
    <row r="1265">
      <c r="A1265" s="339"/>
      <c r="B1265" s="313"/>
      <c r="C1265" s="314"/>
      <c r="D1265" s="315" t="str">
        <f t="shared" si="35"/>
        <v/>
      </c>
      <c r="E1265" s="315" t="str">
        <f t="shared" si="36"/>
        <v/>
      </c>
      <c r="F1265" s="316"/>
      <c r="G1265" s="316"/>
      <c r="H1265" s="318"/>
      <c r="I1265" s="318"/>
      <c r="J1265" s="318"/>
      <c r="K1265" s="319">
        <f t="shared" si="39"/>
        <v>0</v>
      </c>
      <c r="L1265" s="320" t="str">
        <f t="shared" si="34"/>
        <v/>
      </c>
      <c r="M1265" s="239"/>
      <c r="T1265" s="344"/>
      <c r="U1265" s="345"/>
      <c r="V1265" s="346"/>
    </row>
    <row r="1266">
      <c r="A1266" s="339"/>
      <c r="B1266" s="313"/>
      <c r="C1266" s="314"/>
      <c r="D1266" s="315" t="str">
        <f t="shared" si="35"/>
        <v/>
      </c>
      <c r="E1266" s="315" t="str">
        <f t="shared" si="36"/>
        <v/>
      </c>
      <c r="F1266" s="318"/>
      <c r="G1266" s="318"/>
      <c r="H1266" s="318"/>
      <c r="I1266" s="318"/>
      <c r="J1266" s="318"/>
      <c r="K1266" s="319">
        <f t="shared" si="39"/>
        <v>0</v>
      </c>
      <c r="L1266" s="320" t="str">
        <f t="shared" si="34"/>
        <v/>
      </c>
      <c r="M1266" s="239"/>
      <c r="T1266" s="344"/>
      <c r="U1266" s="345"/>
      <c r="V1266" s="346"/>
    </row>
    <row r="1267">
      <c r="A1267" s="339"/>
      <c r="B1267" s="313"/>
      <c r="C1267" s="314"/>
      <c r="D1267" s="315" t="str">
        <f t="shared" si="35"/>
        <v/>
      </c>
      <c r="E1267" s="315" t="str">
        <f t="shared" si="36"/>
        <v/>
      </c>
      <c r="F1267" s="318"/>
      <c r="G1267" s="318"/>
      <c r="H1267" s="318"/>
      <c r="I1267" s="318"/>
      <c r="J1267" s="318"/>
      <c r="K1267" s="319">
        <f t="shared" si="39"/>
        <v>0</v>
      </c>
      <c r="L1267" s="320" t="str">
        <f t="shared" si="34"/>
        <v/>
      </c>
      <c r="M1267" s="239"/>
      <c r="T1267" s="344"/>
      <c r="U1267" s="345"/>
      <c r="V1267" s="346"/>
    </row>
    <row r="1268">
      <c r="A1268" s="339"/>
      <c r="B1268" s="313"/>
      <c r="C1268" s="314"/>
      <c r="D1268" s="315" t="str">
        <f t="shared" si="35"/>
        <v/>
      </c>
      <c r="E1268" s="315" t="str">
        <f t="shared" si="36"/>
        <v/>
      </c>
      <c r="F1268" s="318"/>
      <c r="G1268" s="318"/>
      <c r="H1268" s="318"/>
      <c r="I1268" s="318"/>
      <c r="J1268" s="318"/>
      <c r="K1268" s="319">
        <f t="shared" si="39"/>
        <v>0</v>
      </c>
      <c r="L1268" s="320" t="str">
        <f t="shared" si="34"/>
        <v/>
      </c>
      <c r="M1268" s="239"/>
      <c r="T1268" s="344"/>
      <c r="U1268" s="345"/>
      <c r="V1268" s="346"/>
    </row>
    <row r="1269">
      <c r="A1269" s="339"/>
      <c r="B1269" s="313"/>
      <c r="C1269" s="314"/>
      <c r="D1269" s="315" t="str">
        <f t="shared" si="35"/>
        <v/>
      </c>
      <c r="E1269" s="315" t="str">
        <f t="shared" si="36"/>
        <v/>
      </c>
      <c r="F1269" s="318"/>
      <c r="G1269" s="318"/>
      <c r="H1269" s="318"/>
      <c r="I1269" s="318"/>
      <c r="J1269" s="318"/>
      <c r="K1269" s="319">
        <f t="shared" si="39"/>
        <v>0</v>
      </c>
      <c r="L1269" s="320" t="str">
        <f t="shared" si="34"/>
        <v/>
      </c>
      <c r="M1269" s="239"/>
      <c r="T1269" s="344"/>
      <c r="U1269" s="345"/>
      <c r="V1269" s="346"/>
    </row>
    <row r="1270">
      <c r="A1270" s="339"/>
      <c r="B1270" s="313"/>
      <c r="C1270" s="314"/>
      <c r="D1270" s="315" t="str">
        <f t="shared" si="35"/>
        <v/>
      </c>
      <c r="E1270" s="315" t="str">
        <f t="shared" si="36"/>
        <v/>
      </c>
      <c r="F1270" s="318"/>
      <c r="G1270" s="318"/>
      <c r="H1270" s="318"/>
      <c r="I1270" s="318"/>
      <c r="J1270" s="318"/>
      <c r="K1270" s="319">
        <f t="shared" si="39"/>
        <v>0</v>
      </c>
      <c r="L1270" s="320" t="str">
        <f t="shared" si="34"/>
        <v/>
      </c>
      <c r="M1270" s="239"/>
      <c r="T1270" s="344"/>
      <c r="U1270" s="345"/>
      <c r="V1270" s="346"/>
    </row>
    <row r="1271">
      <c r="A1271" s="339"/>
      <c r="B1271" s="313"/>
      <c r="C1271" s="314"/>
      <c r="D1271" s="315" t="str">
        <f t="shared" si="35"/>
        <v/>
      </c>
      <c r="E1271" s="315" t="str">
        <f t="shared" si="36"/>
        <v/>
      </c>
      <c r="F1271" s="318"/>
      <c r="G1271" s="318"/>
      <c r="H1271" s="318"/>
      <c r="I1271" s="318"/>
      <c r="J1271" s="318"/>
      <c r="K1271" s="319">
        <f t="shared" si="39"/>
        <v>0</v>
      </c>
      <c r="L1271" s="320" t="str">
        <f t="shared" si="34"/>
        <v/>
      </c>
      <c r="M1271" s="239"/>
      <c r="T1271" s="344"/>
      <c r="U1271" s="345"/>
      <c r="V1271" s="346"/>
    </row>
    <row r="1272">
      <c r="A1272" s="339"/>
      <c r="B1272" s="313"/>
      <c r="C1272" s="314"/>
      <c r="D1272" s="315" t="str">
        <f t="shared" si="35"/>
        <v/>
      </c>
      <c r="E1272" s="315" t="str">
        <f t="shared" si="36"/>
        <v/>
      </c>
      <c r="F1272" s="318"/>
      <c r="G1272" s="318"/>
      <c r="H1272" s="318"/>
      <c r="I1272" s="318"/>
      <c r="J1272" s="318"/>
      <c r="K1272" s="319">
        <f t="shared" si="39"/>
        <v>0</v>
      </c>
      <c r="L1272" s="320" t="str">
        <f t="shared" si="34"/>
        <v/>
      </c>
      <c r="M1272" s="239"/>
      <c r="T1272" s="344"/>
      <c r="U1272" s="345"/>
      <c r="V1272" s="346"/>
    </row>
    <row r="1273">
      <c r="A1273" s="339"/>
      <c r="B1273" s="313"/>
      <c r="C1273" s="314"/>
      <c r="D1273" s="315" t="str">
        <f t="shared" si="35"/>
        <v/>
      </c>
      <c r="E1273" s="315" t="str">
        <f t="shared" si="36"/>
        <v/>
      </c>
      <c r="F1273" s="318"/>
      <c r="G1273" s="318"/>
      <c r="H1273" s="318"/>
      <c r="I1273" s="318"/>
      <c r="J1273" s="318"/>
      <c r="K1273" s="319">
        <f t="shared" si="39"/>
        <v>0</v>
      </c>
      <c r="L1273" s="320" t="str">
        <f t="shared" si="34"/>
        <v/>
      </c>
      <c r="M1273" s="239"/>
      <c r="T1273" s="344"/>
      <c r="U1273" s="345"/>
      <c r="V1273" s="346"/>
    </row>
    <row r="1274">
      <c r="A1274" s="339"/>
      <c r="B1274" s="313"/>
      <c r="C1274" s="314"/>
      <c r="D1274" s="315" t="str">
        <f t="shared" si="35"/>
        <v/>
      </c>
      <c r="E1274" s="315" t="str">
        <f t="shared" si="36"/>
        <v/>
      </c>
      <c r="F1274" s="318"/>
      <c r="G1274" s="318"/>
      <c r="H1274" s="318"/>
      <c r="I1274" s="318"/>
      <c r="J1274" s="318"/>
      <c r="K1274" s="319">
        <f t="shared" si="39"/>
        <v>0</v>
      </c>
      <c r="L1274" s="320" t="str">
        <f t="shared" si="34"/>
        <v/>
      </c>
      <c r="M1274" s="239"/>
      <c r="T1274" s="344"/>
      <c r="U1274" s="345"/>
      <c r="V1274" s="346"/>
    </row>
    <row r="1275">
      <c r="A1275" s="339"/>
      <c r="B1275" s="313"/>
      <c r="C1275" s="314"/>
      <c r="D1275" s="315" t="str">
        <f t="shared" si="35"/>
        <v/>
      </c>
      <c r="E1275" s="315" t="str">
        <f t="shared" si="36"/>
        <v/>
      </c>
      <c r="F1275" s="318"/>
      <c r="G1275" s="318"/>
      <c r="H1275" s="318"/>
      <c r="I1275" s="318"/>
      <c r="J1275" s="318"/>
      <c r="K1275" s="319">
        <f t="shared" si="39"/>
        <v>0</v>
      </c>
      <c r="L1275" s="320" t="str">
        <f t="shared" si="34"/>
        <v/>
      </c>
      <c r="M1275" s="239"/>
      <c r="T1275" s="344"/>
      <c r="U1275" s="345"/>
      <c r="V1275" s="346"/>
    </row>
    <row r="1276">
      <c r="A1276" s="339"/>
      <c r="B1276" s="313"/>
      <c r="C1276" s="314"/>
      <c r="D1276" s="315" t="str">
        <f t="shared" si="35"/>
        <v/>
      </c>
      <c r="E1276" s="315" t="str">
        <f t="shared" si="36"/>
        <v/>
      </c>
      <c r="F1276" s="318"/>
      <c r="G1276" s="318"/>
      <c r="H1276" s="318"/>
      <c r="I1276" s="318"/>
      <c r="J1276" s="318"/>
      <c r="K1276" s="319">
        <f t="shared" si="39"/>
        <v>0</v>
      </c>
      <c r="L1276" s="320" t="str">
        <f t="shared" si="34"/>
        <v/>
      </c>
      <c r="M1276" s="239"/>
      <c r="T1276" s="344"/>
      <c r="U1276" s="345"/>
      <c r="V1276" s="346"/>
    </row>
    <row r="1277">
      <c r="A1277" s="339"/>
      <c r="B1277" s="313"/>
      <c r="C1277" s="314"/>
      <c r="D1277" s="315" t="str">
        <f t="shared" si="35"/>
        <v/>
      </c>
      <c r="E1277" s="315" t="str">
        <f t="shared" si="36"/>
        <v/>
      </c>
      <c r="F1277" s="318"/>
      <c r="G1277" s="318"/>
      <c r="H1277" s="318"/>
      <c r="I1277" s="318"/>
      <c r="J1277" s="318"/>
      <c r="K1277" s="319">
        <f t="shared" si="39"/>
        <v>0</v>
      </c>
      <c r="L1277" s="320" t="str">
        <f t="shared" si="34"/>
        <v/>
      </c>
      <c r="M1277" s="239"/>
      <c r="T1277" s="344"/>
      <c r="U1277" s="345"/>
      <c r="V1277" s="346"/>
    </row>
    <row r="1278">
      <c r="A1278" s="339"/>
      <c r="B1278" s="313"/>
      <c r="C1278" s="314"/>
      <c r="D1278" s="315" t="str">
        <f t="shared" si="35"/>
        <v/>
      </c>
      <c r="E1278" s="315" t="str">
        <f t="shared" si="36"/>
        <v/>
      </c>
      <c r="F1278" s="318"/>
      <c r="G1278" s="318"/>
      <c r="H1278" s="318"/>
      <c r="I1278" s="318"/>
      <c r="J1278" s="318"/>
      <c r="K1278" s="319">
        <f t="shared" si="39"/>
        <v>0</v>
      </c>
      <c r="L1278" s="320" t="str">
        <f t="shared" si="34"/>
        <v/>
      </c>
      <c r="M1278" s="239"/>
      <c r="T1278" s="344"/>
      <c r="U1278" s="345"/>
      <c r="V1278" s="346"/>
    </row>
    <row r="1279">
      <c r="A1279" s="339"/>
      <c r="B1279" s="313"/>
      <c r="C1279" s="314"/>
      <c r="D1279" s="315" t="str">
        <f t="shared" si="35"/>
        <v/>
      </c>
      <c r="E1279" s="315" t="str">
        <f t="shared" si="36"/>
        <v/>
      </c>
      <c r="F1279" s="318"/>
      <c r="G1279" s="318"/>
      <c r="H1279" s="318"/>
      <c r="I1279" s="318"/>
      <c r="J1279" s="318"/>
      <c r="K1279" s="319">
        <f t="shared" si="39"/>
        <v>0</v>
      </c>
      <c r="L1279" s="320" t="str">
        <f t="shared" si="34"/>
        <v/>
      </c>
      <c r="M1279" s="239"/>
      <c r="T1279" s="344"/>
      <c r="U1279" s="345"/>
      <c r="V1279" s="346"/>
    </row>
    <row r="1280">
      <c r="A1280" s="339"/>
      <c r="B1280" s="313"/>
      <c r="C1280" s="314"/>
      <c r="D1280" s="315" t="str">
        <f t="shared" si="35"/>
        <v/>
      </c>
      <c r="E1280" s="315" t="str">
        <f t="shared" si="36"/>
        <v/>
      </c>
      <c r="F1280" s="318"/>
      <c r="G1280" s="318"/>
      <c r="H1280" s="318"/>
      <c r="I1280" s="318"/>
      <c r="J1280" s="318"/>
      <c r="K1280" s="319">
        <f t="shared" si="39"/>
        <v>0</v>
      </c>
      <c r="L1280" s="320" t="str">
        <f t="shared" si="34"/>
        <v/>
      </c>
      <c r="M1280" s="239"/>
      <c r="T1280" s="344"/>
      <c r="U1280" s="345"/>
      <c r="V1280" s="346"/>
    </row>
    <row r="1281">
      <c r="A1281" s="339"/>
      <c r="B1281" s="313"/>
      <c r="C1281" s="314"/>
      <c r="D1281" s="315" t="str">
        <f t="shared" si="35"/>
        <v/>
      </c>
      <c r="E1281" s="315" t="str">
        <f t="shared" si="36"/>
        <v/>
      </c>
      <c r="F1281" s="318"/>
      <c r="G1281" s="318"/>
      <c r="H1281" s="318"/>
      <c r="I1281" s="318"/>
      <c r="J1281" s="318"/>
      <c r="K1281" s="319">
        <f t="shared" si="39"/>
        <v>0</v>
      </c>
      <c r="L1281" s="320" t="str">
        <f t="shared" si="34"/>
        <v/>
      </c>
      <c r="M1281" s="239"/>
      <c r="T1281" s="344"/>
      <c r="U1281" s="345"/>
      <c r="V1281" s="346"/>
    </row>
    <row r="1282">
      <c r="A1282" s="339"/>
      <c r="B1282" s="313"/>
      <c r="C1282" s="314"/>
      <c r="D1282" s="315" t="str">
        <f t="shared" si="35"/>
        <v/>
      </c>
      <c r="E1282" s="315" t="str">
        <f t="shared" si="36"/>
        <v/>
      </c>
      <c r="F1282" s="318"/>
      <c r="G1282" s="318"/>
      <c r="H1282" s="318"/>
      <c r="I1282" s="318"/>
      <c r="J1282" s="318"/>
      <c r="K1282" s="319">
        <f t="shared" si="39"/>
        <v>0</v>
      </c>
      <c r="L1282" s="320" t="str">
        <f t="shared" si="34"/>
        <v/>
      </c>
      <c r="M1282" s="239"/>
      <c r="T1282" s="344"/>
      <c r="U1282" s="345"/>
      <c r="V1282" s="346"/>
    </row>
    <row r="1283">
      <c r="A1283" s="339"/>
      <c r="B1283" s="313"/>
      <c r="C1283" s="314"/>
      <c r="D1283" s="315" t="str">
        <f t="shared" si="35"/>
        <v/>
      </c>
      <c r="E1283" s="315" t="str">
        <f t="shared" si="36"/>
        <v/>
      </c>
      <c r="F1283" s="318"/>
      <c r="G1283" s="318"/>
      <c r="H1283" s="318"/>
      <c r="I1283" s="318"/>
      <c r="J1283" s="318"/>
      <c r="K1283" s="319">
        <f t="shared" si="39"/>
        <v>0</v>
      </c>
      <c r="L1283" s="320" t="str">
        <f t="shared" si="34"/>
        <v/>
      </c>
      <c r="M1283" s="239"/>
      <c r="T1283" s="344"/>
      <c r="U1283" s="345"/>
      <c r="V1283" s="346"/>
    </row>
    <row r="1284">
      <c r="A1284" s="339"/>
      <c r="B1284" s="313"/>
      <c r="C1284" s="314"/>
      <c r="D1284" s="315" t="str">
        <f t="shared" si="35"/>
        <v/>
      </c>
      <c r="E1284" s="315" t="str">
        <f t="shared" si="36"/>
        <v/>
      </c>
      <c r="F1284" s="318"/>
      <c r="G1284" s="318"/>
      <c r="H1284" s="318"/>
      <c r="I1284" s="318"/>
      <c r="J1284" s="318"/>
      <c r="K1284" s="319">
        <f t="shared" si="39"/>
        <v>0</v>
      </c>
      <c r="L1284" s="320" t="str">
        <f t="shared" si="34"/>
        <v/>
      </c>
      <c r="M1284" s="239"/>
      <c r="T1284" s="344"/>
      <c r="U1284" s="345"/>
      <c r="V1284" s="346"/>
    </row>
    <row r="1285">
      <c r="A1285" s="339"/>
      <c r="B1285" s="313"/>
      <c r="C1285" s="314"/>
      <c r="D1285" s="315" t="str">
        <f t="shared" si="35"/>
        <v/>
      </c>
      <c r="E1285" s="315" t="str">
        <f t="shared" si="36"/>
        <v/>
      </c>
      <c r="F1285" s="318"/>
      <c r="G1285" s="318"/>
      <c r="H1285" s="318"/>
      <c r="I1285" s="318"/>
      <c r="J1285" s="318"/>
      <c r="K1285" s="319">
        <f t="shared" si="39"/>
        <v>0</v>
      </c>
      <c r="L1285" s="320" t="str">
        <f t="shared" si="34"/>
        <v/>
      </c>
      <c r="M1285" s="239"/>
      <c r="T1285" s="344"/>
      <c r="U1285" s="345"/>
      <c r="V1285" s="346"/>
    </row>
    <row r="1286">
      <c r="A1286" s="339"/>
      <c r="B1286" s="313"/>
      <c r="C1286" s="314"/>
      <c r="D1286" s="315" t="str">
        <f t="shared" si="35"/>
        <v/>
      </c>
      <c r="E1286" s="315" t="str">
        <f t="shared" si="36"/>
        <v/>
      </c>
      <c r="F1286" s="318"/>
      <c r="G1286" s="318"/>
      <c r="H1286" s="318"/>
      <c r="I1286" s="318"/>
      <c r="J1286" s="318"/>
      <c r="K1286" s="319">
        <f t="shared" si="39"/>
        <v>0</v>
      </c>
      <c r="L1286" s="320" t="str">
        <f t="shared" si="34"/>
        <v/>
      </c>
      <c r="M1286" s="239"/>
      <c r="T1286" s="344"/>
      <c r="U1286" s="345"/>
      <c r="V1286" s="346"/>
    </row>
    <row r="1287">
      <c r="A1287" s="339"/>
      <c r="B1287" s="313"/>
      <c r="C1287" s="314"/>
      <c r="D1287" s="315" t="str">
        <f t="shared" si="35"/>
        <v/>
      </c>
      <c r="E1287" s="315" t="str">
        <f t="shared" si="36"/>
        <v/>
      </c>
      <c r="F1287" s="318"/>
      <c r="G1287" s="318"/>
      <c r="H1287" s="318"/>
      <c r="I1287" s="318"/>
      <c r="J1287" s="318"/>
      <c r="K1287" s="319">
        <f t="shared" si="39"/>
        <v>0</v>
      </c>
      <c r="L1287" s="320" t="str">
        <f t="shared" si="34"/>
        <v/>
      </c>
      <c r="M1287" s="239"/>
      <c r="T1287" s="344"/>
      <c r="U1287" s="345"/>
      <c r="V1287" s="346"/>
    </row>
    <row r="1288">
      <c r="A1288" s="339"/>
      <c r="B1288" s="313"/>
      <c r="C1288" s="314"/>
      <c r="D1288" s="315" t="str">
        <f t="shared" si="35"/>
        <v/>
      </c>
      <c r="E1288" s="315" t="str">
        <f t="shared" si="36"/>
        <v/>
      </c>
      <c r="F1288" s="318"/>
      <c r="G1288" s="318"/>
      <c r="H1288" s="318"/>
      <c r="I1288" s="318"/>
      <c r="J1288" s="318"/>
      <c r="K1288" s="319">
        <f t="shared" si="39"/>
        <v>0</v>
      </c>
      <c r="L1288" s="320" t="str">
        <f t="shared" si="34"/>
        <v/>
      </c>
      <c r="M1288" s="239"/>
      <c r="T1288" s="344"/>
      <c r="U1288" s="345"/>
      <c r="V1288" s="346"/>
    </row>
    <row r="1289">
      <c r="A1289" s="339"/>
      <c r="B1289" s="313"/>
      <c r="C1289" s="314"/>
      <c r="D1289" s="315" t="str">
        <f t="shared" si="35"/>
        <v/>
      </c>
      <c r="E1289" s="315" t="str">
        <f t="shared" si="36"/>
        <v/>
      </c>
      <c r="F1289" s="318"/>
      <c r="G1289" s="318"/>
      <c r="H1289" s="318"/>
      <c r="I1289" s="318"/>
      <c r="J1289" s="318"/>
      <c r="K1289" s="319">
        <f t="shared" si="39"/>
        <v>0</v>
      </c>
      <c r="L1289" s="320" t="str">
        <f t="shared" si="34"/>
        <v/>
      </c>
      <c r="M1289" s="239"/>
      <c r="T1289" s="344"/>
      <c r="U1289" s="345"/>
      <c r="V1289" s="346"/>
    </row>
    <row r="1290">
      <c r="A1290" s="339"/>
      <c r="B1290" s="313"/>
      <c r="C1290" s="314"/>
      <c r="D1290" s="315" t="str">
        <f t="shared" si="35"/>
        <v/>
      </c>
      <c r="E1290" s="315" t="str">
        <f t="shared" si="36"/>
        <v/>
      </c>
      <c r="F1290" s="318"/>
      <c r="G1290" s="318"/>
      <c r="H1290" s="318"/>
      <c r="I1290" s="318"/>
      <c r="J1290" s="318"/>
      <c r="K1290" s="319">
        <f t="shared" si="39"/>
        <v>0</v>
      </c>
      <c r="L1290" s="320" t="str">
        <f t="shared" si="34"/>
        <v/>
      </c>
      <c r="M1290" s="239"/>
      <c r="T1290" s="344"/>
      <c r="U1290" s="345"/>
      <c r="V1290" s="346"/>
    </row>
    <row r="1291">
      <c r="A1291" s="339"/>
      <c r="B1291" s="313"/>
      <c r="C1291" s="314"/>
      <c r="D1291" s="315" t="str">
        <f t="shared" si="35"/>
        <v/>
      </c>
      <c r="E1291" s="315" t="str">
        <f t="shared" si="36"/>
        <v/>
      </c>
      <c r="F1291" s="318"/>
      <c r="G1291" s="318"/>
      <c r="H1291" s="318"/>
      <c r="I1291" s="318"/>
      <c r="J1291" s="318"/>
      <c r="K1291" s="319">
        <f t="shared" si="39"/>
        <v>0</v>
      </c>
      <c r="L1291" s="320" t="str">
        <f t="shared" si="34"/>
        <v/>
      </c>
      <c r="M1291" s="239"/>
      <c r="T1291" s="344"/>
      <c r="U1291" s="345"/>
      <c r="V1291" s="346"/>
    </row>
    <row r="1292">
      <c r="A1292" s="339"/>
      <c r="B1292" s="313"/>
      <c r="C1292" s="314"/>
      <c r="D1292" s="315" t="str">
        <f t="shared" si="35"/>
        <v/>
      </c>
      <c r="E1292" s="315" t="str">
        <f t="shared" si="36"/>
        <v/>
      </c>
      <c r="F1292" s="318"/>
      <c r="G1292" s="318"/>
      <c r="H1292" s="318"/>
      <c r="I1292" s="318"/>
      <c r="J1292" s="318"/>
      <c r="K1292" s="319">
        <f t="shared" si="39"/>
        <v>0</v>
      </c>
      <c r="L1292" s="320" t="str">
        <f t="shared" si="34"/>
        <v/>
      </c>
      <c r="M1292" s="239"/>
      <c r="T1292" s="344"/>
      <c r="U1292" s="345"/>
      <c r="V1292" s="346"/>
    </row>
    <row r="1293">
      <c r="A1293" s="339"/>
      <c r="B1293" s="313"/>
      <c r="C1293" s="314"/>
      <c r="D1293" s="315" t="str">
        <f t="shared" si="35"/>
        <v/>
      </c>
      <c r="E1293" s="315" t="str">
        <f t="shared" si="36"/>
        <v/>
      </c>
      <c r="F1293" s="318"/>
      <c r="G1293" s="318"/>
      <c r="H1293" s="318"/>
      <c r="I1293" s="318"/>
      <c r="J1293" s="318"/>
      <c r="K1293" s="319">
        <f t="shared" si="39"/>
        <v>0</v>
      </c>
      <c r="L1293" s="320" t="str">
        <f t="shared" si="34"/>
        <v/>
      </c>
      <c r="M1293" s="239"/>
      <c r="T1293" s="344"/>
      <c r="U1293" s="345"/>
      <c r="V1293" s="346"/>
    </row>
    <row r="1294">
      <c r="A1294" s="339"/>
      <c r="B1294" s="313"/>
      <c r="C1294" s="314"/>
      <c r="D1294" s="315" t="str">
        <f t="shared" si="35"/>
        <v/>
      </c>
      <c r="E1294" s="315" t="str">
        <f t="shared" si="36"/>
        <v/>
      </c>
      <c r="F1294" s="318"/>
      <c r="G1294" s="318"/>
      <c r="H1294" s="318"/>
      <c r="I1294" s="318"/>
      <c r="J1294" s="318"/>
      <c r="K1294" s="319">
        <f t="shared" si="39"/>
        <v>0</v>
      </c>
      <c r="L1294" s="320" t="str">
        <f t="shared" si="34"/>
        <v/>
      </c>
      <c r="M1294" s="239"/>
      <c r="T1294" s="344"/>
      <c r="U1294" s="345"/>
      <c r="V1294" s="346"/>
    </row>
    <row r="1295">
      <c r="A1295" s="339"/>
      <c r="B1295" s="313"/>
      <c r="C1295" s="314"/>
      <c r="D1295" s="315" t="str">
        <f t="shared" si="35"/>
        <v/>
      </c>
      <c r="E1295" s="315" t="str">
        <f t="shared" si="36"/>
        <v/>
      </c>
      <c r="F1295" s="318"/>
      <c r="G1295" s="318"/>
      <c r="H1295" s="318"/>
      <c r="I1295" s="318"/>
      <c r="J1295" s="318"/>
      <c r="K1295" s="319">
        <f t="shared" si="39"/>
        <v>0</v>
      </c>
      <c r="L1295" s="320" t="str">
        <f t="shared" si="34"/>
        <v/>
      </c>
      <c r="M1295" s="239"/>
      <c r="T1295" s="344"/>
      <c r="U1295" s="345"/>
      <c r="V1295" s="346"/>
    </row>
    <row r="1296">
      <c r="A1296" s="339"/>
      <c r="B1296" s="313"/>
      <c r="C1296" s="314"/>
      <c r="D1296" s="315" t="str">
        <f t="shared" si="35"/>
        <v/>
      </c>
      <c r="E1296" s="315" t="str">
        <f t="shared" si="36"/>
        <v/>
      </c>
      <c r="F1296" s="318"/>
      <c r="G1296" s="318"/>
      <c r="H1296" s="318"/>
      <c r="I1296" s="318"/>
      <c r="J1296" s="318"/>
      <c r="K1296" s="319">
        <f t="shared" si="39"/>
        <v>0</v>
      </c>
      <c r="L1296" s="320" t="str">
        <f t="shared" si="34"/>
        <v/>
      </c>
      <c r="M1296" s="239"/>
      <c r="T1296" s="344"/>
      <c r="U1296" s="345"/>
      <c r="V1296" s="346"/>
    </row>
    <row r="1297">
      <c r="A1297" s="339"/>
      <c r="B1297" s="313"/>
      <c r="C1297" s="314"/>
      <c r="D1297" s="315" t="str">
        <f t="shared" si="35"/>
        <v/>
      </c>
      <c r="E1297" s="315" t="str">
        <f t="shared" si="36"/>
        <v/>
      </c>
      <c r="F1297" s="318"/>
      <c r="G1297" s="318"/>
      <c r="H1297" s="318"/>
      <c r="I1297" s="318"/>
      <c r="J1297" s="318"/>
      <c r="K1297" s="319">
        <f t="shared" si="39"/>
        <v>0</v>
      </c>
      <c r="L1297" s="320" t="str">
        <f t="shared" si="34"/>
        <v/>
      </c>
      <c r="M1297" s="239"/>
      <c r="T1297" s="344"/>
      <c r="U1297" s="345"/>
      <c r="V1297" s="346"/>
    </row>
    <row r="1298">
      <c r="A1298" s="339"/>
      <c r="B1298" s="313"/>
      <c r="C1298" s="314"/>
      <c r="D1298" s="315" t="str">
        <f t="shared" si="35"/>
        <v/>
      </c>
      <c r="E1298" s="315" t="str">
        <f t="shared" si="36"/>
        <v/>
      </c>
      <c r="F1298" s="318"/>
      <c r="G1298" s="318"/>
      <c r="H1298" s="318"/>
      <c r="I1298" s="318"/>
      <c r="J1298" s="318"/>
      <c r="K1298" s="319">
        <f t="shared" si="39"/>
        <v>0</v>
      </c>
      <c r="L1298" s="320" t="str">
        <f t="shared" si="34"/>
        <v/>
      </c>
      <c r="M1298" s="239"/>
      <c r="T1298" s="344"/>
      <c r="U1298" s="345"/>
      <c r="V1298" s="346"/>
    </row>
    <row r="1299">
      <c r="A1299" s="339"/>
      <c r="B1299" s="313"/>
      <c r="C1299" s="314"/>
      <c r="D1299" s="315" t="str">
        <f t="shared" si="35"/>
        <v/>
      </c>
      <c r="E1299" s="315" t="str">
        <f t="shared" si="36"/>
        <v/>
      </c>
      <c r="F1299" s="318"/>
      <c r="G1299" s="318"/>
      <c r="H1299" s="318"/>
      <c r="I1299" s="318"/>
      <c r="J1299" s="318"/>
      <c r="K1299" s="319">
        <f t="shared" si="39"/>
        <v>0</v>
      </c>
      <c r="L1299" s="320" t="str">
        <f t="shared" si="34"/>
        <v/>
      </c>
      <c r="M1299" s="239"/>
      <c r="T1299" s="344"/>
      <c r="U1299" s="345"/>
      <c r="V1299" s="346"/>
    </row>
    <row r="1300">
      <c r="A1300" s="339"/>
      <c r="B1300" s="313"/>
      <c r="C1300" s="314"/>
      <c r="D1300" s="315" t="str">
        <f t="shared" si="35"/>
        <v/>
      </c>
      <c r="E1300" s="315" t="str">
        <f t="shared" si="36"/>
        <v/>
      </c>
      <c r="F1300" s="318"/>
      <c r="G1300" s="318"/>
      <c r="H1300" s="318"/>
      <c r="I1300" s="318"/>
      <c r="J1300" s="318"/>
      <c r="K1300" s="319">
        <f t="shared" si="39"/>
        <v>0</v>
      </c>
      <c r="L1300" s="320" t="str">
        <f t="shared" si="34"/>
        <v/>
      </c>
      <c r="M1300" s="239"/>
      <c r="T1300" s="344"/>
      <c r="U1300" s="345"/>
      <c r="V1300" s="346"/>
    </row>
    <row r="1301">
      <c r="A1301" s="339"/>
      <c r="B1301" s="313"/>
      <c r="C1301" s="314"/>
      <c r="D1301" s="315" t="str">
        <f t="shared" si="35"/>
        <v/>
      </c>
      <c r="E1301" s="315" t="str">
        <f t="shared" si="36"/>
        <v/>
      </c>
      <c r="F1301" s="318"/>
      <c r="G1301" s="318"/>
      <c r="H1301" s="318"/>
      <c r="I1301" s="318"/>
      <c r="J1301" s="318"/>
      <c r="K1301" s="319">
        <f t="shared" si="39"/>
        <v>0</v>
      </c>
      <c r="L1301" s="320" t="str">
        <f t="shared" si="34"/>
        <v/>
      </c>
      <c r="M1301" s="239"/>
      <c r="T1301" s="344"/>
      <c r="U1301" s="345"/>
      <c r="V1301" s="346"/>
    </row>
    <row r="1302">
      <c r="A1302" s="339"/>
      <c r="B1302" s="313"/>
      <c r="C1302" s="314"/>
      <c r="D1302" s="315" t="str">
        <f t="shared" si="35"/>
        <v/>
      </c>
      <c r="E1302" s="315" t="str">
        <f t="shared" si="36"/>
        <v/>
      </c>
      <c r="F1302" s="318"/>
      <c r="G1302" s="318"/>
      <c r="H1302" s="318"/>
      <c r="I1302" s="318"/>
      <c r="J1302" s="318"/>
      <c r="K1302" s="319">
        <f t="shared" si="39"/>
        <v>0</v>
      </c>
      <c r="L1302" s="320" t="str">
        <f t="shared" si="34"/>
        <v/>
      </c>
      <c r="M1302" s="239"/>
      <c r="T1302" s="344"/>
      <c r="U1302" s="345"/>
      <c r="V1302" s="346"/>
    </row>
    <row r="1303">
      <c r="A1303" s="339"/>
      <c r="B1303" s="313"/>
      <c r="C1303" s="314"/>
      <c r="D1303" s="315" t="str">
        <f t="shared" si="35"/>
        <v/>
      </c>
      <c r="E1303" s="315" t="str">
        <f t="shared" si="36"/>
        <v/>
      </c>
      <c r="F1303" s="318"/>
      <c r="G1303" s="318"/>
      <c r="H1303" s="318"/>
      <c r="I1303" s="318"/>
      <c r="J1303" s="318"/>
      <c r="K1303" s="319">
        <f t="shared" si="39"/>
        <v>0</v>
      </c>
      <c r="L1303" s="320" t="str">
        <f t="shared" si="34"/>
        <v/>
      </c>
      <c r="M1303" s="239"/>
      <c r="T1303" s="344"/>
      <c r="U1303" s="345"/>
      <c r="V1303" s="346"/>
    </row>
    <row r="1304">
      <c r="A1304" s="339"/>
      <c r="B1304" s="313"/>
      <c r="C1304" s="314"/>
      <c r="D1304" s="315" t="str">
        <f t="shared" si="35"/>
        <v/>
      </c>
      <c r="E1304" s="315" t="str">
        <f t="shared" si="36"/>
        <v/>
      </c>
      <c r="F1304" s="318"/>
      <c r="G1304" s="318"/>
      <c r="H1304" s="318"/>
      <c r="I1304" s="318"/>
      <c r="J1304" s="318"/>
      <c r="K1304" s="319">
        <f t="shared" si="39"/>
        <v>0</v>
      </c>
      <c r="L1304" s="320" t="str">
        <f t="shared" si="34"/>
        <v/>
      </c>
      <c r="M1304" s="239"/>
      <c r="T1304" s="344"/>
      <c r="U1304" s="345"/>
      <c r="V1304" s="346"/>
    </row>
    <row r="1305">
      <c r="A1305" s="339"/>
      <c r="B1305" s="313"/>
      <c r="C1305" s="314"/>
      <c r="D1305" s="315" t="str">
        <f t="shared" si="35"/>
        <v/>
      </c>
      <c r="E1305" s="315" t="str">
        <f t="shared" si="36"/>
        <v/>
      </c>
      <c r="F1305" s="318"/>
      <c r="G1305" s="318"/>
      <c r="H1305" s="318"/>
      <c r="I1305" s="318"/>
      <c r="J1305" s="318"/>
      <c r="K1305" s="319">
        <f t="shared" si="39"/>
        <v>0</v>
      </c>
      <c r="L1305" s="320" t="str">
        <f t="shared" si="34"/>
        <v/>
      </c>
      <c r="M1305" s="239"/>
      <c r="T1305" s="344"/>
      <c r="U1305" s="345"/>
      <c r="V1305" s="346"/>
    </row>
    <row r="1306">
      <c r="A1306" s="339"/>
      <c r="B1306" s="313"/>
      <c r="C1306" s="314"/>
      <c r="D1306" s="315" t="str">
        <f t="shared" si="35"/>
        <v/>
      </c>
      <c r="E1306" s="315" t="str">
        <f t="shared" si="36"/>
        <v/>
      </c>
      <c r="F1306" s="318"/>
      <c r="G1306" s="318"/>
      <c r="H1306" s="318"/>
      <c r="I1306" s="318"/>
      <c r="J1306" s="318"/>
      <c r="K1306" s="319">
        <f t="shared" si="39"/>
        <v>0</v>
      </c>
      <c r="L1306" s="320" t="str">
        <f t="shared" si="34"/>
        <v/>
      </c>
      <c r="M1306" s="239"/>
      <c r="T1306" s="344"/>
      <c r="U1306" s="345"/>
      <c r="V1306" s="346"/>
    </row>
    <row r="1307">
      <c r="A1307" s="339"/>
      <c r="B1307" s="313"/>
      <c r="C1307" s="314"/>
      <c r="D1307" s="315" t="str">
        <f t="shared" si="35"/>
        <v/>
      </c>
      <c r="E1307" s="315" t="str">
        <f t="shared" si="36"/>
        <v/>
      </c>
      <c r="F1307" s="318"/>
      <c r="G1307" s="318"/>
      <c r="H1307" s="318"/>
      <c r="I1307" s="318"/>
      <c r="J1307" s="318"/>
      <c r="K1307" s="319">
        <f t="shared" si="39"/>
        <v>0</v>
      </c>
      <c r="L1307" s="320" t="str">
        <f t="shared" si="34"/>
        <v/>
      </c>
      <c r="M1307" s="239"/>
      <c r="T1307" s="344"/>
      <c r="U1307" s="345"/>
      <c r="V1307" s="346"/>
    </row>
    <row r="1308">
      <c r="A1308" s="339"/>
      <c r="B1308" s="313"/>
      <c r="C1308" s="314"/>
      <c r="D1308" s="315" t="str">
        <f t="shared" si="35"/>
        <v/>
      </c>
      <c r="E1308" s="315" t="str">
        <f t="shared" si="36"/>
        <v/>
      </c>
      <c r="F1308" s="318"/>
      <c r="G1308" s="318"/>
      <c r="H1308" s="318"/>
      <c r="I1308" s="318"/>
      <c r="J1308" s="318"/>
      <c r="K1308" s="319">
        <f t="shared" si="39"/>
        <v>0</v>
      </c>
      <c r="L1308" s="320" t="str">
        <f t="shared" si="34"/>
        <v/>
      </c>
      <c r="M1308" s="239"/>
      <c r="T1308" s="344"/>
      <c r="U1308" s="345"/>
      <c r="V1308" s="346"/>
    </row>
    <row r="1309">
      <c r="A1309" s="339"/>
      <c r="B1309" s="313"/>
      <c r="C1309" s="314"/>
      <c r="D1309" s="315" t="str">
        <f t="shared" si="35"/>
        <v/>
      </c>
      <c r="E1309" s="315" t="str">
        <f t="shared" si="36"/>
        <v/>
      </c>
      <c r="F1309" s="318"/>
      <c r="G1309" s="318"/>
      <c r="H1309" s="318"/>
      <c r="I1309" s="318"/>
      <c r="J1309" s="318"/>
      <c r="K1309" s="319">
        <f t="shared" si="39"/>
        <v>0</v>
      </c>
      <c r="L1309" s="320" t="str">
        <f t="shared" si="34"/>
        <v/>
      </c>
      <c r="M1309" s="239"/>
      <c r="T1309" s="344"/>
      <c r="U1309" s="345"/>
      <c r="V1309" s="346"/>
    </row>
    <row r="1310">
      <c r="A1310" s="339"/>
      <c r="B1310" s="313"/>
      <c r="C1310" s="314"/>
      <c r="D1310" s="315" t="str">
        <f t="shared" si="35"/>
        <v/>
      </c>
      <c r="E1310" s="315" t="str">
        <f t="shared" si="36"/>
        <v/>
      </c>
      <c r="F1310" s="318"/>
      <c r="G1310" s="318"/>
      <c r="H1310" s="318"/>
      <c r="I1310" s="318"/>
      <c r="J1310" s="318"/>
      <c r="K1310" s="319">
        <f t="shared" si="39"/>
        <v>0</v>
      </c>
      <c r="L1310" s="320" t="str">
        <f t="shared" si="34"/>
        <v/>
      </c>
      <c r="M1310" s="239"/>
      <c r="T1310" s="344"/>
      <c r="U1310" s="345"/>
      <c r="V1310" s="346"/>
    </row>
    <row r="1311">
      <c r="A1311" s="339"/>
      <c r="B1311" s="313"/>
      <c r="C1311" s="314"/>
      <c r="D1311" s="315" t="str">
        <f t="shared" si="35"/>
        <v/>
      </c>
      <c r="E1311" s="315" t="str">
        <f t="shared" si="36"/>
        <v/>
      </c>
      <c r="F1311" s="318"/>
      <c r="G1311" s="318"/>
      <c r="H1311" s="318"/>
      <c r="I1311" s="318"/>
      <c r="J1311" s="318"/>
      <c r="K1311" s="319">
        <f t="shared" si="39"/>
        <v>0</v>
      </c>
      <c r="L1311" s="320" t="str">
        <f t="shared" si="34"/>
        <v/>
      </c>
      <c r="M1311" s="239"/>
      <c r="T1311" s="344"/>
      <c r="U1311" s="345"/>
      <c r="V1311" s="346"/>
    </row>
    <row r="1312">
      <c r="A1312" s="339"/>
      <c r="B1312" s="313"/>
      <c r="C1312" s="314"/>
      <c r="D1312" s="315" t="str">
        <f t="shared" si="35"/>
        <v/>
      </c>
      <c r="E1312" s="315" t="str">
        <f t="shared" si="36"/>
        <v/>
      </c>
      <c r="F1312" s="318"/>
      <c r="G1312" s="318"/>
      <c r="H1312" s="318"/>
      <c r="I1312" s="318"/>
      <c r="J1312" s="318"/>
      <c r="K1312" s="319">
        <f t="shared" si="39"/>
        <v>0</v>
      </c>
      <c r="L1312" s="320" t="str">
        <f t="shared" si="34"/>
        <v/>
      </c>
      <c r="M1312" s="239"/>
      <c r="T1312" s="344"/>
      <c r="U1312" s="345"/>
      <c r="V1312" s="346"/>
    </row>
    <row r="1313">
      <c r="A1313" s="339"/>
      <c r="B1313" s="313"/>
      <c r="C1313" s="314"/>
      <c r="D1313" s="315" t="str">
        <f t="shared" si="35"/>
        <v/>
      </c>
      <c r="E1313" s="315" t="str">
        <f t="shared" si="36"/>
        <v/>
      </c>
      <c r="F1313" s="318"/>
      <c r="G1313" s="318"/>
      <c r="H1313" s="318"/>
      <c r="I1313" s="318"/>
      <c r="J1313" s="318"/>
      <c r="K1313" s="319">
        <f t="shared" si="39"/>
        <v>0</v>
      </c>
      <c r="L1313" s="320" t="str">
        <f t="shared" si="34"/>
        <v/>
      </c>
      <c r="M1313" s="239"/>
      <c r="T1313" s="344"/>
      <c r="U1313" s="345"/>
      <c r="V1313" s="346"/>
    </row>
    <row r="1314">
      <c r="A1314" s="339"/>
      <c r="B1314" s="313"/>
      <c r="C1314" s="314"/>
      <c r="D1314" s="315" t="str">
        <f t="shared" si="35"/>
        <v/>
      </c>
      <c r="E1314" s="315" t="str">
        <f t="shared" si="36"/>
        <v/>
      </c>
      <c r="F1314" s="318"/>
      <c r="G1314" s="318"/>
      <c r="H1314" s="318"/>
      <c r="I1314" s="318"/>
      <c r="J1314" s="318"/>
      <c r="K1314" s="319">
        <f t="shared" si="39"/>
        <v>0</v>
      </c>
      <c r="L1314" s="320" t="str">
        <f t="shared" si="34"/>
        <v/>
      </c>
      <c r="M1314" s="239"/>
      <c r="T1314" s="344"/>
      <c r="U1314" s="345"/>
      <c r="V1314" s="346"/>
    </row>
    <row r="1315">
      <c r="A1315" s="339"/>
      <c r="B1315" s="313"/>
      <c r="C1315" s="314"/>
      <c r="D1315" s="315" t="str">
        <f t="shared" si="35"/>
        <v/>
      </c>
      <c r="E1315" s="315" t="str">
        <f t="shared" si="36"/>
        <v/>
      </c>
      <c r="F1315" s="318"/>
      <c r="G1315" s="318"/>
      <c r="H1315" s="318"/>
      <c r="I1315" s="318"/>
      <c r="J1315" s="318"/>
      <c r="K1315" s="319">
        <f t="shared" si="39"/>
        <v>0</v>
      </c>
      <c r="L1315" s="320" t="str">
        <f t="shared" si="34"/>
        <v/>
      </c>
      <c r="M1315" s="239"/>
      <c r="T1315" s="344"/>
      <c r="U1315" s="345"/>
      <c r="V1315" s="346"/>
    </row>
    <row r="1316">
      <c r="A1316" s="339"/>
      <c r="B1316" s="313"/>
      <c r="C1316" s="314"/>
      <c r="D1316" s="315" t="str">
        <f t="shared" si="35"/>
        <v/>
      </c>
      <c r="E1316" s="315" t="str">
        <f t="shared" si="36"/>
        <v/>
      </c>
      <c r="F1316" s="318"/>
      <c r="G1316" s="318"/>
      <c r="H1316" s="318"/>
      <c r="I1316" s="318"/>
      <c r="J1316" s="318"/>
      <c r="K1316" s="319">
        <f t="shared" si="39"/>
        <v>0</v>
      </c>
      <c r="L1316" s="320" t="str">
        <f t="shared" si="34"/>
        <v/>
      </c>
      <c r="M1316" s="239"/>
      <c r="T1316" s="344"/>
      <c r="U1316" s="345"/>
      <c r="V1316" s="346"/>
    </row>
    <row r="1317">
      <c r="A1317" s="339"/>
      <c r="B1317" s="313"/>
      <c r="C1317" s="314"/>
      <c r="D1317" s="315" t="str">
        <f t="shared" si="35"/>
        <v/>
      </c>
      <c r="E1317" s="315" t="str">
        <f t="shared" si="36"/>
        <v/>
      </c>
      <c r="F1317" s="318"/>
      <c r="G1317" s="318"/>
      <c r="H1317" s="318"/>
      <c r="I1317" s="318"/>
      <c r="J1317" s="318"/>
      <c r="K1317" s="319">
        <f t="shared" si="39"/>
        <v>0</v>
      </c>
      <c r="L1317" s="320" t="str">
        <f t="shared" si="34"/>
        <v/>
      </c>
      <c r="M1317" s="239"/>
      <c r="T1317" s="344"/>
      <c r="U1317" s="345"/>
      <c r="V1317" s="346"/>
    </row>
    <row r="1318">
      <c r="A1318" s="339"/>
      <c r="B1318" s="313"/>
      <c r="C1318" s="314"/>
      <c r="D1318" s="315" t="str">
        <f t="shared" si="35"/>
        <v/>
      </c>
      <c r="E1318" s="315" t="str">
        <f t="shared" si="36"/>
        <v/>
      </c>
      <c r="F1318" s="318"/>
      <c r="G1318" s="318"/>
      <c r="H1318" s="318"/>
      <c r="I1318" s="318"/>
      <c r="J1318" s="318"/>
      <c r="K1318" s="319">
        <f t="shared" si="39"/>
        <v>0</v>
      </c>
      <c r="L1318" s="320" t="str">
        <f t="shared" si="34"/>
        <v/>
      </c>
      <c r="M1318" s="239"/>
      <c r="T1318" s="344"/>
      <c r="U1318" s="345"/>
      <c r="V1318" s="346"/>
    </row>
    <row r="1319">
      <c r="A1319" s="339"/>
      <c r="B1319" s="313"/>
      <c r="C1319" s="314"/>
      <c r="D1319" s="315" t="str">
        <f t="shared" si="35"/>
        <v/>
      </c>
      <c r="E1319" s="315" t="str">
        <f t="shared" si="36"/>
        <v/>
      </c>
      <c r="F1319" s="318"/>
      <c r="G1319" s="318"/>
      <c r="H1319" s="318"/>
      <c r="I1319" s="318"/>
      <c r="J1319" s="318"/>
      <c r="K1319" s="319">
        <f t="shared" si="39"/>
        <v>0</v>
      </c>
      <c r="L1319" s="320" t="str">
        <f t="shared" si="34"/>
        <v/>
      </c>
      <c r="M1319" s="239"/>
      <c r="T1319" s="344"/>
      <c r="U1319" s="345"/>
      <c r="V1319" s="346"/>
    </row>
    <row r="1320">
      <c r="A1320" s="339"/>
      <c r="B1320" s="313"/>
      <c r="C1320" s="314"/>
      <c r="D1320" s="315" t="str">
        <f t="shared" si="35"/>
        <v/>
      </c>
      <c r="E1320" s="315" t="str">
        <f t="shared" si="36"/>
        <v/>
      </c>
      <c r="F1320" s="318"/>
      <c r="G1320" s="318"/>
      <c r="H1320" s="318"/>
      <c r="I1320" s="318"/>
      <c r="J1320" s="318"/>
      <c r="K1320" s="319">
        <f t="shared" si="39"/>
        <v>0</v>
      </c>
      <c r="L1320" s="320" t="str">
        <f t="shared" si="34"/>
        <v/>
      </c>
      <c r="M1320" s="239"/>
      <c r="T1320" s="344"/>
      <c r="U1320" s="345"/>
      <c r="V1320" s="346"/>
    </row>
    <row r="1321">
      <c r="A1321" s="339"/>
      <c r="B1321" s="313"/>
      <c r="C1321" s="314"/>
      <c r="D1321" s="315" t="str">
        <f t="shared" si="35"/>
        <v/>
      </c>
      <c r="E1321" s="315" t="str">
        <f t="shared" si="36"/>
        <v/>
      </c>
      <c r="F1321" s="318"/>
      <c r="G1321" s="318"/>
      <c r="H1321" s="318"/>
      <c r="I1321" s="318"/>
      <c r="J1321" s="318"/>
      <c r="K1321" s="319">
        <f t="shared" si="39"/>
        <v>0</v>
      </c>
      <c r="L1321" s="320" t="str">
        <f t="shared" si="34"/>
        <v/>
      </c>
      <c r="M1321" s="239"/>
      <c r="T1321" s="344"/>
      <c r="U1321" s="345"/>
      <c r="V1321" s="346"/>
    </row>
    <row r="1322">
      <c r="A1322" s="339"/>
      <c r="B1322" s="313"/>
      <c r="C1322" s="314"/>
      <c r="D1322" s="315" t="str">
        <f t="shared" si="35"/>
        <v/>
      </c>
      <c r="E1322" s="315" t="str">
        <f t="shared" si="36"/>
        <v/>
      </c>
      <c r="F1322" s="318"/>
      <c r="G1322" s="318"/>
      <c r="H1322" s="318"/>
      <c r="I1322" s="318"/>
      <c r="J1322" s="318"/>
      <c r="K1322" s="319">
        <f t="shared" si="39"/>
        <v>0</v>
      </c>
      <c r="L1322" s="320" t="str">
        <f t="shared" si="34"/>
        <v/>
      </c>
      <c r="M1322" s="239"/>
      <c r="T1322" s="344"/>
      <c r="U1322" s="345"/>
      <c r="V1322" s="346"/>
    </row>
    <row r="1323">
      <c r="A1323" s="339"/>
      <c r="B1323" s="313"/>
      <c r="C1323" s="314"/>
      <c r="D1323" s="315" t="str">
        <f t="shared" si="35"/>
        <v/>
      </c>
      <c r="E1323" s="315" t="str">
        <f t="shared" si="36"/>
        <v/>
      </c>
      <c r="F1323" s="318"/>
      <c r="G1323" s="318"/>
      <c r="H1323" s="318"/>
      <c r="I1323" s="318"/>
      <c r="J1323" s="318"/>
      <c r="K1323" s="319">
        <f t="shared" si="39"/>
        <v>0</v>
      </c>
      <c r="L1323" s="320" t="str">
        <f t="shared" si="34"/>
        <v/>
      </c>
      <c r="M1323" s="239"/>
      <c r="T1323" s="344"/>
      <c r="U1323" s="345"/>
      <c r="V1323" s="346"/>
    </row>
    <row r="1324">
      <c r="A1324" s="339"/>
      <c r="B1324" s="313"/>
      <c r="C1324" s="314"/>
      <c r="D1324" s="315" t="str">
        <f t="shared" si="35"/>
        <v/>
      </c>
      <c r="E1324" s="315" t="str">
        <f t="shared" si="36"/>
        <v/>
      </c>
      <c r="F1324" s="318"/>
      <c r="G1324" s="318"/>
      <c r="H1324" s="318"/>
      <c r="I1324" s="318"/>
      <c r="J1324" s="318"/>
      <c r="K1324" s="319">
        <f t="shared" si="39"/>
        <v>0</v>
      </c>
      <c r="L1324" s="320" t="str">
        <f t="shared" si="34"/>
        <v/>
      </c>
      <c r="M1324" s="239"/>
      <c r="T1324" s="344"/>
      <c r="U1324" s="345"/>
      <c r="V1324" s="346"/>
    </row>
    <row r="1325">
      <c r="A1325" s="339"/>
      <c r="B1325" s="313"/>
      <c r="C1325" s="314"/>
      <c r="D1325" s="315" t="str">
        <f t="shared" si="35"/>
        <v/>
      </c>
      <c r="E1325" s="315" t="str">
        <f t="shared" si="36"/>
        <v/>
      </c>
      <c r="F1325" s="318"/>
      <c r="G1325" s="318"/>
      <c r="H1325" s="318"/>
      <c r="I1325" s="318"/>
      <c r="J1325" s="318"/>
      <c r="K1325" s="319">
        <f t="shared" si="39"/>
        <v>0</v>
      </c>
      <c r="L1325" s="320" t="str">
        <f t="shared" si="34"/>
        <v/>
      </c>
      <c r="M1325" s="239"/>
      <c r="T1325" s="344"/>
      <c r="U1325" s="345"/>
      <c r="V1325" s="346"/>
    </row>
    <row r="1326">
      <c r="A1326" s="339"/>
      <c r="B1326" s="313"/>
      <c r="C1326" s="314"/>
      <c r="D1326" s="315" t="str">
        <f t="shared" si="35"/>
        <v/>
      </c>
      <c r="E1326" s="315" t="str">
        <f t="shared" si="36"/>
        <v/>
      </c>
      <c r="F1326" s="318"/>
      <c r="G1326" s="318"/>
      <c r="H1326" s="318"/>
      <c r="I1326" s="318"/>
      <c r="J1326" s="318"/>
      <c r="K1326" s="319">
        <f t="shared" si="39"/>
        <v>0</v>
      </c>
      <c r="L1326" s="320" t="str">
        <f t="shared" si="34"/>
        <v/>
      </c>
      <c r="M1326" s="239"/>
      <c r="T1326" s="344"/>
      <c r="U1326" s="345"/>
      <c r="V1326" s="346"/>
    </row>
    <row r="1327">
      <c r="A1327" s="339"/>
      <c r="B1327" s="313"/>
      <c r="C1327" s="314"/>
      <c r="D1327" s="315" t="str">
        <f t="shared" si="35"/>
        <v/>
      </c>
      <c r="E1327" s="315" t="str">
        <f t="shared" si="36"/>
        <v/>
      </c>
      <c r="F1327" s="318"/>
      <c r="G1327" s="318"/>
      <c r="H1327" s="318"/>
      <c r="I1327" s="318"/>
      <c r="J1327" s="318"/>
      <c r="K1327" s="319">
        <f t="shared" si="39"/>
        <v>0</v>
      </c>
      <c r="L1327" s="320" t="str">
        <f t="shared" si="34"/>
        <v/>
      </c>
      <c r="M1327" s="239"/>
      <c r="T1327" s="344"/>
      <c r="U1327" s="345"/>
      <c r="V1327" s="346"/>
    </row>
    <row r="1328">
      <c r="A1328" s="339"/>
      <c r="B1328" s="313"/>
      <c r="C1328" s="314"/>
      <c r="D1328" s="315" t="str">
        <f t="shared" si="35"/>
        <v/>
      </c>
      <c r="E1328" s="315" t="str">
        <f t="shared" si="36"/>
        <v/>
      </c>
      <c r="F1328" s="318"/>
      <c r="G1328" s="318"/>
      <c r="H1328" s="318"/>
      <c r="I1328" s="318"/>
      <c r="J1328" s="318"/>
      <c r="K1328" s="319">
        <f t="shared" si="39"/>
        <v>0</v>
      </c>
      <c r="L1328" s="320" t="str">
        <f t="shared" si="34"/>
        <v/>
      </c>
      <c r="M1328" s="239"/>
      <c r="T1328" s="344"/>
      <c r="U1328" s="345"/>
      <c r="V1328" s="346"/>
    </row>
    <row r="1329">
      <c r="A1329" s="339"/>
      <c r="B1329" s="313"/>
      <c r="C1329" s="314"/>
      <c r="D1329" s="315" t="str">
        <f t="shared" si="35"/>
        <v/>
      </c>
      <c r="E1329" s="315" t="str">
        <f t="shared" si="36"/>
        <v/>
      </c>
      <c r="F1329" s="318"/>
      <c r="G1329" s="318"/>
      <c r="H1329" s="318"/>
      <c r="I1329" s="318"/>
      <c r="J1329" s="318"/>
      <c r="K1329" s="319">
        <f t="shared" si="39"/>
        <v>0</v>
      </c>
      <c r="L1329" s="320" t="str">
        <f t="shared" si="34"/>
        <v/>
      </c>
      <c r="M1329" s="239"/>
      <c r="T1329" s="344"/>
      <c r="U1329" s="345"/>
      <c r="V1329" s="346"/>
    </row>
    <row r="1330">
      <c r="A1330" s="339"/>
      <c r="B1330" s="313"/>
      <c r="C1330" s="314"/>
      <c r="D1330" s="315" t="str">
        <f t="shared" si="35"/>
        <v/>
      </c>
      <c r="E1330" s="315" t="str">
        <f t="shared" si="36"/>
        <v/>
      </c>
      <c r="F1330" s="318"/>
      <c r="G1330" s="318"/>
      <c r="H1330" s="318"/>
      <c r="I1330" s="318"/>
      <c r="J1330" s="318"/>
      <c r="K1330" s="319">
        <f t="shared" si="39"/>
        <v>0</v>
      </c>
      <c r="L1330" s="320" t="str">
        <f t="shared" si="34"/>
        <v/>
      </c>
      <c r="M1330" s="239"/>
      <c r="T1330" s="344"/>
      <c r="U1330" s="345"/>
      <c r="V1330" s="346"/>
    </row>
    <row r="1331">
      <c r="A1331" s="339"/>
      <c r="B1331" s="313"/>
      <c r="C1331" s="314"/>
      <c r="D1331" s="315" t="str">
        <f t="shared" si="35"/>
        <v/>
      </c>
      <c r="E1331" s="315" t="str">
        <f t="shared" si="36"/>
        <v/>
      </c>
      <c r="F1331" s="318"/>
      <c r="G1331" s="318"/>
      <c r="H1331" s="318"/>
      <c r="I1331" s="318"/>
      <c r="J1331" s="318"/>
      <c r="K1331" s="319">
        <f t="shared" si="39"/>
        <v>0</v>
      </c>
      <c r="L1331" s="320" t="str">
        <f t="shared" si="34"/>
        <v/>
      </c>
      <c r="M1331" s="239"/>
      <c r="T1331" s="344"/>
      <c r="U1331" s="345"/>
      <c r="V1331" s="346"/>
    </row>
    <row r="1332">
      <c r="A1332" s="339"/>
      <c r="B1332" s="313"/>
      <c r="C1332" s="314"/>
      <c r="D1332" s="315" t="str">
        <f t="shared" si="35"/>
        <v/>
      </c>
      <c r="E1332" s="315" t="str">
        <f t="shared" si="36"/>
        <v/>
      </c>
      <c r="F1332" s="318"/>
      <c r="G1332" s="318"/>
      <c r="H1332" s="318"/>
      <c r="I1332" s="318"/>
      <c r="J1332" s="318"/>
      <c r="K1332" s="319">
        <f t="shared" si="39"/>
        <v>0</v>
      </c>
      <c r="L1332" s="320" t="str">
        <f t="shared" si="34"/>
        <v/>
      </c>
      <c r="M1332" s="239"/>
      <c r="T1332" s="344"/>
      <c r="U1332" s="345"/>
      <c r="V1332" s="346"/>
    </row>
    <row r="1333">
      <c r="A1333" s="339"/>
      <c r="B1333" s="313"/>
      <c r="C1333" s="314"/>
      <c r="D1333" s="315" t="str">
        <f t="shared" si="35"/>
        <v/>
      </c>
      <c r="E1333" s="315" t="str">
        <f t="shared" si="36"/>
        <v/>
      </c>
      <c r="F1333" s="318"/>
      <c r="G1333" s="318"/>
      <c r="H1333" s="318"/>
      <c r="I1333" s="318"/>
      <c r="J1333" s="318"/>
      <c r="K1333" s="319">
        <f t="shared" si="39"/>
        <v>0</v>
      </c>
      <c r="L1333" s="320" t="str">
        <f t="shared" si="34"/>
        <v/>
      </c>
      <c r="M1333" s="239"/>
      <c r="T1333" s="344"/>
      <c r="U1333" s="345"/>
      <c r="V1333" s="346"/>
    </row>
    <row r="1334">
      <c r="A1334" s="339"/>
      <c r="B1334" s="313"/>
      <c r="C1334" s="314"/>
      <c r="D1334" s="315" t="str">
        <f t="shared" si="35"/>
        <v/>
      </c>
      <c r="E1334" s="315" t="str">
        <f t="shared" si="36"/>
        <v/>
      </c>
      <c r="F1334" s="318"/>
      <c r="G1334" s="318"/>
      <c r="H1334" s="318"/>
      <c r="I1334" s="318"/>
      <c r="J1334" s="318"/>
      <c r="K1334" s="319">
        <f t="shared" si="39"/>
        <v>0</v>
      </c>
      <c r="L1334" s="320" t="str">
        <f t="shared" si="34"/>
        <v/>
      </c>
      <c r="M1334" s="239"/>
      <c r="T1334" s="344"/>
      <c r="U1334" s="345"/>
      <c r="V1334" s="346"/>
    </row>
    <row r="1335">
      <c r="A1335" s="339"/>
      <c r="B1335" s="313"/>
      <c r="C1335" s="314"/>
      <c r="D1335" s="315" t="str">
        <f t="shared" si="35"/>
        <v/>
      </c>
      <c r="E1335" s="315" t="str">
        <f t="shared" si="36"/>
        <v/>
      </c>
      <c r="F1335" s="318"/>
      <c r="G1335" s="318"/>
      <c r="H1335" s="318"/>
      <c r="I1335" s="318"/>
      <c r="J1335" s="318"/>
      <c r="K1335" s="319">
        <f t="shared" si="39"/>
        <v>0</v>
      </c>
      <c r="L1335" s="320" t="str">
        <f t="shared" si="34"/>
        <v/>
      </c>
      <c r="M1335" s="239"/>
      <c r="T1335" s="344"/>
      <c r="U1335" s="345"/>
      <c r="V1335" s="346"/>
    </row>
    <row r="1336">
      <c r="A1336" s="339"/>
      <c r="B1336" s="313"/>
      <c r="C1336" s="314"/>
      <c r="D1336" s="315" t="str">
        <f t="shared" si="35"/>
        <v/>
      </c>
      <c r="E1336" s="315" t="str">
        <f t="shared" si="36"/>
        <v/>
      </c>
      <c r="F1336" s="318"/>
      <c r="G1336" s="318"/>
      <c r="H1336" s="318"/>
      <c r="I1336" s="318"/>
      <c r="J1336" s="318"/>
      <c r="K1336" s="319">
        <f t="shared" si="39"/>
        <v>0</v>
      </c>
      <c r="L1336" s="320" t="str">
        <f t="shared" si="34"/>
        <v/>
      </c>
      <c r="M1336" s="239"/>
      <c r="T1336" s="344"/>
      <c r="U1336" s="345"/>
      <c r="V1336" s="346"/>
    </row>
    <row r="1337">
      <c r="A1337" s="339"/>
      <c r="B1337" s="313"/>
      <c r="C1337" s="314"/>
      <c r="D1337" s="315" t="str">
        <f t="shared" si="35"/>
        <v/>
      </c>
      <c r="E1337" s="315" t="str">
        <f t="shared" si="36"/>
        <v/>
      </c>
      <c r="F1337" s="318"/>
      <c r="G1337" s="318"/>
      <c r="H1337" s="318"/>
      <c r="I1337" s="318"/>
      <c r="J1337" s="318"/>
      <c r="K1337" s="319">
        <f t="shared" si="39"/>
        <v>0</v>
      </c>
      <c r="L1337" s="320" t="str">
        <f t="shared" si="34"/>
        <v/>
      </c>
      <c r="M1337" s="239"/>
      <c r="T1337" s="344"/>
      <c r="U1337" s="345"/>
      <c r="V1337" s="346"/>
    </row>
    <row r="1338">
      <c r="A1338" s="339"/>
      <c r="B1338" s="313"/>
      <c r="C1338" s="314"/>
      <c r="D1338" s="315" t="str">
        <f t="shared" si="35"/>
        <v/>
      </c>
      <c r="E1338" s="315" t="str">
        <f t="shared" si="36"/>
        <v/>
      </c>
      <c r="F1338" s="318"/>
      <c r="G1338" s="318"/>
      <c r="H1338" s="318"/>
      <c r="I1338" s="318"/>
      <c r="J1338" s="318"/>
      <c r="K1338" s="319">
        <f t="shared" si="39"/>
        <v>0</v>
      </c>
      <c r="L1338" s="320" t="str">
        <f t="shared" si="34"/>
        <v/>
      </c>
      <c r="M1338" s="239"/>
      <c r="T1338" s="344"/>
      <c r="U1338" s="345"/>
      <c r="V1338" s="346"/>
    </row>
    <row r="1339">
      <c r="A1339" s="339"/>
      <c r="B1339" s="313"/>
      <c r="C1339" s="314"/>
      <c r="D1339" s="315" t="str">
        <f t="shared" si="35"/>
        <v/>
      </c>
      <c r="E1339" s="315" t="str">
        <f t="shared" si="36"/>
        <v/>
      </c>
      <c r="F1339" s="318"/>
      <c r="G1339" s="318"/>
      <c r="H1339" s="318"/>
      <c r="I1339" s="318"/>
      <c r="J1339" s="318"/>
      <c r="K1339" s="319">
        <f t="shared" si="39"/>
        <v>0</v>
      </c>
      <c r="L1339" s="320" t="str">
        <f t="shared" si="34"/>
        <v/>
      </c>
      <c r="M1339" s="239"/>
      <c r="T1339" s="344"/>
      <c r="U1339" s="345"/>
      <c r="V1339" s="346"/>
    </row>
    <row r="1340">
      <c r="A1340" s="339"/>
      <c r="B1340" s="313"/>
      <c r="C1340" s="314"/>
      <c r="D1340" s="315" t="str">
        <f t="shared" si="35"/>
        <v/>
      </c>
      <c r="E1340" s="315" t="str">
        <f t="shared" si="36"/>
        <v/>
      </c>
      <c r="F1340" s="318"/>
      <c r="G1340" s="318"/>
      <c r="H1340" s="318"/>
      <c r="I1340" s="318"/>
      <c r="J1340" s="318"/>
      <c r="K1340" s="319">
        <f t="shared" si="39"/>
        <v>0</v>
      </c>
      <c r="L1340" s="320" t="str">
        <f t="shared" si="34"/>
        <v/>
      </c>
      <c r="M1340" s="239"/>
      <c r="T1340" s="344"/>
      <c r="U1340" s="345"/>
      <c r="V1340" s="346"/>
    </row>
    <row r="1341">
      <c r="A1341" s="339"/>
      <c r="B1341" s="313"/>
      <c r="C1341" s="314"/>
      <c r="D1341" s="315" t="str">
        <f t="shared" si="35"/>
        <v/>
      </c>
      <c r="E1341" s="315" t="str">
        <f t="shared" si="36"/>
        <v/>
      </c>
      <c r="F1341" s="318"/>
      <c r="G1341" s="318"/>
      <c r="H1341" s="318"/>
      <c r="I1341" s="318"/>
      <c r="J1341" s="318"/>
      <c r="K1341" s="319">
        <f t="shared" si="39"/>
        <v>0</v>
      </c>
      <c r="L1341" s="320" t="str">
        <f t="shared" si="34"/>
        <v/>
      </c>
      <c r="M1341" s="239"/>
      <c r="T1341" s="344"/>
      <c r="U1341" s="345"/>
      <c r="V1341" s="346"/>
    </row>
    <row r="1342">
      <c r="A1342" s="339"/>
      <c r="B1342" s="313"/>
      <c r="C1342" s="314"/>
      <c r="D1342" s="315" t="str">
        <f t="shared" si="35"/>
        <v/>
      </c>
      <c r="E1342" s="315" t="str">
        <f t="shared" si="36"/>
        <v/>
      </c>
      <c r="F1342" s="318"/>
      <c r="G1342" s="318"/>
      <c r="H1342" s="318"/>
      <c r="I1342" s="318"/>
      <c r="J1342" s="318"/>
      <c r="K1342" s="319">
        <f t="shared" si="39"/>
        <v>0</v>
      </c>
      <c r="L1342" s="320" t="str">
        <f t="shared" si="34"/>
        <v/>
      </c>
      <c r="M1342" s="239"/>
      <c r="T1342" s="344"/>
      <c r="U1342" s="345"/>
      <c r="V1342" s="346"/>
    </row>
    <row r="1343">
      <c r="A1343" s="339"/>
      <c r="B1343" s="313"/>
      <c r="C1343" s="314"/>
      <c r="D1343" s="315" t="str">
        <f t="shared" si="35"/>
        <v/>
      </c>
      <c r="E1343" s="315" t="str">
        <f t="shared" si="36"/>
        <v/>
      </c>
      <c r="F1343" s="318"/>
      <c r="G1343" s="318"/>
      <c r="H1343" s="318"/>
      <c r="I1343" s="318"/>
      <c r="J1343" s="318"/>
      <c r="K1343" s="319">
        <f t="shared" si="39"/>
        <v>0</v>
      </c>
      <c r="L1343" s="320" t="str">
        <f t="shared" si="34"/>
        <v/>
      </c>
      <c r="M1343" s="239"/>
      <c r="T1343" s="344"/>
      <c r="U1343" s="345"/>
      <c r="V1343" s="346"/>
    </row>
    <row r="1344">
      <c r="A1344" s="339"/>
      <c r="B1344" s="313"/>
      <c r="C1344" s="314"/>
      <c r="D1344" s="315" t="str">
        <f t="shared" si="35"/>
        <v/>
      </c>
      <c r="E1344" s="315" t="str">
        <f t="shared" si="36"/>
        <v/>
      </c>
      <c r="F1344" s="318"/>
      <c r="G1344" s="318"/>
      <c r="H1344" s="318"/>
      <c r="I1344" s="318"/>
      <c r="J1344" s="318"/>
      <c r="K1344" s="319">
        <f t="shared" si="39"/>
        <v>0</v>
      </c>
      <c r="L1344" s="320" t="str">
        <f t="shared" si="34"/>
        <v/>
      </c>
      <c r="M1344" s="239"/>
      <c r="T1344" s="344"/>
      <c r="U1344" s="345"/>
      <c r="V1344" s="346"/>
    </row>
    <row r="1345">
      <c r="A1345" s="339"/>
      <c r="B1345" s="313"/>
      <c r="C1345" s="314"/>
      <c r="D1345" s="315" t="str">
        <f t="shared" si="35"/>
        <v/>
      </c>
      <c r="E1345" s="315" t="str">
        <f t="shared" si="36"/>
        <v/>
      </c>
      <c r="F1345" s="318"/>
      <c r="G1345" s="318"/>
      <c r="H1345" s="318"/>
      <c r="I1345" s="318"/>
      <c r="J1345" s="318"/>
      <c r="K1345" s="319">
        <f t="shared" si="39"/>
        <v>0</v>
      </c>
      <c r="L1345" s="320" t="str">
        <f t="shared" si="34"/>
        <v/>
      </c>
      <c r="M1345" s="239"/>
      <c r="T1345" s="344"/>
      <c r="U1345" s="345"/>
      <c r="V1345" s="346"/>
    </row>
    <row r="1346">
      <c r="A1346" s="339"/>
      <c r="B1346" s="313"/>
      <c r="C1346" s="314"/>
      <c r="D1346" s="315" t="str">
        <f t="shared" si="35"/>
        <v/>
      </c>
      <c r="E1346" s="315" t="str">
        <f t="shared" si="36"/>
        <v/>
      </c>
      <c r="F1346" s="318"/>
      <c r="G1346" s="318"/>
      <c r="H1346" s="318"/>
      <c r="I1346" s="318"/>
      <c r="J1346" s="318"/>
      <c r="K1346" s="319">
        <f t="shared" si="39"/>
        <v>0</v>
      </c>
      <c r="L1346" s="320" t="str">
        <f t="shared" si="34"/>
        <v/>
      </c>
      <c r="M1346" s="239"/>
      <c r="T1346" s="344"/>
      <c r="U1346" s="345"/>
      <c r="V1346" s="346"/>
    </row>
    <row r="1347">
      <c r="A1347" s="339"/>
      <c r="B1347" s="313"/>
      <c r="C1347" s="314"/>
      <c r="D1347" s="315" t="str">
        <f t="shared" si="35"/>
        <v/>
      </c>
      <c r="E1347" s="315" t="str">
        <f t="shared" si="36"/>
        <v/>
      </c>
      <c r="F1347" s="318"/>
      <c r="G1347" s="318"/>
      <c r="H1347" s="318"/>
      <c r="I1347" s="318"/>
      <c r="J1347" s="318"/>
      <c r="K1347" s="319">
        <f t="shared" si="39"/>
        <v>0</v>
      </c>
      <c r="L1347" s="320" t="str">
        <f t="shared" si="34"/>
        <v/>
      </c>
      <c r="M1347" s="239"/>
      <c r="T1347" s="344"/>
      <c r="U1347" s="345"/>
      <c r="V1347" s="346"/>
    </row>
    <row r="1348">
      <c r="A1348" s="339"/>
      <c r="B1348" s="313"/>
      <c r="C1348" s="314"/>
      <c r="D1348" s="315" t="str">
        <f t="shared" si="35"/>
        <v/>
      </c>
      <c r="E1348" s="315" t="str">
        <f t="shared" si="36"/>
        <v/>
      </c>
      <c r="F1348" s="318"/>
      <c r="G1348" s="318"/>
      <c r="H1348" s="318"/>
      <c r="I1348" s="318"/>
      <c r="J1348" s="318"/>
      <c r="K1348" s="319">
        <f t="shared" si="39"/>
        <v>0</v>
      </c>
      <c r="L1348" s="320" t="str">
        <f t="shared" si="34"/>
        <v/>
      </c>
      <c r="M1348" s="239"/>
      <c r="T1348" s="344"/>
      <c r="U1348" s="345"/>
      <c r="V1348" s="346"/>
    </row>
    <row r="1349">
      <c r="A1349" s="339"/>
      <c r="B1349" s="313"/>
      <c r="C1349" s="314"/>
      <c r="D1349" s="315" t="str">
        <f t="shared" si="35"/>
        <v/>
      </c>
      <c r="E1349" s="315" t="str">
        <f t="shared" si="36"/>
        <v/>
      </c>
      <c r="F1349" s="318"/>
      <c r="G1349" s="318"/>
      <c r="H1349" s="318"/>
      <c r="I1349" s="318"/>
      <c r="J1349" s="318"/>
      <c r="K1349" s="319">
        <f t="shared" si="39"/>
        <v>0</v>
      </c>
      <c r="L1349" s="320" t="str">
        <f t="shared" si="34"/>
        <v/>
      </c>
      <c r="M1349" s="239"/>
      <c r="T1349" s="344"/>
      <c r="U1349" s="345"/>
      <c r="V1349" s="346"/>
    </row>
    <row r="1350">
      <c r="A1350" s="339"/>
      <c r="B1350" s="313"/>
      <c r="C1350" s="314"/>
      <c r="D1350" s="315" t="str">
        <f t="shared" si="35"/>
        <v/>
      </c>
      <c r="E1350" s="315" t="str">
        <f t="shared" si="36"/>
        <v/>
      </c>
      <c r="F1350" s="318"/>
      <c r="G1350" s="318"/>
      <c r="H1350" s="318"/>
      <c r="I1350" s="318"/>
      <c r="J1350" s="318"/>
      <c r="K1350" s="319">
        <f t="shared" si="39"/>
        <v>0</v>
      </c>
      <c r="L1350" s="320" t="str">
        <f t="shared" si="34"/>
        <v/>
      </c>
      <c r="M1350" s="239"/>
      <c r="T1350" s="344"/>
      <c r="U1350" s="345"/>
      <c r="V1350" s="346"/>
    </row>
    <row r="1351">
      <c r="A1351" s="339"/>
      <c r="B1351" s="313"/>
      <c r="C1351" s="314"/>
      <c r="D1351" s="315" t="str">
        <f t="shared" si="35"/>
        <v/>
      </c>
      <c r="E1351" s="315" t="str">
        <f t="shared" si="36"/>
        <v/>
      </c>
      <c r="F1351" s="318"/>
      <c r="G1351" s="318"/>
      <c r="H1351" s="318"/>
      <c r="I1351" s="318"/>
      <c r="J1351" s="318"/>
      <c r="K1351" s="319">
        <f t="shared" si="39"/>
        <v>0</v>
      </c>
      <c r="L1351" s="320" t="str">
        <f t="shared" si="34"/>
        <v/>
      </c>
      <c r="M1351" s="239"/>
      <c r="T1351" s="344"/>
      <c r="U1351" s="345"/>
      <c r="V1351" s="346"/>
    </row>
    <row r="1352">
      <c r="A1352" s="339"/>
      <c r="B1352" s="313"/>
      <c r="C1352" s="314"/>
      <c r="D1352" s="315" t="str">
        <f t="shared" si="35"/>
        <v/>
      </c>
      <c r="E1352" s="315" t="str">
        <f t="shared" si="36"/>
        <v/>
      </c>
      <c r="F1352" s="318"/>
      <c r="G1352" s="318"/>
      <c r="H1352" s="318"/>
      <c r="I1352" s="318"/>
      <c r="J1352" s="318"/>
      <c r="K1352" s="319">
        <f t="shared" si="39"/>
        <v>0</v>
      </c>
      <c r="L1352" s="320" t="str">
        <f t="shared" si="34"/>
        <v/>
      </c>
      <c r="M1352" s="239"/>
      <c r="T1352" s="344"/>
      <c r="U1352" s="345"/>
      <c r="V1352" s="346"/>
    </row>
    <row r="1353">
      <c r="A1353" s="339"/>
      <c r="B1353" s="313"/>
      <c r="C1353" s="314"/>
      <c r="D1353" s="315" t="str">
        <f t="shared" si="35"/>
        <v/>
      </c>
      <c r="E1353" s="315" t="str">
        <f t="shared" si="36"/>
        <v/>
      </c>
      <c r="F1353" s="318"/>
      <c r="G1353" s="318"/>
      <c r="H1353" s="348"/>
      <c r="I1353" s="318"/>
      <c r="J1353" s="318"/>
      <c r="K1353" s="319">
        <f t="shared" si="39"/>
        <v>0</v>
      </c>
      <c r="L1353" s="320" t="str">
        <f t="shared" si="34"/>
        <v/>
      </c>
      <c r="M1353" s="239"/>
      <c r="T1353" s="344"/>
      <c r="U1353" s="345"/>
      <c r="V1353" s="346"/>
    </row>
    <row r="1354">
      <c r="A1354" s="339"/>
      <c r="B1354" s="313"/>
      <c r="C1354" s="314"/>
      <c r="D1354" s="315" t="str">
        <f t="shared" si="35"/>
        <v/>
      </c>
      <c r="E1354" s="315" t="str">
        <f t="shared" si="36"/>
        <v/>
      </c>
      <c r="F1354" s="318"/>
      <c r="G1354" s="318"/>
      <c r="H1354" s="348"/>
      <c r="I1354" s="318"/>
      <c r="J1354" s="318"/>
      <c r="K1354" s="319">
        <f t="shared" si="39"/>
        <v>0</v>
      </c>
      <c r="L1354" s="320" t="str">
        <f t="shared" si="34"/>
        <v/>
      </c>
      <c r="M1354" s="239"/>
      <c r="T1354" s="344"/>
      <c r="U1354" s="345"/>
      <c r="V1354" s="346"/>
    </row>
    <row r="1355">
      <c r="A1355" s="339"/>
      <c r="B1355" s="313"/>
      <c r="C1355" s="314"/>
      <c r="D1355" s="315" t="str">
        <f t="shared" si="35"/>
        <v/>
      </c>
      <c r="E1355" s="315" t="str">
        <f t="shared" si="36"/>
        <v/>
      </c>
      <c r="F1355" s="318"/>
      <c r="G1355" s="318"/>
      <c r="H1355" s="318"/>
      <c r="I1355" s="318"/>
      <c r="J1355" s="318"/>
      <c r="K1355" s="319">
        <f t="shared" si="39"/>
        <v>0</v>
      </c>
      <c r="L1355" s="320" t="str">
        <f t="shared" si="34"/>
        <v/>
      </c>
      <c r="M1355" s="239"/>
      <c r="T1355" s="344"/>
      <c r="U1355" s="345"/>
      <c r="V1355" s="346"/>
    </row>
    <row r="1356">
      <c r="A1356" s="339"/>
      <c r="B1356" s="313"/>
      <c r="C1356" s="314"/>
      <c r="D1356" s="315" t="str">
        <f t="shared" si="35"/>
        <v/>
      </c>
      <c r="E1356" s="315" t="str">
        <f t="shared" si="36"/>
        <v/>
      </c>
      <c r="F1356" s="318"/>
      <c r="G1356" s="318"/>
      <c r="H1356" s="318"/>
      <c r="I1356" s="318"/>
      <c r="J1356" s="318"/>
      <c r="K1356" s="319">
        <f t="shared" si="39"/>
        <v>0</v>
      </c>
      <c r="L1356" s="320" t="str">
        <f t="shared" si="34"/>
        <v/>
      </c>
      <c r="M1356" s="239"/>
      <c r="T1356" s="344"/>
      <c r="U1356" s="345"/>
      <c r="V1356" s="346"/>
    </row>
    <row r="1357">
      <c r="A1357" s="339"/>
      <c r="B1357" s="313"/>
      <c r="C1357" s="314"/>
      <c r="D1357" s="315" t="str">
        <f t="shared" si="35"/>
        <v/>
      </c>
      <c r="E1357" s="315" t="str">
        <f t="shared" si="36"/>
        <v/>
      </c>
      <c r="F1357" s="318"/>
      <c r="G1357" s="318"/>
      <c r="H1357" s="318"/>
      <c r="I1357" s="318"/>
      <c r="J1357" s="318"/>
      <c r="K1357" s="319">
        <f t="shared" si="39"/>
        <v>0</v>
      </c>
      <c r="L1357" s="320" t="str">
        <f t="shared" si="34"/>
        <v/>
      </c>
      <c r="M1357" s="239"/>
      <c r="T1357" s="344"/>
      <c r="U1357" s="345"/>
      <c r="V1357" s="346"/>
    </row>
    <row r="1358">
      <c r="A1358" s="339"/>
      <c r="B1358" s="313"/>
      <c r="C1358" s="314"/>
      <c r="D1358" s="315" t="str">
        <f t="shared" si="35"/>
        <v/>
      </c>
      <c r="E1358" s="315" t="str">
        <f t="shared" si="36"/>
        <v/>
      </c>
      <c r="F1358" s="318"/>
      <c r="G1358" s="318"/>
      <c r="H1358" s="318"/>
      <c r="I1358" s="318"/>
      <c r="J1358" s="318"/>
      <c r="K1358" s="319">
        <f t="shared" si="39"/>
        <v>0</v>
      </c>
      <c r="L1358" s="320" t="str">
        <f t="shared" si="34"/>
        <v/>
      </c>
      <c r="M1358" s="239"/>
      <c r="T1358" s="344"/>
      <c r="U1358" s="345"/>
      <c r="V1358" s="346"/>
    </row>
    <row r="1359">
      <c r="A1359" s="339"/>
      <c r="B1359" s="313"/>
      <c r="C1359" s="314"/>
      <c r="D1359" s="315" t="str">
        <f t="shared" si="35"/>
        <v/>
      </c>
      <c r="E1359" s="315" t="str">
        <f t="shared" si="36"/>
        <v/>
      </c>
      <c r="F1359" s="318"/>
      <c r="G1359" s="318"/>
      <c r="H1359" s="318"/>
      <c r="I1359" s="318"/>
      <c r="J1359" s="318"/>
      <c r="K1359" s="319">
        <f t="shared" si="39"/>
        <v>0</v>
      </c>
      <c r="L1359" s="320" t="str">
        <f t="shared" si="34"/>
        <v/>
      </c>
      <c r="M1359" s="239"/>
      <c r="T1359" s="344"/>
      <c r="U1359" s="345"/>
      <c r="V1359" s="346"/>
    </row>
    <row r="1360">
      <c r="A1360" s="339"/>
      <c r="B1360" s="313"/>
      <c r="C1360" s="314"/>
      <c r="D1360" s="315" t="str">
        <f t="shared" si="35"/>
        <v/>
      </c>
      <c r="E1360" s="315" t="str">
        <f t="shared" si="36"/>
        <v/>
      </c>
      <c r="F1360" s="318"/>
      <c r="G1360" s="318"/>
      <c r="H1360" s="318"/>
      <c r="I1360" s="318"/>
      <c r="J1360" s="318"/>
      <c r="K1360" s="319">
        <f t="shared" si="39"/>
        <v>0</v>
      </c>
      <c r="L1360" s="320" t="str">
        <f t="shared" si="34"/>
        <v/>
      </c>
      <c r="M1360" s="239"/>
      <c r="T1360" s="344"/>
      <c r="U1360" s="345"/>
      <c r="V1360" s="346"/>
    </row>
    <row r="1361">
      <c r="A1361" s="339"/>
      <c r="B1361" s="313"/>
      <c r="C1361" s="314"/>
      <c r="D1361" s="315" t="str">
        <f t="shared" si="35"/>
        <v/>
      </c>
      <c r="E1361" s="315" t="str">
        <f t="shared" si="36"/>
        <v/>
      </c>
      <c r="F1361" s="318"/>
      <c r="G1361" s="318"/>
      <c r="H1361" s="318"/>
      <c r="I1361" s="318"/>
      <c r="J1361" s="318"/>
      <c r="K1361" s="319">
        <f t="shared" si="39"/>
        <v>0</v>
      </c>
      <c r="L1361" s="320" t="str">
        <f t="shared" si="34"/>
        <v/>
      </c>
      <c r="M1361" s="239"/>
      <c r="T1361" s="344"/>
      <c r="U1361" s="345"/>
      <c r="V1361" s="346"/>
    </row>
    <row r="1362">
      <c r="A1362" s="339"/>
      <c r="B1362" s="313"/>
      <c r="C1362" s="314"/>
      <c r="D1362" s="315" t="str">
        <f t="shared" si="35"/>
        <v/>
      </c>
      <c r="E1362" s="315" t="str">
        <f t="shared" si="36"/>
        <v/>
      </c>
      <c r="F1362" s="318"/>
      <c r="G1362" s="318"/>
      <c r="H1362" s="318"/>
      <c r="I1362" s="318"/>
      <c r="J1362" s="318"/>
      <c r="K1362" s="319">
        <f t="shared" si="39"/>
        <v>0</v>
      </c>
      <c r="L1362" s="320" t="str">
        <f t="shared" si="34"/>
        <v/>
      </c>
      <c r="M1362" s="239"/>
      <c r="T1362" s="344"/>
      <c r="U1362" s="345"/>
      <c r="V1362" s="346"/>
    </row>
    <row r="1363">
      <c r="A1363" s="339"/>
      <c r="B1363" s="313"/>
      <c r="C1363" s="314"/>
      <c r="D1363" s="315" t="str">
        <f t="shared" si="35"/>
        <v/>
      </c>
      <c r="E1363" s="315" t="str">
        <f t="shared" si="36"/>
        <v/>
      </c>
      <c r="F1363" s="318"/>
      <c r="G1363" s="318"/>
      <c r="H1363" s="318"/>
      <c r="I1363" s="318"/>
      <c r="J1363" s="318"/>
      <c r="K1363" s="319">
        <f t="shared" si="39"/>
        <v>0</v>
      </c>
      <c r="L1363" s="320" t="str">
        <f t="shared" si="34"/>
        <v/>
      </c>
      <c r="M1363" s="239"/>
      <c r="T1363" s="344"/>
      <c r="U1363" s="345"/>
      <c r="V1363" s="346"/>
    </row>
    <row r="1364">
      <c r="A1364" s="339"/>
      <c r="B1364" s="313"/>
      <c r="C1364" s="314"/>
      <c r="D1364" s="315" t="str">
        <f t="shared" si="35"/>
        <v/>
      </c>
      <c r="E1364" s="315" t="str">
        <f t="shared" si="36"/>
        <v/>
      </c>
      <c r="F1364" s="318"/>
      <c r="G1364" s="318"/>
      <c r="H1364" s="318"/>
      <c r="I1364" s="318"/>
      <c r="J1364" s="318"/>
      <c r="K1364" s="319">
        <f t="shared" si="39"/>
        <v>0</v>
      </c>
      <c r="L1364" s="320" t="str">
        <f t="shared" si="34"/>
        <v/>
      </c>
      <c r="M1364" s="239"/>
      <c r="T1364" s="344"/>
      <c r="U1364" s="345"/>
      <c r="V1364" s="346"/>
    </row>
    <row r="1365">
      <c r="A1365" s="339"/>
      <c r="B1365" s="313"/>
      <c r="C1365" s="314"/>
      <c r="D1365" s="315" t="str">
        <f t="shared" si="35"/>
        <v/>
      </c>
      <c r="E1365" s="315" t="str">
        <f t="shared" si="36"/>
        <v/>
      </c>
      <c r="F1365" s="318"/>
      <c r="G1365" s="318"/>
      <c r="H1365" s="318"/>
      <c r="I1365" s="318"/>
      <c r="J1365" s="318"/>
      <c r="K1365" s="319">
        <f t="shared" si="39"/>
        <v>0</v>
      </c>
      <c r="L1365" s="320" t="str">
        <f t="shared" si="34"/>
        <v/>
      </c>
      <c r="M1365" s="239"/>
      <c r="T1365" s="344"/>
      <c r="U1365" s="345"/>
      <c r="V1365" s="346"/>
    </row>
    <row r="1366">
      <c r="A1366" s="339"/>
      <c r="B1366" s="313"/>
      <c r="C1366" s="314"/>
      <c r="D1366" s="315" t="str">
        <f t="shared" si="35"/>
        <v/>
      </c>
      <c r="E1366" s="315" t="str">
        <f t="shared" si="36"/>
        <v/>
      </c>
      <c r="F1366" s="318"/>
      <c r="G1366" s="318"/>
      <c r="H1366" s="318"/>
      <c r="I1366" s="318"/>
      <c r="J1366" s="318"/>
      <c r="K1366" s="319">
        <f t="shared" si="39"/>
        <v>0</v>
      </c>
      <c r="L1366" s="320" t="str">
        <f t="shared" si="34"/>
        <v/>
      </c>
      <c r="M1366" s="239"/>
      <c r="T1366" s="344"/>
      <c r="U1366" s="345"/>
      <c r="V1366" s="346"/>
    </row>
    <row r="1367">
      <c r="A1367" s="339"/>
      <c r="B1367" s="313"/>
      <c r="C1367" s="314"/>
      <c r="D1367" s="315" t="str">
        <f t="shared" si="35"/>
        <v/>
      </c>
      <c r="E1367" s="315" t="str">
        <f t="shared" si="36"/>
        <v/>
      </c>
      <c r="F1367" s="318"/>
      <c r="G1367" s="318"/>
      <c r="H1367" s="318"/>
      <c r="I1367" s="318"/>
      <c r="J1367" s="318"/>
      <c r="K1367" s="319">
        <f t="shared" si="39"/>
        <v>0</v>
      </c>
      <c r="L1367" s="320" t="str">
        <f t="shared" si="34"/>
        <v/>
      </c>
      <c r="M1367" s="239"/>
      <c r="T1367" s="344"/>
      <c r="U1367" s="345"/>
      <c r="V1367" s="346"/>
    </row>
    <row r="1368">
      <c r="A1368" s="339"/>
      <c r="B1368" s="313"/>
      <c r="C1368" s="314"/>
      <c r="D1368" s="315" t="str">
        <f t="shared" si="35"/>
        <v/>
      </c>
      <c r="E1368" s="315" t="str">
        <f t="shared" si="36"/>
        <v/>
      </c>
      <c r="F1368" s="318"/>
      <c r="G1368" s="318"/>
      <c r="H1368" s="318"/>
      <c r="I1368" s="318"/>
      <c r="J1368" s="318"/>
      <c r="K1368" s="319">
        <f t="shared" si="39"/>
        <v>0</v>
      </c>
      <c r="L1368" s="320" t="str">
        <f t="shared" si="34"/>
        <v/>
      </c>
      <c r="M1368" s="239"/>
      <c r="T1368" s="344"/>
      <c r="U1368" s="345"/>
      <c r="V1368" s="346"/>
    </row>
    <row r="1369">
      <c r="A1369" s="339"/>
      <c r="B1369" s="313"/>
      <c r="C1369" s="314"/>
      <c r="D1369" s="315" t="str">
        <f t="shared" si="35"/>
        <v/>
      </c>
      <c r="E1369" s="315" t="str">
        <f t="shared" si="36"/>
        <v/>
      </c>
      <c r="F1369" s="318"/>
      <c r="G1369" s="318"/>
      <c r="H1369" s="318"/>
      <c r="I1369" s="318"/>
      <c r="J1369" s="318"/>
      <c r="K1369" s="319">
        <f t="shared" si="39"/>
        <v>0</v>
      </c>
      <c r="L1369" s="320" t="str">
        <f t="shared" si="34"/>
        <v/>
      </c>
      <c r="M1369" s="239"/>
      <c r="T1369" s="344"/>
      <c r="U1369" s="345"/>
      <c r="V1369" s="346"/>
    </row>
    <row r="1370">
      <c r="A1370" s="339"/>
      <c r="B1370" s="313"/>
      <c r="C1370" s="314"/>
      <c r="D1370" s="315" t="str">
        <f t="shared" si="35"/>
        <v/>
      </c>
      <c r="E1370" s="315" t="str">
        <f t="shared" si="36"/>
        <v/>
      </c>
      <c r="F1370" s="318"/>
      <c r="G1370" s="318"/>
      <c r="H1370" s="318"/>
      <c r="I1370" s="318"/>
      <c r="J1370" s="318"/>
      <c r="K1370" s="319">
        <f t="shared" si="39"/>
        <v>0</v>
      </c>
      <c r="L1370" s="320" t="str">
        <f t="shared" si="34"/>
        <v/>
      </c>
      <c r="M1370" s="239"/>
      <c r="T1370" s="344"/>
      <c r="U1370" s="345"/>
      <c r="V1370" s="346"/>
    </row>
    <row r="1371">
      <c r="A1371" s="339"/>
      <c r="B1371" s="313"/>
      <c r="C1371" s="314"/>
      <c r="D1371" s="315" t="str">
        <f t="shared" si="35"/>
        <v/>
      </c>
      <c r="E1371" s="315" t="str">
        <f t="shared" si="36"/>
        <v/>
      </c>
      <c r="F1371" s="318"/>
      <c r="G1371" s="318"/>
      <c r="H1371" s="318"/>
      <c r="I1371" s="318"/>
      <c r="J1371" s="318"/>
      <c r="K1371" s="319">
        <f t="shared" si="39"/>
        <v>0</v>
      </c>
      <c r="L1371" s="320" t="str">
        <f t="shared" si="34"/>
        <v/>
      </c>
      <c r="M1371" s="239"/>
      <c r="T1371" s="344"/>
      <c r="U1371" s="345"/>
      <c r="V1371" s="346"/>
    </row>
    <row r="1372">
      <c r="A1372" s="339"/>
      <c r="B1372" s="313"/>
      <c r="C1372" s="314"/>
      <c r="D1372" s="315" t="str">
        <f t="shared" si="35"/>
        <v/>
      </c>
      <c r="E1372" s="315" t="str">
        <f t="shared" si="36"/>
        <v/>
      </c>
      <c r="F1372" s="318"/>
      <c r="G1372" s="318"/>
      <c r="H1372" s="318"/>
      <c r="I1372" s="318"/>
      <c r="J1372" s="318"/>
      <c r="K1372" s="319">
        <f t="shared" si="39"/>
        <v>0</v>
      </c>
      <c r="L1372" s="320" t="str">
        <f t="shared" si="34"/>
        <v/>
      </c>
      <c r="M1372" s="239"/>
      <c r="T1372" s="344"/>
      <c r="U1372" s="345"/>
      <c r="V1372" s="346"/>
    </row>
    <row r="1373">
      <c r="A1373" s="339"/>
      <c r="B1373" s="313"/>
      <c r="C1373" s="314"/>
      <c r="D1373" s="315" t="str">
        <f t="shared" si="35"/>
        <v/>
      </c>
      <c r="E1373" s="315" t="str">
        <f t="shared" si="36"/>
        <v/>
      </c>
      <c r="F1373" s="318"/>
      <c r="G1373" s="318"/>
      <c r="H1373" s="318"/>
      <c r="I1373" s="318"/>
      <c r="J1373" s="318"/>
      <c r="K1373" s="319">
        <f t="shared" si="39"/>
        <v>0</v>
      </c>
      <c r="L1373" s="320" t="str">
        <f t="shared" si="34"/>
        <v/>
      </c>
      <c r="M1373" s="239"/>
      <c r="T1373" s="344"/>
      <c r="U1373" s="345"/>
      <c r="V1373" s="346"/>
    </row>
    <row r="1374">
      <c r="A1374" s="339"/>
      <c r="B1374" s="313"/>
      <c r="C1374" s="314"/>
      <c r="D1374" s="315" t="str">
        <f t="shared" si="35"/>
        <v/>
      </c>
      <c r="E1374" s="315" t="str">
        <f t="shared" si="36"/>
        <v/>
      </c>
      <c r="F1374" s="318"/>
      <c r="G1374" s="318"/>
      <c r="H1374" s="318"/>
      <c r="I1374" s="318"/>
      <c r="J1374" s="318"/>
      <c r="K1374" s="319">
        <f t="shared" si="39"/>
        <v>0</v>
      </c>
      <c r="L1374" s="320" t="str">
        <f t="shared" si="34"/>
        <v/>
      </c>
      <c r="M1374" s="239"/>
      <c r="T1374" s="344"/>
      <c r="U1374" s="345"/>
      <c r="V1374" s="346"/>
    </row>
    <row r="1375">
      <c r="A1375" s="339"/>
      <c r="B1375" s="313"/>
      <c r="C1375" s="314"/>
      <c r="D1375" s="315" t="str">
        <f t="shared" si="35"/>
        <v/>
      </c>
      <c r="E1375" s="315" t="str">
        <f t="shared" si="36"/>
        <v/>
      </c>
      <c r="F1375" s="318"/>
      <c r="G1375" s="318"/>
      <c r="H1375" s="318"/>
      <c r="I1375" s="318"/>
      <c r="J1375" s="318"/>
      <c r="K1375" s="319">
        <f t="shared" si="39"/>
        <v>0</v>
      </c>
      <c r="L1375" s="320" t="str">
        <f t="shared" si="34"/>
        <v/>
      </c>
      <c r="M1375" s="239"/>
      <c r="T1375" s="344"/>
      <c r="U1375" s="345"/>
      <c r="V1375" s="346"/>
    </row>
    <row r="1376">
      <c r="A1376" s="339"/>
      <c r="B1376" s="313"/>
      <c r="C1376" s="314"/>
      <c r="D1376" s="315" t="str">
        <f t="shared" si="35"/>
        <v/>
      </c>
      <c r="E1376" s="315" t="str">
        <f t="shared" si="36"/>
        <v/>
      </c>
      <c r="F1376" s="318"/>
      <c r="G1376" s="318"/>
      <c r="H1376" s="318"/>
      <c r="I1376" s="318"/>
      <c r="J1376" s="318"/>
      <c r="K1376" s="319">
        <f t="shared" si="39"/>
        <v>0</v>
      </c>
      <c r="L1376" s="320" t="str">
        <f t="shared" si="34"/>
        <v/>
      </c>
      <c r="M1376" s="239"/>
      <c r="T1376" s="344"/>
      <c r="U1376" s="345"/>
      <c r="V1376" s="346"/>
    </row>
    <row r="1377">
      <c r="A1377" s="339"/>
      <c r="B1377" s="313"/>
      <c r="C1377" s="314"/>
      <c r="D1377" s="315" t="str">
        <f t="shared" si="35"/>
        <v/>
      </c>
      <c r="E1377" s="315" t="str">
        <f t="shared" si="36"/>
        <v/>
      </c>
      <c r="F1377" s="318"/>
      <c r="G1377" s="318"/>
      <c r="H1377" s="318"/>
      <c r="I1377" s="318"/>
      <c r="J1377" s="318"/>
      <c r="K1377" s="319">
        <f t="shared" si="39"/>
        <v>0</v>
      </c>
      <c r="L1377" s="320" t="str">
        <f t="shared" si="34"/>
        <v/>
      </c>
      <c r="M1377" s="239"/>
      <c r="T1377" s="344"/>
      <c r="U1377" s="345"/>
      <c r="V1377" s="346"/>
    </row>
    <row r="1378">
      <c r="A1378" s="339"/>
      <c r="B1378" s="313"/>
      <c r="C1378" s="314"/>
      <c r="D1378" s="315" t="str">
        <f t="shared" si="35"/>
        <v/>
      </c>
      <c r="E1378" s="315" t="str">
        <f t="shared" si="36"/>
        <v/>
      </c>
      <c r="F1378" s="318"/>
      <c r="G1378" s="318"/>
      <c r="H1378" s="318"/>
      <c r="I1378" s="318"/>
      <c r="J1378" s="318"/>
      <c r="K1378" s="319">
        <f t="shared" si="39"/>
        <v>0</v>
      </c>
      <c r="L1378" s="320" t="str">
        <f t="shared" si="34"/>
        <v/>
      </c>
      <c r="M1378" s="239"/>
      <c r="T1378" s="344"/>
      <c r="U1378" s="345"/>
      <c r="V1378" s="346"/>
    </row>
    <row r="1379">
      <c r="A1379" s="339"/>
      <c r="B1379" s="313"/>
      <c r="C1379" s="314"/>
      <c r="D1379" s="315" t="str">
        <f t="shared" si="35"/>
        <v/>
      </c>
      <c r="E1379" s="315" t="str">
        <f t="shared" si="36"/>
        <v/>
      </c>
      <c r="F1379" s="318"/>
      <c r="G1379" s="318"/>
      <c r="H1379" s="318"/>
      <c r="I1379" s="318"/>
      <c r="J1379" s="318"/>
      <c r="K1379" s="319">
        <f t="shared" si="39"/>
        <v>0</v>
      </c>
      <c r="L1379" s="320" t="str">
        <f t="shared" si="34"/>
        <v/>
      </c>
      <c r="M1379" s="239"/>
      <c r="T1379" s="344"/>
      <c r="U1379" s="345"/>
      <c r="V1379" s="346"/>
    </row>
    <row r="1380">
      <c r="A1380" s="339"/>
      <c r="B1380" s="313"/>
      <c r="C1380" s="314"/>
      <c r="D1380" s="315" t="str">
        <f t="shared" si="35"/>
        <v/>
      </c>
      <c r="E1380" s="315" t="str">
        <f t="shared" si="36"/>
        <v/>
      </c>
      <c r="F1380" s="318"/>
      <c r="G1380" s="318"/>
      <c r="H1380" s="318"/>
      <c r="I1380" s="318"/>
      <c r="J1380" s="318"/>
      <c r="K1380" s="319">
        <f t="shared" si="39"/>
        <v>0</v>
      </c>
      <c r="L1380" s="320" t="str">
        <f t="shared" si="34"/>
        <v/>
      </c>
      <c r="M1380" s="239"/>
      <c r="T1380" s="344"/>
      <c r="U1380" s="345"/>
      <c r="V1380" s="346"/>
    </row>
    <row r="1381">
      <c r="A1381" s="339"/>
      <c r="B1381" s="313"/>
      <c r="C1381" s="314"/>
      <c r="D1381" s="315" t="str">
        <f t="shared" si="35"/>
        <v/>
      </c>
      <c r="E1381" s="315" t="str">
        <f t="shared" si="36"/>
        <v/>
      </c>
      <c r="F1381" s="318"/>
      <c r="G1381" s="318"/>
      <c r="H1381" s="318"/>
      <c r="I1381" s="318"/>
      <c r="J1381" s="318"/>
      <c r="K1381" s="319">
        <f t="shared" si="39"/>
        <v>0</v>
      </c>
      <c r="L1381" s="320" t="str">
        <f t="shared" si="34"/>
        <v/>
      </c>
      <c r="M1381" s="239"/>
      <c r="T1381" s="344"/>
      <c r="U1381" s="345"/>
      <c r="V1381" s="346"/>
    </row>
    <row r="1382">
      <c r="A1382" s="339"/>
      <c r="B1382" s="313"/>
      <c r="C1382" s="314"/>
      <c r="D1382" s="315" t="str">
        <f t="shared" si="35"/>
        <v/>
      </c>
      <c r="E1382" s="315" t="str">
        <f t="shared" si="36"/>
        <v/>
      </c>
      <c r="F1382" s="318"/>
      <c r="G1382" s="318"/>
      <c r="H1382" s="318"/>
      <c r="I1382" s="318"/>
      <c r="J1382" s="318"/>
      <c r="K1382" s="319">
        <f t="shared" si="39"/>
        <v>0</v>
      </c>
      <c r="L1382" s="320" t="str">
        <f t="shared" si="34"/>
        <v/>
      </c>
      <c r="M1382" s="239"/>
      <c r="T1382" s="344"/>
      <c r="U1382" s="345"/>
      <c r="V1382" s="346"/>
    </row>
    <row r="1383">
      <c r="A1383" s="339"/>
      <c r="B1383" s="313"/>
      <c r="C1383" s="314"/>
      <c r="D1383" s="315" t="str">
        <f t="shared" si="35"/>
        <v/>
      </c>
      <c r="E1383" s="315" t="str">
        <f t="shared" si="36"/>
        <v/>
      </c>
      <c r="F1383" s="318"/>
      <c r="G1383" s="318"/>
      <c r="H1383" s="318"/>
      <c r="I1383" s="318"/>
      <c r="J1383" s="318"/>
      <c r="K1383" s="319">
        <f t="shared" si="39"/>
        <v>0</v>
      </c>
      <c r="L1383" s="320" t="str">
        <f t="shared" si="34"/>
        <v/>
      </c>
      <c r="M1383" s="239"/>
      <c r="T1383" s="344"/>
      <c r="U1383" s="345"/>
      <c r="V1383" s="346"/>
    </row>
    <row r="1384">
      <c r="A1384" s="339"/>
      <c r="B1384" s="313"/>
      <c r="C1384" s="314"/>
      <c r="D1384" s="315" t="str">
        <f t="shared" si="35"/>
        <v/>
      </c>
      <c r="E1384" s="315" t="str">
        <f t="shared" si="36"/>
        <v/>
      </c>
      <c r="F1384" s="318"/>
      <c r="G1384" s="318"/>
      <c r="H1384" s="318"/>
      <c r="I1384" s="318"/>
      <c r="J1384" s="318"/>
      <c r="K1384" s="319">
        <f t="shared" si="39"/>
        <v>0</v>
      </c>
      <c r="L1384" s="320" t="str">
        <f t="shared" si="34"/>
        <v/>
      </c>
      <c r="M1384" s="239"/>
      <c r="T1384" s="344"/>
      <c r="U1384" s="345"/>
      <c r="V1384" s="346"/>
    </row>
    <row r="1385">
      <c r="A1385" s="339"/>
      <c r="B1385" s="313"/>
      <c r="C1385" s="314"/>
      <c r="D1385" s="315" t="str">
        <f t="shared" si="35"/>
        <v/>
      </c>
      <c r="E1385" s="315" t="str">
        <f t="shared" si="36"/>
        <v/>
      </c>
      <c r="F1385" s="318"/>
      <c r="G1385" s="318"/>
      <c r="H1385" s="318"/>
      <c r="I1385" s="318"/>
      <c r="J1385" s="318"/>
      <c r="K1385" s="319">
        <f t="shared" si="39"/>
        <v>0</v>
      </c>
      <c r="L1385" s="320" t="str">
        <f t="shared" si="34"/>
        <v/>
      </c>
      <c r="M1385" s="239"/>
      <c r="T1385" s="344"/>
      <c r="U1385" s="345"/>
      <c r="V1385" s="346"/>
    </row>
    <row r="1386">
      <c r="A1386" s="339"/>
      <c r="B1386" s="313"/>
      <c r="C1386" s="314"/>
      <c r="D1386" s="315" t="str">
        <f t="shared" si="35"/>
        <v/>
      </c>
      <c r="E1386" s="315" t="str">
        <f t="shared" si="36"/>
        <v/>
      </c>
      <c r="F1386" s="318"/>
      <c r="G1386" s="318"/>
      <c r="H1386" s="318"/>
      <c r="I1386" s="318"/>
      <c r="J1386" s="318"/>
      <c r="K1386" s="319">
        <f t="shared" si="39"/>
        <v>0</v>
      </c>
      <c r="L1386" s="320" t="str">
        <f t="shared" si="34"/>
        <v/>
      </c>
      <c r="M1386" s="239"/>
      <c r="T1386" s="344"/>
      <c r="U1386" s="345"/>
      <c r="V1386" s="346"/>
    </row>
    <row r="1387">
      <c r="A1387" s="339"/>
      <c r="B1387" s="313"/>
      <c r="C1387" s="314"/>
      <c r="D1387" s="315" t="str">
        <f t="shared" si="35"/>
        <v/>
      </c>
      <c r="E1387" s="315" t="str">
        <f t="shared" si="36"/>
        <v/>
      </c>
      <c r="F1387" s="318"/>
      <c r="G1387" s="318"/>
      <c r="H1387" s="318"/>
      <c r="I1387" s="318"/>
      <c r="J1387" s="318"/>
      <c r="K1387" s="319">
        <f t="shared" si="39"/>
        <v>0</v>
      </c>
      <c r="L1387" s="320" t="str">
        <f t="shared" si="34"/>
        <v/>
      </c>
      <c r="M1387" s="239"/>
      <c r="T1387" s="344"/>
      <c r="U1387" s="345"/>
      <c r="V1387" s="346"/>
    </row>
    <row r="1388">
      <c r="A1388" s="339"/>
      <c r="B1388" s="313"/>
      <c r="C1388" s="314"/>
      <c r="D1388" s="315" t="str">
        <f t="shared" si="35"/>
        <v/>
      </c>
      <c r="E1388" s="315" t="str">
        <f t="shared" si="36"/>
        <v/>
      </c>
      <c r="F1388" s="318"/>
      <c r="G1388" s="318"/>
      <c r="H1388" s="318"/>
      <c r="I1388" s="318"/>
      <c r="J1388" s="318"/>
      <c r="K1388" s="319">
        <f t="shared" si="39"/>
        <v>0</v>
      </c>
      <c r="L1388" s="320" t="str">
        <f t="shared" si="34"/>
        <v/>
      </c>
      <c r="M1388" s="239"/>
      <c r="T1388" s="344"/>
      <c r="U1388" s="345"/>
      <c r="V1388" s="346"/>
    </row>
    <row r="1389">
      <c r="A1389" s="339"/>
      <c r="B1389" s="313"/>
      <c r="C1389" s="314"/>
      <c r="D1389" s="315" t="str">
        <f t="shared" si="35"/>
        <v/>
      </c>
      <c r="E1389" s="315" t="str">
        <f t="shared" si="36"/>
        <v/>
      </c>
      <c r="F1389" s="318"/>
      <c r="G1389" s="318"/>
      <c r="H1389" s="318"/>
      <c r="I1389" s="318"/>
      <c r="J1389" s="318"/>
      <c r="K1389" s="319">
        <f t="shared" si="39"/>
        <v>0</v>
      </c>
      <c r="L1389" s="320" t="str">
        <f t="shared" si="34"/>
        <v/>
      </c>
      <c r="M1389" s="239"/>
      <c r="T1389" s="344"/>
      <c r="U1389" s="345"/>
      <c r="V1389" s="346"/>
    </row>
    <row r="1390">
      <c r="A1390" s="339"/>
      <c r="B1390" s="313"/>
      <c r="C1390" s="314"/>
      <c r="D1390" s="315" t="str">
        <f t="shared" si="35"/>
        <v/>
      </c>
      <c r="E1390" s="315" t="str">
        <f t="shared" si="36"/>
        <v/>
      </c>
      <c r="F1390" s="318"/>
      <c r="G1390" s="318"/>
      <c r="H1390" s="318"/>
      <c r="I1390" s="318"/>
      <c r="J1390" s="318"/>
      <c r="K1390" s="319">
        <f t="shared" si="39"/>
        <v>0</v>
      </c>
      <c r="L1390" s="320" t="str">
        <f t="shared" si="34"/>
        <v/>
      </c>
      <c r="M1390" s="239"/>
      <c r="T1390" s="344"/>
      <c r="U1390" s="345"/>
      <c r="V1390" s="346"/>
    </row>
    <row r="1391">
      <c r="A1391" s="339"/>
      <c r="B1391" s="313"/>
      <c r="C1391" s="314"/>
      <c r="D1391" s="315" t="str">
        <f t="shared" si="35"/>
        <v/>
      </c>
      <c r="E1391" s="315" t="str">
        <f t="shared" si="36"/>
        <v/>
      </c>
      <c r="F1391" s="318"/>
      <c r="G1391" s="318"/>
      <c r="H1391" s="318"/>
      <c r="I1391" s="318"/>
      <c r="J1391" s="318"/>
      <c r="K1391" s="319">
        <f t="shared" si="39"/>
        <v>0</v>
      </c>
      <c r="L1391" s="320" t="str">
        <f t="shared" si="34"/>
        <v/>
      </c>
      <c r="M1391" s="239"/>
      <c r="T1391" s="344"/>
      <c r="U1391" s="345"/>
      <c r="V1391" s="346"/>
    </row>
    <row r="1392">
      <c r="A1392" s="339"/>
      <c r="B1392" s="313"/>
      <c r="C1392" s="314"/>
      <c r="D1392" s="315" t="str">
        <f t="shared" si="35"/>
        <v/>
      </c>
      <c r="E1392" s="315" t="str">
        <f t="shared" si="36"/>
        <v/>
      </c>
      <c r="F1392" s="318"/>
      <c r="G1392" s="318"/>
      <c r="H1392" s="318"/>
      <c r="I1392" s="318"/>
      <c r="J1392" s="318"/>
      <c r="K1392" s="319">
        <f t="shared" si="39"/>
        <v>0</v>
      </c>
      <c r="L1392" s="320" t="str">
        <f t="shared" si="34"/>
        <v/>
      </c>
      <c r="M1392" s="239"/>
      <c r="T1392" s="344"/>
      <c r="U1392" s="345"/>
      <c r="V1392" s="346"/>
    </row>
    <row r="1393">
      <c r="A1393" s="339"/>
      <c r="B1393" s="313"/>
      <c r="C1393" s="314"/>
      <c r="D1393" s="315" t="str">
        <f t="shared" si="35"/>
        <v/>
      </c>
      <c r="E1393" s="315" t="str">
        <f t="shared" si="36"/>
        <v/>
      </c>
      <c r="F1393" s="318"/>
      <c r="G1393" s="318"/>
      <c r="H1393" s="318"/>
      <c r="I1393" s="318"/>
      <c r="J1393" s="318"/>
      <c r="K1393" s="319">
        <f t="shared" si="39"/>
        <v>0</v>
      </c>
      <c r="L1393" s="320" t="str">
        <f t="shared" si="34"/>
        <v/>
      </c>
      <c r="M1393" s="239"/>
      <c r="T1393" s="344"/>
      <c r="U1393" s="345"/>
      <c r="V1393" s="346"/>
    </row>
    <row r="1394">
      <c r="A1394" s="339"/>
      <c r="B1394" s="313"/>
      <c r="C1394" s="314"/>
      <c r="D1394" s="315" t="str">
        <f t="shared" si="35"/>
        <v/>
      </c>
      <c r="E1394" s="315" t="str">
        <f t="shared" si="36"/>
        <v/>
      </c>
      <c r="F1394" s="318"/>
      <c r="G1394" s="318"/>
      <c r="H1394" s="318"/>
      <c r="I1394" s="318"/>
      <c r="J1394" s="318"/>
      <c r="K1394" s="319">
        <f t="shared" si="39"/>
        <v>0</v>
      </c>
      <c r="L1394" s="320" t="str">
        <f t="shared" si="34"/>
        <v/>
      </c>
      <c r="M1394" s="239"/>
      <c r="T1394" s="344"/>
      <c r="U1394" s="345"/>
      <c r="V1394" s="346"/>
    </row>
    <row r="1395">
      <c r="A1395" s="339"/>
      <c r="B1395" s="313"/>
      <c r="C1395" s="314"/>
      <c r="D1395" s="315" t="str">
        <f t="shared" si="35"/>
        <v/>
      </c>
      <c r="E1395" s="315" t="str">
        <f t="shared" si="36"/>
        <v/>
      </c>
      <c r="F1395" s="318"/>
      <c r="G1395" s="318"/>
      <c r="H1395" s="318"/>
      <c r="I1395" s="318"/>
      <c r="J1395" s="318"/>
      <c r="K1395" s="319">
        <f t="shared" si="39"/>
        <v>0</v>
      </c>
      <c r="L1395" s="320" t="str">
        <f t="shared" si="34"/>
        <v/>
      </c>
      <c r="M1395" s="239"/>
      <c r="T1395" s="344"/>
      <c r="U1395" s="345"/>
      <c r="V1395" s="346"/>
    </row>
    <row r="1396">
      <c r="A1396" s="339"/>
      <c r="B1396" s="313"/>
      <c r="C1396" s="314"/>
      <c r="D1396" s="315" t="str">
        <f t="shared" si="35"/>
        <v/>
      </c>
      <c r="E1396" s="315" t="str">
        <f t="shared" si="36"/>
        <v/>
      </c>
      <c r="F1396" s="318"/>
      <c r="G1396" s="318"/>
      <c r="H1396" s="318"/>
      <c r="I1396" s="318"/>
      <c r="J1396" s="318"/>
      <c r="K1396" s="319">
        <f t="shared" si="39"/>
        <v>0</v>
      </c>
      <c r="L1396" s="320" t="str">
        <f t="shared" si="34"/>
        <v/>
      </c>
      <c r="M1396" s="239"/>
      <c r="T1396" s="344"/>
      <c r="U1396" s="345"/>
      <c r="V1396" s="346"/>
    </row>
    <row r="1397">
      <c r="A1397" s="339"/>
      <c r="B1397" s="313"/>
      <c r="C1397" s="314"/>
      <c r="D1397" s="315" t="str">
        <f t="shared" si="35"/>
        <v/>
      </c>
      <c r="E1397" s="315" t="str">
        <f t="shared" si="36"/>
        <v/>
      </c>
      <c r="F1397" s="318"/>
      <c r="G1397" s="318"/>
      <c r="H1397" s="318"/>
      <c r="I1397" s="318"/>
      <c r="J1397" s="318"/>
      <c r="K1397" s="319">
        <f t="shared" si="39"/>
        <v>0</v>
      </c>
      <c r="L1397" s="320" t="str">
        <f t="shared" si="34"/>
        <v/>
      </c>
      <c r="M1397" s="239"/>
      <c r="T1397" s="344"/>
      <c r="U1397" s="345"/>
      <c r="V1397" s="346"/>
    </row>
    <row r="1398">
      <c r="A1398" s="339"/>
      <c r="B1398" s="313"/>
      <c r="C1398" s="314"/>
      <c r="D1398" s="315" t="str">
        <f t="shared" si="35"/>
        <v/>
      </c>
      <c r="E1398" s="315" t="str">
        <f t="shared" si="36"/>
        <v/>
      </c>
      <c r="F1398" s="318"/>
      <c r="G1398" s="318"/>
      <c r="H1398" s="318"/>
      <c r="I1398" s="318"/>
      <c r="J1398" s="318"/>
      <c r="K1398" s="319">
        <f t="shared" si="39"/>
        <v>0</v>
      </c>
      <c r="L1398" s="320" t="str">
        <f t="shared" si="34"/>
        <v/>
      </c>
      <c r="M1398" s="239"/>
      <c r="T1398" s="344"/>
      <c r="U1398" s="345"/>
      <c r="V1398" s="346"/>
    </row>
    <row r="1399">
      <c r="A1399" s="339"/>
      <c r="B1399" s="313"/>
      <c r="C1399" s="314"/>
      <c r="D1399" s="315" t="str">
        <f t="shared" si="35"/>
        <v/>
      </c>
      <c r="E1399" s="315" t="str">
        <f t="shared" si="36"/>
        <v/>
      </c>
      <c r="F1399" s="318"/>
      <c r="G1399" s="318"/>
      <c r="H1399" s="318"/>
      <c r="I1399" s="318"/>
      <c r="J1399" s="318"/>
      <c r="K1399" s="319">
        <f t="shared" si="39"/>
        <v>0</v>
      </c>
      <c r="L1399" s="320" t="str">
        <f t="shared" si="34"/>
        <v/>
      </c>
      <c r="M1399" s="239"/>
      <c r="T1399" s="344"/>
      <c r="U1399" s="345"/>
      <c r="V1399" s="346"/>
    </row>
    <row r="1400">
      <c r="A1400" s="339"/>
      <c r="B1400" s="313"/>
      <c r="C1400" s="314"/>
      <c r="D1400" s="315" t="str">
        <f t="shared" si="35"/>
        <v/>
      </c>
      <c r="E1400" s="315" t="str">
        <f t="shared" si="36"/>
        <v/>
      </c>
      <c r="F1400" s="318"/>
      <c r="G1400" s="318"/>
      <c r="H1400" s="348"/>
      <c r="I1400" s="318"/>
      <c r="J1400" s="318"/>
      <c r="K1400" s="319">
        <f t="shared" si="39"/>
        <v>0</v>
      </c>
      <c r="L1400" s="320" t="str">
        <f t="shared" si="34"/>
        <v/>
      </c>
      <c r="M1400" s="239"/>
      <c r="T1400" s="344"/>
      <c r="U1400" s="345"/>
      <c r="V1400" s="346"/>
    </row>
    <row r="1401">
      <c r="A1401" s="339"/>
      <c r="B1401" s="313"/>
      <c r="C1401" s="314"/>
      <c r="D1401" s="315" t="str">
        <f t="shared" si="35"/>
        <v/>
      </c>
      <c r="E1401" s="315" t="str">
        <f t="shared" si="36"/>
        <v/>
      </c>
      <c r="F1401" s="318"/>
      <c r="G1401" s="318"/>
      <c r="H1401" s="348"/>
      <c r="I1401" s="318"/>
      <c r="J1401" s="318"/>
      <c r="K1401" s="319">
        <f t="shared" si="39"/>
        <v>0</v>
      </c>
      <c r="L1401" s="320" t="str">
        <f t="shared" si="34"/>
        <v/>
      </c>
      <c r="M1401" s="239"/>
      <c r="T1401" s="344"/>
      <c r="U1401" s="345"/>
      <c r="V1401" s="346"/>
    </row>
    <row r="1402">
      <c r="A1402" s="339"/>
      <c r="B1402" s="313"/>
      <c r="C1402" s="314"/>
      <c r="D1402" s="315" t="str">
        <f t="shared" si="35"/>
        <v/>
      </c>
      <c r="E1402" s="315" t="str">
        <f t="shared" si="36"/>
        <v/>
      </c>
      <c r="F1402" s="318"/>
      <c r="G1402" s="318"/>
      <c r="H1402" s="318"/>
      <c r="I1402" s="318"/>
      <c r="J1402" s="318"/>
      <c r="K1402" s="319">
        <f t="shared" si="39"/>
        <v>0</v>
      </c>
      <c r="L1402" s="320" t="str">
        <f t="shared" si="34"/>
        <v/>
      </c>
      <c r="M1402" s="239"/>
      <c r="T1402" s="344"/>
      <c r="U1402" s="345"/>
      <c r="V1402" s="346"/>
    </row>
    <row r="1403">
      <c r="A1403" s="339"/>
      <c r="B1403" s="313"/>
      <c r="C1403" s="314"/>
      <c r="D1403" s="315" t="str">
        <f t="shared" si="35"/>
        <v/>
      </c>
      <c r="E1403" s="315" t="str">
        <f t="shared" si="36"/>
        <v/>
      </c>
      <c r="F1403" s="318"/>
      <c r="G1403" s="318"/>
      <c r="H1403" s="318"/>
      <c r="I1403" s="318"/>
      <c r="J1403" s="318"/>
      <c r="K1403" s="319">
        <f t="shared" si="39"/>
        <v>0</v>
      </c>
      <c r="L1403" s="320" t="str">
        <f t="shared" si="34"/>
        <v/>
      </c>
      <c r="M1403" s="239"/>
      <c r="T1403" s="344"/>
      <c r="U1403" s="345"/>
      <c r="V1403" s="346"/>
    </row>
    <row r="1404">
      <c r="A1404" s="339"/>
      <c r="B1404" s="313"/>
      <c r="C1404" s="314"/>
      <c r="D1404" s="315" t="str">
        <f t="shared" si="35"/>
        <v/>
      </c>
      <c r="E1404" s="315" t="str">
        <f t="shared" si="36"/>
        <v/>
      </c>
      <c r="F1404" s="318"/>
      <c r="G1404" s="318"/>
      <c r="H1404" s="318"/>
      <c r="I1404" s="318"/>
      <c r="J1404" s="318"/>
      <c r="K1404" s="319">
        <f t="shared" si="39"/>
        <v>0</v>
      </c>
      <c r="L1404" s="320" t="str">
        <f t="shared" si="34"/>
        <v/>
      </c>
      <c r="M1404" s="239"/>
      <c r="T1404" s="344"/>
      <c r="U1404" s="345"/>
      <c r="V1404" s="346"/>
    </row>
    <row r="1405">
      <c r="A1405" s="339"/>
      <c r="B1405" s="313"/>
      <c r="C1405" s="314"/>
      <c r="D1405" s="315" t="str">
        <f t="shared" si="35"/>
        <v/>
      </c>
      <c r="E1405" s="315" t="str">
        <f t="shared" si="36"/>
        <v/>
      </c>
      <c r="F1405" s="318"/>
      <c r="G1405" s="318"/>
      <c r="H1405" s="318"/>
      <c r="I1405" s="318"/>
      <c r="J1405" s="318"/>
      <c r="K1405" s="319">
        <f t="shared" si="39"/>
        <v>0</v>
      </c>
      <c r="L1405" s="320" t="str">
        <f t="shared" si="34"/>
        <v/>
      </c>
      <c r="M1405" s="239"/>
      <c r="T1405" s="344"/>
      <c r="U1405" s="345"/>
      <c r="V1405" s="346"/>
    </row>
    <row r="1406">
      <c r="A1406" s="339"/>
      <c r="B1406" s="313"/>
      <c r="C1406" s="314"/>
      <c r="D1406" s="315" t="str">
        <f t="shared" si="35"/>
        <v/>
      </c>
      <c r="E1406" s="315" t="str">
        <f t="shared" si="36"/>
        <v/>
      </c>
      <c r="F1406" s="318"/>
      <c r="G1406" s="318"/>
      <c r="H1406" s="318"/>
      <c r="I1406" s="318"/>
      <c r="J1406" s="318"/>
      <c r="K1406" s="319">
        <f t="shared" si="39"/>
        <v>0</v>
      </c>
      <c r="L1406" s="320" t="str">
        <f t="shared" si="34"/>
        <v/>
      </c>
      <c r="M1406" s="239"/>
      <c r="T1406" s="344"/>
      <c r="U1406" s="345"/>
      <c r="V1406" s="346"/>
    </row>
    <row r="1407">
      <c r="A1407" s="339"/>
      <c r="B1407" s="313"/>
      <c r="C1407" s="314"/>
      <c r="D1407" s="315" t="str">
        <f t="shared" si="35"/>
        <v/>
      </c>
      <c r="E1407" s="315" t="str">
        <f t="shared" si="36"/>
        <v/>
      </c>
      <c r="F1407" s="318"/>
      <c r="G1407" s="318"/>
      <c r="H1407" s="318"/>
      <c r="I1407" s="318"/>
      <c r="J1407" s="318"/>
      <c r="K1407" s="319">
        <f t="shared" si="39"/>
        <v>0</v>
      </c>
      <c r="L1407" s="320" t="str">
        <f t="shared" si="34"/>
        <v/>
      </c>
      <c r="M1407" s="239"/>
      <c r="T1407" s="344"/>
      <c r="U1407" s="345"/>
      <c r="V1407" s="346"/>
    </row>
    <row r="1408">
      <c r="A1408" s="339"/>
      <c r="B1408" s="313"/>
      <c r="C1408" s="314"/>
      <c r="D1408" s="315" t="str">
        <f t="shared" si="35"/>
        <v/>
      </c>
      <c r="E1408" s="315" t="str">
        <f t="shared" si="36"/>
        <v/>
      </c>
      <c r="F1408" s="318"/>
      <c r="G1408" s="318"/>
      <c r="H1408" s="318"/>
      <c r="I1408" s="318"/>
      <c r="J1408" s="318"/>
      <c r="K1408" s="319">
        <f t="shared" si="39"/>
        <v>0</v>
      </c>
      <c r="L1408" s="320" t="str">
        <f t="shared" si="34"/>
        <v/>
      </c>
      <c r="M1408" s="239"/>
      <c r="T1408" s="344"/>
      <c r="U1408" s="345"/>
      <c r="V1408" s="346"/>
    </row>
    <row r="1409">
      <c r="A1409" s="339"/>
      <c r="B1409" s="313"/>
      <c r="C1409" s="314"/>
      <c r="D1409" s="315" t="str">
        <f t="shared" si="35"/>
        <v/>
      </c>
      <c r="E1409" s="315" t="str">
        <f t="shared" si="36"/>
        <v/>
      </c>
      <c r="F1409" s="318"/>
      <c r="G1409" s="318"/>
      <c r="H1409" s="318"/>
      <c r="I1409" s="318"/>
      <c r="J1409" s="318"/>
      <c r="K1409" s="319">
        <f t="shared" si="39"/>
        <v>0</v>
      </c>
      <c r="L1409" s="320" t="str">
        <f t="shared" si="34"/>
        <v/>
      </c>
      <c r="M1409" s="239"/>
      <c r="T1409" s="344"/>
      <c r="U1409" s="345"/>
      <c r="V1409" s="346"/>
    </row>
    <row r="1410">
      <c r="A1410" s="339"/>
      <c r="B1410" s="313"/>
      <c r="C1410" s="314"/>
      <c r="D1410" s="315" t="str">
        <f t="shared" si="35"/>
        <v/>
      </c>
      <c r="E1410" s="315" t="str">
        <f t="shared" si="36"/>
        <v/>
      </c>
      <c r="F1410" s="318"/>
      <c r="G1410" s="318"/>
      <c r="H1410" s="318"/>
      <c r="I1410" s="318"/>
      <c r="J1410" s="318"/>
      <c r="K1410" s="319">
        <f t="shared" si="39"/>
        <v>0</v>
      </c>
      <c r="L1410" s="320" t="str">
        <f t="shared" si="34"/>
        <v/>
      </c>
      <c r="M1410" s="239"/>
      <c r="T1410" s="344"/>
      <c r="U1410" s="345"/>
      <c r="V1410" s="346"/>
    </row>
    <row r="1411">
      <c r="A1411" s="339"/>
      <c r="B1411" s="313"/>
      <c r="C1411" s="314"/>
      <c r="D1411" s="315" t="str">
        <f t="shared" si="35"/>
        <v/>
      </c>
      <c r="E1411" s="315" t="str">
        <f t="shared" si="36"/>
        <v/>
      </c>
      <c r="F1411" s="318"/>
      <c r="G1411" s="318"/>
      <c r="H1411" s="318"/>
      <c r="I1411" s="318"/>
      <c r="J1411" s="318"/>
      <c r="K1411" s="319">
        <f t="shared" si="39"/>
        <v>0</v>
      </c>
      <c r="L1411" s="320" t="str">
        <f t="shared" si="34"/>
        <v/>
      </c>
      <c r="M1411" s="239"/>
      <c r="T1411" s="344"/>
      <c r="U1411" s="345"/>
      <c r="V1411" s="346"/>
    </row>
    <row r="1412">
      <c r="A1412" s="339"/>
      <c r="B1412" s="313"/>
      <c r="C1412" s="314"/>
      <c r="D1412" s="315" t="str">
        <f t="shared" si="35"/>
        <v/>
      </c>
      <c r="E1412" s="315" t="str">
        <f t="shared" si="36"/>
        <v/>
      </c>
      <c r="F1412" s="318"/>
      <c r="G1412" s="318"/>
      <c r="H1412" s="318"/>
      <c r="I1412" s="318"/>
      <c r="J1412" s="318"/>
      <c r="K1412" s="319">
        <f t="shared" si="39"/>
        <v>0</v>
      </c>
      <c r="L1412" s="320" t="str">
        <f t="shared" si="34"/>
        <v/>
      </c>
      <c r="M1412" s="239"/>
      <c r="T1412" s="344"/>
      <c r="U1412" s="345"/>
      <c r="V1412" s="346"/>
    </row>
    <row r="1413">
      <c r="A1413" s="339"/>
      <c r="B1413" s="313"/>
      <c r="C1413" s="314"/>
      <c r="D1413" s="315" t="str">
        <f t="shared" si="35"/>
        <v/>
      </c>
      <c r="E1413" s="315" t="str">
        <f t="shared" si="36"/>
        <v/>
      </c>
      <c r="F1413" s="318"/>
      <c r="G1413" s="318"/>
      <c r="H1413" s="318"/>
      <c r="I1413" s="318"/>
      <c r="J1413" s="318"/>
      <c r="K1413" s="319">
        <f t="shared" si="39"/>
        <v>0</v>
      </c>
      <c r="L1413" s="320" t="str">
        <f t="shared" si="34"/>
        <v/>
      </c>
      <c r="M1413" s="239"/>
      <c r="T1413" s="344"/>
      <c r="U1413" s="345"/>
      <c r="V1413" s="346"/>
    </row>
    <row r="1414">
      <c r="A1414" s="339"/>
      <c r="B1414" s="313"/>
      <c r="C1414" s="314"/>
      <c r="D1414" s="315" t="str">
        <f t="shared" si="35"/>
        <v/>
      </c>
      <c r="E1414" s="315" t="str">
        <f t="shared" si="36"/>
        <v/>
      </c>
      <c r="F1414" s="318"/>
      <c r="G1414" s="318"/>
      <c r="H1414" s="318"/>
      <c r="I1414" s="318"/>
      <c r="J1414" s="318"/>
      <c r="K1414" s="319">
        <f t="shared" si="39"/>
        <v>0</v>
      </c>
      <c r="L1414" s="320" t="str">
        <f t="shared" si="34"/>
        <v/>
      </c>
      <c r="M1414" s="239"/>
      <c r="T1414" s="344"/>
      <c r="U1414" s="345"/>
      <c r="V1414" s="346"/>
    </row>
    <row r="1415">
      <c r="A1415" s="339"/>
      <c r="B1415" s="313"/>
      <c r="C1415" s="314"/>
      <c r="D1415" s="315" t="str">
        <f t="shared" si="35"/>
        <v/>
      </c>
      <c r="E1415" s="315" t="str">
        <f t="shared" si="36"/>
        <v/>
      </c>
      <c r="F1415" s="318"/>
      <c r="G1415" s="318"/>
      <c r="H1415" s="318"/>
      <c r="I1415" s="318"/>
      <c r="J1415" s="318"/>
      <c r="K1415" s="319">
        <f t="shared" si="39"/>
        <v>0</v>
      </c>
      <c r="L1415" s="320" t="str">
        <f t="shared" si="34"/>
        <v/>
      </c>
      <c r="M1415" s="239"/>
      <c r="T1415" s="344"/>
      <c r="U1415" s="345"/>
      <c r="V1415" s="346"/>
    </row>
    <row r="1416">
      <c r="A1416" s="339"/>
      <c r="B1416" s="313"/>
      <c r="C1416" s="314"/>
      <c r="D1416" s="315" t="str">
        <f t="shared" si="35"/>
        <v/>
      </c>
      <c r="E1416" s="315" t="str">
        <f t="shared" si="36"/>
        <v/>
      </c>
      <c r="F1416" s="318"/>
      <c r="G1416" s="318"/>
      <c r="H1416" s="318"/>
      <c r="I1416" s="318"/>
      <c r="J1416" s="318"/>
      <c r="K1416" s="319">
        <f t="shared" si="39"/>
        <v>0</v>
      </c>
      <c r="L1416" s="320" t="str">
        <f t="shared" si="34"/>
        <v/>
      </c>
      <c r="M1416" s="239"/>
      <c r="T1416" s="344"/>
      <c r="U1416" s="345"/>
      <c r="V1416" s="346"/>
    </row>
    <row r="1417">
      <c r="A1417" s="339"/>
      <c r="B1417" s="313"/>
      <c r="C1417" s="314"/>
      <c r="D1417" s="315" t="str">
        <f t="shared" si="35"/>
        <v/>
      </c>
      <c r="E1417" s="315" t="str">
        <f t="shared" si="36"/>
        <v/>
      </c>
      <c r="F1417" s="318"/>
      <c r="G1417" s="318"/>
      <c r="H1417" s="318"/>
      <c r="I1417" s="318"/>
      <c r="J1417" s="318"/>
      <c r="K1417" s="319">
        <f t="shared" si="39"/>
        <v>0</v>
      </c>
      <c r="L1417" s="320" t="str">
        <f t="shared" si="34"/>
        <v/>
      </c>
      <c r="M1417" s="239"/>
      <c r="T1417" s="344"/>
      <c r="U1417" s="345"/>
      <c r="V1417" s="346"/>
    </row>
    <row r="1418">
      <c r="A1418" s="339"/>
      <c r="B1418" s="313"/>
      <c r="C1418" s="314"/>
      <c r="D1418" s="315" t="str">
        <f t="shared" si="35"/>
        <v/>
      </c>
      <c r="E1418" s="315" t="str">
        <f t="shared" si="36"/>
        <v/>
      </c>
      <c r="F1418" s="318"/>
      <c r="G1418" s="318"/>
      <c r="H1418" s="318"/>
      <c r="I1418" s="318"/>
      <c r="J1418" s="318"/>
      <c r="K1418" s="319">
        <f t="shared" si="39"/>
        <v>0</v>
      </c>
      <c r="L1418" s="320" t="str">
        <f t="shared" si="34"/>
        <v/>
      </c>
      <c r="M1418" s="239"/>
      <c r="T1418" s="344"/>
      <c r="U1418" s="345"/>
      <c r="V1418" s="346"/>
    </row>
    <row r="1419">
      <c r="A1419" s="339"/>
      <c r="B1419" s="313"/>
      <c r="C1419" s="314"/>
      <c r="D1419" s="315" t="str">
        <f t="shared" si="35"/>
        <v/>
      </c>
      <c r="E1419" s="315" t="str">
        <f t="shared" si="36"/>
        <v/>
      </c>
      <c r="F1419" s="318"/>
      <c r="G1419" s="318"/>
      <c r="H1419" s="318"/>
      <c r="I1419" s="318"/>
      <c r="J1419" s="318"/>
      <c r="K1419" s="319">
        <f t="shared" si="39"/>
        <v>0</v>
      </c>
      <c r="L1419" s="320" t="str">
        <f t="shared" si="34"/>
        <v/>
      </c>
      <c r="M1419" s="239"/>
      <c r="T1419" s="344"/>
      <c r="U1419" s="345"/>
      <c r="V1419" s="346"/>
    </row>
    <row r="1420">
      <c r="A1420" s="339"/>
      <c r="B1420" s="313"/>
      <c r="C1420" s="314"/>
      <c r="D1420" s="315" t="str">
        <f t="shared" si="35"/>
        <v/>
      </c>
      <c r="E1420" s="315" t="str">
        <f t="shared" si="36"/>
        <v/>
      </c>
      <c r="F1420" s="318"/>
      <c r="G1420" s="318"/>
      <c r="H1420" s="318"/>
      <c r="I1420" s="318"/>
      <c r="J1420" s="318"/>
      <c r="K1420" s="319">
        <f t="shared" si="39"/>
        <v>0</v>
      </c>
      <c r="L1420" s="320" t="str">
        <f t="shared" si="34"/>
        <v/>
      </c>
      <c r="M1420" s="239"/>
      <c r="T1420" s="344"/>
      <c r="U1420" s="345"/>
      <c r="V1420" s="346"/>
    </row>
    <row r="1421">
      <c r="A1421" s="339"/>
      <c r="B1421" s="313"/>
      <c r="C1421" s="314"/>
      <c r="D1421" s="315" t="str">
        <f t="shared" si="35"/>
        <v/>
      </c>
      <c r="E1421" s="315" t="str">
        <f t="shared" si="36"/>
        <v/>
      </c>
      <c r="F1421" s="318"/>
      <c r="G1421" s="318"/>
      <c r="H1421" s="318"/>
      <c r="I1421" s="318"/>
      <c r="J1421" s="318"/>
      <c r="K1421" s="319">
        <f t="shared" si="39"/>
        <v>0</v>
      </c>
      <c r="L1421" s="320" t="str">
        <f t="shared" si="34"/>
        <v/>
      </c>
      <c r="M1421" s="239"/>
      <c r="T1421" s="344"/>
      <c r="U1421" s="345"/>
      <c r="V1421" s="346"/>
    </row>
    <row r="1422">
      <c r="A1422" s="339"/>
      <c r="B1422" s="313"/>
      <c r="C1422" s="314"/>
      <c r="D1422" s="315" t="str">
        <f t="shared" si="35"/>
        <v/>
      </c>
      <c r="E1422" s="315" t="str">
        <f t="shared" si="36"/>
        <v/>
      </c>
      <c r="F1422" s="318"/>
      <c r="G1422" s="318"/>
      <c r="H1422" s="318"/>
      <c r="I1422" s="318"/>
      <c r="J1422" s="318"/>
      <c r="K1422" s="319">
        <f t="shared" si="39"/>
        <v>0</v>
      </c>
      <c r="L1422" s="320" t="str">
        <f t="shared" si="34"/>
        <v/>
      </c>
      <c r="M1422" s="239"/>
      <c r="T1422" s="344"/>
      <c r="U1422" s="345"/>
      <c r="V1422" s="346"/>
    </row>
    <row r="1423">
      <c r="A1423" s="339"/>
      <c r="B1423" s="313"/>
      <c r="C1423" s="314"/>
      <c r="D1423" s="315" t="str">
        <f t="shared" si="35"/>
        <v/>
      </c>
      <c r="E1423" s="315" t="str">
        <f t="shared" si="36"/>
        <v/>
      </c>
      <c r="F1423" s="318"/>
      <c r="G1423" s="318"/>
      <c r="H1423" s="318"/>
      <c r="I1423" s="318"/>
      <c r="J1423" s="318"/>
      <c r="K1423" s="319">
        <f t="shared" si="39"/>
        <v>0</v>
      </c>
      <c r="L1423" s="320" t="str">
        <f t="shared" si="34"/>
        <v/>
      </c>
      <c r="M1423" s="239"/>
      <c r="T1423" s="344"/>
      <c r="U1423" s="345"/>
      <c r="V1423" s="346"/>
    </row>
    <row r="1424">
      <c r="A1424" s="339"/>
      <c r="B1424" s="313"/>
      <c r="C1424" s="314"/>
      <c r="D1424" s="315" t="str">
        <f t="shared" si="35"/>
        <v/>
      </c>
      <c r="E1424" s="315" t="str">
        <f t="shared" si="36"/>
        <v/>
      </c>
      <c r="F1424" s="318"/>
      <c r="G1424" s="318"/>
      <c r="H1424" s="318"/>
      <c r="I1424" s="318"/>
      <c r="J1424" s="318"/>
      <c r="K1424" s="319">
        <f t="shared" si="39"/>
        <v>0</v>
      </c>
      <c r="L1424" s="320" t="str">
        <f t="shared" si="34"/>
        <v/>
      </c>
      <c r="M1424" s="239"/>
      <c r="T1424" s="344"/>
      <c r="U1424" s="345"/>
      <c r="V1424" s="346"/>
    </row>
    <row r="1425">
      <c r="A1425" s="339"/>
      <c r="B1425" s="313"/>
      <c r="C1425" s="314"/>
      <c r="D1425" s="315" t="str">
        <f t="shared" si="35"/>
        <v/>
      </c>
      <c r="E1425" s="315" t="str">
        <f t="shared" si="36"/>
        <v/>
      </c>
      <c r="F1425" s="318"/>
      <c r="G1425" s="318"/>
      <c r="H1425" s="318"/>
      <c r="I1425" s="318"/>
      <c r="J1425" s="318"/>
      <c r="K1425" s="319">
        <f t="shared" si="39"/>
        <v>0</v>
      </c>
      <c r="L1425" s="320" t="str">
        <f t="shared" si="34"/>
        <v/>
      </c>
      <c r="M1425" s="239"/>
      <c r="T1425" s="344"/>
      <c r="U1425" s="345"/>
      <c r="V1425" s="346"/>
    </row>
    <row r="1426">
      <c r="A1426" s="339"/>
      <c r="B1426" s="313"/>
      <c r="C1426" s="314"/>
      <c r="D1426" s="315" t="str">
        <f t="shared" si="35"/>
        <v/>
      </c>
      <c r="E1426" s="315" t="str">
        <f t="shared" si="36"/>
        <v/>
      </c>
      <c r="F1426" s="318"/>
      <c r="G1426" s="318"/>
      <c r="H1426" s="318"/>
      <c r="I1426" s="318"/>
      <c r="J1426" s="318"/>
      <c r="K1426" s="319">
        <f t="shared" si="39"/>
        <v>0</v>
      </c>
      <c r="L1426" s="320" t="str">
        <f t="shared" si="34"/>
        <v/>
      </c>
      <c r="M1426" s="239"/>
      <c r="T1426" s="344"/>
      <c r="U1426" s="345"/>
      <c r="V1426" s="346"/>
    </row>
    <row r="1427">
      <c r="A1427" s="339"/>
      <c r="B1427" s="313"/>
      <c r="C1427" s="314"/>
      <c r="D1427" s="315" t="str">
        <f t="shared" si="35"/>
        <v/>
      </c>
      <c r="E1427" s="315" t="str">
        <f t="shared" si="36"/>
        <v/>
      </c>
      <c r="F1427" s="318"/>
      <c r="G1427" s="318"/>
      <c r="H1427" s="318"/>
      <c r="I1427" s="318"/>
      <c r="J1427" s="318"/>
      <c r="K1427" s="319">
        <f t="shared" si="39"/>
        <v>0</v>
      </c>
      <c r="L1427" s="320" t="str">
        <f t="shared" si="34"/>
        <v/>
      </c>
      <c r="M1427" s="239"/>
      <c r="T1427" s="344"/>
      <c r="U1427" s="345"/>
      <c r="V1427" s="346"/>
    </row>
    <row r="1428">
      <c r="A1428" s="339"/>
      <c r="B1428" s="313"/>
      <c r="C1428" s="314"/>
      <c r="D1428" s="315" t="str">
        <f t="shared" si="35"/>
        <v/>
      </c>
      <c r="E1428" s="315" t="str">
        <f t="shared" si="36"/>
        <v/>
      </c>
      <c r="F1428" s="318"/>
      <c r="G1428" s="318"/>
      <c r="H1428" s="318"/>
      <c r="I1428" s="318"/>
      <c r="J1428" s="318"/>
      <c r="K1428" s="319">
        <f t="shared" si="39"/>
        <v>0</v>
      </c>
      <c r="L1428" s="320" t="str">
        <f t="shared" si="34"/>
        <v/>
      </c>
      <c r="M1428" s="239"/>
      <c r="T1428" s="344"/>
      <c r="U1428" s="345"/>
      <c r="V1428" s="346"/>
    </row>
    <row r="1429">
      <c r="A1429" s="339"/>
      <c r="B1429" s="313"/>
      <c r="C1429" s="314"/>
      <c r="D1429" s="315" t="str">
        <f t="shared" si="35"/>
        <v/>
      </c>
      <c r="E1429" s="315" t="str">
        <f t="shared" si="36"/>
        <v/>
      </c>
      <c r="F1429" s="318"/>
      <c r="G1429" s="318"/>
      <c r="H1429" s="318"/>
      <c r="I1429" s="318"/>
      <c r="J1429" s="318"/>
      <c r="K1429" s="319">
        <f t="shared" si="39"/>
        <v>0</v>
      </c>
      <c r="L1429" s="320" t="str">
        <f t="shared" si="34"/>
        <v/>
      </c>
      <c r="M1429" s="239"/>
      <c r="T1429" s="344"/>
      <c r="U1429" s="345"/>
      <c r="V1429" s="346"/>
    </row>
    <row r="1430">
      <c r="A1430" s="339"/>
      <c r="B1430" s="313"/>
      <c r="C1430" s="314"/>
      <c r="D1430" s="315" t="str">
        <f t="shared" si="35"/>
        <v/>
      </c>
      <c r="E1430" s="315" t="str">
        <f t="shared" si="36"/>
        <v/>
      </c>
      <c r="F1430" s="318"/>
      <c r="G1430" s="318"/>
      <c r="H1430" s="318"/>
      <c r="I1430" s="318"/>
      <c r="J1430" s="318"/>
      <c r="K1430" s="319">
        <f t="shared" si="39"/>
        <v>0</v>
      </c>
      <c r="L1430" s="320" t="str">
        <f t="shared" si="34"/>
        <v/>
      </c>
      <c r="M1430" s="239"/>
      <c r="T1430" s="344"/>
      <c r="U1430" s="345"/>
      <c r="V1430" s="346"/>
    </row>
    <row r="1431">
      <c r="A1431" s="339"/>
      <c r="B1431" s="313"/>
      <c r="C1431" s="314"/>
      <c r="D1431" s="315" t="str">
        <f t="shared" si="35"/>
        <v/>
      </c>
      <c r="E1431" s="315" t="str">
        <f t="shared" si="36"/>
        <v/>
      </c>
      <c r="F1431" s="318"/>
      <c r="G1431" s="318"/>
      <c r="H1431" s="318"/>
      <c r="I1431" s="318"/>
      <c r="J1431" s="318"/>
      <c r="K1431" s="319">
        <f t="shared" si="39"/>
        <v>0</v>
      </c>
      <c r="L1431" s="320" t="str">
        <f t="shared" si="34"/>
        <v/>
      </c>
      <c r="M1431" s="239"/>
      <c r="T1431" s="344"/>
      <c r="U1431" s="345"/>
      <c r="V1431" s="346"/>
    </row>
    <row r="1432">
      <c r="A1432" s="339"/>
      <c r="B1432" s="313"/>
      <c r="C1432" s="314"/>
      <c r="D1432" s="315" t="str">
        <f t="shared" si="35"/>
        <v/>
      </c>
      <c r="E1432" s="315" t="str">
        <f t="shared" si="36"/>
        <v/>
      </c>
      <c r="F1432" s="318"/>
      <c r="G1432" s="318"/>
      <c r="H1432" s="318"/>
      <c r="I1432" s="318"/>
      <c r="J1432" s="318"/>
      <c r="K1432" s="319">
        <f t="shared" si="39"/>
        <v>0</v>
      </c>
      <c r="L1432" s="320" t="str">
        <f t="shared" si="34"/>
        <v/>
      </c>
      <c r="M1432" s="239"/>
      <c r="T1432" s="344"/>
      <c r="U1432" s="345"/>
      <c r="V1432" s="346"/>
    </row>
    <row r="1433">
      <c r="A1433" s="339"/>
      <c r="B1433" s="313"/>
      <c r="C1433" s="314"/>
      <c r="D1433" s="315" t="str">
        <f t="shared" si="35"/>
        <v/>
      </c>
      <c r="E1433" s="315" t="str">
        <f t="shared" si="36"/>
        <v/>
      </c>
      <c r="F1433" s="318"/>
      <c r="G1433" s="318"/>
      <c r="H1433" s="318"/>
      <c r="I1433" s="318"/>
      <c r="J1433" s="318"/>
      <c r="K1433" s="319">
        <f t="shared" si="39"/>
        <v>0</v>
      </c>
      <c r="L1433" s="320" t="str">
        <f t="shared" si="34"/>
        <v/>
      </c>
      <c r="M1433" s="239"/>
      <c r="T1433" s="344"/>
      <c r="U1433" s="345"/>
      <c r="V1433" s="346"/>
    </row>
    <row r="1434">
      <c r="A1434" s="339"/>
      <c r="B1434" s="313"/>
      <c r="C1434" s="314"/>
      <c r="D1434" s="315" t="str">
        <f t="shared" si="35"/>
        <v/>
      </c>
      <c r="E1434" s="315" t="str">
        <f t="shared" si="36"/>
        <v/>
      </c>
      <c r="F1434" s="318"/>
      <c r="G1434" s="318"/>
      <c r="H1434" s="318"/>
      <c r="I1434" s="318"/>
      <c r="J1434" s="318"/>
      <c r="K1434" s="319">
        <f t="shared" si="39"/>
        <v>0</v>
      </c>
      <c r="L1434" s="320" t="str">
        <f t="shared" si="34"/>
        <v/>
      </c>
      <c r="M1434" s="239"/>
      <c r="T1434" s="344"/>
      <c r="U1434" s="345"/>
      <c r="V1434" s="346"/>
    </row>
    <row r="1435">
      <c r="A1435" s="339"/>
      <c r="B1435" s="313"/>
      <c r="C1435" s="314"/>
      <c r="D1435" s="315" t="str">
        <f t="shared" si="35"/>
        <v/>
      </c>
      <c r="E1435" s="315" t="str">
        <f t="shared" si="36"/>
        <v/>
      </c>
      <c r="F1435" s="318"/>
      <c r="G1435" s="318"/>
      <c r="H1435" s="318"/>
      <c r="I1435" s="318"/>
      <c r="J1435" s="318"/>
      <c r="K1435" s="319">
        <f t="shared" si="39"/>
        <v>0</v>
      </c>
      <c r="L1435" s="320" t="str">
        <f t="shared" si="34"/>
        <v/>
      </c>
      <c r="M1435" s="239"/>
      <c r="T1435" s="344"/>
      <c r="U1435" s="345"/>
      <c r="V1435" s="346"/>
    </row>
    <row r="1436">
      <c r="A1436" s="339"/>
      <c r="B1436" s="313"/>
      <c r="C1436" s="314"/>
      <c r="D1436" s="315" t="str">
        <f t="shared" si="35"/>
        <v/>
      </c>
      <c r="E1436" s="315" t="str">
        <f t="shared" si="36"/>
        <v/>
      </c>
      <c r="F1436" s="318"/>
      <c r="G1436" s="318"/>
      <c r="H1436" s="318"/>
      <c r="I1436" s="318"/>
      <c r="J1436" s="318"/>
      <c r="K1436" s="319">
        <f t="shared" si="39"/>
        <v>0</v>
      </c>
      <c r="L1436" s="320" t="str">
        <f t="shared" si="34"/>
        <v/>
      </c>
      <c r="M1436" s="239"/>
      <c r="T1436" s="344"/>
      <c r="U1436" s="345"/>
      <c r="V1436" s="346"/>
    </row>
    <row r="1437">
      <c r="A1437" s="339"/>
      <c r="B1437" s="313"/>
      <c r="C1437" s="314"/>
      <c r="D1437" s="315" t="str">
        <f t="shared" si="35"/>
        <v/>
      </c>
      <c r="E1437" s="315" t="str">
        <f t="shared" si="36"/>
        <v/>
      </c>
      <c r="F1437" s="318"/>
      <c r="G1437" s="318"/>
      <c r="H1437" s="318"/>
      <c r="I1437" s="318"/>
      <c r="J1437" s="318"/>
      <c r="K1437" s="319">
        <f t="shared" si="39"/>
        <v>0</v>
      </c>
      <c r="L1437" s="320" t="str">
        <f t="shared" si="34"/>
        <v/>
      </c>
      <c r="M1437" s="239"/>
      <c r="T1437" s="344"/>
      <c r="U1437" s="345"/>
      <c r="V1437" s="346"/>
    </row>
    <row r="1438">
      <c r="A1438" s="339"/>
      <c r="B1438" s="313"/>
      <c r="C1438" s="314"/>
      <c r="D1438" s="315" t="str">
        <f t="shared" si="35"/>
        <v/>
      </c>
      <c r="E1438" s="315" t="str">
        <f t="shared" si="36"/>
        <v/>
      </c>
      <c r="F1438" s="318"/>
      <c r="G1438" s="318"/>
      <c r="H1438" s="318"/>
      <c r="I1438" s="318"/>
      <c r="J1438" s="318"/>
      <c r="K1438" s="319">
        <f t="shared" si="39"/>
        <v>0</v>
      </c>
      <c r="L1438" s="320" t="str">
        <f t="shared" si="34"/>
        <v/>
      </c>
      <c r="M1438" s="239"/>
      <c r="T1438" s="344"/>
      <c r="U1438" s="345"/>
      <c r="V1438" s="346"/>
    </row>
    <row r="1439">
      <c r="A1439" s="339"/>
      <c r="B1439" s="313"/>
      <c r="C1439" s="314"/>
      <c r="D1439" s="315" t="str">
        <f t="shared" si="35"/>
        <v/>
      </c>
      <c r="E1439" s="315" t="str">
        <f t="shared" si="36"/>
        <v/>
      </c>
      <c r="F1439" s="318"/>
      <c r="G1439" s="318"/>
      <c r="H1439" s="318"/>
      <c r="I1439" s="318"/>
      <c r="J1439" s="318"/>
      <c r="K1439" s="319">
        <f t="shared" si="39"/>
        <v>0</v>
      </c>
      <c r="L1439" s="320" t="str">
        <f t="shared" si="34"/>
        <v/>
      </c>
      <c r="M1439" s="239"/>
      <c r="T1439" s="344"/>
      <c r="U1439" s="345"/>
      <c r="V1439" s="346"/>
    </row>
    <row r="1440">
      <c r="A1440" s="339"/>
      <c r="B1440" s="313"/>
      <c r="C1440" s="314"/>
      <c r="D1440" s="315" t="str">
        <f t="shared" si="35"/>
        <v/>
      </c>
      <c r="E1440" s="315" t="str">
        <f t="shared" si="36"/>
        <v/>
      </c>
      <c r="F1440" s="318"/>
      <c r="G1440" s="318"/>
      <c r="H1440" s="318"/>
      <c r="I1440" s="318"/>
      <c r="J1440" s="318"/>
      <c r="K1440" s="319">
        <f t="shared" si="39"/>
        <v>0</v>
      </c>
      <c r="L1440" s="320" t="str">
        <f t="shared" si="34"/>
        <v/>
      </c>
      <c r="M1440" s="239"/>
      <c r="T1440" s="344"/>
      <c r="U1440" s="345"/>
      <c r="V1440" s="346"/>
    </row>
    <row r="1441">
      <c r="A1441" s="339"/>
      <c r="B1441" s="313"/>
      <c r="C1441" s="314"/>
      <c r="D1441" s="315" t="str">
        <f t="shared" si="35"/>
        <v/>
      </c>
      <c r="E1441" s="315" t="str">
        <f t="shared" si="36"/>
        <v/>
      </c>
      <c r="F1441" s="318"/>
      <c r="G1441" s="318"/>
      <c r="H1441" s="318"/>
      <c r="I1441" s="318"/>
      <c r="J1441" s="318"/>
      <c r="K1441" s="319">
        <f t="shared" si="39"/>
        <v>0</v>
      </c>
      <c r="L1441" s="320" t="str">
        <f t="shared" si="34"/>
        <v/>
      </c>
      <c r="M1441" s="239"/>
      <c r="T1441" s="344"/>
      <c r="U1441" s="345"/>
      <c r="V1441" s="346"/>
    </row>
    <row r="1442">
      <c r="A1442" s="339"/>
      <c r="B1442" s="313"/>
      <c r="C1442" s="314"/>
      <c r="D1442" s="315" t="str">
        <f t="shared" si="35"/>
        <v/>
      </c>
      <c r="E1442" s="315" t="str">
        <f t="shared" si="36"/>
        <v/>
      </c>
      <c r="F1442" s="318"/>
      <c r="G1442" s="318"/>
      <c r="H1442" s="318"/>
      <c r="I1442" s="318"/>
      <c r="J1442" s="318"/>
      <c r="K1442" s="319">
        <f t="shared" si="39"/>
        <v>0</v>
      </c>
      <c r="L1442" s="320" t="str">
        <f t="shared" si="34"/>
        <v/>
      </c>
      <c r="M1442" s="239"/>
      <c r="T1442" s="344"/>
      <c r="U1442" s="345"/>
      <c r="V1442" s="346"/>
    </row>
    <row r="1443">
      <c r="A1443" s="339"/>
      <c r="B1443" s="313"/>
      <c r="C1443" s="314"/>
      <c r="D1443" s="315" t="str">
        <f t="shared" si="35"/>
        <v/>
      </c>
      <c r="E1443" s="315" t="str">
        <f t="shared" si="36"/>
        <v/>
      </c>
      <c r="F1443" s="318"/>
      <c r="G1443" s="318"/>
      <c r="H1443" s="318"/>
      <c r="I1443" s="318"/>
      <c r="J1443" s="318"/>
      <c r="K1443" s="319">
        <f t="shared" si="39"/>
        <v>0</v>
      </c>
      <c r="L1443" s="320" t="str">
        <f t="shared" si="34"/>
        <v/>
      </c>
      <c r="M1443" s="239"/>
      <c r="T1443" s="344"/>
      <c r="U1443" s="345"/>
      <c r="V1443" s="346"/>
    </row>
    <row r="1444">
      <c r="A1444" s="339"/>
      <c r="B1444" s="313"/>
      <c r="C1444" s="314"/>
      <c r="D1444" s="315" t="str">
        <f t="shared" si="35"/>
        <v/>
      </c>
      <c r="E1444" s="315" t="str">
        <f t="shared" si="36"/>
        <v/>
      </c>
      <c r="F1444" s="318"/>
      <c r="G1444" s="318"/>
      <c r="H1444" s="318"/>
      <c r="I1444" s="318"/>
      <c r="J1444" s="318"/>
      <c r="K1444" s="319">
        <f t="shared" si="39"/>
        <v>0</v>
      </c>
      <c r="L1444" s="320" t="str">
        <f t="shared" si="34"/>
        <v/>
      </c>
      <c r="M1444" s="239"/>
      <c r="T1444" s="344"/>
      <c r="U1444" s="345"/>
      <c r="V1444" s="346"/>
    </row>
    <row r="1445">
      <c r="A1445" s="339"/>
      <c r="B1445" s="313"/>
      <c r="C1445" s="314"/>
      <c r="D1445" s="315" t="str">
        <f t="shared" si="35"/>
        <v/>
      </c>
      <c r="E1445" s="315" t="str">
        <f t="shared" si="36"/>
        <v/>
      </c>
      <c r="F1445" s="318"/>
      <c r="G1445" s="318"/>
      <c r="H1445" s="318"/>
      <c r="I1445" s="318"/>
      <c r="J1445" s="318"/>
      <c r="K1445" s="319">
        <f t="shared" si="39"/>
        <v>0</v>
      </c>
      <c r="L1445" s="320" t="str">
        <f t="shared" si="34"/>
        <v/>
      </c>
      <c r="M1445" s="239"/>
      <c r="T1445" s="344"/>
      <c r="U1445" s="345"/>
      <c r="V1445" s="346"/>
    </row>
    <row r="1446">
      <c r="A1446" s="339"/>
      <c r="B1446" s="313"/>
      <c r="C1446" s="314"/>
      <c r="D1446" s="315" t="str">
        <f t="shared" si="35"/>
        <v/>
      </c>
      <c r="E1446" s="315" t="str">
        <f t="shared" si="36"/>
        <v/>
      </c>
      <c r="F1446" s="318"/>
      <c r="G1446" s="318"/>
      <c r="H1446" s="318"/>
      <c r="I1446" s="318"/>
      <c r="J1446" s="318"/>
      <c r="K1446" s="319">
        <f t="shared" si="39"/>
        <v>0</v>
      </c>
      <c r="L1446" s="320" t="str">
        <f t="shared" si="34"/>
        <v/>
      </c>
      <c r="M1446" s="239"/>
      <c r="T1446" s="344"/>
      <c r="U1446" s="345"/>
      <c r="V1446" s="346"/>
    </row>
    <row r="1447">
      <c r="A1447" s="339"/>
      <c r="B1447" s="313"/>
      <c r="C1447" s="314"/>
      <c r="D1447" s="315" t="str">
        <f t="shared" si="35"/>
        <v/>
      </c>
      <c r="E1447" s="315" t="str">
        <f t="shared" si="36"/>
        <v/>
      </c>
      <c r="F1447" s="318"/>
      <c r="G1447" s="318"/>
      <c r="H1447" s="318"/>
      <c r="I1447" s="318"/>
      <c r="J1447" s="318"/>
      <c r="K1447" s="319">
        <f t="shared" si="39"/>
        <v>0</v>
      </c>
      <c r="L1447" s="320" t="str">
        <f t="shared" si="34"/>
        <v/>
      </c>
      <c r="M1447" s="239"/>
      <c r="T1447" s="344"/>
      <c r="U1447" s="345"/>
      <c r="V1447" s="346"/>
    </row>
    <row r="1448">
      <c r="A1448" s="339"/>
      <c r="B1448" s="313"/>
      <c r="C1448" s="314"/>
      <c r="D1448" s="315" t="str">
        <f t="shared" si="35"/>
        <v/>
      </c>
      <c r="E1448" s="315" t="str">
        <f t="shared" si="36"/>
        <v/>
      </c>
      <c r="F1448" s="318"/>
      <c r="G1448" s="318"/>
      <c r="H1448" s="318"/>
      <c r="I1448" s="318"/>
      <c r="J1448" s="318"/>
      <c r="K1448" s="319">
        <f t="shared" si="39"/>
        <v>0</v>
      </c>
      <c r="L1448" s="320" t="str">
        <f t="shared" si="34"/>
        <v/>
      </c>
      <c r="M1448" s="239"/>
      <c r="T1448" s="344"/>
      <c r="U1448" s="345"/>
      <c r="V1448" s="346"/>
    </row>
    <row r="1449">
      <c r="A1449" s="339"/>
      <c r="B1449" s="313"/>
      <c r="C1449" s="314"/>
      <c r="D1449" s="315" t="str">
        <f t="shared" si="35"/>
        <v/>
      </c>
      <c r="E1449" s="315" t="str">
        <f t="shared" si="36"/>
        <v/>
      </c>
      <c r="F1449" s="318"/>
      <c r="G1449" s="318"/>
      <c r="H1449" s="318"/>
      <c r="I1449" s="318"/>
      <c r="J1449" s="318"/>
      <c r="K1449" s="319">
        <f t="shared" si="39"/>
        <v>0</v>
      </c>
      <c r="L1449" s="320" t="str">
        <f t="shared" si="34"/>
        <v/>
      </c>
      <c r="M1449" s="239"/>
      <c r="T1449" s="344"/>
      <c r="U1449" s="345"/>
      <c r="V1449" s="346"/>
    </row>
    <row r="1450">
      <c r="A1450" s="339"/>
      <c r="B1450" s="313"/>
      <c r="C1450" s="314"/>
      <c r="D1450" s="315" t="str">
        <f t="shared" si="35"/>
        <v/>
      </c>
      <c r="E1450" s="315" t="str">
        <f t="shared" si="36"/>
        <v/>
      </c>
      <c r="F1450" s="318"/>
      <c r="G1450" s="318"/>
      <c r="H1450" s="318"/>
      <c r="I1450" s="318"/>
      <c r="J1450" s="318"/>
      <c r="K1450" s="319">
        <f t="shared" si="39"/>
        <v>0</v>
      </c>
      <c r="L1450" s="320" t="str">
        <f t="shared" si="34"/>
        <v/>
      </c>
      <c r="M1450" s="239"/>
      <c r="T1450" s="344"/>
      <c r="U1450" s="345"/>
      <c r="V1450" s="346"/>
    </row>
    <row r="1451">
      <c r="A1451" s="339"/>
      <c r="B1451" s="313"/>
      <c r="C1451" s="314"/>
      <c r="D1451" s="315" t="str">
        <f t="shared" si="35"/>
        <v/>
      </c>
      <c r="E1451" s="315" t="str">
        <f t="shared" si="36"/>
        <v/>
      </c>
      <c r="F1451" s="318"/>
      <c r="G1451" s="318"/>
      <c r="H1451" s="318"/>
      <c r="I1451" s="318"/>
      <c r="J1451" s="318"/>
      <c r="K1451" s="319">
        <f t="shared" si="39"/>
        <v>0</v>
      </c>
      <c r="L1451" s="320" t="str">
        <f t="shared" si="34"/>
        <v/>
      </c>
      <c r="M1451" s="239"/>
      <c r="T1451" s="344"/>
      <c r="U1451" s="345"/>
      <c r="V1451" s="346"/>
    </row>
    <row r="1452">
      <c r="A1452" s="339"/>
      <c r="B1452" s="313"/>
      <c r="C1452" s="314"/>
      <c r="D1452" s="315" t="str">
        <f t="shared" si="35"/>
        <v/>
      </c>
      <c r="E1452" s="315" t="str">
        <f t="shared" si="36"/>
        <v/>
      </c>
      <c r="F1452" s="318"/>
      <c r="G1452" s="318"/>
      <c r="H1452" s="318"/>
      <c r="I1452" s="318"/>
      <c r="J1452" s="318"/>
      <c r="K1452" s="319">
        <f t="shared" si="39"/>
        <v>0</v>
      </c>
      <c r="L1452" s="320" t="str">
        <f t="shared" si="34"/>
        <v/>
      </c>
      <c r="M1452" s="239"/>
      <c r="T1452" s="344"/>
      <c r="U1452" s="345"/>
      <c r="V1452" s="346"/>
    </row>
    <row r="1453">
      <c r="A1453" s="339"/>
      <c r="B1453" s="313"/>
      <c r="C1453" s="314"/>
      <c r="D1453" s="315" t="str">
        <f t="shared" si="35"/>
        <v/>
      </c>
      <c r="E1453" s="315" t="str">
        <f t="shared" si="36"/>
        <v/>
      </c>
      <c r="F1453" s="318"/>
      <c r="G1453" s="318"/>
      <c r="H1453" s="318"/>
      <c r="I1453" s="318"/>
      <c r="J1453" s="318"/>
      <c r="K1453" s="319">
        <f t="shared" si="39"/>
        <v>0</v>
      </c>
      <c r="L1453" s="320" t="str">
        <f t="shared" si="34"/>
        <v/>
      </c>
      <c r="M1453" s="239"/>
      <c r="T1453" s="344"/>
      <c r="U1453" s="345"/>
      <c r="V1453" s="346"/>
    </row>
    <row r="1454">
      <c r="A1454" s="339"/>
      <c r="B1454" s="313"/>
      <c r="C1454" s="314"/>
      <c r="D1454" s="315" t="str">
        <f t="shared" si="35"/>
        <v/>
      </c>
      <c r="E1454" s="315" t="str">
        <f t="shared" si="36"/>
        <v/>
      </c>
      <c r="F1454" s="318"/>
      <c r="G1454" s="318"/>
      <c r="H1454" s="318"/>
      <c r="I1454" s="318"/>
      <c r="J1454" s="318"/>
      <c r="K1454" s="319">
        <f t="shared" si="39"/>
        <v>0</v>
      </c>
      <c r="L1454" s="320" t="str">
        <f t="shared" si="34"/>
        <v/>
      </c>
      <c r="M1454" s="239"/>
      <c r="T1454" s="344"/>
      <c r="U1454" s="345"/>
      <c r="V1454" s="346"/>
    </row>
    <row r="1455">
      <c r="A1455" s="339"/>
      <c r="B1455" s="313"/>
      <c r="C1455" s="314"/>
      <c r="D1455" s="315" t="str">
        <f t="shared" si="35"/>
        <v/>
      </c>
      <c r="E1455" s="315" t="str">
        <f t="shared" si="36"/>
        <v/>
      </c>
      <c r="F1455" s="318"/>
      <c r="G1455" s="318"/>
      <c r="H1455" s="318"/>
      <c r="I1455" s="318"/>
      <c r="J1455" s="318"/>
      <c r="K1455" s="319">
        <f t="shared" si="39"/>
        <v>0</v>
      </c>
      <c r="L1455" s="320" t="str">
        <f t="shared" si="34"/>
        <v/>
      </c>
      <c r="M1455" s="239"/>
      <c r="T1455" s="344"/>
      <c r="U1455" s="345"/>
      <c r="V1455" s="346"/>
    </row>
    <row r="1456">
      <c r="A1456" s="339"/>
      <c r="B1456" s="313"/>
      <c r="C1456" s="314"/>
      <c r="D1456" s="315" t="str">
        <f t="shared" si="35"/>
        <v/>
      </c>
      <c r="E1456" s="315" t="str">
        <f t="shared" si="36"/>
        <v/>
      </c>
      <c r="F1456" s="318"/>
      <c r="G1456" s="318"/>
      <c r="H1456" s="318"/>
      <c r="I1456" s="318"/>
      <c r="J1456" s="318"/>
      <c r="K1456" s="319">
        <f t="shared" si="39"/>
        <v>0</v>
      </c>
      <c r="L1456" s="320" t="str">
        <f t="shared" si="34"/>
        <v/>
      </c>
      <c r="M1456" s="239"/>
      <c r="T1456" s="344"/>
      <c r="U1456" s="345"/>
      <c r="V1456" s="346"/>
    </row>
    <row r="1457">
      <c r="A1457" s="339"/>
      <c r="B1457" s="313"/>
      <c r="C1457" s="314"/>
      <c r="D1457" s="315" t="str">
        <f t="shared" si="35"/>
        <v/>
      </c>
      <c r="E1457" s="315" t="str">
        <f t="shared" si="36"/>
        <v/>
      </c>
      <c r="F1457" s="318"/>
      <c r="G1457" s="318"/>
      <c r="H1457" s="318"/>
      <c r="I1457" s="318"/>
      <c r="J1457" s="318"/>
      <c r="K1457" s="319">
        <f t="shared" si="39"/>
        <v>0</v>
      </c>
      <c r="L1457" s="320" t="str">
        <f t="shared" si="34"/>
        <v/>
      </c>
      <c r="M1457" s="239"/>
      <c r="T1457" s="344"/>
      <c r="U1457" s="345"/>
      <c r="V1457" s="346"/>
    </row>
    <row r="1458">
      <c r="A1458" s="339"/>
      <c r="B1458" s="313"/>
      <c r="C1458" s="314"/>
      <c r="D1458" s="315" t="str">
        <f t="shared" si="35"/>
        <v/>
      </c>
      <c r="E1458" s="315" t="str">
        <f t="shared" si="36"/>
        <v/>
      </c>
      <c r="F1458" s="318"/>
      <c r="G1458" s="318"/>
      <c r="H1458" s="318"/>
      <c r="I1458" s="318"/>
      <c r="J1458" s="318"/>
      <c r="K1458" s="319">
        <f t="shared" si="39"/>
        <v>0</v>
      </c>
      <c r="L1458" s="320" t="str">
        <f t="shared" si="34"/>
        <v/>
      </c>
      <c r="M1458" s="239"/>
      <c r="T1458" s="344"/>
      <c r="U1458" s="345"/>
      <c r="V1458" s="346"/>
    </row>
    <row r="1459">
      <c r="A1459" s="339"/>
      <c r="B1459" s="313"/>
      <c r="C1459" s="314"/>
      <c r="D1459" s="315" t="str">
        <f t="shared" si="35"/>
        <v/>
      </c>
      <c r="E1459" s="315" t="str">
        <f t="shared" si="36"/>
        <v/>
      </c>
      <c r="F1459" s="318"/>
      <c r="G1459" s="318"/>
      <c r="H1459" s="318"/>
      <c r="I1459" s="318"/>
      <c r="J1459" s="318"/>
      <c r="K1459" s="319">
        <f t="shared" si="39"/>
        <v>0</v>
      </c>
      <c r="L1459" s="320" t="str">
        <f t="shared" si="34"/>
        <v/>
      </c>
      <c r="M1459" s="239"/>
      <c r="T1459" s="344"/>
      <c r="U1459" s="345"/>
      <c r="V1459" s="346"/>
    </row>
    <row r="1460">
      <c r="A1460" s="339"/>
      <c r="B1460" s="313"/>
      <c r="C1460" s="314"/>
      <c r="D1460" s="315" t="str">
        <f t="shared" si="35"/>
        <v/>
      </c>
      <c r="E1460" s="315" t="str">
        <f t="shared" si="36"/>
        <v/>
      </c>
      <c r="F1460" s="318"/>
      <c r="G1460" s="318"/>
      <c r="H1460" s="318"/>
      <c r="I1460" s="318"/>
      <c r="J1460" s="318"/>
      <c r="K1460" s="319">
        <f t="shared" si="39"/>
        <v>0</v>
      </c>
      <c r="L1460" s="320" t="str">
        <f t="shared" si="34"/>
        <v/>
      </c>
      <c r="M1460" s="239"/>
      <c r="T1460" s="344"/>
      <c r="U1460" s="345"/>
      <c r="V1460" s="346"/>
    </row>
    <row r="1461">
      <c r="A1461" s="339"/>
      <c r="B1461" s="313"/>
      <c r="C1461" s="314"/>
      <c r="D1461" s="315" t="str">
        <f t="shared" si="35"/>
        <v/>
      </c>
      <c r="E1461" s="315" t="str">
        <f t="shared" si="36"/>
        <v/>
      </c>
      <c r="F1461" s="318"/>
      <c r="G1461" s="318"/>
      <c r="H1461" s="318"/>
      <c r="I1461" s="318"/>
      <c r="J1461" s="318"/>
      <c r="K1461" s="319">
        <f t="shared" si="39"/>
        <v>0</v>
      </c>
      <c r="L1461" s="320" t="str">
        <f t="shared" si="34"/>
        <v/>
      </c>
      <c r="M1461" s="239"/>
      <c r="T1461" s="344"/>
      <c r="U1461" s="345"/>
      <c r="V1461" s="346"/>
    </row>
    <row r="1462">
      <c r="A1462" s="339"/>
      <c r="B1462" s="313"/>
      <c r="C1462" s="314"/>
      <c r="D1462" s="315" t="str">
        <f t="shared" si="35"/>
        <v/>
      </c>
      <c r="E1462" s="315" t="str">
        <f t="shared" si="36"/>
        <v/>
      </c>
      <c r="F1462" s="318"/>
      <c r="G1462" s="318"/>
      <c r="H1462" s="318"/>
      <c r="I1462" s="318"/>
      <c r="J1462" s="318"/>
      <c r="K1462" s="319">
        <f t="shared" si="39"/>
        <v>0</v>
      </c>
      <c r="L1462" s="320" t="str">
        <f t="shared" si="34"/>
        <v/>
      </c>
      <c r="M1462" s="239"/>
      <c r="T1462" s="344"/>
      <c r="U1462" s="345"/>
      <c r="V1462" s="346"/>
    </row>
    <row r="1463">
      <c r="A1463" s="339"/>
      <c r="B1463" s="313"/>
      <c r="C1463" s="314"/>
      <c r="D1463" s="315" t="str">
        <f t="shared" si="35"/>
        <v/>
      </c>
      <c r="E1463" s="315" t="str">
        <f t="shared" si="36"/>
        <v/>
      </c>
      <c r="F1463" s="318"/>
      <c r="G1463" s="318"/>
      <c r="H1463" s="318"/>
      <c r="I1463" s="318"/>
      <c r="J1463" s="318"/>
      <c r="K1463" s="319">
        <f t="shared" si="39"/>
        <v>0</v>
      </c>
      <c r="L1463" s="320" t="str">
        <f t="shared" si="34"/>
        <v/>
      </c>
      <c r="M1463" s="239"/>
      <c r="T1463" s="344"/>
      <c r="U1463" s="345"/>
      <c r="V1463" s="346"/>
    </row>
    <row r="1464">
      <c r="A1464" s="339"/>
      <c r="B1464" s="313"/>
      <c r="C1464" s="314"/>
      <c r="D1464" s="315" t="str">
        <f t="shared" si="35"/>
        <v/>
      </c>
      <c r="E1464" s="315" t="str">
        <f t="shared" si="36"/>
        <v/>
      </c>
      <c r="F1464" s="318"/>
      <c r="G1464" s="318"/>
      <c r="H1464" s="318"/>
      <c r="I1464" s="318"/>
      <c r="J1464" s="318"/>
      <c r="K1464" s="319">
        <f t="shared" si="39"/>
        <v>0</v>
      </c>
      <c r="L1464" s="320" t="str">
        <f t="shared" si="34"/>
        <v/>
      </c>
      <c r="M1464" s="239"/>
      <c r="T1464" s="344"/>
      <c r="U1464" s="345"/>
      <c r="V1464" s="346"/>
    </row>
    <row r="1465">
      <c r="A1465" s="339"/>
      <c r="B1465" s="313"/>
      <c r="C1465" s="314"/>
      <c r="D1465" s="315" t="str">
        <f t="shared" si="35"/>
        <v/>
      </c>
      <c r="E1465" s="315" t="str">
        <f t="shared" si="36"/>
        <v/>
      </c>
      <c r="F1465" s="318"/>
      <c r="G1465" s="318"/>
      <c r="H1465" s="318"/>
      <c r="I1465" s="318"/>
      <c r="J1465" s="318"/>
      <c r="K1465" s="319">
        <f t="shared" si="39"/>
        <v>0</v>
      </c>
      <c r="L1465" s="320" t="str">
        <f t="shared" si="34"/>
        <v/>
      </c>
      <c r="M1465" s="239"/>
      <c r="T1465" s="344"/>
      <c r="U1465" s="345"/>
      <c r="V1465" s="346"/>
    </row>
    <row r="1466">
      <c r="A1466" s="339"/>
      <c r="B1466" s="313"/>
      <c r="C1466" s="314"/>
      <c r="D1466" s="315" t="str">
        <f t="shared" si="35"/>
        <v/>
      </c>
      <c r="E1466" s="315" t="str">
        <f t="shared" si="36"/>
        <v/>
      </c>
      <c r="F1466" s="318"/>
      <c r="G1466" s="318"/>
      <c r="H1466" s="318"/>
      <c r="I1466" s="318"/>
      <c r="J1466" s="318"/>
      <c r="K1466" s="319">
        <f t="shared" si="39"/>
        <v>0</v>
      </c>
      <c r="L1466" s="320" t="str">
        <f t="shared" si="34"/>
        <v/>
      </c>
      <c r="M1466" s="239"/>
      <c r="T1466" s="344"/>
      <c r="U1466" s="345"/>
      <c r="V1466" s="346"/>
    </row>
    <row r="1467">
      <c r="A1467" s="339"/>
      <c r="B1467" s="313"/>
      <c r="C1467" s="314"/>
      <c r="D1467" s="315" t="str">
        <f t="shared" si="35"/>
        <v/>
      </c>
      <c r="E1467" s="315" t="str">
        <f t="shared" si="36"/>
        <v/>
      </c>
      <c r="F1467" s="318"/>
      <c r="G1467" s="318"/>
      <c r="H1467" s="318"/>
      <c r="I1467" s="318"/>
      <c r="J1467" s="318"/>
      <c r="K1467" s="319">
        <f t="shared" si="39"/>
        <v>0</v>
      </c>
      <c r="L1467" s="320" t="str">
        <f t="shared" si="34"/>
        <v/>
      </c>
      <c r="M1467" s="239"/>
      <c r="T1467" s="344"/>
      <c r="U1467" s="345"/>
      <c r="V1467" s="346"/>
    </row>
    <row r="1468">
      <c r="A1468" s="339"/>
      <c r="B1468" s="313"/>
      <c r="C1468" s="314"/>
      <c r="D1468" s="315" t="str">
        <f t="shared" si="35"/>
        <v/>
      </c>
      <c r="E1468" s="315" t="str">
        <f t="shared" si="36"/>
        <v/>
      </c>
      <c r="F1468" s="318"/>
      <c r="G1468" s="318"/>
      <c r="H1468" s="318"/>
      <c r="I1468" s="318"/>
      <c r="J1468" s="318"/>
      <c r="K1468" s="319">
        <f t="shared" si="39"/>
        <v>0</v>
      </c>
      <c r="L1468" s="320" t="str">
        <f t="shared" si="34"/>
        <v/>
      </c>
      <c r="M1468" s="239"/>
      <c r="T1468" s="344"/>
      <c r="U1468" s="345"/>
      <c r="V1468" s="346"/>
    </row>
    <row r="1469">
      <c r="A1469" s="339"/>
      <c r="B1469" s="313"/>
      <c r="C1469" s="314"/>
      <c r="D1469" s="315" t="str">
        <f t="shared" si="35"/>
        <v/>
      </c>
      <c r="E1469" s="315" t="str">
        <f t="shared" si="36"/>
        <v/>
      </c>
      <c r="F1469" s="318"/>
      <c r="G1469" s="318"/>
      <c r="H1469" s="318"/>
      <c r="I1469" s="318"/>
      <c r="J1469" s="318"/>
      <c r="K1469" s="319">
        <f t="shared" si="39"/>
        <v>0</v>
      </c>
      <c r="L1469" s="320" t="str">
        <f t="shared" si="34"/>
        <v/>
      </c>
      <c r="M1469" s="239"/>
      <c r="T1469" s="344"/>
      <c r="U1469" s="345"/>
      <c r="V1469" s="346"/>
    </row>
    <row r="1470">
      <c r="A1470" s="339"/>
      <c r="B1470" s="313"/>
      <c r="C1470" s="314"/>
      <c r="D1470" s="315" t="str">
        <f t="shared" si="35"/>
        <v/>
      </c>
      <c r="E1470" s="315" t="str">
        <f t="shared" si="36"/>
        <v/>
      </c>
      <c r="F1470" s="318"/>
      <c r="G1470" s="318"/>
      <c r="H1470" s="318"/>
      <c r="I1470" s="318"/>
      <c r="J1470" s="318"/>
      <c r="K1470" s="319">
        <f t="shared" si="39"/>
        <v>0</v>
      </c>
      <c r="L1470" s="320" t="str">
        <f t="shared" si="34"/>
        <v/>
      </c>
      <c r="M1470" s="239"/>
      <c r="T1470" s="344"/>
      <c r="U1470" s="345"/>
      <c r="V1470" s="346"/>
    </row>
    <row r="1471">
      <c r="A1471" s="339"/>
      <c r="B1471" s="313"/>
      <c r="C1471" s="314"/>
      <c r="D1471" s="315" t="str">
        <f t="shared" si="35"/>
        <v/>
      </c>
      <c r="E1471" s="315" t="str">
        <f t="shared" si="36"/>
        <v/>
      </c>
      <c r="F1471" s="318"/>
      <c r="G1471" s="318"/>
      <c r="H1471" s="318"/>
      <c r="I1471" s="318"/>
      <c r="J1471" s="318"/>
      <c r="K1471" s="319">
        <f t="shared" si="39"/>
        <v>0</v>
      </c>
      <c r="L1471" s="320" t="str">
        <f t="shared" si="34"/>
        <v/>
      </c>
      <c r="M1471" s="239"/>
      <c r="T1471" s="344"/>
      <c r="U1471" s="345"/>
      <c r="V1471" s="346"/>
    </row>
    <row r="1472">
      <c r="A1472" s="339"/>
      <c r="B1472" s="313"/>
      <c r="C1472" s="314"/>
      <c r="D1472" s="315" t="str">
        <f t="shared" si="35"/>
        <v/>
      </c>
      <c r="E1472" s="315" t="str">
        <f t="shared" si="36"/>
        <v/>
      </c>
      <c r="F1472" s="318"/>
      <c r="G1472" s="318"/>
      <c r="H1472" s="318"/>
      <c r="I1472" s="318"/>
      <c r="J1472" s="318"/>
      <c r="K1472" s="319">
        <f t="shared" si="39"/>
        <v>0</v>
      </c>
      <c r="L1472" s="320" t="str">
        <f t="shared" si="34"/>
        <v/>
      </c>
      <c r="M1472" s="239"/>
      <c r="T1472" s="344"/>
      <c r="U1472" s="345"/>
      <c r="V1472" s="346"/>
    </row>
    <row r="1473">
      <c r="A1473" s="339"/>
      <c r="B1473" s="313"/>
      <c r="C1473" s="314"/>
      <c r="D1473" s="315" t="str">
        <f t="shared" si="35"/>
        <v/>
      </c>
      <c r="E1473" s="315" t="str">
        <f t="shared" si="36"/>
        <v/>
      </c>
      <c r="F1473" s="318"/>
      <c r="G1473" s="318"/>
      <c r="H1473" s="318"/>
      <c r="I1473" s="318"/>
      <c r="J1473" s="318"/>
      <c r="K1473" s="319">
        <f t="shared" si="39"/>
        <v>0</v>
      </c>
      <c r="L1473" s="320" t="str">
        <f t="shared" si="34"/>
        <v/>
      </c>
      <c r="M1473" s="239"/>
      <c r="T1473" s="344"/>
      <c r="U1473" s="345"/>
      <c r="V1473" s="346"/>
    </row>
    <row r="1474">
      <c r="A1474" s="339"/>
      <c r="B1474" s="313"/>
      <c r="C1474" s="314"/>
      <c r="D1474" s="315" t="str">
        <f t="shared" si="35"/>
        <v/>
      </c>
      <c r="E1474" s="315" t="str">
        <f t="shared" si="36"/>
        <v/>
      </c>
      <c r="F1474" s="318"/>
      <c r="G1474" s="318"/>
      <c r="H1474" s="318"/>
      <c r="I1474" s="318"/>
      <c r="J1474" s="318"/>
      <c r="K1474" s="319">
        <f t="shared" si="39"/>
        <v>0</v>
      </c>
      <c r="L1474" s="320" t="str">
        <f t="shared" si="34"/>
        <v/>
      </c>
      <c r="M1474" s="239"/>
      <c r="T1474" s="344"/>
      <c r="U1474" s="345"/>
      <c r="V1474" s="346"/>
    </row>
    <row r="1475">
      <c r="A1475" s="339"/>
      <c r="B1475" s="313"/>
      <c r="C1475" s="314"/>
      <c r="D1475" s="315" t="str">
        <f t="shared" si="35"/>
        <v/>
      </c>
      <c r="E1475" s="315" t="str">
        <f t="shared" si="36"/>
        <v/>
      </c>
      <c r="F1475" s="318"/>
      <c r="G1475" s="318"/>
      <c r="H1475" s="318"/>
      <c r="I1475" s="318"/>
      <c r="J1475" s="318"/>
      <c r="K1475" s="319">
        <f t="shared" si="39"/>
        <v>0</v>
      </c>
      <c r="L1475" s="320" t="str">
        <f t="shared" si="34"/>
        <v/>
      </c>
      <c r="M1475" s="239"/>
      <c r="T1475" s="344"/>
      <c r="U1475" s="345"/>
      <c r="V1475" s="346"/>
    </row>
    <row r="1476">
      <c r="A1476" s="339"/>
      <c r="B1476" s="313"/>
      <c r="C1476" s="314"/>
      <c r="D1476" s="315" t="str">
        <f t="shared" si="35"/>
        <v/>
      </c>
      <c r="E1476" s="315" t="str">
        <f t="shared" si="36"/>
        <v/>
      </c>
      <c r="F1476" s="318"/>
      <c r="G1476" s="318"/>
      <c r="H1476" s="318"/>
      <c r="I1476" s="318"/>
      <c r="J1476" s="318"/>
      <c r="K1476" s="319">
        <f t="shared" si="39"/>
        <v>0</v>
      </c>
      <c r="L1476" s="320" t="str">
        <f t="shared" si="34"/>
        <v/>
      </c>
      <c r="M1476" s="239"/>
      <c r="T1476" s="344"/>
      <c r="U1476" s="345"/>
      <c r="V1476" s="346"/>
    </row>
    <row r="1477">
      <c r="A1477" s="339"/>
      <c r="B1477" s="313"/>
      <c r="C1477" s="314"/>
      <c r="D1477" s="315" t="str">
        <f t="shared" si="35"/>
        <v/>
      </c>
      <c r="E1477" s="315" t="str">
        <f t="shared" si="36"/>
        <v/>
      </c>
      <c r="F1477" s="318"/>
      <c r="G1477" s="318"/>
      <c r="H1477" s="318"/>
      <c r="I1477" s="318"/>
      <c r="J1477" s="318"/>
      <c r="K1477" s="319">
        <f t="shared" si="39"/>
        <v>0</v>
      </c>
      <c r="L1477" s="320" t="str">
        <f t="shared" si="34"/>
        <v/>
      </c>
      <c r="M1477" s="239"/>
      <c r="T1477" s="344"/>
      <c r="U1477" s="345"/>
      <c r="V1477" s="346"/>
    </row>
    <row r="1478">
      <c r="A1478" s="339"/>
      <c r="B1478" s="313"/>
      <c r="C1478" s="314"/>
      <c r="D1478" s="315" t="str">
        <f t="shared" si="35"/>
        <v/>
      </c>
      <c r="E1478" s="315" t="str">
        <f t="shared" si="36"/>
        <v/>
      </c>
      <c r="F1478" s="318"/>
      <c r="G1478" s="318"/>
      <c r="H1478" s="318"/>
      <c r="I1478" s="318"/>
      <c r="J1478" s="318"/>
      <c r="K1478" s="319">
        <f t="shared" si="39"/>
        <v>0</v>
      </c>
      <c r="L1478" s="320" t="str">
        <f t="shared" si="34"/>
        <v/>
      </c>
      <c r="M1478" s="239"/>
      <c r="T1478" s="344"/>
      <c r="U1478" s="345"/>
      <c r="V1478" s="346"/>
    </row>
    <row r="1479">
      <c r="A1479" s="339"/>
      <c r="B1479" s="313"/>
      <c r="C1479" s="314"/>
      <c r="D1479" s="315" t="str">
        <f t="shared" si="35"/>
        <v/>
      </c>
      <c r="E1479" s="315" t="str">
        <f t="shared" si="36"/>
        <v/>
      </c>
      <c r="F1479" s="318"/>
      <c r="G1479" s="318"/>
      <c r="H1479" s="318"/>
      <c r="I1479" s="318"/>
      <c r="J1479" s="318"/>
      <c r="K1479" s="319">
        <f t="shared" si="39"/>
        <v>0</v>
      </c>
      <c r="L1479" s="320" t="str">
        <f t="shared" si="34"/>
        <v/>
      </c>
      <c r="M1479" s="239"/>
      <c r="T1479" s="344"/>
      <c r="U1479" s="345"/>
      <c r="V1479" s="346"/>
    </row>
    <row r="1480">
      <c r="A1480" s="339"/>
      <c r="B1480" s="313"/>
      <c r="C1480" s="314"/>
      <c r="D1480" s="315" t="str">
        <f t="shared" si="35"/>
        <v/>
      </c>
      <c r="E1480" s="315" t="str">
        <f t="shared" si="36"/>
        <v/>
      </c>
      <c r="F1480" s="318"/>
      <c r="G1480" s="318"/>
      <c r="H1480" s="318"/>
      <c r="I1480" s="318"/>
      <c r="J1480" s="318"/>
      <c r="K1480" s="319">
        <f t="shared" si="39"/>
        <v>0</v>
      </c>
      <c r="L1480" s="320" t="str">
        <f t="shared" si="34"/>
        <v/>
      </c>
      <c r="M1480" s="239"/>
      <c r="T1480" s="344"/>
      <c r="U1480" s="345"/>
      <c r="V1480" s="346"/>
    </row>
    <row r="1481">
      <c r="A1481" s="339"/>
      <c r="B1481" s="313"/>
      <c r="C1481" s="314"/>
      <c r="D1481" s="315" t="str">
        <f t="shared" si="35"/>
        <v/>
      </c>
      <c r="E1481" s="315" t="str">
        <f t="shared" si="36"/>
        <v/>
      </c>
      <c r="F1481" s="318"/>
      <c r="G1481" s="318"/>
      <c r="H1481" s="318"/>
      <c r="I1481" s="318"/>
      <c r="J1481" s="318"/>
      <c r="K1481" s="319">
        <f t="shared" si="39"/>
        <v>0</v>
      </c>
      <c r="L1481" s="320" t="str">
        <f t="shared" si="34"/>
        <v/>
      </c>
      <c r="M1481" s="239"/>
      <c r="T1481" s="344"/>
      <c r="U1481" s="345"/>
      <c r="V1481" s="346"/>
    </row>
    <row r="1482">
      <c r="A1482" s="339"/>
      <c r="B1482" s="313"/>
      <c r="C1482" s="314"/>
      <c r="D1482" s="315" t="str">
        <f t="shared" si="35"/>
        <v/>
      </c>
      <c r="E1482" s="315" t="str">
        <f t="shared" si="36"/>
        <v/>
      </c>
      <c r="F1482" s="318"/>
      <c r="G1482" s="318"/>
      <c r="H1482" s="318"/>
      <c r="I1482" s="318"/>
      <c r="J1482" s="318"/>
      <c r="K1482" s="319">
        <f t="shared" si="39"/>
        <v>0</v>
      </c>
      <c r="L1482" s="320" t="str">
        <f t="shared" si="34"/>
        <v/>
      </c>
      <c r="M1482" s="239"/>
      <c r="T1482" s="344"/>
      <c r="U1482" s="345"/>
      <c r="V1482" s="346"/>
    </row>
    <row r="1483">
      <c r="A1483" s="339"/>
      <c r="B1483" s="313"/>
      <c r="C1483" s="314"/>
      <c r="D1483" s="315" t="str">
        <f t="shared" si="35"/>
        <v/>
      </c>
      <c r="E1483" s="315" t="str">
        <f t="shared" si="36"/>
        <v/>
      </c>
      <c r="F1483" s="318"/>
      <c r="G1483" s="318"/>
      <c r="H1483" s="318"/>
      <c r="I1483" s="318"/>
      <c r="J1483" s="318"/>
      <c r="K1483" s="319">
        <f t="shared" si="39"/>
        <v>0</v>
      </c>
      <c r="L1483" s="320" t="str">
        <f t="shared" si="34"/>
        <v/>
      </c>
      <c r="M1483" s="239"/>
      <c r="T1483" s="344"/>
      <c r="U1483" s="345"/>
      <c r="V1483" s="346"/>
    </row>
    <row r="1484">
      <c r="A1484" s="339"/>
      <c r="B1484" s="313"/>
      <c r="C1484" s="314"/>
      <c r="D1484" s="315" t="str">
        <f t="shared" si="35"/>
        <v/>
      </c>
      <c r="E1484" s="315" t="str">
        <f t="shared" si="36"/>
        <v/>
      </c>
      <c r="F1484" s="318"/>
      <c r="G1484" s="318"/>
      <c r="H1484" s="318"/>
      <c r="I1484" s="318"/>
      <c r="J1484" s="318"/>
      <c r="K1484" s="319">
        <f t="shared" si="39"/>
        <v>0</v>
      </c>
      <c r="L1484" s="320" t="str">
        <f t="shared" si="34"/>
        <v/>
      </c>
      <c r="M1484" s="239"/>
      <c r="T1484" s="344"/>
      <c r="U1484" s="345"/>
      <c r="V1484" s="346"/>
    </row>
    <row r="1485">
      <c r="A1485" s="339"/>
      <c r="B1485" s="313"/>
      <c r="C1485" s="314"/>
      <c r="D1485" s="315" t="str">
        <f t="shared" si="35"/>
        <v/>
      </c>
      <c r="E1485" s="315" t="str">
        <f t="shared" si="36"/>
        <v/>
      </c>
      <c r="F1485" s="318"/>
      <c r="G1485" s="318"/>
      <c r="H1485" s="318"/>
      <c r="I1485" s="318"/>
      <c r="J1485" s="318"/>
      <c r="K1485" s="319">
        <f t="shared" si="39"/>
        <v>0</v>
      </c>
      <c r="L1485" s="320" t="str">
        <f t="shared" si="34"/>
        <v/>
      </c>
      <c r="M1485" s="239"/>
      <c r="T1485" s="344"/>
      <c r="U1485" s="345"/>
      <c r="V1485" s="346"/>
    </row>
    <row r="1486">
      <c r="A1486" s="339"/>
      <c r="B1486" s="313"/>
      <c r="C1486" s="314"/>
      <c r="D1486" s="315" t="str">
        <f t="shared" si="35"/>
        <v/>
      </c>
      <c r="E1486" s="315" t="str">
        <f t="shared" si="36"/>
        <v/>
      </c>
      <c r="F1486" s="318"/>
      <c r="G1486" s="318"/>
      <c r="H1486" s="318"/>
      <c r="I1486" s="318"/>
      <c r="J1486" s="318"/>
      <c r="K1486" s="319">
        <f t="shared" si="39"/>
        <v>0</v>
      </c>
      <c r="L1486" s="320" t="str">
        <f t="shared" si="34"/>
        <v/>
      </c>
      <c r="M1486" s="239"/>
      <c r="T1486" s="344"/>
      <c r="U1486" s="345"/>
      <c r="V1486" s="346"/>
    </row>
    <row r="1487">
      <c r="A1487" s="339"/>
      <c r="B1487" s="313"/>
      <c r="C1487" s="314"/>
      <c r="D1487" s="315" t="str">
        <f t="shared" si="35"/>
        <v/>
      </c>
      <c r="E1487" s="315" t="str">
        <f t="shared" si="36"/>
        <v/>
      </c>
      <c r="F1487" s="318"/>
      <c r="G1487" s="318"/>
      <c r="H1487" s="318"/>
      <c r="I1487" s="318"/>
      <c r="J1487" s="318"/>
      <c r="K1487" s="319">
        <f t="shared" si="39"/>
        <v>0</v>
      </c>
      <c r="L1487" s="320" t="str">
        <f t="shared" si="34"/>
        <v/>
      </c>
      <c r="M1487" s="239"/>
      <c r="T1487" s="344"/>
      <c r="U1487" s="345"/>
      <c r="V1487" s="346"/>
    </row>
    <row r="1488">
      <c r="A1488" s="339"/>
      <c r="B1488" s="313"/>
      <c r="C1488" s="314"/>
      <c r="D1488" s="315" t="str">
        <f t="shared" si="35"/>
        <v/>
      </c>
      <c r="E1488" s="315" t="str">
        <f t="shared" si="36"/>
        <v/>
      </c>
      <c r="F1488" s="318"/>
      <c r="G1488" s="318"/>
      <c r="H1488" s="318"/>
      <c r="I1488" s="318"/>
      <c r="J1488" s="318"/>
      <c r="K1488" s="319">
        <f t="shared" si="39"/>
        <v>0</v>
      </c>
      <c r="L1488" s="320" t="str">
        <f t="shared" si="34"/>
        <v/>
      </c>
      <c r="M1488" s="239"/>
      <c r="T1488" s="344"/>
      <c r="U1488" s="345"/>
      <c r="V1488" s="346"/>
    </row>
    <row r="1489">
      <c r="A1489" s="339"/>
      <c r="B1489" s="313"/>
      <c r="C1489" s="314"/>
      <c r="D1489" s="315" t="str">
        <f t="shared" si="35"/>
        <v/>
      </c>
      <c r="E1489" s="315" t="str">
        <f t="shared" si="36"/>
        <v/>
      </c>
      <c r="F1489" s="318"/>
      <c r="G1489" s="318"/>
      <c r="H1489" s="318"/>
      <c r="I1489" s="318"/>
      <c r="J1489" s="318"/>
      <c r="K1489" s="319">
        <f t="shared" si="39"/>
        <v>0</v>
      </c>
      <c r="L1489" s="320" t="str">
        <f t="shared" si="34"/>
        <v/>
      </c>
      <c r="M1489" s="239"/>
      <c r="T1489" s="344"/>
      <c r="U1489" s="345"/>
      <c r="V1489" s="346"/>
    </row>
    <row r="1490">
      <c r="A1490" s="339"/>
      <c r="B1490" s="313"/>
      <c r="C1490" s="314"/>
      <c r="D1490" s="315" t="str">
        <f t="shared" si="35"/>
        <v/>
      </c>
      <c r="E1490" s="315" t="str">
        <f t="shared" si="36"/>
        <v/>
      </c>
      <c r="F1490" s="318"/>
      <c r="G1490" s="318"/>
      <c r="H1490" s="318"/>
      <c r="I1490" s="318"/>
      <c r="J1490" s="318"/>
      <c r="K1490" s="319">
        <f t="shared" si="39"/>
        <v>0</v>
      </c>
      <c r="L1490" s="320" t="str">
        <f t="shared" si="34"/>
        <v/>
      </c>
      <c r="M1490" s="239"/>
      <c r="T1490" s="344"/>
      <c r="U1490" s="345"/>
      <c r="V1490" s="346"/>
    </row>
    <row r="1491">
      <c r="A1491" s="339"/>
      <c r="B1491" s="313"/>
      <c r="C1491" s="314"/>
      <c r="D1491" s="315" t="str">
        <f t="shared" si="35"/>
        <v/>
      </c>
      <c r="E1491" s="315" t="str">
        <f t="shared" si="36"/>
        <v/>
      </c>
      <c r="F1491" s="318"/>
      <c r="G1491" s="318"/>
      <c r="H1491" s="318"/>
      <c r="I1491" s="318"/>
      <c r="J1491" s="318"/>
      <c r="K1491" s="319">
        <f t="shared" si="39"/>
        <v>0</v>
      </c>
      <c r="L1491" s="320" t="str">
        <f t="shared" si="34"/>
        <v/>
      </c>
      <c r="M1491" s="239"/>
      <c r="T1491" s="344"/>
      <c r="U1491" s="345"/>
      <c r="V1491" s="346"/>
    </row>
    <row r="1492">
      <c r="A1492" s="339"/>
      <c r="B1492" s="313"/>
      <c r="C1492" s="314"/>
      <c r="D1492" s="315" t="str">
        <f t="shared" si="35"/>
        <v/>
      </c>
      <c r="E1492" s="315" t="str">
        <f t="shared" si="36"/>
        <v/>
      </c>
      <c r="F1492" s="318"/>
      <c r="G1492" s="318"/>
      <c r="H1492" s="318"/>
      <c r="I1492" s="318"/>
      <c r="J1492" s="318"/>
      <c r="K1492" s="319">
        <f t="shared" si="39"/>
        <v>0</v>
      </c>
      <c r="L1492" s="320" t="str">
        <f t="shared" si="34"/>
        <v/>
      </c>
      <c r="M1492" s="239"/>
      <c r="T1492" s="344"/>
      <c r="U1492" s="345"/>
      <c r="V1492" s="346"/>
    </row>
    <row r="1493">
      <c r="A1493" s="339"/>
      <c r="B1493" s="313"/>
      <c r="C1493" s="314"/>
      <c r="D1493" s="315" t="str">
        <f t="shared" si="35"/>
        <v/>
      </c>
      <c r="E1493" s="315" t="str">
        <f t="shared" si="36"/>
        <v/>
      </c>
      <c r="F1493" s="318"/>
      <c r="G1493" s="318"/>
      <c r="H1493" s="318"/>
      <c r="I1493" s="318"/>
      <c r="J1493" s="318"/>
      <c r="K1493" s="319">
        <f t="shared" si="39"/>
        <v>0</v>
      </c>
      <c r="L1493" s="320" t="str">
        <f t="shared" si="34"/>
        <v/>
      </c>
      <c r="M1493" s="239"/>
      <c r="T1493" s="344"/>
      <c r="U1493" s="345"/>
      <c r="V1493" s="346"/>
    </row>
    <row r="1494">
      <c r="A1494" s="339"/>
      <c r="B1494" s="313"/>
      <c r="C1494" s="314"/>
      <c r="D1494" s="315" t="str">
        <f t="shared" si="35"/>
        <v/>
      </c>
      <c r="E1494" s="315" t="str">
        <f t="shared" si="36"/>
        <v/>
      </c>
      <c r="F1494" s="318"/>
      <c r="G1494" s="318"/>
      <c r="H1494" s="318"/>
      <c r="I1494" s="318"/>
      <c r="J1494" s="318"/>
      <c r="K1494" s="319">
        <f t="shared" si="39"/>
        <v>0</v>
      </c>
      <c r="L1494" s="320" t="str">
        <f t="shared" si="34"/>
        <v/>
      </c>
      <c r="M1494" s="239"/>
      <c r="T1494" s="344"/>
      <c r="U1494" s="345"/>
      <c r="V1494" s="346"/>
    </row>
    <row r="1495">
      <c r="A1495" s="339"/>
      <c r="B1495" s="313"/>
      <c r="C1495" s="314"/>
      <c r="D1495" s="315" t="str">
        <f t="shared" si="35"/>
        <v/>
      </c>
      <c r="E1495" s="315" t="str">
        <f t="shared" si="36"/>
        <v/>
      </c>
      <c r="F1495" s="318"/>
      <c r="G1495" s="318"/>
      <c r="H1495" s="318"/>
      <c r="I1495" s="318"/>
      <c r="J1495" s="318"/>
      <c r="K1495" s="319">
        <f t="shared" si="39"/>
        <v>0</v>
      </c>
      <c r="L1495" s="320" t="str">
        <f t="shared" si="34"/>
        <v/>
      </c>
      <c r="M1495" s="239"/>
      <c r="T1495" s="344"/>
      <c r="U1495" s="345"/>
      <c r="V1495" s="346"/>
    </row>
    <row r="1496">
      <c r="A1496" s="339"/>
      <c r="B1496" s="313"/>
      <c r="C1496" s="314"/>
      <c r="D1496" s="315" t="str">
        <f t="shared" si="35"/>
        <v/>
      </c>
      <c r="E1496" s="315" t="str">
        <f t="shared" si="36"/>
        <v/>
      </c>
      <c r="F1496" s="318"/>
      <c r="G1496" s="318"/>
      <c r="H1496" s="318"/>
      <c r="I1496" s="318"/>
      <c r="J1496" s="318"/>
      <c r="K1496" s="319">
        <f t="shared" si="39"/>
        <v>0</v>
      </c>
      <c r="L1496" s="320" t="str">
        <f t="shared" si="34"/>
        <v/>
      </c>
      <c r="M1496" s="239"/>
      <c r="T1496" s="344"/>
      <c r="U1496" s="345"/>
      <c r="V1496" s="346"/>
    </row>
    <row r="1497">
      <c r="A1497" s="339"/>
      <c r="B1497" s="313"/>
      <c r="C1497" s="314"/>
      <c r="D1497" s="315" t="str">
        <f t="shared" si="35"/>
        <v/>
      </c>
      <c r="E1497" s="315" t="str">
        <f t="shared" si="36"/>
        <v/>
      </c>
      <c r="F1497" s="318"/>
      <c r="G1497" s="318"/>
      <c r="H1497" s="318"/>
      <c r="I1497" s="318"/>
      <c r="J1497" s="318"/>
      <c r="K1497" s="319">
        <f t="shared" si="39"/>
        <v>0</v>
      </c>
      <c r="L1497" s="320" t="str">
        <f t="shared" si="34"/>
        <v/>
      </c>
      <c r="M1497" s="239"/>
      <c r="T1497" s="344"/>
      <c r="U1497" s="345"/>
      <c r="V1497" s="346"/>
    </row>
    <row r="1498">
      <c r="A1498" s="339"/>
      <c r="B1498" s="313"/>
      <c r="C1498" s="314"/>
      <c r="D1498" s="315" t="str">
        <f t="shared" si="35"/>
        <v/>
      </c>
      <c r="E1498" s="315" t="str">
        <f t="shared" si="36"/>
        <v/>
      </c>
      <c r="F1498" s="318"/>
      <c r="G1498" s="318"/>
      <c r="H1498" s="318"/>
      <c r="I1498" s="318"/>
      <c r="J1498" s="318"/>
      <c r="K1498" s="319">
        <f t="shared" si="39"/>
        <v>0</v>
      </c>
      <c r="L1498" s="320" t="str">
        <f t="shared" si="34"/>
        <v/>
      </c>
      <c r="M1498" s="239"/>
      <c r="T1498" s="344"/>
      <c r="U1498" s="345"/>
      <c r="V1498" s="346"/>
    </row>
    <row r="1499">
      <c r="A1499" s="339"/>
      <c r="B1499" s="313"/>
      <c r="C1499" s="314"/>
      <c r="D1499" s="315" t="str">
        <f t="shared" si="35"/>
        <v/>
      </c>
      <c r="E1499" s="315" t="str">
        <f t="shared" si="36"/>
        <v/>
      </c>
      <c r="F1499" s="318"/>
      <c r="G1499" s="318"/>
      <c r="H1499" s="318"/>
      <c r="I1499" s="318"/>
      <c r="J1499" s="318"/>
      <c r="K1499" s="319">
        <f t="shared" si="39"/>
        <v>0</v>
      </c>
      <c r="L1499" s="320" t="str">
        <f t="shared" si="34"/>
        <v/>
      </c>
      <c r="M1499" s="239"/>
      <c r="T1499" s="344"/>
      <c r="U1499" s="345"/>
      <c r="V1499" s="346"/>
    </row>
    <row r="1500">
      <c r="A1500" s="339"/>
      <c r="B1500" s="313"/>
      <c r="C1500" s="314"/>
      <c r="D1500" s="315" t="str">
        <f t="shared" si="35"/>
        <v/>
      </c>
      <c r="E1500" s="315" t="str">
        <f t="shared" si="36"/>
        <v/>
      </c>
      <c r="F1500" s="318"/>
      <c r="G1500" s="318"/>
      <c r="H1500" s="318"/>
      <c r="I1500" s="318"/>
      <c r="J1500" s="318"/>
      <c r="K1500" s="319">
        <f t="shared" si="39"/>
        <v>0</v>
      </c>
      <c r="L1500" s="320" t="str">
        <f t="shared" si="34"/>
        <v/>
      </c>
      <c r="M1500" s="239"/>
      <c r="T1500" s="344"/>
      <c r="U1500" s="345"/>
      <c r="V1500" s="346"/>
    </row>
    <row r="1501">
      <c r="A1501" s="339"/>
      <c r="B1501" s="313"/>
      <c r="C1501" s="314"/>
      <c r="D1501" s="315" t="str">
        <f t="shared" si="35"/>
        <v/>
      </c>
      <c r="E1501" s="315" t="str">
        <f t="shared" si="36"/>
        <v/>
      </c>
      <c r="F1501" s="318"/>
      <c r="G1501" s="318"/>
      <c r="H1501" s="318"/>
      <c r="I1501" s="318"/>
      <c r="J1501" s="318"/>
      <c r="K1501" s="319">
        <f t="shared" si="39"/>
        <v>0</v>
      </c>
      <c r="L1501" s="320" t="str">
        <f t="shared" si="34"/>
        <v/>
      </c>
      <c r="M1501" s="239"/>
      <c r="T1501" s="344"/>
      <c r="U1501" s="345"/>
      <c r="V1501" s="346"/>
    </row>
    <row r="1502">
      <c r="A1502" s="339"/>
      <c r="B1502" s="313"/>
      <c r="C1502" s="314"/>
      <c r="D1502" s="315" t="str">
        <f t="shared" si="35"/>
        <v/>
      </c>
      <c r="E1502" s="315" t="str">
        <f t="shared" si="36"/>
        <v/>
      </c>
      <c r="F1502" s="318"/>
      <c r="G1502" s="318"/>
      <c r="H1502" s="318"/>
      <c r="I1502" s="318"/>
      <c r="J1502" s="318"/>
      <c r="K1502" s="319">
        <f t="shared" si="39"/>
        <v>0</v>
      </c>
      <c r="L1502" s="320" t="str">
        <f t="shared" si="34"/>
        <v/>
      </c>
      <c r="M1502" s="239"/>
      <c r="T1502" s="344"/>
      <c r="U1502" s="345"/>
      <c r="V1502" s="346"/>
    </row>
    <row r="1503">
      <c r="A1503" s="339"/>
      <c r="B1503" s="313"/>
      <c r="C1503" s="314"/>
      <c r="D1503" s="315" t="str">
        <f t="shared" si="35"/>
        <v/>
      </c>
      <c r="E1503" s="315" t="str">
        <f t="shared" si="36"/>
        <v/>
      </c>
      <c r="F1503" s="318"/>
      <c r="G1503" s="318"/>
      <c r="H1503" s="318"/>
      <c r="I1503" s="318"/>
      <c r="J1503" s="318"/>
      <c r="K1503" s="319">
        <f t="shared" si="39"/>
        <v>0</v>
      </c>
      <c r="L1503" s="320" t="str">
        <f t="shared" si="34"/>
        <v/>
      </c>
      <c r="M1503" s="239"/>
      <c r="T1503" s="344"/>
      <c r="U1503" s="345"/>
      <c r="V1503" s="346"/>
    </row>
    <row r="1504">
      <c r="A1504" s="339"/>
      <c r="B1504" s="313"/>
      <c r="C1504" s="314"/>
      <c r="D1504" s="315" t="str">
        <f t="shared" si="35"/>
        <v/>
      </c>
      <c r="E1504" s="315" t="str">
        <f t="shared" si="36"/>
        <v/>
      </c>
      <c r="F1504" s="318"/>
      <c r="G1504" s="318"/>
      <c r="H1504" s="318"/>
      <c r="I1504" s="318"/>
      <c r="J1504" s="318"/>
      <c r="K1504" s="319">
        <f t="shared" si="39"/>
        <v>0</v>
      </c>
      <c r="L1504" s="320" t="str">
        <f t="shared" si="34"/>
        <v/>
      </c>
      <c r="M1504" s="239"/>
      <c r="T1504" s="344"/>
      <c r="U1504" s="345"/>
      <c r="V1504" s="346"/>
    </row>
    <row r="1505">
      <c r="A1505" s="339"/>
      <c r="B1505" s="313"/>
      <c r="C1505" s="314"/>
      <c r="D1505" s="315" t="str">
        <f t="shared" si="35"/>
        <v/>
      </c>
      <c r="E1505" s="315" t="str">
        <f t="shared" si="36"/>
        <v/>
      </c>
      <c r="F1505" s="318"/>
      <c r="G1505" s="318"/>
      <c r="H1505" s="318"/>
      <c r="I1505" s="318"/>
      <c r="J1505" s="318"/>
      <c r="K1505" s="319">
        <f t="shared" si="39"/>
        <v>0</v>
      </c>
      <c r="L1505" s="320" t="str">
        <f t="shared" si="34"/>
        <v/>
      </c>
      <c r="M1505" s="239"/>
      <c r="T1505" s="344"/>
      <c r="U1505" s="345"/>
      <c r="V1505" s="346"/>
    </row>
    <row r="1506">
      <c r="A1506" s="339"/>
      <c r="B1506" s="313"/>
      <c r="C1506" s="314"/>
      <c r="D1506" s="315" t="str">
        <f t="shared" si="35"/>
        <v/>
      </c>
      <c r="E1506" s="315" t="str">
        <f t="shared" si="36"/>
        <v/>
      </c>
      <c r="F1506" s="318"/>
      <c r="G1506" s="318"/>
      <c r="H1506" s="318"/>
      <c r="I1506" s="318"/>
      <c r="J1506" s="318"/>
      <c r="K1506" s="319">
        <f t="shared" si="39"/>
        <v>0</v>
      </c>
      <c r="L1506" s="320" t="str">
        <f t="shared" si="34"/>
        <v/>
      </c>
      <c r="M1506" s="239"/>
      <c r="T1506" s="344"/>
      <c r="U1506" s="345"/>
      <c r="V1506" s="346"/>
    </row>
    <row r="1507">
      <c r="A1507" s="339"/>
      <c r="B1507" s="313"/>
      <c r="C1507" s="314"/>
      <c r="D1507" s="315" t="str">
        <f t="shared" si="35"/>
        <v/>
      </c>
      <c r="E1507" s="315" t="str">
        <f t="shared" si="36"/>
        <v/>
      </c>
      <c r="F1507" s="318"/>
      <c r="G1507" s="318"/>
      <c r="H1507" s="318"/>
      <c r="I1507" s="318"/>
      <c r="J1507" s="318"/>
      <c r="K1507" s="319">
        <f t="shared" si="39"/>
        <v>0</v>
      </c>
      <c r="L1507" s="320" t="str">
        <f t="shared" si="34"/>
        <v/>
      </c>
      <c r="M1507" s="239"/>
      <c r="T1507" s="344"/>
      <c r="U1507" s="345"/>
      <c r="V1507" s="346"/>
    </row>
    <row r="1508">
      <c r="A1508" s="339"/>
      <c r="B1508" s="313"/>
      <c r="C1508" s="314"/>
      <c r="D1508" s="315" t="str">
        <f t="shared" si="35"/>
        <v/>
      </c>
      <c r="E1508" s="315" t="str">
        <f t="shared" si="36"/>
        <v/>
      </c>
      <c r="F1508" s="318"/>
      <c r="G1508" s="318"/>
      <c r="H1508" s="318"/>
      <c r="I1508" s="318"/>
      <c r="J1508" s="318"/>
      <c r="K1508" s="319">
        <f t="shared" si="39"/>
        <v>0</v>
      </c>
      <c r="L1508" s="320" t="str">
        <f t="shared" si="34"/>
        <v/>
      </c>
      <c r="M1508" s="239"/>
      <c r="T1508" s="344"/>
      <c r="U1508" s="345"/>
      <c r="V1508" s="346"/>
    </row>
    <row r="1509">
      <c r="A1509" s="339"/>
      <c r="B1509" s="313"/>
      <c r="C1509" s="314"/>
      <c r="D1509" s="315" t="str">
        <f t="shared" si="35"/>
        <v/>
      </c>
      <c r="E1509" s="315" t="str">
        <f t="shared" si="36"/>
        <v/>
      </c>
      <c r="F1509" s="318"/>
      <c r="G1509" s="318"/>
      <c r="H1509" s="318"/>
      <c r="I1509" s="318"/>
      <c r="J1509" s="318"/>
      <c r="K1509" s="319">
        <f t="shared" si="39"/>
        <v>0</v>
      </c>
      <c r="L1509" s="320" t="str">
        <f t="shared" si="34"/>
        <v/>
      </c>
      <c r="M1509" s="239"/>
      <c r="T1509" s="344"/>
      <c r="U1509" s="345"/>
      <c r="V1509" s="346"/>
    </row>
    <row r="1510">
      <c r="A1510" s="339"/>
      <c r="B1510" s="313"/>
      <c r="C1510" s="314"/>
      <c r="D1510" s="315" t="str">
        <f t="shared" si="35"/>
        <v/>
      </c>
      <c r="E1510" s="315" t="str">
        <f t="shared" si="36"/>
        <v/>
      </c>
      <c r="F1510" s="318"/>
      <c r="G1510" s="318"/>
      <c r="H1510" s="318"/>
      <c r="I1510" s="318"/>
      <c r="J1510" s="318"/>
      <c r="K1510" s="319">
        <f t="shared" si="39"/>
        <v>0</v>
      </c>
      <c r="L1510" s="320" t="str">
        <f t="shared" si="34"/>
        <v/>
      </c>
      <c r="M1510" s="239"/>
      <c r="T1510" s="344"/>
      <c r="U1510" s="345"/>
      <c r="V1510" s="346"/>
    </row>
    <row r="1511">
      <c r="A1511" s="339"/>
      <c r="B1511" s="313"/>
      <c r="C1511" s="314"/>
      <c r="D1511" s="315" t="str">
        <f t="shared" si="35"/>
        <v/>
      </c>
      <c r="E1511" s="315" t="str">
        <f t="shared" si="36"/>
        <v/>
      </c>
      <c r="F1511" s="318"/>
      <c r="G1511" s="318"/>
      <c r="H1511" s="318"/>
      <c r="I1511" s="318"/>
      <c r="J1511" s="318"/>
      <c r="K1511" s="319">
        <f t="shared" si="39"/>
        <v>0</v>
      </c>
      <c r="L1511" s="320" t="str">
        <f t="shared" si="34"/>
        <v/>
      </c>
      <c r="M1511" s="239"/>
      <c r="T1511" s="344"/>
      <c r="U1511" s="345"/>
      <c r="V1511" s="346"/>
    </row>
    <row r="1512">
      <c r="A1512" s="339"/>
      <c r="B1512" s="313"/>
      <c r="C1512" s="314"/>
      <c r="D1512" s="315" t="str">
        <f t="shared" si="35"/>
        <v/>
      </c>
      <c r="E1512" s="315" t="str">
        <f t="shared" si="36"/>
        <v/>
      </c>
      <c r="F1512" s="318"/>
      <c r="G1512" s="318"/>
      <c r="H1512" s="318"/>
      <c r="I1512" s="318"/>
      <c r="J1512" s="318"/>
      <c r="K1512" s="319">
        <f t="shared" si="39"/>
        <v>0</v>
      </c>
      <c r="L1512" s="320" t="str">
        <f t="shared" si="34"/>
        <v/>
      </c>
      <c r="M1512" s="239"/>
      <c r="T1512" s="344"/>
      <c r="U1512" s="345"/>
      <c r="V1512" s="346"/>
    </row>
    <row r="1513">
      <c r="A1513" s="339"/>
      <c r="B1513" s="313"/>
      <c r="C1513" s="314"/>
      <c r="D1513" s="315" t="str">
        <f t="shared" si="35"/>
        <v/>
      </c>
      <c r="E1513" s="315" t="str">
        <f t="shared" si="36"/>
        <v/>
      </c>
      <c r="F1513" s="318"/>
      <c r="G1513" s="318"/>
      <c r="H1513" s="318"/>
      <c r="I1513" s="318"/>
      <c r="J1513" s="318"/>
      <c r="K1513" s="319">
        <f t="shared" si="39"/>
        <v>0</v>
      </c>
      <c r="L1513" s="320" t="str">
        <f t="shared" si="34"/>
        <v/>
      </c>
      <c r="M1513" s="239"/>
      <c r="T1513" s="344"/>
      <c r="U1513" s="345"/>
      <c r="V1513" s="346"/>
    </row>
    <row r="1514">
      <c r="A1514" s="339"/>
      <c r="B1514" s="313"/>
      <c r="C1514" s="314"/>
      <c r="D1514" s="315" t="str">
        <f t="shared" si="35"/>
        <v/>
      </c>
      <c r="E1514" s="315" t="str">
        <f t="shared" si="36"/>
        <v/>
      </c>
      <c r="F1514" s="318"/>
      <c r="G1514" s="318"/>
      <c r="H1514" s="318"/>
      <c r="I1514" s="318"/>
      <c r="J1514" s="318"/>
      <c r="K1514" s="319">
        <f t="shared" si="39"/>
        <v>0</v>
      </c>
      <c r="L1514" s="320" t="str">
        <f t="shared" si="34"/>
        <v/>
      </c>
      <c r="M1514" s="239"/>
      <c r="T1514" s="344"/>
      <c r="U1514" s="345"/>
      <c r="V1514" s="346"/>
    </row>
    <row r="1515">
      <c r="A1515" s="339"/>
      <c r="B1515" s="313"/>
      <c r="C1515" s="314"/>
      <c r="D1515" s="315" t="str">
        <f t="shared" si="35"/>
        <v/>
      </c>
      <c r="E1515" s="315" t="str">
        <f t="shared" si="36"/>
        <v/>
      </c>
      <c r="F1515" s="318"/>
      <c r="G1515" s="318"/>
      <c r="H1515" s="318"/>
      <c r="I1515" s="318"/>
      <c r="J1515" s="318"/>
      <c r="K1515" s="319">
        <f t="shared" si="39"/>
        <v>0</v>
      </c>
      <c r="L1515" s="320" t="str">
        <f t="shared" si="34"/>
        <v/>
      </c>
      <c r="M1515" s="239"/>
      <c r="T1515" s="344"/>
      <c r="U1515" s="345"/>
      <c r="V1515" s="346"/>
    </row>
    <row r="1516">
      <c r="A1516" s="339"/>
      <c r="B1516" s="313"/>
      <c r="C1516" s="314"/>
      <c r="D1516" s="315" t="str">
        <f t="shared" si="35"/>
        <v/>
      </c>
      <c r="E1516" s="315" t="str">
        <f t="shared" si="36"/>
        <v/>
      </c>
      <c r="F1516" s="318"/>
      <c r="G1516" s="318"/>
      <c r="H1516" s="318"/>
      <c r="I1516" s="318"/>
      <c r="J1516" s="318"/>
      <c r="K1516" s="319">
        <f t="shared" si="39"/>
        <v>0</v>
      </c>
      <c r="L1516" s="320" t="str">
        <f t="shared" si="34"/>
        <v/>
      </c>
      <c r="M1516" s="239"/>
      <c r="T1516" s="344"/>
      <c r="U1516" s="345"/>
      <c r="V1516" s="346"/>
    </row>
    <row r="1517">
      <c r="A1517" s="339"/>
      <c r="B1517" s="313"/>
      <c r="C1517" s="314"/>
      <c r="D1517" s="315" t="str">
        <f t="shared" si="35"/>
        <v/>
      </c>
      <c r="E1517" s="315" t="str">
        <f t="shared" si="36"/>
        <v/>
      </c>
      <c r="F1517" s="318"/>
      <c r="G1517" s="318"/>
      <c r="H1517" s="318"/>
      <c r="I1517" s="318"/>
      <c r="J1517" s="318"/>
      <c r="K1517" s="319">
        <f t="shared" si="39"/>
        <v>0</v>
      </c>
      <c r="L1517" s="320" t="str">
        <f t="shared" si="34"/>
        <v/>
      </c>
      <c r="M1517" s="239"/>
      <c r="T1517" s="344"/>
      <c r="U1517" s="345"/>
      <c r="V1517" s="346"/>
    </row>
    <row r="1518">
      <c r="A1518" s="339"/>
      <c r="B1518" s="313"/>
      <c r="C1518" s="314"/>
      <c r="D1518" s="315" t="str">
        <f t="shared" si="35"/>
        <v/>
      </c>
      <c r="E1518" s="315" t="str">
        <f t="shared" si="36"/>
        <v/>
      </c>
      <c r="F1518" s="318"/>
      <c r="G1518" s="318"/>
      <c r="H1518" s="318"/>
      <c r="I1518" s="318"/>
      <c r="J1518" s="318"/>
      <c r="K1518" s="319">
        <f t="shared" si="39"/>
        <v>0</v>
      </c>
      <c r="L1518" s="320" t="str">
        <f t="shared" si="34"/>
        <v/>
      </c>
      <c r="M1518" s="239"/>
      <c r="T1518" s="344"/>
      <c r="U1518" s="345"/>
      <c r="V1518" s="346"/>
    </row>
    <row r="1519">
      <c r="A1519" s="339"/>
      <c r="B1519" s="313"/>
      <c r="C1519" s="314"/>
      <c r="D1519" s="315" t="str">
        <f t="shared" si="35"/>
        <v/>
      </c>
      <c r="E1519" s="315" t="str">
        <f t="shared" si="36"/>
        <v/>
      </c>
      <c r="F1519" s="318"/>
      <c r="G1519" s="318"/>
      <c r="H1519" s="318"/>
      <c r="I1519" s="318"/>
      <c r="J1519" s="318"/>
      <c r="K1519" s="319">
        <f t="shared" si="39"/>
        <v>0</v>
      </c>
      <c r="L1519" s="320" t="str">
        <f t="shared" si="34"/>
        <v/>
      </c>
      <c r="M1519" s="239"/>
      <c r="T1519" s="344"/>
      <c r="U1519" s="345"/>
      <c r="V1519" s="346"/>
    </row>
    <row r="1520">
      <c r="A1520" s="339"/>
      <c r="B1520" s="313"/>
      <c r="C1520" s="314"/>
      <c r="D1520" s="315" t="str">
        <f t="shared" si="35"/>
        <v/>
      </c>
      <c r="E1520" s="315" t="str">
        <f t="shared" si="36"/>
        <v/>
      </c>
      <c r="F1520" s="318"/>
      <c r="G1520" s="318"/>
      <c r="H1520" s="318"/>
      <c r="I1520" s="318"/>
      <c r="J1520" s="318"/>
      <c r="K1520" s="319">
        <f t="shared" si="39"/>
        <v>0</v>
      </c>
      <c r="L1520" s="320" t="str">
        <f t="shared" si="34"/>
        <v/>
      </c>
      <c r="M1520" s="239"/>
      <c r="T1520" s="344"/>
      <c r="U1520" s="345"/>
      <c r="V1520" s="346"/>
    </row>
    <row r="1521">
      <c r="A1521" s="339"/>
      <c r="B1521" s="313"/>
      <c r="C1521" s="314"/>
      <c r="D1521" s="315" t="str">
        <f t="shared" si="35"/>
        <v/>
      </c>
      <c r="E1521" s="315" t="str">
        <f t="shared" si="36"/>
        <v/>
      </c>
      <c r="F1521" s="318"/>
      <c r="G1521" s="318"/>
      <c r="H1521" s="318"/>
      <c r="I1521" s="318"/>
      <c r="J1521" s="318"/>
      <c r="K1521" s="319">
        <f t="shared" si="39"/>
        <v>0</v>
      </c>
      <c r="L1521" s="320" t="str">
        <f t="shared" si="34"/>
        <v/>
      </c>
      <c r="M1521" s="239"/>
      <c r="T1521" s="344"/>
      <c r="U1521" s="345"/>
      <c r="V1521" s="346"/>
    </row>
    <row r="1522">
      <c r="A1522" s="339"/>
      <c r="B1522" s="313"/>
      <c r="C1522" s="314"/>
      <c r="D1522" s="315" t="str">
        <f t="shared" si="35"/>
        <v/>
      </c>
      <c r="E1522" s="315" t="str">
        <f t="shared" si="36"/>
        <v/>
      </c>
      <c r="F1522" s="318"/>
      <c r="G1522" s="318"/>
      <c r="H1522" s="318"/>
      <c r="I1522" s="318"/>
      <c r="J1522" s="318"/>
      <c r="K1522" s="319">
        <f t="shared" si="39"/>
        <v>0</v>
      </c>
      <c r="L1522" s="320" t="str">
        <f t="shared" si="34"/>
        <v/>
      </c>
      <c r="M1522" s="239"/>
      <c r="T1522" s="344"/>
      <c r="U1522" s="345"/>
      <c r="V1522" s="346"/>
    </row>
    <row r="1523">
      <c r="A1523" s="339"/>
      <c r="B1523" s="313"/>
      <c r="C1523" s="314"/>
      <c r="D1523" s="315" t="str">
        <f t="shared" si="35"/>
        <v/>
      </c>
      <c r="E1523" s="315" t="str">
        <f t="shared" si="36"/>
        <v/>
      </c>
      <c r="F1523" s="318"/>
      <c r="G1523" s="318"/>
      <c r="H1523" s="318"/>
      <c r="I1523" s="318"/>
      <c r="J1523" s="318"/>
      <c r="K1523" s="319">
        <f t="shared" si="39"/>
        <v>0</v>
      </c>
      <c r="L1523" s="320" t="str">
        <f t="shared" si="34"/>
        <v/>
      </c>
      <c r="M1523" s="239"/>
      <c r="T1523" s="344"/>
      <c r="U1523" s="345"/>
      <c r="V1523" s="346"/>
    </row>
    <row r="1524">
      <c r="A1524" s="339"/>
      <c r="B1524" s="313"/>
      <c r="C1524" s="314"/>
      <c r="D1524" s="315" t="str">
        <f t="shared" si="35"/>
        <v/>
      </c>
      <c r="E1524" s="315" t="str">
        <f t="shared" si="36"/>
        <v/>
      </c>
      <c r="F1524" s="318"/>
      <c r="G1524" s="318"/>
      <c r="H1524" s="318"/>
      <c r="I1524" s="318"/>
      <c r="J1524" s="318"/>
      <c r="K1524" s="319">
        <f t="shared" si="39"/>
        <v>0</v>
      </c>
      <c r="L1524" s="320" t="str">
        <f t="shared" si="34"/>
        <v/>
      </c>
      <c r="M1524" s="239"/>
      <c r="T1524" s="344"/>
      <c r="U1524" s="345"/>
      <c r="V1524" s="346"/>
    </row>
    <row r="1525">
      <c r="A1525" s="339"/>
      <c r="B1525" s="313"/>
      <c r="C1525" s="314"/>
      <c r="D1525" s="315" t="str">
        <f t="shared" si="35"/>
        <v/>
      </c>
      <c r="E1525" s="315" t="str">
        <f t="shared" si="36"/>
        <v/>
      </c>
      <c r="F1525" s="318"/>
      <c r="G1525" s="318"/>
      <c r="H1525" s="318"/>
      <c r="I1525" s="318"/>
      <c r="J1525" s="318"/>
      <c r="K1525" s="319">
        <f t="shared" si="39"/>
        <v>0</v>
      </c>
      <c r="L1525" s="320" t="str">
        <f t="shared" si="34"/>
        <v/>
      </c>
      <c r="M1525" s="239"/>
      <c r="T1525" s="344"/>
      <c r="U1525" s="345"/>
      <c r="V1525" s="346"/>
    </row>
    <row r="1526">
      <c r="A1526" s="339"/>
      <c r="B1526" s="313"/>
      <c r="C1526" s="314"/>
      <c r="D1526" s="315" t="str">
        <f t="shared" si="35"/>
        <v/>
      </c>
      <c r="E1526" s="315" t="str">
        <f t="shared" si="36"/>
        <v/>
      </c>
      <c r="F1526" s="318"/>
      <c r="G1526" s="318"/>
      <c r="H1526" s="318"/>
      <c r="I1526" s="318"/>
      <c r="J1526" s="318"/>
      <c r="K1526" s="319">
        <f t="shared" si="39"/>
        <v>0</v>
      </c>
      <c r="L1526" s="320" t="str">
        <f t="shared" si="34"/>
        <v/>
      </c>
      <c r="M1526" s="239"/>
      <c r="T1526" s="344"/>
      <c r="U1526" s="345"/>
      <c r="V1526" s="346"/>
    </row>
    <row r="1527">
      <c r="A1527" s="339"/>
      <c r="B1527" s="313"/>
      <c r="C1527" s="314"/>
      <c r="D1527" s="315" t="str">
        <f t="shared" si="35"/>
        <v/>
      </c>
      <c r="E1527" s="315" t="str">
        <f t="shared" si="36"/>
        <v/>
      </c>
      <c r="F1527" s="318"/>
      <c r="G1527" s="318"/>
      <c r="H1527" s="318"/>
      <c r="I1527" s="318"/>
      <c r="J1527" s="318"/>
      <c r="K1527" s="319">
        <f t="shared" si="39"/>
        <v>0</v>
      </c>
      <c r="L1527" s="320" t="str">
        <f t="shared" si="34"/>
        <v/>
      </c>
      <c r="M1527" s="239"/>
      <c r="T1527" s="344"/>
      <c r="U1527" s="345"/>
      <c r="V1527" s="346"/>
    </row>
    <row r="1528">
      <c r="A1528" s="339"/>
      <c r="B1528" s="313"/>
      <c r="C1528" s="314"/>
      <c r="D1528" s="315" t="str">
        <f t="shared" si="35"/>
        <v/>
      </c>
      <c r="E1528" s="315" t="str">
        <f t="shared" si="36"/>
        <v/>
      </c>
      <c r="F1528" s="318"/>
      <c r="G1528" s="318"/>
      <c r="H1528" s="318"/>
      <c r="I1528" s="318"/>
      <c r="J1528" s="318"/>
      <c r="K1528" s="319">
        <f t="shared" si="39"/>
        <v>0</v>
      </c>
      <c r="L1528" s="320" t="str">
        <f t="shared" si="34"/>
        <v/>
      </c>
      <c r="M1528" s="239"/>
      <c r="T1528" s="344"/>
      <c r="U1528" s="345"/>
      <c r="V1528" s="346"/>
    </row>
    <row r="1529">
      <c r="A1529" s="339"/>
      <c r="B1529" s="313"/>
      <c r="C1529" s="314"/>
      <c r="D1529" s="315" t="str">
        <f t="shared" si="35"/>
        <v/>
      </c>
      <c r="E1529" s="315" t="str">
        <f t="shared" si="36"/>
        <v/>
      </c>
      <c r="F1529" s="318"/>
      <c r="G1529" s="318"/>
      <c r="H1529" s="318"/>
      <c r="I1529" s="318"/>
      <c r="J1529" s="318"/>
      <c r="K1529" s="319">
        <f t="shared" si="39"/>
        <v>0</v>
      </c>
      <c r="L1529" s="320" t="str">
        <f t="shared" si="34"/>
        <v/>
      </c>
      <c r="M1529" s="239"/>
      <c r="T1529" s="344"/>
      <c r="U1529" s="345"/>
      <c r="V1529" s="346"/>
    </row>
    <row r="1530">
      <c r="A1530" s="339"/>
      <c r="B1530" s="313"/>
      <c r="C1530" s="314"/>
      <c r="D1530" s="315" t="str">
        <f t="shared" si="35"/>
        <v/>
      </c>
      <c r="E1530" s="315" t="str">
        <f t="shared" si="36"/>
        <v/>
      </c>
      <c r="F1530" s="318"/>
      <c r="G1530" s="318"/>
      <c r="H1530" s="318"/>
      <c r="I1530" s="318"/>
      <c r="J1530" s="318"/>
      <c r="K1530" s="319">
        <f t="shared" si="39"/>
        <v>0</v>
      </c>
      <c r="L1530" s="320" t="str">
        <f t="shared" si="34"/>
        <v/>
      </c>
      <c r="M1530" s="239"/>
      <c r="T1530" s="344"/>
      <c r="U1530" s="345"/>
      <c r="V1530" s="346"/>
    </row>
    <row r="1531">
      <c r="A1531" s="339"/>
      <c r="B1531" s="313"/>
      <c r="C1531" s="314"/>
      <c r="D1531" s="315" t="str">
        <f t="shared" si="35"/>
        <v/>
      </c>
      <c r="E1531" s="315" t="str">
        <f t="shared" si="36"/>
        <v/>
      </c>
      <c r="F1531" s="318"/>
      <c r="G1531" s="318"/>
      <c r="H1531" s="318"/>
      <c r="I1531" s="318"/>
      <c r="J1531" s="318"/>
      <c r="K1531" s="319">
        <f t="shared" si="39"/>
        <v>0</v>
      </c>
      <c r="L1531" s="320" t="str">
        <f t="shared" si="34"/>
        <v/>
      </c>
      <c r="M1531" s="239"/>
      <c r="T1531" s="344"/>
      <c r="U1531" s="345"/>
      <c r="V1531" s="346"/>
    </row>
    <row r="1532">
      <c r="A1532" s="339"/>
      <c r="B1532" s="313"/>
      <c r="C1532" s="314"/>
      <c r="D1532" s="315" t="str">
        <f t="shared" si="35"/>
        <v/>
      </c>
      <c r="E1532" s="315" t="str">
        <f t="shared" si="36"/>
        <v/>
      </c>
      <c r="F1532" s="318"/>
      <c r="G1532" s="318"/>
      <c r="H1532" s="318"/>
      <c r="I1532" s="318"/>
      <c r="J1532" s="318"/>
      <c r="K1532" s="319">
        <f t="shared" si="39"/>
        <v>0</v>
      </c>
      <c r="L1532" s="320" t="str">
        <f t="shared" si="34"/>
        <v/>
      </c>
      <c r="M1532" s="239"/>
      <c r="T1532" s="344"/>
      <c r="U1532" s="345"/>
      <c r="V1532" s="346"/>
    </row>
    <row r="1533">
      <c r="A1533" s="339"/>
      <c r="B1533" s="313"/>
      <c r="C1533" s="314"/>
      <c r="D1533" s="315" t="str">
        <f t="shared" si="35"/>
        <v/>
      </c>
      <c r="E1533" s="315" t="str">
        <f t="shared" si="36"/>
        <v/>
      </c>
      <c r="F1533" s="318"/>
      <c r="G1533" s="318"/>
      <c r="H1533" s="318"/>
      <c r="I1533" s="318"/>
      <c r="J1533" s="318"/>
      <c r="K1533" s="319">
        <f t="shared" si="39"/>
        <v>0</v>
      </c>
      <c r="L1533" s="320" t="str">
        <f t="shared" si="34"/>
        <v/>
      </c>
      <c r="M1533" s="239"/>
      <c r="T1533" s="344"/>
      <c r="U1533" s="345"/>
      <c r="V1533" s="346"/>
    </row>
    <row r="1534">
      <c r="A1534" s="339"/>
      <c r="B1534" s="313"/>
      <c r="C1534" s="314"/>
      <c r="D1534" s="315" t="str">
        <f t="shared" si="35"/>
        <v/>
      </c>
      <c r="E1534" s="315" t="str">
        <f t="shared" si="36"/>
        <v/>
      </c>
      <c r="F1534" s="318"/>
      <c r="G1534" s="318"/>
      <c r="H1534" s="318"/>
      <c r="I1534" s="318"/>
      <c r="J1534" s="318"/>
      <c r="K1534" s="319">
        <f t="shared" si="39"/>
        <v>0</v>
      </c>
      <c r="L1534" s="320" t="str">
        <f t="shared" si="34"/>
        <v/>
      </c>
      <c r="M1534" s="239"/>
      <c r="T1534" s="344"/>
      <c r="U1534" s="345"/>
      <c r="V1534" s="346"/>
    </row>
    <row r="1535">
      <c r="A1535" s="339"/>
      <c r="B1535" s="313"/>
      <c r="C1535" s="314"/>
      <c r="D1535" s="315" t="str">
        <f t="shared" si="35"/>
        <v/>
      </c>
      <c r="E1535" s="315" t="str">
        <f t="shared" si="36"/>
        <v/>
      </c>
      <c r="F1535" s="318"/>
      <c r="G1535" s="318"/>
      <c r="H1535" s="318"/>
      <c r="I1535" s="318"/>
      <c r="J1535" s="318"/>
      <c r="K1535" s="319">
        <f t="shared" si="39"/>
        <v>0</v>
      </c>
      <c r="L1535" s="320" t="str">
        <f t="shared" si="34"/>
        <v/>
      </c>
      <c r="M1535" s="239"/>
      <c r="T1535" s="344"/>
      <c r="U1535" s="345"/>
      <c r="V1535" s="346"/>
    </row>
    <row r="1536">
      <c r="A1536" s="339"/>
      <c r="B1536" s="313"/>
      <c r="C1536" s="314"/>
      <c r="D1536" s="315" t="str">
        <f t="shared" si="35"/>
        <v/>
      </c>
      <c r="E1536" s="315" t="str">
        <f t="shared" si="36"/>
        <v/>
      </c>
      <c r="F1536" s="318"/>
      <c r="G1536" s="318"/>
      <c r="H1536" s="318"/>
      <c r="I1536" s="318"/>
      <c r="J1536" s="318"/>
      <c r="K1536" s="319">
        <f t="shared" si="39"/>
        <v>0</v>
      </c>
      <c r="L1536" s="320" t="str">
        <f t="shared" si="34"/>
        <v/>
      </c>
      <c r="M1536" s="239"/>
      <c r="T1536" s="344"/>
      <c r="U1536" s="345"/>
      <c r="V1536" s="346"/>
    </row>
    <row r="1537">
      <c r="A1537" s="339"/>
      <c r="B1537" s="313"/>
      <c r="C1537" s="314"/>
      <c r="D1537" s="315" t="str">
        <f t="shared" si="35"/>
        <v/>
      </c>
      <c r="E1537" s="315" t="str">
        <f t="shared" si="36"/>
        <v/>
      </c>
      <c r="F1537" s="318"/>
      <c r="G1537" s="318"/>
      <c r="H1537" s="318"/>
      <c r="I1537" s="318"/>
      <c r="J1537" s="318"/>
      <c r="K1537" s="319">
        <f t="shared" si="39"/>
        <v>0</v>
      </c>
      <c r="L1537" s="320" t="str">
        <f t="shared" si="34"/>
        <v/>
      </c>
      <c r="M1537" s="239"/>
      <c r="T1537" s="344"/>
      <c r="U1537" s="345"/>
      <c r="V1537" s="346"/>
    </row>
    <row r="1538">
      <c r="A1538" s="339"/>
      <c r="B1538" s="313"/>
      <c r="C1538" s="314"/>
      <c r="D1538" s="315" t="str">
        <f t="shared" si="35"/>
        <v/>
      </c>
      <c r="E1538" s="315" t="str">
        <f t="shared" si="36"/>
        <v/>
      </c>
      <c r="F1538" s="318"/>
      <c r="G1538" s="318"/>
      <c r="H1538" s="318"/>
      <c r="I1538" s="318"/>
      <c r="J1538" s="318"/>
      <c r="K1538" s="319">
        <f t="shared" si="39"/>
        <v>0</v>
      </c>
      <c r="L1538" s="320" t="str">
        <f t="shared" si="34"/>
        <v/>
      </c>
      <c r="M1538" s="239"/>
      <c r="T1538" s="344"/>
      <c r="U1538" s="345"/>
      <c r="V1538" s="346"/>
    </row>
    <row r="1539">
      <c r="A1539" s="339"/>
      <c r="B1539" s="313"/>
      <c r="C1539" s="314"/>
      <c r="D1539" s="315" t="str">
        <f t="shared" si="35"/>
        <v/>
      </c>
      <c r="E1539" s="315" t="str">
        <f t="shared" si="36"/>
        <v/>
      </c>
      <c r="F1539" s="318"/>
      <c r="G1539" s="318"/>
      <c r="H1539" s="318"/>
      <c r="I1539" s="318"/>
      <c r="J1539" s="318"/>
      <c r="K1539" s="319">
        <f t="shared" si="39"/>
        <v>0</v>
      </c>
      <c r="L1539" s="320" t="str">
        <f t="shared" si="34"/>
        <v/>
      </c>
      <c r="M1539" s="239"/>
      <c r="T1539" s="344"/>
      <c r="U1539" s="345"/>
      <c r="V1539" s="346"/>
    </row>
    <row r="1540">
      <c r="A1540" s="339"/>
      <c r="B1540" s="313"/>
      <c r="C1540" s="314"/>
      <c r="D1540" s="315" t="str">
        <f t="shared" si="35"/>
        <v/>
      </c>
      <c r="E1540" s="315" t="str">
        <f t="shared" si="36"/>
        <v/>
      </c>
      <c r="F1540" s="318"/>
      <c r="G1540" s="318"/>
      <c r="H1540" s="318"/>
      <c r="I1540" s="318"/>
      <c r="J1540" s="318"/>
      <c r="K1540" s="319">
        <f t="shared" si="39"/>
        <v>0</v>
      </c>
      <c r="L1540" s="320" t="str">
        <f t="shared" si="34"/>
        <v/>
      </c>
      <c r="M1540" s="239"/>
      <c r="T1540" s="344"/>
      <c r="U1540" s="345"/>
      <c r="V1540" s="346"/>
    </row>
    <row r="1541">
      <c r="A1541" s="339"/>
      <c r="B1541" s="313"/>
      <c r="C1541" s="314"/>
      <c r="D1541" s="315" t="str">
        <f t="shared" si="35"/>
        <v/>
      </c>
      <c r="E1541" s="315" t="str">
        <f t="shared" si="36"/>
        <v/>
      </c>
      <c r="F1541" s="318"/>
      <c r="G1541" s="318"/>
      <c r="H1541" s="318"/>
      <c r="I1541" s="318"/>
      <c r="J1541" s="318"/>
      <c r="K1541" s="319">
        <f t="shared" si="39"/>
        <v>0</v>
      </c>
      <c r="L1541" s="320" t="str">
        <f t="shared" si="34"/>
        <v/>
      </c>
      <c r="M1541" s="239"/>
      <c r="T1541" s="344"/>
      <c r="U1541" s="345"/>
      <c r="V1541" s="346"/>
    </row>
    <row r="1542">
      <c r="A1542" s="339"/>
      <c r="B1542" s="313"/>
      <c r="C1542" s="314"/>
      <c r="D1542" s="315" t="str">
        <f t="shared" si="35"/>
        <v/>
      </c>
      <c r="E1542" s="315" t="str">
        <f t="shared" si="36"/>
        <v/>
      </c>
      <c r="F1542" s="318"/>
      <c r="G1542" s="318"/>
      <c r="H1542" s="318"/>
      <c r="I1542" s="318"/>
      <c r="J1542" s="318"/>
      <c r="K1542" s="319">
        <f t="shared" si="39"/>
        <v>0</v>
      </c>
      <c r="L1542" s="320" t="str">
        <f t="shared" si="34"/>
        <v/>
      </c>
      <c r="M1542" s="239"/>
      <c r="T1542" s="344"/>
      <c r="U1542" s="345"/>
      <c r="V1542" s="346"/>
    </row>
    <row r="1543">
      <c r="A1543" s="339"/>
      <c r="B1543" s="313"/>
      <c r="C1543" s="314"/>
      <c r="D1543" s="315" t="str">
        <f t="shared" si="35"/>
        <v/>
      </c>
      <c r="E1543" s="315" t="str">
        <f t="shared" si="36"/>
        <v/>
      </c>
      <c r="F1543" s="318"/>
      <c r="G1543" s="318"/>
      <c r="H1543" s="318"/>
      <c r="I1543" s="318"/>
      <c r="J1543" s="318"/>
      <c r="K1543" s="319">
        <f t="shared" si="39"/>
        <v>0</v>
      </c>
      <c r="L1543" s="320" t="str">
        <f t="shared" si="34"/>
        <v/>
      </c>
      <c r="M1543" s="239"/>
      <c r="T1543" s="344"/>
      <c r="U1543" s="345"/>
      <c r="V1543" s="346"/>
    </row>
    <row r="1544">
      <c r="A1544" s="339"/>
      <c r="B1544" s="313"/>
      <c r="C1544" s="314"/>
      <c r="D1544" s="315" t="str">
        <f t="shared" si="35"/>
        <v/>
      </c>
      <c r="E1544" s="315" t="str">
        <f t="shared" si="36"/>
        <v/>
      </c>
      <c r="F1544" s="318"/>
      <c r="G1544" s="318"/>
      <c r="H1544" s="318"/>
      <c r="I1544" s="318"/>
      <c r="J1544" s="318"/>
      <c r="K1544" s="319">
        <f t="shared" si="39"/>
        <v>0</v>
      </c>
      <c r="L1544" s="320" t="str">
        <f t="shared" si="34"/>
        <v/>
      </c>
      <c r="M1544" s="239"/>
      <c r="T1544" s="344"/>
      <c r="U1544" s="345"/>
      <c r="V1544" s="346"/>
    </row>
    <row r="1545">
      <c r="A1545" s="339"/>
      <c r="B1545" s="313"/>
      <c r="C1545" s="314"/>
      <c r="D1545" s="315" t="str">
        <f t="shared" si="35"/>
        <v/>
      </c>
      <c r="E1545" s="315" t="str">
        <f t="shared" si="36"/>
        <v/>
      </c>
      <c r="F1545" s="318"/>
      <c r="G1545" s="318"/>
      <c r="H1545" s="318"/>
      <c r="I1545" s="318"/>
      <c r="J1545" s="318"/>
      <c r="K1545" s="319">
        <f t="shared" si="39"/>
        <v>0</v>
      </c>
      <c r="L1545" s="320" t="str">
        <f t="shared" si="34"/>
        <v/>
      </c>
      <c r="M1545" s="239"/>
      <c r="T1545" s="344"/>
      <c r="U1545" s="345"/>
      <c r="V1545" s="346"/>
    </row>
    <row r="1546">
      <c r="A1546" s="339"/>
      <c r="B1546" s="313"/>
      <c r="C1546" s="314"/>
      <c r="D1546" s="315" t="str">
        <f t="shared" si="35"/>
        <v/>
      </c>
      <c r="E1546" s="315" t="str">
        <f t="shared" si="36"/>
        <v/>
      </c>
      <c r="F1546" s="318"/>
      <c r="G1546" s="318"/>
      <c r="H1546" s="318"/>
      <c r="I1546" s="318"/>
      <c r="J1546" s="318"/>
      <c r="K1546" s="319">
        <f t="shared" si="39"/>
        <v>0</v>
      </c>
      <c r="L1546" s="320" t="str">
        <f t="shared" si="34"/>
        <v/>
      </c>
      <c r="M1546" s="239"/>
      <c r="T1546" s="344"/>
      <c r="U1546" s="345"/>
      <c r="V1546" s="346"/>
    </row>
    <row r="1547">
      <c r="A1547" s="339"/>
      <c r="B1547" s="313"/>
      <c r="C1547" s="314"/>
      <c r="D1547" s="315" t="str">
        <f t="shared" si="35"/>
        <v/>
      </c>
      <c r="E1547" s="315" t="str">
        <f t="shared" si="36"/>
        <v/>
      </c>
      <c r="F1547" s="318"/>
      <c r="G1547" s="318"/>
      <c r="H1547" s="318"/>
      <c r="I1547" s="318"/>
      <c r="J1547" s="318"/>
      <c r="K1547" s="319">
        <f t="shared" si="39"/>
        <v>0</v>
      </c>
      <c r="L1547" s="320" t="str">
        <f t="shared" si="34"/>
        <v/>
      </c>
      <c r="M1547" s="239"/>
      <c r="T1547" s="344"/>
      <c r="U1547" s="345"/>
      <c r="V1547" s="346"/>
    </row>
    <row r="1548">
      <c r="A1548" s="339"/>
      <c r="B1548" s="313"/>
      <c r="C1548" s="314"/>
      <c r="D1548" s="315" t="str">
        <f t="shared" si="35"/>
        <v/>
      </c>
      <c r="E1548" s="315" t="str">
        <f t="shared" si="36"/>
        <v/>
      </c>
      <c r="F1548" s="318"/>
      <c r="G1548" s="318"/>
      <c r="H1548" s="318"/>
      <c r="I1548" s="318"/>
      <c r="J1548" s="318"/>
      <c r="K1548" s="319">
        <f t="shared" si="39"/>
        <v>0</v>
      </c>
      <c r="L1548" s="320" t="str">
        <f t="shared" si="34"/>
        <v/>
      </c>
      <c r="M1548" s="239"/>
      <c r="T1548" s="344"/>
      <c r="U1548" s="345"/>
      <c r="V1548" s="346"/>
    </row>
    <row r="1549">
      <c r="A1549" s="339"/>
      <c r="B1549" s="313"/>
      <c r="C1549" s="314"/>
      <c r="D1549" s="315" t="str">
        <f t="shared" si="35"/>
        <v/>
      </c>
      <c r="E1549" s="315" t="str">
        <f t="shared" si="36"/>
        <v/>
      </c>
      <c r="F1549" s="318"/>
      <c r="G1549" s="318"/>
      <c r="H1549" s="318"/>
      <c r="I1549" s="318"/>
      <c r="J1549" s="318"/>
      <c r="K1549" s="319">
        <f t="shared" si="39"/>
        <v>0</v>
      </c>
      <c r="L1549" s="320" t="str">
        <f t="shared" si="34"/>
        <v/>
      </c>
      <c r="M1549" s="239"/>
      <c r="T1549" s="344"/>
      <c r="U1549" s="345"/>
      <c r="V1549" s="346"/>
    </row>
    <row r="1550">
      <c r="A1550" s="339"/>
      <c r="B1550" s="313"/>
      <c r="C1550" s="314"/>
      <c r="D1550" s="315" t="str">
        <f t="shared" si="35"/>
        <v/>
      </c>
      <c r="E1550" s="315" t="str">
        <f t="shared" si="36"/>
        <v/>
      </c>
      <c r="F1550" s="318"/>
      <c r="G1550" s="318"/>
      <c r="H1550" s="318"/>
      <c r="I1550" s="318"/>
      <c r="J1550" s="318"/>
      <c r="K1550" s="319">
        <f t="shared" si="39"/>
        <v>0</v>
      </c>
      <c r="L1550" s="320" t="str">
        <f t="shared" si="34"/>
        <v/>
      </c>
      <c r="M1550" s="239"/>
      <c r="T1550" s="344"/>
      <c r="U1550" s="345"/>
      <c r="V1550" s="346"/>
    </row>
    <row r="1551">
      <c r="A1551" s="339"/>
      <c r="B1551" s="313"/>
      <c r="C1551" s="314"/>
      <c r="D1551" s="315" t="str">
        <f t="shared" si="35"/>
        <v/>
      </c>
      <c r="E1551" s="315" t="str">
        <f t="shared" si="36"/>
        <v/>
      </c>
      <c r="F1551" s="318"/>
      <c r="G1551" s="318"/>
      <c r="H1551" s="318"/>
      <c r="I1551" s="318"/>
      <c r="J1551" s="318"/>
      <c r="K1551" s="319">
        <f t="shared" si="39"/>
        <v>0</v>
      </c>
      <c r="L1551" s="320" t="str">
        <f t="shared" si="34"/>
        <v/>
      </c>
      <c r="M1551" s="239"/>
      <c r="T1551" s="344"/>
      <c r="U1551" s="345"/>
      <c r="V1551" s="346"/>
    </row>
    <row r="1552">
      <c r="A1552" s="339"/>
      <c r="B1552" s="313"/>
      <c r="C1552" s="314"/>
      <c r="D1552" s="315" t="str">
        <f t="shared" si="35"/>
        <v/>
      </c>
      <c r="E1552" s="315" t="str">
        <f t="shared" si="36"/>
        <v/>
      </c>
      <c r="F1552" s="318"/>
      <c r="G1552" s="318"/>
      <c r="H1552" s="318"/>
      <c r="I1552" s="318"/>
      <c r="J1552" s="318"/>
      <c r="K1552" s="319">
        <f t="shared" si="39"/>
        <v>0</v>
      </c>
      <c r="L1552" s="320" t="str">
        <f t="shared" si="34"/>
        <v/>
      </c>
      <c r="M1552" s="239"/>
      <c r="T1552" s="344"/>
      <c r="U1552" s="345"/>
      <c r="V1552" s="346"/>
    </row>
    <row r="1553">
      <c r="A1553" s="339"/>
      <c r="B1553" s="313"/>
      <c r="C1553" s="314"/>
      <c r="D1553" s="315" t="str">
        <f t="shared" si="35"/>
        <v/>
      </c>
      <c r="E1553" s="315" t="str">
        <f t="shared" si="36"/>
        <v/>
      </c>
      <c r="F1553" s="318"/>
      <c r="G1553" s="318"/>
      <c r="H1553" s="318"/>
      <c r="I1553" s="318"/>
      <c r="J1553" s="318"/>
      <c r="K1553" s="319">
        <f t="shared" si="39"/>
        <v>0</v>
      </c>
      <c r="L1553" s="320" t="str">
        <f t="shared" si="34"/>
        <v/>
      </c>
      <c r="M1553" s="239"/>
      <c r="T1553" s="344"/>
      <c r="U1553" s="345"/>
      <c r="V1553" s="346"/>
    </row>
    <row r="1554">
      <c r="A1554" s="339"/>
      <c r="B1554" s="313"/>
      <c r="C1554" s="314"/>
      <c r="D1554" s="315" t="str">
        <f t="shared" si="35"/>
        <v/>
      </c>
      <c r="E1554" s="315" t="str">
        <f t="shared" si="36"/>
        <v/>
      </c>
      <c r="F1554" s="318"/>
      <c r="G1554" s="318"/>
      <c r="H1554" s="318"/>
      <c r="I1554" s="318"/>
      <c r="J1554" s="318"/>
      <c r="K1554" s="319">
        <f t="shared" si="39"/>
        <v>0</v>
      </c>
      <c r="L1554" s="320" t="str">
        <f t="shared" si="34"/>
        <v/>
      </c>
      <c r="M1554" s="239"/>
      <c r="T1554" s="344"/>
      <c r="U1554" s="345"/>
      <c r="V1554" s="346"/>
    </row>
    <row r="1555">
      <c r="A1555" s="339"/>
      <c r="B1555" s="313"/>
      <c r="C1555" s="314"/>
      <c r="D1555" s="315" t="str">
        <f t="shared" si="35"/>
        <v/>
      </c>
      <c r="E1555" s="315" t="str">
        <f t="shared" si="36"/>
        <v/>
      </c>
      <c r="F1555" s="318"/>
      <c r="G1555" s="318"/>
      <c r="H1555" s="318"/>
      <c r="I1555" s="318"/>
      <c r="J1555" s="318"/>
      <c r="K1555" s="319">
        <f t="shared" si="39"/>
        <v>0</v>
      </c>
      <c r="L1555" s="320" t="str">
        <f t="shared" si="34"/>
        <v/>
      </c>
      <c r="M1555" s="239"/>
      <c r="T1555" s="344"/>
      <c r="U1555" s="345"/>
      <c r="V1555" s="346"/>
    </row>
    <row r="1556">
      <c r="A1556" s="339"/>
      <c r="B1556" s="313"/>
      <c r="C1556" s="314"/>
      <c r="D1556" s="315" t="str">
        <f t="shared" si="35"/>
        <v/>
      </c>
      <c r="E1556" s="315" t="str">
        <f t="shared" si="36"/>
        <v/>
      </c>
      <c r="F1556" s="318"/>
      <c r="G1556" s="318"/>
      <c r="H1556" s="318"/>
      <c r="I1556" s="318"/>
      <c r="J1556" s="318"/>
      <c r="K1556" s="319">
        <f t="shared" si="39"/>
        <v>0</v>
      </c>
      <c r="L1556" s="320" t="str">
        <f t="shared" si="34"/>
        <v/>
      </c>
      <c r="M1556" s="239"/>
      <c r="T1556" s="344"/>
      <c r="U1556" s="345"/>
      <c r="V1556" s="346"/>
    </row>
    <row r="1557">
      <c r="A1557" s="339"/>
      <c r="B1557" s="313"/>
      <c r="C1557" s="314"/>
      <c r="D1557" s="315" t="str">
        <f t="shared" si="35"/>
        <v/>
      </c>
      <c r="E1557" s="315" t="str">
        <f t="shared" si="36"/>
        <v/>
      </c>
      <c r="F1557" s="318"/>
      <c r="G1557" s="318"/>
      <c r="H1557" s="318"/>
      <c r="I1557" s="318"/>
      <c r="J1557" s="318"/>
      <c r="K1557" s="319">
        <f t="shared" si="39"/>
        <v>0</v>
      </c>
      <c r="L1557" s="320" t="str">
        <f t="shared" si="34"/>
        <v/>
      </c>
      <c r="M1557" s="239"/>
      <c r="T1557" s="344"/>
      <c r="U1557" s="345"/>
      <c r="V1557" s="346"/>
    </row>
    <row r="1558">
      <c r="A1558" s="339"/>
      <c r="B1558" s="313"/>
      <c r="C1558" s="314"/>
      <c r="D1558" s="315" t="str">
        <f t="shared" si="35"/>
        <v/>
      </c>
      <c r="E1558" s="315" t="str">
        <f t="shared" si="36"/>
        <v/>
      </c>
      <c r="F1558" s="318"/>
      <c r="G1558" s="318"/>
      <c r="H1558" s="318"/>
      <c r="I1558" s="318"/>
      <c r="J1558" s="318"/>
      <c r="K1558" s="319">
        <f t="shared" si="39"/>
        <v>0</v>
      </c>
      <c r="L1558" s="320" t="str">
        <f t="shared" si="34"/>
        <v/>
      </c>
      <c r="M1558" s="239"/>
      <c r="T1558" s="344"/>
      <c r="U1558" s="345"/>
      <c r="V1558" s="346"/>
    </row>
    <row r="1559">
      <c r="A1559" s="339"/>
      <c r="B1559" s="313"/>
      <c r="C1559" s="314"/>
      <c r="D1559" s="315" t="str">
        <f t="shared" si="35"/>
        <v/>
      </c>
      <c r="E1559" s="315" t="str">
        <f t="shared" si="36"/>
        <v/>
      </c>
      <c r="F1559" s="318"/>
      <c r="G1559" s="318"/>
      <c r="H1559" s="318"/>
      <c r="I1559" s="318"/>
      <c r="J1559" s="318"/>
      <c r="K1559" s="319">
        <f t="shared" si="39"/>
        <v>0</v>
      </c>
      <c r="L1559" s="320" t="str">
        <f t="shared" si="34"/>
        <v/>
      </c>
      <c r="M1559" s="239"/>
      <c r="T1559" s="344"/>
      <c r="U1559" s="345"/>
      <c r="V1559" s="346"/>
    </row>
    <row r="1560">
      <c r="A1560" s="339"/>
      <c r="B1560" s="313"/>
      <c r="C1560" s="314"/>
      <c r="D1560" s="315" t="str">
        <f t="shared" si="35"/>
        <v/>
      </c>
      <c r="E1560" s="315" t="str">
        <f t="shared" si="36"/>
        <v/>
      </c>
      <c r="F1560" s="318"/>
      <c r="G1560" s="318"/>
      <c r="H1560" s="318"/>
      <c r="I1560" s="318"/>
      <c r="J1560" s="318"/>
      <c r="K1560" s="319">
        <f t="shared" si="39"/>
        <v>0</v>
      </c>
      <c r="L1560" s="320" t="str">
        <f t="shared" si="34"/>
        <v/>
      </c>
      <c r="M1560" s="239"/>
      <c r="T1560" s="344"/>
      <c r="U1560" s="345"/>
      <c r="V1560" s="346"/>
    </row>
    <row r="1561">
      <c r="A1561" s="339"/>
      <c r="B1561" s="313"/>
      <c r="C1561" s="314"/>
      <c r="D1561" s="315" t="str">
        <f t="shared" si="35"/>
        <v/>
      </c>
      <c r="E1561" s="315" t="str">
        <f t="shared" si="36"/>
        <v/>
      </c>
      <c r="F1561" s="318"/>
      <c r="G1561" s="318"/>
      <c r="H1561" s="318"/>
      <c r="I1561" s="318"/>
      <c r="J1561" s="318"/>
      <c r="K1561" s="319">
        <f t="shared" si="39"/>
        <v>0</v>
      </c>
      <c r="L1561" s="320" t="str">
        <f t="shared" si="34"/>
        <v/>
      </c>
      <c r="M1561" s="239"/>
      <c r="T1561" s="344"/>
      <c r="U1561" s="345"/>
      <c r="V1561" s="346"/>
    </row>
    <row r="1562">
      <c r="A1562" s="339"/>
      <c r="B1562" s="313"/>
      <c r="C1562" s="314"/>
      <c r="D1562" s="315" t="str">
        <f t="shared" si="35"/>
        <v/>
      </c>
      <c r="E1562" s="315" t="str">
        <f t="shared" si="36"/>
        <v/>
      </c>
      <c r="F1562" s="318"/>
      <c r="G1562" s="318"/>
      <c r="H1562" s="318"/>
      <c r="I1562" s="318"/>
      <c r="J1562" s="318"/>
      <c r="K1562" s="319">
        <f t="shared" si="39"/>
        <v>0</v>
      </c>
      <c r="L1562" s="320" t="str">
        <f t="shared" si="34"/>
        <v/>
      </c>
      <c r="M1562" s="239"/>
      <c r="T1562" s="344"/>
      <c r="U1562" s="345"/>
      <c r="V1562" s="346"/>
    </row>
    <row r="1563">
      <c r="A1563" s="339"/>
      <c r="B1563" s="313"/>
      <c r="C1563" s="314"/>
      <c r="D1563" s="315" t="str">
        <f t="shared" si="35"/>
        <v/>
      </c>
      <c r="E1563" s="315" t="str">
        <f t="shared" si="36"/>
        <v/>
      </c>
      <c r="F1563" s="318"/>
      <c r="G1563" s="318"/>
      <c r="H1563" s="318"/>
      <c r="I1563" s="318"/>
      <c r="J1563" s="318"/>
      <c r="K1563" s="319">
        <f t="shared" si="39"/>
        <v>0</v>
      </c>
      <c r="L1563" s="320" t="str">
        <f t="shared" si="34"/>
        <v/>
      </c>
      <c r="M1563" s="239"/>
      <c r="T1563" s="344"/>
      <c r="U1563" s="345"/>
      <c r="V1563" s="346"/>
    </row>
    <row r="1564">
      <c r="A1564" s="339"/>
      <c r="B1564" s="313"/>
      <c r="C1564" s="314"/>
      <c r="D1564" s="315" t="str">
        <f t="shared" si="35"/>
        <v/>
      </c>
      <c r="E1564" s="315" t="str">
        <f t="shared" si="36"/>
        <v/>
      </c>
      <c r="F1564" s="318"/>
      <c r="G1564" s="318"/>
      <c r="H1564" s="318"/>
      <c r="I1564" s="318"/>
      <c r="J1564" s="318"/>
      <c r="K1564" s="319">
        <f t="shared" si="39"/>
        <v>0</v>
      </c>
      <c r="L1564" s="320" t="str">
        <f t="shared" si="34"/>
        <v/>
      </c>
      <c r="M1564" s="239"/>
      <c r="T1564" s="344"/>
      <c r="U1564" s="345"/>
      <c r="V1564" s="346"/>
    </row>
    <row r="1565">
      <c r="A1565" s="339"/>
      <c r="B1565" s="313"/>
      <c r="C1565" s="314"/>
      <c r="D1565" s="315" t="str">
        <f t="shared" si="35"/>
        <v/>
      </c>
      <c r="E1565" s="315" t="str">
        <f t="shared" si="36"/>
        <v/>
      </c>
      <c r="F1565" s="318"/>
      <c r="G1565" s="318"/>
      <c r="H1565" s="318"/>
      <c r="I1565" s="318"/>
      <c r="J1565" s="318"/>
      <c r="K1565" s="319">
        <f t="shared" si="39"/>
        <v>0</v>
      </c>
      <c r="L1565" s="320" t="str">
        <f t="shared" si="34"/>
        <v/>
      </c>
      <c r="M1565" s="239"/>
      <c r="T1565" s="344"/>
      <c r="U1565" s="345"/>
      <c r="V1565" s="346"/>
    </row>
    <row r="1566">
      <c r="A1566" s="339"/>
      <c r="B1566" s="313"/>
      <c r="C1566" s="314"/>
      <c r="D1566" s="315" t="str">
        <f t="shared" si="35"/>
        <v/>
      </c>
      <c r="E1566" s="315" t="str">
        <f t="shared" si="36"/>
        <v/>
      </c>
      <c r="F1566" s="318"/>
      <c r="G1566" s="318"/>
      <c r="H1566" s="318"/>
      <c r="I1566" s="318"/>
      <c r="J1566" s="318"/>
      <c r="K1566" s="319">
        <f t="shared" si="39"/>
        <v>0</v>
      </c>
      <c r="L1566" s="320" t="str">
        <f t="shared" si="34"/>
        <v/>
      </c>
      <c r="M1566" s="239"/>
      <c r="T1566" s="344"/>
      <c r="U1566" s="345"/>
      <c r="V1566" s="346"/>
    </row>
    <row r="1567">
      <c r="A1567" s="339"/>
      <c r="B1567" s="313"/>
      <c r="C1567" s="314"/>
      <c r="D1567" s="315" t="str">
        <f t="shared" si="35"/>
        <v/>
      </c>
      <c r="E1567" s="315" t="str">
        <f t="shared" si="36"/>
        <v/>
      </c>
      <c r="F1567" s="318"/>
      <c r="G1567" s="318"/>
      <c r="H1567" s="318"/>
      <c r="I1567" s="318"/>
      <c r="J1567" s="318"/>
      <c r="K1567" s="319">
        <f t="shared" si="39"/>
        <v>0</v>
      </c>
      <c r="L1567" s="320" t="str">
        <f t="shared" si="34"/>
        <v/>
      </c>
      <c r="M1567" s="239"/>
      <c r="T1567" s="344"/>
      <c r="U1567" s="345"/>
      <c r="V1567" s="346"/>
    </row>
    <row r="1568">
      <c r="A1568" s="339"/>
      <c r="B1568" s="313"/>
      <c r="C1568" s="314"/>
      <c r="D1568" s="315" t="str">
        <f t="shared" si="35"/>
        <v/>
      </c>
      <c r="E1568" s="315" t="str">
        <f t="shared" si="36"/>
        <v/>
      </c>
      <c r="F1568" s="318"/>
      <c r="G1568" s="318"/>
      <c r="H1568" s="318"/>
      <c r="I1568" s="318"/>
      <c r="J1568" s="318"/>
      <c r="K1568" s="319">
        <f t="shared" si="39"/>
        <v>0</v>
      </c>
      <c r="L1568" s="320" t="str">
        <f t="shared" si="34"/>
        <v/>
      </c>
      <c r="M1568" s="239"/>
      <c r="T1568" s="344"/>
      <c r="U1568" s="345"/>
      <c r="V1568" s="346"/>
    </row>
    <row r="1569">
      <c r="A1569" s="339"/>
      <c r="B1569" s="313"/>
      <c r="C1569" s="314"/>
      <c r="D1569" s="315" t="str">
        <f t="shared" si="35"/>
        <v/>
      </c>
      <c r="E1569" s="315" t="str">
        <f t="shared" si="36"/>
        <v/>
      </c>
      <c r="F1569" s="318"/>
      <c r="G1569" s="318"/>
      <c r="H1569" s="318"/>
      <c r="I1569" s="318"/>
      <c r="J1569" s="318"/>
      <c r="K1569" s="319">
        <f t="shared" si="39"/>
        <v>0</v>
      </c>
      <c r="L1569" s="320" t="str">
        <f t="shared" si="34"/>
        <v/>
      </c>
      <c r="M1569" s="239"/>
      <c r="T1569" s="344"/>
      <c r="U1569" s="345"/>
      <c r="V1569" s="346"/>
    </row>
    <row r="1570">
      <c r="A1570" s="339"/>
      <c r="B1570" s="313"/>
      <c r="C1570" s="314"/>
      <c r="D1570" s="315" t="str">
        <f t="shared" si="35"/>
        <v/>
      </c>
      <c r="E1570" s="315" t="str">
        <f t="shared" si="36"/>
        <v/>
      </c>
      <c r="F1570" s="318"/>
      <c r="G1570" s="318"/>
      <c r="H1570" s="318"/>
      <c r="I1570" s="318"/>
      <c r="J1570" s="318"/>
      <c r="K1570" s="319">
        <f t="shared" si="39"/>
        <v>0</v>
      </c>
      <c r="L1570" s="320" t="str">
        <f t="shared" si="34"/>
        <v/>
      </c>
      <c r="M1570" s="239"/>
      <c r="T1570" s="344"/>
      <c r="U1570" s="345"/>
      <c r="V1570" s="346"/>
    </row>
    <row r="1571">
      <c r="A1571" s="339"/>
      <c r="B1571" s="313"/>
      <c r="C1571" s="314"/>
      <c r="D1571" s="315" t="str">
        <f t="shared" si="35"/>
        <v/>
      </c>
      <c r="E1571" s="315" t="str">
        <f t="shared" si="36"/>
        <v/>
      </c>
      <c r="F1571" s="318"/>
      <c r="G1571" s="318"/>
      <c r="H1571" s="318"/>
      <c r="I1571" s="318"/>
      <c r="J1571" s="318"/>
      <c r="K1571" s="319">
        <f t="shared" si="39"/>
        <v>0</v>
      </c>
      <c r="L1571" s="320" t="str">
        <f t="shared" si="34"/>
        <v/>
      </c>
      <c r="M1571" s="239"/>
      <c r="T1571" s="344"/>
      <c r="U1571" s="345"/>
      <c r="V1571" s="346"/>
    </row>
    <row r="1572">
      <c r="A1572" s="339"/>
      <c r="B1572" s="313"/>
      <c r="C1572" s="314"/>
      <c r="D1572" s="315" t="str">
        <f t="shared" si="35"/>
        <v/>
      </c>
      <c r="E1572" s="315" t="str">
        <f t="shared" si="36"/>
        <v/>
      </c>
      <c r="F1572" s="318"/>
      <c r="G1572" s="318"/>
      <c r="H1572" s="318"/>
      <c r="I1572" s="318"/>
      <c r="J1572" s="318"/>
      <c r="K1572" s="319">
        <f t="shared" si="39"/>
        <v>0</v>
      </c>
      <c r="L1572" s="320" t="str">
        <f t="shared" si="34"/>
        <v/>
      </c>
      <c r="M1572" s="239"/>
      <c r="T1572" s="344"/>
      <c r="U1572" s="345"/>
      <c r="V1572" s="346"/>
    </row>
    <row r="1573">
      <c r="A1573" s="339"/>
      <c r="B1573" s="313"/>
      <c r="C1573" s="314"/>
      <c r="D1573" s="315" t="str">
        <f t="shared" si="35"/>
        <v/>
      </c>
      <c r="E1573" s="315" t="str">
        <f t="shared" si="36"/>
        <v/>
      </c>
      <c r="F1573" s="318"/>
      <c r="G1573" s="318"/>
      <c r="H1573" s="318"/>
      <c r="I1573" s="318"/>
      <c r="J1573" s="318"/>
      <c r="K1573" s="319">
        <f t="shared" si="39"/>
        <v>0</v>
      </c>
      <c r="L1573" s="320" t="str">
        <f t="shared" si="34"/>
        <v/>
      </c>
      <c r="M1573" s="239"/>
      <c r="T1573" s="344"/>
      <c r="U1573" s="345"/>
      <c r="V1573" s="346"/>
    </row>
    <row r="1574">
      <c r="A1574" s="339"/>
      <c r="B1574" s="313"/>
      <c r="C1574" s="314"/>
      <c r="D1574" s="315" t="str">
        <f t="shared" si="35"/>
        <v/>
      </c>
      <c r="E1574" s="315" t="str">
        <f t="shared" si="36"/>
        <v/>
      </c>
      <c r="F1574" s="318"/>
      <c r="G1574" s="318"/>
      <c r="H1574" s="318"/>
      <c r="I1574" s="318"/>
      <c r="J1574" s="318"/>
      <c r="K1574" s="319">
        <f t="shared" si="39"/>
        <v>0</v>
      </c>
      <c r="L1574" s="320" t="str">
        <f t="shared" si="34"/>
        <v/>
      </c>
      <c r="M1574" s="239"/>
      <c r="T1574" s="344"/>
      <c r="U1574" s="345"/>
      <c r="V1574" s="346"/>
    </row>
    <row r="1575">
      <c r="A1575" s="339"/>
      <c r="B1575" s="313"/>
      <c r="C1575" s="314"/>
      <c r="D1575" s="315" t="str">
        <f t="shared" si="35"/>
        <v/>
      </c>
      <c r="E1575" s="315" t="str">
        <f t="shared" si="36"/>
        <v/>
      </c>
      <c r="F1575" s="318"/>
      <c r="G1575" s="318"/>
      <c r="H1575" s="318"/>
      <c r="I1575" s="318"/>
      <c r="J1575" s="318"/>
      <c r="K1575" s="319">
        <f t="shared" si="39"/>
        <v>0</v>
      </c>
      <c r="L1575" s="320" t="str">
        <f t="shared" si="34"/>
        <v/>
      </c>
      <c r="M1575" s="239"/>
      <c r="T1575" s="344"/>
      <c r="U1575" s="345"/>
      <c r="V1575" s="346"/>
    </row>
    <row r="1576">
      <c r="A1576" s="339"/>
      <c r="B1576" s="313"/>
      <c r="C1576" s="314"/>
      <c r="D1576" s="315" t="str">
        <f t="shared" si="35"/>
        <v/>
      </c>
      <c r="E1576" s="315" t="str">
        <f t="shared" si="36"/>
        <v/>
      </c>
      <c r="F1576" s="318"/>
      <c r="G1576" s="318"/>
      <c r="H1576" s="318"/>
      <c r="I1576" s="318"/>
      <c r="J1576" s="318"/>
      <c r="K1576" s="319">
        <f t="shared" si="39"/>
        <v>0</v>
      </c>
      <c r="L1576" s="320" t="str">
        <f t="shared" si="34"/>
        <v/>
      </c>
      <c r="M1576" s="239"/>
      <c r="T1576" s="344"/>
      <c r="U1576" s="345"/>
      <c r="V1576" s="346"/>
    </row>
    <row r="1577">
      <c r="A1577" s="339"/>
      <c r="B1577" s="313"/>
      <c r="C1577" s="314"/>
      <c r="D1577" s="315" t="str">
        <f t="shared" si="35"/>
        <v/>
      </c>
      <c r="E1577" s="315" t="str">
        <f t="shared" si="36"/>
        <v/>
      </c>
      <c r="F1577" s="318"/>
      <c r="G1577" s="318"/>
      <c r="H1577" s="318"/>
      <c r="I1577" s="318"/>
      <c r="J1577" s="318"/>
      <c r="K1577" s="319">
        <f t="shared" si="39"/>
        <v>0</v>
      </c>
      <c r="L1577" s="320" t="str">
        <f t="shared" si="34"/>
        <v/>
      </c>
      <c r="M1577" s="239"/>
      <c r="T1577" s="344"/>
      <c r="U1577" s="345"/>
      <c r="V1577" s="346"/>
    </row>
    <row r="1578">
      <c r="A1578" s="339"/>
      <c r="B1578" s="313"/>
      <c r="C1578" s="314"/>
      <c r="D1578" s="315" t="str">
        <f t="shared" si="35"/>
        <v/>
      </c>
      <c r="E1578" s="315" t="str">
        <f t="shared" si="36"/>
        <v/>
      </c>
      <c r="F1578" s="318"/>
      <c r="G1578" s="318"/>
      <c r="H1578" s="318"/>
      <c r="I1578" s="318"/>
      <c r="J1578" s="318"/>
      <c r="K1578" s="319">
        <f t="shared" si="39"/>
        <v>0</v>
      </c>
      <c r="L1578" s="320" t="str">
        <f t="shared" si="34"/>
        <v/>
      </c>
      <c r="M1578" s="239"/>
      <c r="T1578" s="344"/>
      <c r="U1578" s="345"/>
      <c r="V1578" s="34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4.13"/>
    <col customWidth="1" min="2" max="2" width="5.88"/>
    <col customWidth="1" min="3" max="3" width="14.13"/>
    <col customWidth="1" min="5" max="5" width="14.0"/>
    <col customWidth="1" min="6" max="6" width="13.63"/>
  </cols>
  <sheetData>
    <row r="1">
      <c r="C1" s="349" t="s">
        <v>434</v>
      </c>
      <c r="D1" s="350" t="s">
        <v>435</v>
      </c>
      <c r="E1" s="350" t="s">
        <v>436</v>
      </c>
      <c r="F1" s="350" t="s">
        <v>437</v>
      </c>
      <c r="G1" s="295"/>
      <c r="H1" s="349"/>
      <c r="I1" s="349" t="s">
        <v>438</v>
      </c>
      <c r="J1" s="350" t="s">
        <v>435</v>
      </c>
      <c r="K1" s="350" t="s">
        <v>436</v>
      </c>
      <c r="L1" s="350" t="s">
        <v>437</v>
      </c>
      <c r="M1" s="240"/>
    </row>
    <row r="2">
      <c r="A2" s="351"/>
      <c r="B2" s="352" t="s">
        <v>439</v>
      </c>
      <c r="C2" s="353" t="s">
        <v>440</v>
      </c>
      <c r="D2" s="350" t="s">
        <v>435</v>
      </c>
      <c r="E2" s="350" t="s">
        <v>436</v>
      </c>
      <c r="F2" s="350" t="s">
        <v>437</v>
      </c>
      <c r="G2" s="354" t="s">
        <v>441</v>
      </c>
      <c r="H2" s="355" t="s">
        <v>442</v>
      </c>
      <c r="I2" s="356" t="s">
        <v>439</v>
      </c>
      <c r="J2" s="353" t="s">
        <v>443</v>
      </c>
      <c r="K2" s="350" t="s">
        <v>435</v>
      </c>
      <c r="L2" s="350" t="s">
        <v>436</v>
      </c>
      <c r="M2" s="350" t="s">
        <v>437</v>
      </c>
    </row>
    <row r="3"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</row>
    <row r="4"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</row>
    <row r="5"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</row>
    <row r="6">
      <c r="C6" s="357" t="s">
        <v>1</v>
      </c>
      <c r="D6" s="358"/>
      <c r="E6" s="358"/>
      <c r="F6" s="358"/>
      <c r="G6" s="358"/>
      <c r="H6" s="358"/>
      <c r="I6" s="358"/>
      <c r="J6" s="358"/>
      <c r="K6" s="358"/>
      <c r="L6" s="358"/>
      <c r="M6" s="240"/>
    </row>
    <row r="7">
      <c r="C7" s="349" t="s">
        <v>434</v>
      </c>
      <c r="D7" s="350" t="s">
        <v>435</v>
      </c>
      <c r="E7" s="350" t="s">
        <v>436</v>
      </c>
      <c r="F7" s="350" t="s">
        <v>437</v>
      </c>
      <c r="G7" s="295"/>
      <c r="H7" s="349"/>
      <c r="I7" s="349" t="s">
        <v>438</v>
      </c>
      <c r="J7" s="350" t="s">
        <v>435</v>
      </c>
      <c r="K7" s="350" t="s">
        <v>436</v>
      </c>
      <c r="L7" s="350" t="s">
        <v>437</v>
      </c>
      <c r="M7" s="240"/>
    </row>
    <row r="8">
      <c r="C8" s="359">
        <v>46054.0</v>
      </c>
      <c r="D8" s="360">
        <f>SUMIFS('jiliarena_代理数据_底稿'!$O:$O,'jiliarena_代理数据_底稿'!$B:$B,D$7,'jiliarena_代理数据_底稿'!$A:$A,$C8)</f>
        <v>0</v>
      </c>
      <c r="E8" s="360">
        <f>SUMIFS('jiliarena_代理数据_底稿'!$O:$O,'jiliarena_代理数据_底稿'!$B:$B,E$7,'jiliarena_代理数据_底稿'!$A:$A,$C8)</f>
        <v>0</v>
      </c>
      <c r="F8" s="360">
        <f>SUMIFS('jiliarena_代理数据_底稿'!$O:$O,'jiliarena_代理数据_底稿'!$B:$B,F$7,'jiliarena_代理数据_底稿'!$A:$A,$C8)</f>
        <v>0</v>
      </c>
      <c r="G8" s="361">
        <f t="shared" ref="G8:G35" si="1">sum(D8:F8)</f>
        <v>0</v>
      </c>
      <c r="H8" s="362" t="str">
        <f t="array" ref="H8">INDEX(jiliarena!$A$3:$M$49,MATCH($C8,jiliarena!$A$3:$A$49,0),MATCH("日充值",jiliarena!$A$3:$M$3,0))-G8</f>
        <v>#N/A</v>
      </c>
      <c r="I8" s="359">
        <f t="shared" ref="I8:I35" si="2">C8</f>
        <v>46054</v>
      </c>
      <c r="J8" s="363"/>
      <c r="K8" s="363"/>
      <c r="L8" s="363"/>
      <c r="M8" s="240"/>
    </row>
    <row r="9">
      <c r="C9" s="359">
        <f t="shared" ref="C9:C35" si="4">C8+1</f>
        <v>46055</v>
      </c>
      <c r="D9" s="360">
        <f>SUMIFS('jiliarena_代理数据_底稿'!$O:$O,'jiliarena_代理数据_底稿'!$B:$B,D$7,'jiliarena_代理数据_底稿'!$A:$A,$C9)</f>
        <v>0</v>
      </c>
      <c r="E9" s="360">
        <f>SUMIFS('jiliarena_代理数据_底稿'!$O:$O,'jiliarena_代理数据_底稿'!$B:$B,E$7,'jiliarena_代理数据_底稿'!$A:$A,$C9)</f>
        <v>0</v>
      </c>
      <c r="F9" s="360">
        <f>SUMIFS('jiliarena_代理数据_底稿'!$O:$O,'jiliarena_代理数据_底稿'!$B:$B,F$7,'jiliarena_代理数据_底稿'!$A:$A,$C9)</f>
        <v>0</v>
      </c>
      <c r="G9" s="361">
        <f t="shared" si="1"/>
        <v>0</v>
      </c>
      <c r="H9" s="362" t="str">
        <f t="array" ref="H9">INDEX(jiliarena!$A$3:$M$49,MATCH($C9,jiliarena!$A$3:$A$49,0),MATCH("日充值",jiliarena!$A$3:$M$3,0))-G9</f>
        <v>#N/A</v>
      </c>
      <c r="I9" s="359">
        <f t="shared" si="2"/>
        <v>46055</v>
      </c>
      <c r="J9" s="363">
        <f t="shared" ref="J9:L9" si="3">D9-D8</f>
        <v>0</v>
      </c>
      <c r="K9" s="363">
        <f t="shared" si="3"/>
        <v>0</v>
      </c>
      <c r="L9" s="363">
        <f t="shared" si="3"/>
        <v>0</v>
      </c>
      <c r="M9" s="240"/>
    </row>
    <row r="10">
      <c r="C10" s="359">
        <f t="shared" si="4"/>
        <v>46056</v>
      </c>
      <c r="D10" s="360">
        <f>SUMIFS('jiliarena_代理数据_底稿'!$O:$O,'jiliarena_代理数据_底稿'!$B:$B,D$7,'jiliarena_代理数据_底稿'!$A:$A,$C10)</f>
        <v>0</v>
      </c>
      <c r="E10" s="360">
        <f>SUMIFS('jiliarena_代理数据_底稿'!$O:$O,'jiliarena_代理数据_底稿'!$B:$B,E$7,'jiliarena_代理数据_底稿'!$A:$A,$C10)</f>
        <v>0</v>
      </c>
      <c r="F10" s="360">
        <f>SUMIFS('jiliarena_代理数据_底稿'!$O:$O,'jiliarena_代理数据_底稿'!$B:$B,F$7,'jiliarena_代理数据_底稿'!$A:$A,$C10)</f>
        <v>0</v>
      </c>
      <c r="G10" s="361">
        <f t="shared" si="1"/>
        <v>0</v>
      </c>
      <c r="H10" s="362" t="str">
        <f t="array" ref="H10">INDEX(jiliarena!$A$3:$M$49,MATCH($C10,jiliarena!$A$3:$A$49,0),MATCH("日充值",jiliarena!$A$3:$M$3,0))-G10</f>
        <v>#N/A</v>
      </c>
      <c r="I10" s="359">
        <f t="shared" si="2"/>
        <v>46056</v>
      </c>
      <c r="J10" s="363">
        <f t="shared" ref="J10:L10" si="5">D10-D9</f>
        <v>0</v>
      </c>
      <c r="K10" s="363">
        <f t="shared" si="5"/>
        <v>0</v>
      </c>
      <c r="L10" s="363">
        <f t="shared" si="5"/>
        <v>0</v>
      </c>
      <c r="M10" s="240"/>
    </row>
    <row r="11">
      <c r="C11" s="359">
        <f t="shared" si="4"/>
        <v>46057</v>
      </c>
      <c r="D11" s="360">
        <f>SUMIFS('jiliarena_代理数据_底稿'!$O:$O,'jiliarena_代理数据_底稿'!$B:$B,D$7,'jiliarena_代理数据_底稿'!$A:$A,$C11)</f>
        <v>0</v>
      </c>
      <c r="E11" s="360">
        <f>SUMIFS('jiliarena_代理数据_底稿'!$O:$O,'jiliarena_代理数据_底稿'!$B:$B,E$7,'jiliarena_代理数据_底稿'!$A:$A,$C11)</f>
        <v>0</v>
      </c>
      <c r="F11" s="360">
        <f>SUMIFS('jiliarena_代理数据_底稿'!$O:$O,'jiliarena_代理数据_底稿'!$B:$B,F$7,'jiliarena_代理数据_底稿'!$A:$A,$C11)</f>
        <v>0</v>
      </c>
      <c r="G11" s="361">
        <f t="shared" si="1"/>
        <v>0</v>
      </c>
      <c r="H11" s="362" t="str">
        <f t="array" ref="H11">INDEX(jiliarena!$A$3:$M$49,MATCH($C11,jiliarena!$A$3:$A$49,0),MATCH("日充值",jiliarena!$A$3:$M$3,0))-G11</f>
        <v>#N/A</v>
      </c>
      <c r="I11" s="359">
        <f t="shared" si="2"/>
        <v>46057</v>
      </c>
      <c r="J11" s="363">
        <f t="shared" ref="J11:L11" si="6">D11-D10</f>
        <v>0</v>
      </c>
      <c r="K11" s="363">
        <f t="shared" si="6"/>
        <v>0</v>
      </c>
      <c r="L11" s="363">
        <f t="shared" si="6"/>
        <v>0</v>
      </c>
      <c r="M11" s="240"/>
    </row>
    <row r="12">
      <c r="C12" s="359">
        <f t="shared" si="4"/>
        <v>46058</v>
      </c>
      <c r="D12" s="360">
        <f>SUMIFS('jiliarena_代理数据_底稿'!$O:$O,'jiliarena_代理数据_底稿'!$B:$B,D$7,'jiliarena_代理数据_底稿'!$A:$A,$C12)</f>
        <v>0</v>
      </c>
      <c r="E12" s="360">
        <f>SUMIFS('jiliarena_代理数据_底稿'!$O:$O,'jiliarena_代理数据_底稿'!$B:$B,E$7,'jiliarena_代理数据_底稿'!$A:$A,$C12)</f>
        <v>0</v>
      </c>
      <c r="F12" s="360">
        <f>SUMIFS('jiliarena_代理数据_底稿'!$O:$O,'jiliarena_代理数据_底稿'!$B:$B,F$7,'jiliarena_代理数据_底稿'!$A:$A,$C12)</f>
        <v>0</v>
      </c>
      <c r="G12" s="361">
        <f t="shared" si="1"/>
        <v>0</v>
      </c>
      <c r="H12" s="362" t="str">
        <f t="array" ref="H12">INDEX(jiliarena!$A$3:$M$49,MATCH($C12,jiliarena!$A$3:$A$49,0),MATCH("日充值",jiliarena!$A$3:$M$3,0))-G12</f>
        <v>#N/A</v>
      </c>
      <c r="I12" s="359">
        <f t="shared" si="2"/>
        <v>46058</v>
      </c>
      <c r="J12" s="363">
        <f t="shared" ref="J12:L12" si="7">D12-D11</f>
        <v>0</v>
      </c>
      <c r="K12" s="363">
        <f t="shared" si="7"/>
        <v>0</v>
      </c>
      <c r="L12" s="363">
        <f t="shared" si="7"/>
        <v>0</v>
      </c>
      <c r="M12" s="240"/>
    </row>
    <row r="13">
      <c r="C13" s="359">
        <f t="shared" si="4"/>
        <v>46059</v>
      </c>
      <c r="D13" s="360">
        <f>SUMIFS('jiliarena_代理数据_底稿'!$O:$O,'jiliarena_代理数据_底稿'!$B:$B,D$7,'jiliarena_代理数据_底稿'!$A:$A,$C13)</f>
        <v>0</v>
      </c>
      <c r="E13" s="360">
        <f>SUMIFS('jiliarena_代理数据_底稿'!$O:$O,'jiliarena_代理数据_底稿'!$B:$B,E$7,'jiliarena_代理数据_底稿'!$A:$A,$C13)</f>
        <v>0</v>
      </c>
      <c r="F13" s="360">
        <f>SUMIFS('jiliarena_代理数据_底稿'!$O:$O,'jiliarena_代理数据_底稿'!$B:$B,F$7,'jiliarena_代理数据_底稿'!$A:$A,$C13)</f>
        <v>0</v>
      </c>
      <c r="G13" s="361">
        <f t="shared" si="1"/>
        <v>0</v>
      </c>
      <c r="H13" s="362" t="str">
        <f t="array" ref="H13">INDEX(jiliarena!$A$3:$M$49,MATCH($C13,jiliarena!$A$3:$A$49,0),MATCH("日充值",jiliarena!$A$3:$M$3,0))-G13</f>
        <v>#N/A</v>
      </c>
      <c r="I13" s="359">
        <f t="shared" si="2"/>
        <v>46059</v>
      </c>
      <c r="J13" s="363">
        <f t="shared" ref="J13:L13" si="8">D13-D12</f>
        <v>0</v>
      </c>
      <c r="K13" s="363">
        <f t="shared" si="8"/>
        <v>0</v>
      </c>
      <c r="L13" s="363">
        <f t="shared" si="8"/>
        <v>0</v>
      </c>
      <c r="M13" s="240"/>
    </row>
    <row r="14">
      <c r="C14" s="359">
        <f t="shared" si="4"/>
        <v>46060</v>
      </c>
      <c r="D14" s="360">
        <f>SUMIFS('jiliarena_代理数据_底稿'!$O:$O,'jiliarena_代理数据_底稿'!$B:$B,D$7,'jiliarena_代理数据_底稿'!$A:$A,$C14)</f>
        <v>0</v>
      </c>
      <c r="E14" s="360">
        <f>SUMIFS('jiliarena_代理数据_底稿'!$O:$O,'jiliarena_代理数据_底稿'!$B:$B,E$7,'jiliarena_代理数据_底稿'!$A:$A,$C14)</f>
        <v>0</v>
      </c>
      <c r="F14" s="360">
        <f>SUMIFS('jiliarena_代理数据_底稿'!$O:$O,'jiliarena_代理数据_底稿'!$B:$B,F$7,'jiliarena_代理数据_底稿'!$A:$A,$C14)</f>
        <v>0</v>
      </c>
      <c r="G14" s="361">
        <f t="shared" si="1"/>
        <v>0</v>
      </c>
      <c r="H14" s="362" t="str">
        <f t="array" ref="H14">INDEX(jiliarena!$A$3:$M$49,MATCH($C14,jiliarena!$A$3:$A$49,0),MATCH("日充值",jiliarena!$A$3:$M$3,0))-G14</f>
        <v>#N/A</v>
      </c>
      <c r="I14" s="359">
        <f t="shared" si="2"/>
        <v>46060</v>
      </c>
      <c r="J14" s="363">
        <f t="shared" ref="J14:L14" si="9">D14-D13</f>
        <v>0</v>
      </c>
      <c r="K14" s="363">
        <f t="shared" si="9"/>
        <v>0</v>
      </c>
      <c r="L14" s="363">
        <f t="shared" si="9"/>
        <v>0</v>
      </c>
      <c r="M14" s="240"/>
    </row>
    <row r="15">
      <c r="C15" s="359">
        <f t="shared" si="4"/>
        <v>46061</v>
      </c>
      <c r="D15" s="360">
        <f>SUMIFS('jiliarena_代理数据_底稿'!$O:$O,'jiliarena_代理数据_底稿'!$B:$B,D$7,'jiliarena_代理数据_底稿'!$A:$A,$C15)</f>
        <v>0</v>
      </c>
      <c r="E15" s="360">
        <f>SUMIFS('jiliarena_代理数据_底稿'!$O:$O,'jiliarena_代理数据_底稿'!$B:$B,E$7,'jiliarena_代理数据_底稿'!$A:$A,$C15)</f>
        <v>0</v>
      </c>
      <c r="F15" s="360">
        <f>SUMIFS('jiliarena_代理数据_底稿'!$O:$O,'jiliarena_代理数据_底稿'!$B:$B,F$7,'jiliarena_代理数据_底稿'!$A:$A,$C15)</f>
        <v>0</v>
      </c>
      <c r="G15" s="361">
        <f t="shared" si="1"/>
        <v>0</v>
      </c>
      <c r="H15" s="362" t="str">
        <f t="array" ref="H15">INDEX(jiliarena!$A$3:$M$49,MATCH($C15,jiliarena!$A$3:$A$49,0),MATCH("日充值",jiliarena!$A$3:$M$3,0))-G15</f>
        <v>#N/A</v>
      </c>
      <c r="I15" s="359">
        <f t="shared" si="2"/>
        <v>46061</v>
      </c>
      <c r="J15" s="363">
        <f t="shared" ref="J15:L15" si="10">D15-D14</f>
        <v>0</v>
      </c>
      <c r="K15" s="363">
        <f t="shared" si="10"/>
        <v>0</v>
      </c>
      <c r="L15" s="363">
        <f t="shared" si="10"/>
        <v>0</v>
      </c>
      <c r="M15" s="240"/>
    </row>
    <row r="16">
      <c r="C16" s="359">
        <f t="shared" si="4"/>
        <v>46062</v>
      </c>
      <c r="D16" s="360">
        <f>SUMIFS('jiliarena_代理数据_底稿'!$O:$O,'jiliarena_代理数据_底稿'!$B:$B,D$7,'jiliarena_代理数据_底稿'!$A:$A,$C16)</f>
        <v>0</v>
      </c>
      <c r="E16" s="360">
        <f>SUMIFS('jiliarena_代理数据_底稿'!$O:$O,'jiliarena_代理数据_底稿'!$B:$B,E$7,'jiliarena_代理数据_底稿'!$A:$A,$C16)</f>
        <v>0</v>
      </c>
      <c r="F16" s="360">
        <f>SUMIFS('jiliarena_代理数据_底稿'!$O:$O,'jiliarena_代理数据_底稿'!$B:$B,F$7,'jiliarena_代理数据_底稿'!$A:$A,$C16)</f>
        <v>0</v>
      </c>
      <c r="G16" s="361">
        <f t="shared" si="1"/>
        <v>0</v>
      </c>
      <c r="H16" s="362" t="str">
        <f t="array" ref="H16">INDEX(jiliarena!$A$3:$M$49,MATCH($C16,jiliarena!$A$3:$A$49,0),MATCH("日充值",jiliarena!$A$3:$M$3,0))-G16</f>
        <v>#N/A</v>
      </c>
      <c r="I16" s="359">
        <f t="shared" si="2"/>
        <v>46062</v>
      </c>
      <c r="J16" s="363">
        <f t="shared" ref="J16:L16" si="11">D16-D15</f>
        <v>0</v>
      </c>
      <c r="K16" s="363">
        <f t="shared" si="11"/>
        <v>0</v>
      </c>
      <c r="L16" s="363">
        <f t="shared" si="11"/>
        <v>0</v>
      </c>
      <c r="M16" s="240"/>
    </row>
    <row r="17">
      <c r="C17" s="359">
        <f t="shared" si="4"/>
        <v>46063</v>
      </c>
      <c r="D17" s="360">
        <f>SUMIFS('jiliarena_代理数据_底稿'!$O:$O,'jiliarena_代理数据_底稿'!$B:$B,D$7,'jiliarena_代理数据_底稿'!$A:$A,$C17)</f>
        <v>0</v>
      </c>
      <c r="E17" s="360">
        <f>SUMIFS('jiliarena_代理数据_底稿'!$O:$O,'jiliarena_代理数据_底稿'!$B:$B,E$7,'jiliarena_代理数据_底稿'!$A:$A,$C17)</f>
        <v>0</v>
      </c>
      <c r="F17" s="360">
        <f>SUMIFS('jiliarena_代理数据_底稿'!$O:$O,'jiliarena_代理数据_底稿'!$B:$B,F$7,'jiliarena_代理数据_底稿'!$A:$A,$C17)</f>
        <v>0</v>
      </c>
      <c r="G17" s="361">
        <f t="shared" si="1"/>
        <v>0</v>
      </c>
      <c r="H17" s="362" t="str">
        <f t="array" ref="H17">INDEX(jiliarena!$A$3:$M$49,MATCH($C17,jiliarena!$A$3:$A$49,0),MATCH("日充值",jiliarena!$A$3:$M$3,0))-G17</f>
        <v>#N/A</v>
      </c>
      <c r="I17" s="359">
        <f t="shared" si="2"/>
        <v>46063</v>
      </c>
      <c r="J17" s="363">
        <f t="shared" ref="J17:L17" si="12">D17-D16</f>
        <v>0</v>
      </c>
      <c r="K17" s="363">
        <f t="shared" si="12"/>
        <v>0</v>
      </c>
      <c r="L17" s="363">
        <f t="shared" si="12"/>
        <v>0</v>
      </c>
      <c r="M17" s="240"/>
    </row>
    <row r="18">
      <c r="C18" s="359">
        <f t="shared" si="4"/>
        <v>46064</v>
      </c>
      <c r="D18" s="360">
        <f>SUMIFS('jiliarena_代理数据_底稿'!$O:$O,'jiliarena_代理数据_底稿'!$B:$B,D$7,'jiliarena_代理数据_底稿'!$A:$A,$C18)</f>
        <v>45048</v>
      </c>
      <c r="E18" s="360">
        <f>SUMIFS('jiliarena_代理数据_底稿'!$O:$O,'jiliarena_代理数据_底稿'!$B:$B,E$7,'jiliarena_代理数据_底稿'!$A:$A,$C18)</f>
        <v>100</v>
      </c>
      <c r="F18" s="360">
        <f>SUMIFS('jiliarena_代理数据_底稿'!$O:$O,'jiliarena_代理数据_底稿'!$B:$B,F$7,'jiliarena_代理数据_底稿'!$A:$A,$C18)</f>
        <v>5565</v>
      </c>
      <c r="G18" s="361">
        <f t="shared" si="1"/>
        <v>50713</v>
      </c>
      <c r="H18" s="362" t="str">
        <f t="array" ref="H18">INDEX(jiliarena!$A$3:$M$49,MATCH($C18,jiliarena!$A$3:$A$49,0),MATCH("日充值",jiliarena!$A$3:$M$3,0))-G18</f>
        <v>#N/A</v>
      </c>
      <c r="I18" s="359">
        <f t="shared" si="2"/>
        <v>46064</v>
      </c>
      <c r="J18" s="363">
        <f t="shared" ref="J18:L18" si="13">D18-D17</f>
        <v>45048</v>
      </c>
      <c r="K18" s="363">
        <f t="shared" si="13"/>
        <v>100</v>
      </c>
      <c r="L18" s="363">
        <f t="shared" si="13"/>
        <v>5565</v>
      </c>
      <c r="M18" s="240"/>
    </row>
    <row r="19">
      <c r="C19" s="359">
        <f t="shared" si="4"/>
        <v>46065</v>
      </c>
      <c r="D19" s="360">
        <f>SUMIFS('jiliarena_代理数据_底稿'!$O:$O,'jiliarena_代理数据_底稿'!$B:$B,D$7,'jiliarena_代理数据_底稿'!$A:$A,$C19)</f>
        <v>405902</v>
      </c>
      <c r="E19" s="360">
        <f>SUMIFS('jiliarena_代理数据_底稿'!$O:$O,'jiliarena_代理数据_底稿'!$B:$B,E$7,'jiliarena_代理数据_底稿'!$A:$A,$C19)</f>
        <v>102513</v>
      </c>
      <c r="F19" s="360">
        <f>SUMIFS('jiliarena_代理数据_底稿'!$O:$O,'jiliarena_代理数据_底稿'!$B:$B,F$7,'jiliarena_代理数据_底稿'!$A:$A,$C19)</f>
        <v>40321</v>
      </c>
      <c r="G19" s="361">
        <f t="shared" si="1"/>
        <v>548736</v>
      </c>
      <c r="H19" s="362" t="str">
        <f t="array" ref="H19">INDEX(jiliarena!$A$3:$M$49,MATCH($C19,jiliarena!$A$3:$A$49,0),MATCH("日充值",jiliarena!$A$3:$M$3,0))-G19</f>
        <v>#N/A</v>
      </c>
      <c r="I19" s="359">
        <f t="shared" si="2"/>
        <v>46065</v>
      </c>
      <c r="J19" s="363">
        <f t="shared" ref="J19:L19" si="14">D19-D18</f>
        <v>360854</v>
      </c>
      <c r="K19" s="363">
        <f t="shared" si="14"/>
        <v>102413</v>
      </c>
      <c r="L19" s="363">
        <f t="shared" si="14"/>
        <v>34756</v>
      </c>
      <c r="M19" s="240"/>
    </row>
    <row r="20">
      <c r="C20" s="359">
        <f t="shared" si="4"/>
        <v>46066</v>
      </c>
      <c r="D20" s="360">
        <f>SUMIFS('jiliarena_代理数据_底稿'!$O:$O,'jiliarena_代理数据_底稿'!$B:$B,D$7,'jiliarena_代理数据_底稿'!$A:$A,$C20)</f>
        <v>425380</v>
      </c>
      <c r="E20" s="360">
        <f>SUMIFS('jiliarena_代理数据_底稿'!$O:$O,'jiliarena_代理数据_底稿'!$B:$B,E$7,'jiliarena_代理数据_底稿'!$A:$A,$C20)</f>
        <v>82493</v>
      </c>
      <c r="F20" s="360">
        <f>SUMIFS('jiliarena_代理数据_底稿'!$O:$O,'jiliarena_代理数据_底稿'!$B:$B,F$7,'jiliarena_代理数据_底稿'!$A:$A,$C20)</f>
        <v>35135</v>
      </c>
      <c r="G20" s="361">
        <f t="shared" si="1"/>
        <v>543008</v>
      </c>
      <c r="H20" s="362" t="str">
        <f t="array" ref="H20">INDEX(jiliarena!$A$3:$M$49,MATCH($C20,jiliarena!$A$3:$A$49,0),MATCH("日充值",jiliarena!$A$3:$M$3,0))-G20</f>
        <v>#N/A</v>
      </c>
      <c r="I20" s="359">
        <f t="shared" si="2"/>
        <v>46066</v>
      </c>
      <c r="J20" s="363">
        <f t="shared" ref="J20:L20" si="15">D20-D19</f>
        <v>19478</v>
      </c>
      <c r="K20" s="363">
        <f t="shared" si="15"/>
        <v>-20020</v>
      </c>
      <c r="L20" s="363">
        <f t="shared" si="15"/>
        <v>-5186</v>
      </c>
      <c r="M20" s="240"/>
    </row>
    <row r="21">
      <c r="C21" s="359">
        <f t="shared" si="4"/>
        <v>46067</v>
      </c>
      <c r="D21" s="360">
        <f>SUMIFS('jiliarena_代理数据_底稿'!$O:$O,'jiliarena_代理数据_底稿'!$B:$B,D$7,'jiliarena_代理数据_底稿'!$A:$A,$C21)</f>
        <v>303080</v>
      </c>
      <c r="E21" s="360">
        <f>SUMIFS('jiliarena_代理数据_底稿'!$O:$O,'jiliarena_代理数据_底稿'!$B:$B,E$7,'jiliarena_代理数据_底稿'!$A:$A,$C21)</f>
        <v>63735</v>
      </c>
      <c r="F21" s="360">
        <f>SUMIFS('jiliarena_代理数据_底稿'!$O:$O,'jiliarena_代理数据_底稿'!$B:$B,F$7,'jiliarena_代理数据_底稿'!$A:$A,$C21)</f>
        <v>51371</v>
      </c>
      <c r="G21" s="361">
        <f t="shared" si="1"/>
        <v>418186</v>
      </c>
      <c r="H21" s="362" t="str">
        <f t="array" ref="H21">INDEX(jiliarena!$A$3:$M$49,MATCH($C21,jiliarena!$A$3:$A$49,0),MATCH("日充值",jiliarena!$A$3:$M$3,0))-G21</f>
        <v>#N/A</v>
      </c>
      <c r="I21" s="359">
        <f t="shared" si="2"/>
        <v>46067</v>
      </c>
      <c r="J21" s="363">
        <f t="shared" ref="J21:L21" si="16">D21-D20</f>
        <v>-122300</v>
      </c>
      <c r="K21" s="363">
        <f t="shared" si="16"/>
        <v>-18758</v>
      </c>
      <c r="L21" s="363">
        <f t="shared" si="16"/>
        <v>16236</v>
      </c>
      <c r="M21" s="240"/>
    </row>
    <row r="22">
      <c r="C22" s="359">
        <f t="shared" si="4"/>
        <v>46068</v>
      </c>
      <c r="D22" s="360">
        <f>SUMIFS('jiliarena_代理数据_底稿'!$O:$O,'jiliarena_代理数据_底稿'!$B:$B,D$7,'jiliarena_代理数据_底稿'!$A:$A,$C22)</f>
        <v>107395</v>
      </c>
      <c r="E22" s="360">
        <f>SUMIFS('jiliarena_代理数据_底稿'!$O:$O,'jiliarena_代理数据_底稿'!$B:$B,E$7,'jiliarena_代理数据_底稿'!$A:$A,$C22)</f>
        <v>37856</v>
      </c>
      <c r="F22" s="360">
        <f>SUMIFS('jiliarena_代理数据_底稿'!$O:$O,'jiliarena_代理数据_底稿'!$B:$B,F$7,'jiliarena_代理数据_底稿'!$A:$A,$C22)</f>
        <v>19707</v>
      </c>
      <c r="G22" s="361">
        <f t="shared" si="1"/>
        <v>164958</v>
      </c>
      <c r="H22" s="362" t="str">
        <f t="array" ref="H22">INDEX(jiliarena!$A$3:$M$49,MATCH($C22,jiliarena!$A$3:$A$49,0),MATCH("日充值",jiliarena!$A$3:$M$3,0))-G22</f>
        <v>#N/A</v>
      </c>
      <c r="I22" s="359">
        <f t="shared" si="2"/>
        <v>46068</v>
      </c>
      <c r="J22" s="363">
        <f t="shared" ref="J22:L22" si="17">D22-D21</f>
        <v>-195685</v>
      </c>
      <c r="K22" s="363">
        <f t="shared" si="17"/>
        <v>-25879</v>
      </c>
      <c r="L22" s="363">
        <f t="shared" si="17"/>
        <v>-31664</v>
      </c>
      <c r="M22" s="240"/>
    </row>
    <row r="23">
      <c r="C23" s="359">
        <f t="shared" si="4"/>
        <v>46069</v>
      </c>
      <c r="D23" s="360">
        <f>SUMIFS('jiliarena_代理数据_底稿'!$O:$O,'jiliarena_代理数据_底稿'!$B:$B,D$7,'jiliarena_代理数据_底稿'!$A:$A,$C23)</f>
        <v>94219</v>
      </c>
      <c r="E23" s="360">
        <f>SUMIFS('jiliarena_代理数据_底稿'!$O:$O,'jiliarena_代理数据_底稿'!$B:$B,E$7,'jiliarena_代理数据_底稿'!$A:$A,$C23)</f>
        <v>27315</v>
      </c>
      <c r="F23" s="360">
        <f>SUMIFS('jiliarena_代理数据_底稿'!$O:$O,'jiliarena_代理数据_底稿'!$B:$B,F$7,'jiliarena_代理数据_底稿'!$A:$A,$C23)</f>
        <v>16440</v>
      </c>
      <c r="G23" s="361">
        <f t="shared" si="1"/>
        <v>137974</v>
      </c>
      <c r="H23" s="362" t="str">
        <f t="array" ref="H23">INDEX(jiliarena!$A$3:$M$49,MATCH($C23,jiliarena!$A$3:$A$49,0),MATCH("日充值",jiliarena!$A$3:$M$3,0))-G23</f>
        <v>#N/A</v>
      </c>
      <c r="I23" s="359">
        <f t="shared" si="2"/>
        <v>46069</v>
      </c>
      <c r="J23" s="363">
        <f t="shared" ref="J23:L23" si="18">D23-D22</f>
        <v>-13176</v>
      </c>
      <c r="K23" s="363">
        <f t="shared" si="18"/>
        <v>-10541</v>
      </c>
      <c r="L23" s="363">
        <f t="shared" si="18"/>
        <v>-3267</v>
      </c>
      <c r="M23" s="240"/>
    </row>
    <row r="24">
      <c r="C24" s="359">
        <f t="shared" si="4"/>
        <v>46070</v>
      </c>
      <c r="D24" s="360">
        <f>SUMIFS('jiliarena_代理数据_底稿'!$O:$O,'jiliarena_代理数据_底稿'!$B:$B,D$7,'jiliarena_代理数据_底稿'!$A:$A,$C24)</f>
        <v>94011</v>
      </c>
      <c r="E24" s="360">
        <f>SUMIFS('jiliarena_代理数据_底稿'!$O:$O,'jiliarena_代理数据_底稿'!$B:$B,E$7,'jiliarena_代理数据_底稿'!$A:$A,$C24)</f>
        <v>30795</v>
      </c>
      <c r="F24" s="360">
        <f>SUMIFS('jiliarena_代理数据_底稿'!$O:$O,'jiliarena_代理数据_底稿'!$B:$B,F$7,'jiliarena_代理数据_底稿'!$A:$A,$C24)</f>
        <v>19167</v>
      </c>
      <c r="G24" s="361">
        <f t="shared" si="1"/>
        <v>143973</v>
      </c>
      <c r="H24" s="362" t="str">
        <f t="array" ref="H24">INDEX(jiliarena!$A$3:$M$49,MATCH($C24,jiliarena!$A$3:$A$49,0),MATCH("日充值",jiliarena!$A$3:$M$3,0))-G24</f>
        <v>#N/A</v>
      </c>
      <c r="I24" s="359">
        <f t="shared" si="2"/>
        <v>46070</v>
      </c>
      <c r="J24" s="363">
        <f t="shared" ref="J24:L24" si="19">D24-D23</f>
        <v>-208</v>
      </c>
      <c r="K24" s="363">
        <f t="shared" si="19"/>
        <v>3480</v>
      </c>
      <c r="L24" s="363">
        <f t="shared" si="19"/>
        <v>2727</v>
      </c>
      <c r="M24" s="240"/>
    </row>
    <row r="25">
      <c r="C25" s="359">
        <f t="shared" si="4"/>
        <v>46071</v>
      </c>
      <c r="D25" s="360">
        <f>SUMIFS('jiliarena_代理数据_底稿'!$O:$O,'jiliarena_代理数据_底稿'!$B:$B,D$7,'jiliarena_代理数据_底稿'!$A:$A,$C25)</f>
        <v>61952</v>
      </c>
      <c r="E25" s="360">
        <f>SUMIFS('jiliarena_代理数据_底稿'!$O:$O,'jiliarena_代理数据_底稿'!$B:$B,E$7,'jiliarena_代理数据_底稿'!$A:$A,$C25)</f>
        <v>32864</v>
      </c>
      <c r="F25" s="360">
        <f>SUMIFS('jiliarena_代理数据_底稿'!$O:$O,'jiliarena_代理数据_底稿'!$B:$B,F$7,'jiliarena_代理数据_底稿'!$A:$A,$C25)</f>
        <v>11860</v>
      </c>
      <c r="G25" s="361">
        <f t="shared" si="1"/>
        <v>106676</v>
      </c>
      <c r="H25" s="362" t="str">
        <f t="array" ref="H25">INDEX(jiliarena!$A$3:$M$49,MATCH($C25,jiliarena!$A$3:$A$49,0),MATCH("日充值",jiliarena!$A$3:$M$3,0))-G25</f>
        <v>#N/A</v>
      </c>
      <c r="I25" s="359">
        <f t="shared" si="2"/>
        <v>46071</v>
      </c>
      <c r="J25" s="363">
        <f t="shared" ref="J25:L25" si="20">D25-D24</f>
        <v>-32059</v>
      </c>
      <c r="K25" s="363">
        <f t="shared" si="20"/>
        <v>2069</v>
      </c>
      <c r="L25" s="363">
        <f t="shared" si="20"/>
        <v>-7307</v>
      </c>
      <c r="M25" s="240"/>
    </row>
    <row r="26">
      <c r="C26" s="359">
        <f t="shared" si="4"/>
        <v>46072</v>
      </c>
      <c r="D26" s="360">
        <f>SUMIFS('jiliarena_代理数据_底稿'!$O:$O,'jiliarena_代理数据_底稿'!$B:$B,D$7,'jiliarena_代理数据_底稿'!$A:$A,$C26)</f>
        <v>65442</v>
      </c>
      <c r="E26" s="360">
        <f>SUMIFS('jiliarena_代理数据_底稿'!$O:$O,'jiliarena_代理数据_底稿'!$B:$B,E$7,'jiliarena_代理数据_底稿'!$A:$A,$C26)</f>
        <v>44718</v>
      </c>
      <c r="F26" s="360">
        <f>SUMIFS('jiliarena_代理数据_底稿'!$O:$O,'jiliarena_代理数据_底稿'!$B:$B,F$7,'jiliarena_代理数据_底稿'!$A:$A,$C26)</f>
        <v>13797</v>
      </c>
      <c r="G26" s="361">
        <f t="shared" si="1"/>
        <v>123957</v>
      </c>
      <c r="H26" s="362" t="str">
        <f t="array" ref="H26">INDEX(jiliarena!$A$3:$M$49,MATCH($C26,jiliarena!$A$3:$A$49,0),MATCH("日充值",jiliarena!$A$3:$M$3,0))-G26</f>
        <v>#N/A</v>
      </c>
      <c r="I26" s="359">
        <f t="shared" si="2"/>
        <v>46072</v>
      </c>
      <c r="J26" s="363">
        <f t="shared" ref="J26:L26" si="21">D26-D25</f>
        <v>3490</v>
      </c>
      <c r="K26" s="363">
        <f t="shared" si="21"/>
        <v>11854</v>
      </c>
      <c r="L26" s="363">
        <f t="shared" si="21"/>
        <v>1937</v>
      </c>
      <c r="M26" s="240"/>
    </row>
    <row r="27">
      <c r="C27" s="359">
        <f t="shared" si="4"/>
        <v>46073</v>
      </c>
      <c r="D27" s="360">
        <f>SUMIFS('jiliarena_代理数据_底稿'!$O:$O,'jiliarena_代理数据_底稿'!$B:$B,D$7,'jiliarena_代理数据_底稿'!$A:$A,$C27)</f>
        <v>47735</v>
      </c>
      <c r="E27" s="360">
        <f>SUMIFS('jiliarena_代理数据_底稿'!$O:$O,'jiliarena_代理数据_底稿'!$B:$B,E$7,'jiliarena_代理数据_底稿'!$A:$A,$C27)</f>
        <v>42635</v>
      </c>
      <c r="F27" s="360">
        <f>SUMIFS('jiliarena_代理数据_底稿'!$O:$O,'jiliarena_代理数据_底稿'!$B:$B,F$7,'jiliarena_代理数据_底稿'!$A:$A,$C27)</f>
        <v>23030</v>
      </c>
      <c r="G27" s="361">
        <f t="shared" si="1"/>
        <v>113400</v>
      </c>
      <c r="H27" s="362" t="str">
        <f t="array" ref="H27">INDEX(jiliarena!$A$3:$M$49,MATCH($C27,jiliarena!$A$3:$A$49,0),MATCH("日充值",jiliarena!$A$3:$M$3,0))-G27</f>
        <v>#N/A</v>
      </c>
      <c r="I27" s="359">
        <f t="shared" si="2"/>
        <v>46073</v>
      </c>
      <c r="J27" s="363">
        <f t="shared" ref="J27:L27" si="22">D27-D26</f>
        <v>-17707</v>
      </c>
      <c r="K27" s="363">
        <f t="shared" si="22"/>
        <v>-2083</v>
      </c>
      <c r="L27" s="363">
        <f t="shared" si="22"/>
        <v>9233</v>
      </c>
      <c r="M27" s="240"/>
    </row>
    <row r="28">
      <c r="C28" s="359">
        <f t="shared" si="4"/>
        <v>46074</v>
      </c>
      <c r="D28" s="360">
        <f>SUMIFS('jiliarena_代理数据_底稿'!$O:$O,'jiliarena_代理数据_底稿'!$B:$B,D$7,'jiliarena_代理数据_底稿'!$A:$A,$C28)</f>
        <v>0</v>
      </c>
      <c r="E28" s="360">
        <f>SUMIFS('jiliarena_代理数据_底稿'!$O:$O,'jiliarena_代理数据_底稿'!$B:$B,E$7,'jiliarena_代理数据_底稿'!$A:$A,$C28)</f>
        <v>0</v>
      </c>
      <c r="F28" s="360">
        <f>SUMIFS('jiliarena_代理数据_底稿'!$O:$O,'jiliarena_代理数据_底稿'!$B:$B,F$7,'jiliarena_代理数据_底稿'!$A:$A,$C28)</f>
        <v>0</v>
      </c>
      <c r="G28" s="361">
        <f t="shared" si="1"/>
        <v>0</v>
      </c>
      <c r="H28" s="362" t="str">
        <f t="array" ref="H28">INDEX(jiliarena!$A$3:$M$49,MATCH($C28,jiliarena!$A$3:$A$49,0),MATCH("日充值",jiliarena!$A$3:$M$3,0))-G28</f>
        <v>#N/A</v>
      </c>
      <c r="I28" s="359">
        <f t="shared" si="2"/>
        <v>46074</v>
      </c>
      <c r="J28" s="363">
        <f t="shared" ref="J28:L28" si="23">D28-D27</f>
        <v>-47735</v>
      </c>
      <c r="K28" s="363">
        <f t="shared" si="23"/>
        <v>-42635</v>
      </c>
      <c r="L28" s="363">
        <f t="shared" si="23"/>
        <v>-23030</v>
      </c>
      <c r="M28" s="240"/>
    </row>
    <row r="29">
      <c r="C29" s="359">
        <f t="shared" si="4"/>
        <v>46075</v>
      </c>
      <c r="D29" s="360">
        <f>SUMIFS('jiliarena_代理数据_底稿'!$O:$O,'jiliarena_代理数据_底稿'!$B:$B,D$7,'jiliarena_代理数据_底稿'!$A:$A,$C29)</f>
        <v>0</v>
      </c>
      <c r="E29" s="360">
        <f>SUMIFS('jiliarena_代理数据_底稿'!$O:$O,'jiliarena_代理数据_底稿'!$B:$B,E$7,'jiliarena_代理数据_底稿'!$A:$A,$C29)</f>
        <v>0</v>
      </c>
      <c r="F29" s="360">
        <f>SUMIFS('jiliarena_代理数据_底稿'!$O:$O,'jiliarena_代理数据_底稿'!$B:$B,F$7,'jiliarena_代理数据_底稿'!$A:$A,$C29)</f>
        <v>0</v>
      </c>
      <c r="G29" s="361">
        <f t="shared" si="1"/>
        <v>0</v>
      </c>
      <c r="H29" s="362" t="str">
        <f t="array" ref="H29">INDEX(jiliarena!$A$3:$M$49,MATCH($C29,jiliarena!$A$3:$A$49,0),MATCH("日充值",jiliarena!$A$3:$M$3,0))-G29</f>
        <v>#N/A</v>
      </c>
      <c r="I29" s="359">
        <f t="shared" si="2"/>
        <v>46075</v>
      </c>
      <c r="J29" s="363">
        <f t="shared" ref="J29:L29" si="24">D29-D28</f>
        <v>0</v>
      </c>
      <c r="K29" s="363">
        <f t="shared" si="24"/>
        <v>0</v>
      </c>
      <c r="L29" s="363">
        <f t="shared" si="24"/>
        <v>0</v>
      </c>
      <c r="M29" s="240"/>
    </row>
    <row r="30">
      <c r="C30" s="359">
        <f t="shared" si="4"/>
        <v>46076</v>
      </c>
      <c r="D30" s="360">
        <f>SUMIFS('jiliarena_代理数据_底稿'!$O:$O,'jiliarena_代理数据_底稿'!$B:$B,D$7,'jiliarena_代理数据_底稿'!$A:$A,$C30)</f>
        <v>0</v>
      </c>
      <c r="E30" s="360">
        <f>SUMIFS('jiliarena_代理数据_底稿'!$O:$O,'jiliarena_代理数据_底稿'!$B:$B,E$7,'jiliarena_代理数据_底稿'!$A:$A,$C30)</f>
        <v>0</v>
      </c>
      <c r="F30" s="360">
        <f>SUMIFS('jiliarena_代理数据_底稿'!$O:$O,'jiliarena_代理数据_底稿'!$B:$B,F$7,'jiliarena_代理数据_底稿'!$A:$A,$C30)</f>
        <v>0</v>
      </c>
      <c r="G30" s="361">
        <f t="shared" si="1"/>
        <v>0</v>
      </c>
      <c r="H30" s="362">
        <f t="array" ref="H30">INDEX(jiliarena!$A$3:$M$49,MATCH($C30,jiliarena!$A$3:$A$49,0),MATCH("日充值",jiliarena!$A$3:$M$3,0))-G30</f>
        <v>75103</v>
      </c>
      <c r="I30" s="359">
        <f t="shared" si="2"/>
        <v>46076</v>
      </c>
      <c r="J30" s="363">
        <f t="shared" ref="J30:L30" si="25">D30-D29</f>
        <v>0</v>
      </c>
      <c r="K30" s="363">
        <f t="shared" si="25"/>
        <v>0</v>
      </c>
      <c r="L30" s="363">
        <f t="shared" si="25"/>
        <v>0</v>
      </c>
      <c r="M30" s="240"/>
    </row>
    <row r="31">
      <c r="C31" s="359">
        <f t="shared" si="4"/>
        <v>46077</v>
      </c>
      <c r="D31" s="360">
        <f>SUMIFS('jiliarena_代理数据_底稿'!$O:$O,'jiliarena_代理数据_底稿'!$B:$B,D$7,'jiliarena_代理数据_底稿'!$A:$A,$C31)</f>
        <v>0</v>
      </c>
      <c r="E31" s="360">
        <f>SUMIFS('jiliarena_代理数据_底稿'!$O:$O,'jiliarena_代理数据_底稿'!$B:$B,E$7,'jiliarena_代理数据_底稿'!$A:$A,$C31)</f>
        <v>0</v>
      </c>
      <c r="F31" s="360">
        <f>SUMIFS('jiliarena_代理数据_底稿'!$O:$O,'jiliarena_代理数据_底稿'!$B:$B,F$7,'jiliarena_代理数据_底稿'!$A:$A,$C31)</f>
        <v>0</v>
      </c>
      <c r="G31" s="361">
        <f t="shared" si="1"/>
        <v>0</v>
      </c>
      <c r="H31" s="362">
        <f t="array" ref="H31">INDEX(jiliarena!$A$3:$M$49,MATCH($C31,jiliarena!$A$3:$A$49,0),MATCH("日充值",jiliarena!$A$3:$M$3,0))-G31</f>
        <v>120843</v>
      </c>
      <c r="I31" s="359">
        <f t="shared" si="2"/>
        <v>46077</v>
      </c>
      <c r="J31" s="363">
        <f t="shared" ref="J31:L31" si="26">D31-D30</f>
        <v>0</v>
      </c>
      <c r="K31" s="363">
        <f t="shared" si="26"/>
        <v>0</v>
      </c>
      <c r="L31" s="363">
        <f t="shared" si="26"/>
        <v>0</v>
      </c>
      <c r="M31" s="240"/>
    </row>
    <row r="32">
      <c r="C32" s="359">
        <f t="shared" si="4"/>
        <v>46078</v>
      </c>
      <c r="D32" s="360">
        <f>SUMIFS('jiliarena_代理数据_底稿'!$O:$O,'jiliarena_代理数据_底稿'!$B:$B,D$7,'jiliarena_代理数据_底稿'!$A:$A,$C32)</f>
        <v>0</v>
      </c>
      <c r="E32" s="360">
        <f>SUMIFS('jiliarena_代理数据_底稿'!$O:$O,'jiliarena_代理数据_底稿'!$B:$B,E$7,'jiliarena_代理数据_底稿'!$A:$A,$C32)</f>
        <v>0</v>
      </c>
      <c r="F32" s="360">
        <f>SUMIFS('jiliarena_代理数据_底稿'!$O:$O,'jiliarena_代理数据_底稿'!$B:$B,F$7,'jiliarena_代理数据_底稿'!$A:$A,$C32)</f>
        <v>0</v>
      </c>
      <c r="G32" s="361">
        <f t="shared" si="1"/>
        <v>0</v>
      </c>
      <c r="H32" s="362">
        <f t="array" ref="H32">INDEX(jiliarena!$A$3:$M$49,MATCH($C32,jiliarena!$A$3:$A$49,0),MATCH("日充值",jiliarena!$A$3:$M$3,0))-G32</f>
        <v>92719</v>
      </c>
      <c r="I32" s="359">
        <f t="shared" si="2"/>
        <v>46078</v>
      </c>
      <c r="J32" s="363">
        <f t="shared" ref="J32:L32" si="27">D32-D31</f>
        <v>0</v>
      </c>
      <c r="K32" s="363">
        <f t="shared" si="27"/>
        <v>0</v>
      </c>
      <c r="L32" s="363">
        <f t="shared" si="27"/>
        <v>0</v>
      </c>
      <c r="M32" s="240"/>
    </row>
    <row r="33">
      <c r="C33" s="359">
        <f t="shared" si="4"/>
        <v>46079</v>
      </c>
      <c r="D33" s="360">
        <f>SUMIFS('jiliarena_代理数据_底稿'!$O:$O,'jiliarena_代理数据_底稿'!$B:$B,D$7,'jiliarena_代理数据_底稿'!$A:$A,$C33)</f>
        <v>0</v>
      </c>
      <c r="E33" s="360">
        <f>SUMIFS('jiliarena_代理数据_底稿'!$O:$O,'jiliarena_代理数据_底稿'!$B:$B,E$7,'jiliarena_代理数据_底稿'!$A:$A,$C33)</f>
        <v>0</v>
      </c>
      <c r="F33" s="360">
        <f>SUMIFS('jiliarena_代理数据_底稿'!$O:$O,'jiliarena_代理数据_底稿'!$B:$B,F$7,'jiliarena_代理数据_底稿'!$A:$A,$C33)</f>
        <v>0</v>
      </c>
      <c r="G33" s="361">
        <f t="shared" si="1"/>
        <v>0</v>
      </c>
      <c r="H33" s="362">
        <f t="array" ref="H33">INDEX(jiliarena!$A$3:$M$49,MATCH($C33,jiliarena!$A$3:$A$49,0),MATCH("日充值",jiliarena!$A$3:$M$3,0))-G33</f>
        <v>96473</v>
      </c>
      <c r="I33" s="359">
        <f t="shared" si="2"/>
        <v>46079</v>
      </c>
      <c r="J33" s="363">
        <f t="shared" ref="J33:L33" si="28">D33-D32</f>
        <v>0</v>
      </c>
      <c r="K33" s="363">
        <f t="shared" si="28"/>
        <v>0</v>
      </c>
      <c r="L33" s="363">
        <f t="shared" si="28"/>
        <v>0</v>
      </c>
      <c r="M33" s="240"/>
    </row>
    <row r="34">
      <c r="C34" s="359">
        <f t="shared" si="4"/>
        <v>46080</v>
      </c>
      <c r="D34" s="360">
        <f>SUMIFS('jiliarena_代理数据_底稿'!$O:$O,'jiliarena_代理数据_底稿'!$B:$B,D$7,'jiliarena_代理数据_底稿'!$A:$A,$C34)</f>
        <v>0</v>
      </c>
      <c r="E34" s="360">
        <f>SUMIFS('jiliarena_代理数据_底稿'!$O:$O,'jiliarena_代理数据_底稿'!$B:$B,E$7,'jiliarena_代理数据_底稿'!$A:$A,$C34)</f>
        <v>0</v>
      </c>
      <c r="F34" s="360">
        <f>SUMIFS('jiliarena_代理数据_底稿'!$O:$O,'jiliarena_代理数据_底稿'!$B:$B,F$7,'jiliarena_代理数据_底稿'!$A:$A,$C34)</f>
        <v>0</v>
      </c>
      <c r="G34" s="361">
        <f t="shared" si="1"/>
        <v>0</v>
      </c>
      <c r="H34" s="362">
        <f t="array" ref="H34">INDEX(jiliarena!$A$3:$M$49,MATCH($C34,jiliarena!$A$3:$A$49,0),MATCH("日充值",jiliarena!$A$3:$M$3,0))-G34</f>
        <v>94962</v>
      </c>
      <c r="I34" s="359">
        <f t="shared" si="2"/>
        <v>46080</v>
      </c>
      <c r="J34" s="363">
        <f t="shared" ref="J34:L34" si="29">D34-D33</f>
        <v>0</v>
      </c>
      <c r="K34" s="363">
        <f t="shared" si="29"/>
        <v>0</v>
      </c>
      <c r="L34" s="363">
        <f t="shared" si="29"/>
        <v>0</v>
      </c>
      <c r="M34" s="240"/>
    </row>
    <row r="35">
      <c r="C35" s="359">
        <f t="shared" si="4"/>
        <v>46081</v>
      </c>
      <c r="D35" s="360">
        <f>SUMIFS('jiliarena_代理数据_底稿'!$O:$O,'jiliarena_代理数据_底稿'!$B:$B,D$7,'jiliarena_代理数据_底稿'!$A:$A,$C35)</f>
        <v>0</v>
      </c>
      <c r="E35" s="360">
        <f>SUMIFS('jiliarena_代理数据_底稿'!$O:$O,'jiliarena_代理数据_底稿'!$B:$B,E$7,'jiliarena_代理数据_底稿'!$A:$A,$C35)</f>
        <v>0</v>
      </c>
      <c r="F35" s="360">
        <f>SUMIFS('jiliarena_代理数据_底稿'!$O:$O,'jiliarena_代理数据_底稿'!$B:$B,F$7,'jiliarena_代理数据_底稿'!$A:$A,$C35)</f>
        <v>0</v>
      </c>
      <c r="G35" s="361">
        <f t="shared" si="1"/>
        <v>0</v>
      </c>
      <c r="H35" s="362">
        <f t="array" ref="H35">INDEX(jiliarena!$A$3:$M$49,MATCH($C35,jiliarena!$A$3:$A$49,0),MATCH("日充值",jiliarena!$A$3:$M$3,0))-G35</f>
        <v>103745</v>
      </c>
      <c r="I35" s="359">
        <f t="shared" si="2"/>
        <v>46081</v>
      </c>
      <c r="J35" s="363">
        <f t="shared" ref="J35:L35" si="30">D35-D34</f>
        <v>0</v>
      </c>
      <c r="K35" s="363">
        <f t="shared" si="30"/>
        <v>0</v>
      </c>
      <c r="L35" s="363">
        <f t="shared" si="30"/>
        <v>0</v>
      </c>
      <c r="M35" s="240"/>
    </row>
    <row r="36">
      <c r="C36" s="364"/>
      <c r="D36" s="365">
        <f t="shared" ref="D36:G36" si="31">SUM(D8:D35)</f>
        <v>1650164</v>
      </c>
      <c r="E36" s="365">
        <f t="shared" si="31"/>
        <v>465024</v>
      </c>
      <c r="F36" s="365">
        <f t="shared" si="31"/>
        <v>236393</v>
      </c>
      <c r="G36" s="361">
        <f t="shared" si="31"/>
        <v>2351581</v>
      </c>
      <c r="H36" s="366"/>
      <c r="I36" s="366"/>
      <c r="J36" s="365">
        <f t="shared" ref="J36:L36" si="32">SUM(J8:J35)</f>
        <v>0</v>
      </c>
      <c r="K36" s="365">
        <f t="shared" si="32"/>
        <v>0</v>
      </c>
      <c r="L36" s="365">
        <f t="shared" si="32"/>
        <v>0</v>
      </c>
      <c r="M36" s="240"/>
    </row>
    <row r="37">
      <c r="A37" s="367"/>
      <c r="B37" s="367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</row>
    <row r="38">
      <c r="A38" s="240"/>
      <c r="B38" s="240"/>
      <c r="C38" s="250"/>
      <c r="D38" s="368"/>
      <c r="E38" s="368"/>
      <c r="F38" s="368"/>
      <c r="G38" s="240"/>
      <c r="H38" s="240"/>
      <c r="I38" s="240"/>
      <c r="J38" s="240"/>
      <c r="K38" s="240"/>
      <c r="L38" s="240"/>
      <c r="M38" s="240"/>
    </row>
    <row r="39">
      <c r="A39" s="240"/>
      <c r="B39" s="240"/>
      <c r="C39" s="250"/>
      <c r="D39" s="368"/>
      <c r="E39" s="368"/>
      <c r="F39" s="368"/>
      <c r="G39" s="240"/>
      <c r="H39" s="240"/>
      <c r="I39" s="240"/>
      <c r="J39" s="240"/>
      <c r="K39" s="240"/>
      <c r="L39" s="240"/>
      <c r="M39" s="240"/>
    </row>
    <row r="40">
      <c r="A40" s="240"/>
      <c r="B40" s="240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</row>
    <row r="41">
      <c r="A41" s="369"/>
      <c r="B41" s="370" t="s">
        <v>1</v>
      </c>
      <c r="C41" s="371"/>
      <c r="D41" s="371"/>
      <c r="E41" s="371"/>
      <c r="F41" s="371"/>
      <c r="G41" s="371"/>
      <c r="H41" s="371"/>
      <c r="I41" s="371"/>
      <c r="J41" s="371"/>
      <c r="K41" s="371"/>
      <c r="L41" s="371"/>
      <c r="M41" s="240"/>
    </row>
    <row r="42">
      <c r="A42" s="351"/>
      <c r="B42" s="352" t="s">
        <v>439</v>
      </c>
      <c r="C42" s="353" t="s">
        <v>440</v>
      </c>
      <c r="D42" s="350" t="s">
        <v>435</v>
      </c>
      <c r="E42" s="350" t="s">
        <v>436</v>
      </c>
      <c r="F42" s="350" t="s">
        <v>437</v>
      </c>
      <c r="G42" s="354" t="s">
        <v>441</v>
      </c>
      <c r="H42" s="355" t="s">
        <v>442</v>
      </c>
      <c r="I42" s="356" t="s">
        <v>439</v>
      </c>
      <c r="J42" s="353" t="s">
        <v>443</v>
      </c>
      <c r="K42" s="350" t="s">
        <v>435</v>
      </c>
      <c r="L42" s="350" t="s">
        <v>436</v>
      </c>
      <c r="M42" s="350" t="s">
        <v>437</v>
      </c>
    </row>
    <row r="43" hidden="1">
      <c r="A43" s="372">
        <f t="shared" ref="A43:A46" si="33">$B$43</f>
        <v>46054</v>
      </c>
      <c r="B43" s="373">
        <f>C8</f>
        <v>46054</v>
      </c>
      <c r="C43" s="374" t="s">
        <v>144</v>
      </c>
      <c r="D43" s="375">
        <f>sumifs('jiliarena_代理数据_底稿'!$I:$I,'jiliarena_代理数据_底稿'!$B:$B,D$42,'jiliarena_代理数据_底稿'!$A:$A,$B43)</f>
        <v>0</v>
      </c>
      <c r="E43" s="375">
        <f>sumifs('jiliarena_代理数据_底稿'!$I:$I,'jiliarena_代理数据_底稿'!$B:$B,E$42,'jiliarena_代理数据_底稿'!$A:$A,$B43)</f>
        <v>0</v>
      </c>
      <c r="F43" s="375">
        <f>sumifs('jiliarena_代理数据_底稿'!$I:$I,'jiliarena_代理数据_底稿'!$B:$B,F$42,'jiliarena_代理数据_底稿'!$A:$A,$B43)</f>
        <v>0</v>
      </c>
      <c r="G43" s="375">
        <f>sumifs('jiliarena_代理数据_底稿'!$I:$I,'jiliarena_代理数据_底稿'!$B:$B,G$42,'jiliarena_代理数据_底稿'!$A:$A,$B43)</f>
        <v>0</v>
      </c>
      <c r="H43" s="376" t="str">
        <f t="array" ref="H43">INDEX(jiliarena!$A$3:$M$49,MATCH($A43,jiliarena!$A$3:$A$49,0),MATCH($C$43,jiliarena!$A$3:$M$3,0))-G43</f>
        <v>#N/A</v>
      </c>
      <c r="I43" s="377">
        <f>B43</f>
        <v>46054</v>
      </c>
      <c r="J43" s="378" t="s">
        <v>144</v>
      </c>
      <c r="K43" s="379"/>
      <c r="L43" s="379"/>
      <c r="M43" s="379"/>
    </row>
    <row r="44" hidden="1">
      <c r="A44" s="372">
        <f t="shared" si="33"/>
        <v>46054</v>
      </c>
      <c r="B44" s="11"/>
      <c r="C44" s="380" t="s">
        <v>146</v>
      </c>
      <c r="D44" s="381">
        <f>sumifs('jiliarena_代理数据_底稿'!$E:$E,'jiliarena_代理数据_底稿'!$B:$B,D$42,'jiliarena_代理数据_底稿'!$A:$A,$B43)</f>
        <v>0</v>
      </c>
      <c r="E44" s="381">
        <f>sumifs('jiliarena_代理数据_底稿'!$E:$E,'jiliarena_代理数据_底稿'!$B:$B,E$42,'jiliarena_代理数据_底稿'!$A:$A,$B43)</f>
        <v>0</v>
      </c>
      <c r="F44" s="381">
        <f>sumifs('jiliarena_代理数据_底稿'!$E:$E,'jiliarena_代理数据_底稿'!$B:$B,F$42,'jiliarena_代理数据_底稿'!$A:$A,$B43)</f>
        <v>0</v>
      </c>
      <c r="G44" s="381">
        <f>sumifs('jiliarena_代理数据_底稿'!$E:$E,'jiliarena_代理数据_底稿'!$B:$B,G$42,'jiliarena_代理数据_底稿'!$A:$A,$B43)</f>
        <v>0</v>
      </c>
      <c r="H44" s="382" t="str">
        <f t="array" ref="H44">INDEX(jiliarena!$A$3:$M$49,MATCH($A44,jiliarena!$A$3:$A$49,0),MATCH("登录人数",jiliarena!$A$3:$M$3,0))-G44</f>
        <v>#N/A</v>
      </c>
      <c r="I44" s="11"/>
      <c r="J44" s="383" t="s">
        <v>146</v>
      </c>
      <c r="K44" s="384"/>
      <c r="L44" s="384"/>
      <c r="M44" s="384"/>
    </row>
    <row r="45" hidden="1">
      <c r="A45" s="372">
        <f t="shared" si="33"/>
        <v>46054</v>
      </c>
      <c r="B45" s="11"/>
      <c r="C45" s="385" t="s">
        <v>151</v>
      </c>
      <c r="D45" s="381">
        <f>sumifs('jiliarena_代理数据_底稿'!$F:$F,'jiliarena_代理数据_底稿'!$B:$B,D$42,'jiliarena_代理数据_底稿'!$A:$A,$B43)</f>
        <v>0</v>
      </c>
      <c r="E45" s="381">
        <f>sumifs('jiliarena_代理数据_底稿'!$F:$F,'jiliarena_代理数据_底稿'!$B:$B,E$42,'jiliarena_代理数据_底稿'!$A:$A,$B43)</f>
        <v>0</v>
      </c>
      <c r="F45" s="381">
        <f>sumifs('jiliarena_代理数据_底稿'!$F:$F,'jiliarena_代理数据_底稿'!$B:$B,F$42,'jiliarena_代理数据_底稿'!$A:$A,$B43)</f>
        <v>0</v>
      </c>
      <c r="G45" s="381">
        <f>sumifs('jiliarena_代理数据_底稿'!$F:$F,'jiliarena_代理数据_底稿'!$B:$B,G$42,'jiliarena_代理数据_底稿'!$A:$A,$B43)</f>
        <v>0</v>
      </c>
      <c r="H45" s="382" t="str">
        <f t="array" ref="H45">INDEX(jiliarena!$A$3:$M$49,MATCH($A45,jiliarena!$A$3:$A$49,0),MATCH("投注人数",jiliarena!$A$3:$M$3,0))-G45</f>
        <v>#N/A</v>
      </c>
      <c r="I45" s="11"/>
      <c r="J45" s="386" t="s">
        <v>151</v>
      </c>
      <c r="K45" s="384"/>
      <c r="L45" s="384"/>
      <c r="M45" s="384"/>
    </row>
    <row r="46" hidden="1">
      <c r="A46" s="372">
        <f t="shared" si="33"/>
        <v>46054</v>
      </c>
      <c r="B46" s="20"/>
      <c r="C46" s="387" t="s">
        <v>284</v>
      </c>
      <c r="D46" s="388">
        <f>sumifs('jiliarena_代理数据_底稿'!$G:$G,'jiliarena_代理数据_底稿'!$B:$B,D$42,'jiliarena_代理数据_底稿'!$A:$A,$B43)</f>
        <v>0</v>
      </c>
      <c r="E46" s="388">
        <f>sumifs('jiliarena_代理数据_底稿'!$G:$G,'jiliarena_代理数据_底稿'!$B:$B,E$42,'jiliarena_代理数据_底稿'!$A:$A,$B43)</f>
        <v>0</v>
      </c>
      <c r="F46" s="388">
        <f>sumifs('jiliarena_代理数据_底稿'!$G:$G,'jiliarena_代理数据_底稿'!$B:$B,F$42,'jiliarena_代理数据_底稿'!$A:$A,$B43)</f>
        <v>0</v>
      </c>
      <c r="G46" s="388">
        <f>sumifs('jiliarena_代理数据_底稿'!$G:$G,'jiliarena_代理数据_底稿'!$B:$B,G$42,'jiliarena_代理数据_底稿'!$A:$A,$B43)</f>
        <v>0</v>
      </c>
      <c r="H46" s="389" t="str">
        <f t="array" ref="H46">INDEX(jiliarena!$A$3:$M$49,MATCH($A46,jiliarena!$A$3:$A$49,0),MATCH("存款人数",jiliarena!$A$3:$M$3,0))-G46</f>
        <v>#N/A</v>
      </c>
      <c r="I46" s="20"/>
      <c r="J46" s="390" t="s">
        <v>284</v>
      </c>
      <c r="K46" s="384"/>
      <c r="L46" s="384"/>
      <c r="M46" s="384"/>
    </row>
    <row r="47" hidden="1">
      <c r="A47" s="372">
        <f t="shared" ref="A47:A50" si="35">$B$47</f>
        <v>46055</v>
      </c>
      <c r="B47" s="373">
        <f>B43+1</f>
        <v>46055</v>
      </c>
      <c r="C47" s="374" t="s">
        <v>144</v>
      </c>
      <c r="D47" s="375">
        <f>sumifs('jiliarena_代理数据_底稿'!$I:$I,'jiliarena_代理数据_底稿'!$B:$B,D$42,'jiliarena_代理数据_底稿'!$A:$A,$B47)</f>
        <v>0</v>
      </c>
      <c r="E47" s="375">
        <f>sumifs('jiliarena_代理数据_底稿'!$I:$I,'jiliarena_代理数据_底稿'!$B:$B,E$42,'jiliarena_代理数据_底稿'!$A:$A,$B47)</f>
        <v>0</v>
      </c>
      <c r="F47" s="375">
        <f>sumifs('jiliarena_代理数据_底稿'!$I:$I,'jiliarena_代理数据_底稿'!$B:$B,F$42,'jiliarena_代理数据_底稿'!$A:$A,$B47)</f>
        <v>0</v>
      </c>
      <c r="G47" s="375">
        <f t="shared" ref="G47:G158" si="36">SUM(D47:F47)</f>
        <v>0</v>
      </c>
      <c r="H47" s="376" t="str">
        <f t="array" ref="H47">INDEX(jiliarena!$A$3:$M$49,MATCH($A47,jiliarena!$A$3:$A$49,0),MATCH($C$43,jiliarena!$A$3:$M$3,0))-G47</f>
        <v>#N/A</v>
      </c>
      <c r="I47" s="377">
        <f>B47</f>
        <v>46055</v>
      </c>
      <c r="J47" s="378" t="s">
        <v>144</v>
      </c>
      <c r="K47" s="379">
        <f t="shared" ref="K47:M47" si="34">D43-D47</f>
        <v>0</v>
      </c>
      <c r="L47" s="379">
        <f t="shared" si="34"/>
        <v>0</v>
      </c>
      <c r="M47" s="379">
        <f t="shared" si="34"/>
        <v>0</v>
      </c>
    </row>
    <row r="48" hidden="1">
      <c r="A48" s="372">
        <f t="shared" si="35"/>
        <v>46055</v>
      </c>
      <c r="B48" s="11"/>
      <c r="C48" s="380" t="s">
        <v>146</v>
      </c>
      <c r="D48" s="381">
        <f>sumifs('jiliarena_代理数据_底稿'!$E:$E,'jiliarena_代理数据_底稿'!$B:$B,D$42,'jiliarena_代理数据_底稿'!$A:$A,$B47)</f>
        <v>0</v>
      </c>
      <c r="E48" s="391">
        <f>sumifs('jiliarena_代理数据_底稿'!$E:$E,'jiliarena_代理数据_底稿'!$B:$B,E$42,'jiliarena_代理数据_底稿'!$A:$A,$B47)</f>
        <v>0</v>
      </c>
      <c r="F48" s="381">
        <f>sumifs('jiliarena_代理数据_底稿'!$E:$E,'jiliarena_代理数据_底稿'!$B:$B,F$42,'jiliarena_代理数据_底稿'!$A:$A,$B47)</f>
        <v>0</v>
      </c>
      <c r="G48" s="381">
        <f t="shared" si="36"/>
        <v>0</v>
      </c>
      <c r="H48" s="382" t="str">
        <f t="array" ref="H48">INDEX(jiliarena!$A$3:$M$49,MATCH($A48,jiliarena!$A$3:$A$49,0),MATCH("登录人数",jiliarena!$A$3:$M$3,0))-G48</f>
        <v>#N/A</v>
      </c>
      <c r="I48" s="11"/>
      <c r="J48" s="383" t="s">
        <v>146</v>
      </c>
      <c r="K48" s="392">
        <f t="shared" ref="K48:M48" si="37">D44-D48</f>
        <v>0</v>
      </c>
      <c r="L48" s="392">
        <f t="shared" si="37"/>
        <v>0</v>
      </c>
      <c r="M48" s="392">
        <f t="shared" si="37"/>
        <v>0</v>
      </c>
    </row>
    <row r="49" hidden="1">
      <c r="A49" s="372">
        <f t="shared" si="35"/>
        <v>46055</v>
      </c>
      <c r="B49" s="11"/>
      <c r="C49" s="385" t="s">
        <v>151</v>
      </c>
      <c r="D49" s="381">
        <f>sumifs('jiliarena_代理数据_底稿'!$F:$F,'jiliarena_代理数据_底稿'!$B:$B,D$42,'jiliarena_代理数据_底稿'!$A:$A,$B47)</f>
        <v>0</v>
      </c>
      <c r="E49" s="381">
        <f>sumifs('jiliarena_代理数据_底稿'!$F:$F,'jiliarena_代理数据_底稿'!$B:$B,E$42,'jiliarena_代理数据_底稿'!$A:$A,$B47)</f>
        <v>0</v>
      </c>
      <c r="F49" s="381">
        <f>sumifs('jiliarena_代理数据_底稿'!$F:$F,'jiliarena_代理数据_底稿'!$B:$B,F$42,'jiliarena_代理数据_底稿'!$A:$A,$B47)</f>
        <v>0</v>
      </c>
      <c r="G49" s="381">
        <f t="shared" si="36"/>
        <v>0</v>
      </c>
      <c r="H49" s="382" t="str">
        <f t="array" ref="H49">INDEX(jiliarena!$A$3:$M$49,MATCH($A49,jiliarena!$A$3:$A$49,0),MATCH("投注人数",jiliarena!$A$3:$M$3,0))-G49</f>
        <v>#N/A</v>
      </c>
      <c r="I49" s="11"/>
      <c r="J49" s="386" t="s">
        <v>151</v>
      </c>
      <c r="K49" s="392">
        <f t="shared" ref="K49:M49" si="38">D45-D49</f>
        <v>0</v>
      </c>
      <c r="L49" s="392">
        <f t="shared" si="38"/>
        <v>0</v>
      </c>
      <c r="M49" s="392">
        <f t="shared" si="38"/>
        <v>0</v>
      </c>
    </row>
    <row r="50" hidden="1">
      <c r="A50" s="372">
        <f t="shared" si="35"/>
        <v>46055</v>
      </c>
      <c r="B50" s="20"/>
      <c r="C50" s="387" t="s">
        <v>284</v>
      </c>
      <c r="D50" s="388">
        <f>sumifs('jiliarena_代理数据_底稿'!$G:$G,'jiliarena_代理数据_底稿'!$B:$B,D$42,'jiliarena_代理数据_底稿'!$A:$A,$B47)</f>
        <v>0</v>
      </c>
      <c r="E50" s="388">
        <f>sumifs('jiliarena_代理数据_底稿'!$G:$G,'jiliarena_代理数据_底稿'!$B:$B,E$42,'jiliarena_代理数据_底稿'!$A:$A,$B47)</f>
        <v>0</v>
      </c>
      <c r="F50" s="388">
        <f>sumifs('jiliarena_代理数据_底稿'!$G:$G,'jiliarena_代理数据_底稿'!$B:$B,F$42,'jiliarena_代理数据_底稿'!$A:$A,$B47)</f>
        <v>0</v>
      </c>
      <c r="G50" s="393">
        <f t="shared" si="36"/>
        <v>0</v>
      </c>
      <c r="H50" s="389" t="str">
        <f t="array" ref="H50">INDEX(jiliarena!$A$3:$M$49,MATCH($A50,jiliarena!$A$3:$A$49,0),MATCH("存款人数",jiliarena!$A$3:$M$3,0))-G50</f>
        <v>#N/A</v>
      </c>
      <c r="I50" s="20"/>
      <c r="J50" s="390" t="s">
        <v>284</v>
      </c>
      <c r="K50" s="394">
        <f t="shared" ref="K50:M50" si="39">D46-D50</f>
        <v>0</v>
      </c>
      <c r="L50" s="394">
        <f t="shared" si="39"/>
        <v>0</v>
      </c>
      <c r="M50" s="394">
        <f t="shared" si="39"/>
        <v>0</v>
      </c>
    </row>
    <row r="51" hidden="1">
      <c r="A51" s="372">
        <f t="shared" ref="A51:A54" si="41">$B$51</f>
        <v>46056</v>
      </c>
      <c r="B51" s="373">
        <f>B47+1</f>
        <v>46056</v>
      </c>
      <c r="C51" s="374" t="s">
        <v>144</v>
      </c>
      <c r="D51" s="375">
        <f>sumifs('jiliarena_代理数据_底稿'!$I:$I,'jiliarena_代理数据_底稿'!$B:$B,D$42,'jiliarena_代理数据_底稿'!$A:$A,$B51)</f>
        <v>0</v>
      </c>
      <c r="E51" s="375">
        <f>sumifs('jiliarena_代理数据_底稿'!$I:$I,'jiliarena_代理数据_底稿'!$B:$B,E$42,'jiliarena_代理数据_底稿'!$A:$A,$B51)</f>
        <v>0</v>
      </c>
      <c r="F51" s="375">
        <f>sumifs('jiliarena_代理数据_底稿'!$I:$I,'jiliarena_代理数据_底稿'!$B:$B,F$42,'jiliarena_代理数据_底稿'!$A:$A,$B51)</f>
        <v>0</v>
      </c>
      <c r="G51" s="375">
        <f t="shared" si="36"/>
        <v>0</v>
      </c>
      <c r="H51" s="376" t="str">
        <f t="array" ref="H51">INDEX(jiliarena!$A$3:$M$49,MATCH($A51,jiliarena!$A$3:$A$49,0),MATCH($C$43,jiliarena!$A$3:$M$3,0))-G51</f>
        <v>#N/A</v>
      </c>
      <c r="I51" s="377">
        <f>B51</f>
        <v>46056</v>
      </c>
      <c r="J51" s="374" t="s">
        <v>144</v>
      </c>
      <c r="K51" s="384">
        <f t="shared" ref="K51:M51" si="40">D47-D51</f>
        <v>0</v>
      </c>
      <c r="L51" s="384">
        <f t="shared" si="40"/>
        <v>0</v>
      </c>
      <c r="M51" s="384">
        <f t="shared" si="40"/>
        <v>0</v>
      </c>
    </row>
    <row r="52" hidden="1">
      <c r="A52" s="372">
        <f t="shared" si="41"/>
        <v>46056</v>
      </c>
      <c r="B52" s="11"/>
      <c r="C52" s="380" t="s">
        <v>146</v>
      </c>
      <c r="D52" s="381">
        <f>sumifs('jiliarena_代理数据_底稿'!$E:$E,'jiliarena_代理数据_底稿'!$B:$B,D$42,'jiliarena_代理数据_底稿'!$A:$A,$B51)</f>
        <v>0</v>
      </c>
      <c r="E52" s="391">
        <f>sumifs('jiliarena_代理数据_底稿'!$E:$E,'jiliarena_代理数据_底稿'!$B:$B,E$42,'jiliarena_代理数据_底稿'!$A:$A,$B51)</f>
        <v>0</v>
      </c>
      <c r="F52" s="381">
        <f>sumifs('jiliarena_代理数据_底稿'!$E:$E,'jiliarena_代理数据_底稿'!$B:$B,F$42,'jiliarena_代理数据_底稿'!$A:$A,$B51)</f>
        <v>0</v>
      </c>
      <c r="G52" s="381">
        <f t="shared" si="36"/>
        <v>0</v>
      </c>
      <c r="H52" s="382" t="str">
        <f t="array" ref="H52">INDEX(jiliarena!$A$3:$M$49,MATCH($A52,jiliarena!$A$3:$A$49,0),MATCH("登录人数",jiliarena!$A$3:$M$3,0))-G52</f>
        <v>#N/A</v>
      </c>
      <c r="I52" s="11"/>
      <c r="J52" s="380" t="s">
        <v>146</v>
      </c>
      <c r="K52" s="392">
        <f t="shared" ref="K52:M52" si="42">D48-D52</f>
        <v>0</v>
      </c>
      <c r="L52" s="384">
        <f t="shared" si="42"/>
        <v>0</v>
      </c>
      <c r="M52" s="392">
        <f t="shared" si="42"/>
        <v>0</v>
      </c>
    </row>
    <row r="53" hidden="1">
      <c r="A53" s="372">
        <f t="shared" si="41"/>
        <v>46056</v>
      </c>
      <c r="B53" s="11"/>
      <c r="C53" s="385" t="s">
        <v>151</v>
      </c>
      <c r="D53" s="381">
        <f>sumifs('jiliarena_代理数据_底稿'!$F:$F,'jiliarena_代理数据_底稿'!$B:$B,D$42,'jiliarena_代理数据_底稿'!$A:$A,$B51)</f>
        <v>0</v>
      </c>
      <c r="E53" s="381">
        <f>sumifs('jiliarena_代理数据_底稿'!$F:$F,'jiliarena_代理数据_底稿'!$B:$B,E$42,'jiliarena_代理数据_底稿'!$A:$A,$B51)</f>
        <v>0</v>
      </c>
      <c r="F53" s="381">
        <f>sumifs('jiliarena_代理数据_底稿'!$F:$F,'jiliarena_代理数据_底稿'!$B:$B,F$42,'jiliarena_代理数据_底稿'!$A:$A,$B51)</f>
        <v>0</v>
      </c>
      <c r="G53" s="381">
        <f t="shared" si="36"/>
        <v>0</v>
      </c>
      <c r="H53" s="382" t="str">
        <f t="array" ref="H53">INDEX(jiliarena!$A$3:$M$49,MATCH($A53,jiliarena!$A$3:$A$49,0),MATCH("投注人数",jiliarena!$A$3:$M$3,0))-G53</f>
        <v>#N/A</v>
      </c>
      <c r="I53" s="11"/>
      <c r="J53" s="385" t="s">
        <v>151</v>
      </c>
      <c r="K53" s="392">
        <f t="shared" ref="K53:M53" si="43">D49-D53</f>
        <v>0</v>
      </c>
      <c r="L53" s="392">
        <f t="shared" si="43"/>
        <v>0</v>
      </c>
      <c r="M53" s="392">
        <f t="shared" si="43"/>
        <v>0</v>
      </c>
    </row>
    <row r="54" hidden="1">
      <c r="A54" s="372">
        <f t="shared" si="41"/>
        <v>46056</v>
      </c>
      <c r="B54" s="20"/>
      <c r="C54" s="387" t="s">
        <v>284</v>
      </c>
      <c r="D54" s="388">
        <f>sumifs('jiliarena_代理数据_底稿'!$G:$G,'jiliarena_代理数据_底稿'!$B:$B,D$42,'jiliarena_代理数据_底稿'!$A:$A,$B51)</f>
        <v>0</v>
      </c>
      <c r="E54" s="388">
        <f>sumifs('jiliarena_代理数据_底稿'!$G:$G,'jiliarena_代理数据_底稿'!$B:$B,E$42,'jiliarena_代理数据_底稿'!$A:$A,$B51)</f>
        <v>0</v>
      </c>
      <c r="F54" s="388">
        <f>sumifs('jiliarena_代理数据_底稿'!$G:$G,'jiliarena_代理数据_底稿'!$B:$B,F$42,'jiliarena_代理数据_底稿'!$A:$A,$B51)</f>
        <v>0</v>
      </c>
      <c r="G54" s="393">
        <f t="shared" si="36"/>
        <v>0</v>
      </c>
      <c r="H54" s="389" t="str">
        <f t="array" ref="H54">INDEX(jiliarena!$A$3:$M$49,MATCH($A54,jiliarena!$A$3:$A$49,0),MATCH("存款人数",jiliarena!$A$3:$M$3,0))-G54</f>
        <v>#N/A</v>
      </c>
      <c r="I54" s="20"/>
      <c r="J54" s="387" t="s">
        <v>284</v>
      </c>
      <c r="K54" s="394">
        <f t="shared" ref="K54:M54" si="44">D50-D54</f>
        <v>0</v>
      </c>
      <c r="L54" s="394">
        <f t="shared" si="44"/>
        <v>0</v>
      </c>
      <c r="M54" s="394">
        <f t="shared" si="44"/>
        <v>0</v>
      </c>
    </row>
    <row r="55" hidden="1">
      <c r="A55" s="372">
        <f t="shared" ref="A55:A58" si="46">$B$55</f>
        <v>46057</v>
      </c>
      <c r="B55" s="373">
        <f>B51+1</f>
        <v>46057</v>
      </c>
      <c r="C55" s="374" t="s">
        <v>144</v>
      </c>
      <c r="D55" s="375">
        <f>sumifs('jiliarena_代理数据_底稿'!$I:$I,'jiliarena_代理数据_底稿'!$B:$B,D$42,'jiliarena_代理数据_底稿'!$A:$A,$B55)</f>
        <v>0</v>
      </c>
      <c r="E55" s="375">
        <f>sumifs('jiliarena_代理数据_底稿'!$I:$I,'jiliarena_代理数据_底稿'!$B:$B,E$42,'jiliarena_代理数据_底稿'!$A:$A,$B55)</f>
        <v>0</v>
      </c>
      <c r="F55" s="375">
        <f>sumifs('jiliarena_代理数据_底稿'!$I:$I,'jiliarena_代理数据_底稿'!$B:$B,F$42,'jiliarena_代理数据_底稿'!$A:$A,$B55)</f>
        <v>0</v>
      </c>
      <c r="G55" s="375">
        <f t="shared" si="36"/>
        <v>0</v>
      </c>
      <c r="H55" s="376" t="str">
        <f t="array" ref="H55">INDEX(jiliarena!$A$3:$M$49,MATCH($A55,jiliarena!$A$3:$A$49,0),MATCH($C$43,jiliarena!$A$3:$M$3,0))-G55</f>
        <v>#N/A</v>
      </c>
      <c r="I55" s="377">
        <f>B55</f>
        <v>46057</v>
      </c>
      <c r="J55" s="374" t="s">
        <v>144</v>
      </c>
      <c r="K55" s="379">
        <f t="shared" ref="K55:M55" si="45">D51-D55</f>
        <v>0</v>
      </c>
      <c r="L55" s="379">
        <f t="shared" si="45"/>
        <v>0</v>
      </c>
      <c r="M55" s="379">
        <f t="shared" si="45"/>
        <v>0</v>
      </c>
    </row>
    <row r="56" hidden="1">
      <c r="A56" s="372">
        <f t="shared" si="46"/>
        <v>46057</v>
      </c>
      <c r="B56" s="11"/>
      <c r="C56" s="380" t="s">
        <v>146</v>
      </c>
      <c r="D56" s="381">
        <f>sumifs('jiliarena_代理数据_底稿'!$E:$E,'jiliarena_代理数据_底稿'!$B:$B,D$42,'jiliarena_代理数据_底稿'!$A:$A,$B55)</f>
        <v>0</v>
      </c>
      <c r="E56" s="391">
        <f>sumifs('jiliarena_代理数据_底稿'!$E:$E,'jiliarena_代理数据_底稿'!$B:$B,E$42,'jiliarena_代理数据_底稿'!$A:$A,$B55)</f>
        <v>0</v>
      </c>
      <c r="F56" s="381">
        <f>sumifs('jiliarena_代理数据_底稿'!$E:$E,'jiliarena_代理数据_底稿'!$B:$B,F$42,'jiliarena_代理数据_底稿'!$A:$A,$B55)</f>
        <v>0</v>
      </c>
      <c r="G56" s="381">
        <f t="shared" si="36"/>
        <v>0</v>
      </c>
      <c r="H56" s="382" t="str">
        <f t="array" ref="H56">INDEX(jiliarena!$A$3:$M$49,MATCH($A56,jiliarena!$A$3:$A$49,0),MATCH("登录人数",jiliarena!$A$3:$M$3,0))-G56</f>
        <v>#N/A</v>
      </c>
      <c r="I56" s="11"/>
      <c r="J56" s="380" t="s">
        <v>146</v>
      </c>
      <c r="K56" s="392">
        <f t="shared" ref="K56:M56" si="47">D52-D56</f>
        <v>0</v>
      </c>
      <c r="L56" s="384">
        <f t="shared" si="47"/>
        <v>0</v>
      </c>
      <c r="M56" s="392">
        <f t="shared" si="47"/>
        <v>0</v>
      </c>
    </row>
    <row r="57" hidden="1">
      <c r="A57" s="372">
        <f t="shared" si="46"/>
        <v>46057</v>
      </c>
      <c r="B57" s="11"/>
      <c r="C57" s="385" t="s">
        <v>151</v>
      </c>
      <c r="D57" s="381">
        <f>sumifs('jiliarena_代理数据_底稿'!$F:$F,'jiliarena_代理数据_底稿'!$B:$B,D$42,'jiliarena_代理数据_底稿'!$A:$A,$B55)</f>
        <v>0</v>
      </c>
      <c r="E57" s="381">
        <f>sumifs('jiliarena_代理数据_底稿'!$F:$F,'jiliarena_代理数据_底稿'!$B:$B,E$42,'jiliarena_代理数据_底稿'!$A:$A,$B55)</f>
        <v>0</v>
      </c>
      <c r="F57" s="381">
        <f>sumifs('jiliarena_代理数据_底稿'!$F:$F,'jiliarena_代理数据_底稿'!$B:$B,F$42,'jiliarena_代理数据_底稿'!$A:$A,$B55)</f>
        <v>0</v>
      </c>
      <c r="G57" s="381">
        <f t="shared" si="36"/>
        <v>0</v>
      </c>
      <c r="H57" s="382" t="str">
        <f t="array" ref="H57">INDEX(jiliarena!$A$3:$M$49,MATCH($A57,jiliarena!$A$3:$A$49,0),MATCH("投注人数",jiliarena!$A$3:$M$3,0))-G57</f>
        <v>#N/A</v>
      </c>
      <c r="I57" s="11"/>
      <c r="J57" s="385" t="s">
        <v>151</v>
      </c>
      <c r="K57" s="392">
        <f t="shared" ref="K57:M57" si="48">D53-D57</f>
        <v>0</v>
      </c>
      <c r="L57" s="392">
        <f t="shared" si="48"/>
        <v>0</v>
      </c>
      <c r="M57" s="392">
        <f t="shared" si="48"/>
        <v>0</v>
      </c>
    </row>
    <row r="58" hidden="1">
      <c r="A58" s="372">
        <f t="shared" si="46"/>
        <v>46057</v>
      </c>
      <c r="B58" s="20"/>
      <c r="C58" s="387" t="s">
        <v>284</v>
      </c>
      <c r="D58" s="388">
        <f>sumifs('jiliarena_代理数据_底稿'!$G:$G,'jiliarena_代理数据_底稿'!$B:$B,D$42,'jiliarena_代理数据_底稿'!$A:$A,$B55)</f>
        <v>0</v>
      </c>
      <c r="E58" s="388">
        <f>sumifs('jiliarena_代理数据_底稿'!$G:$G,'jiliarena_代理数据_底稿'!$B:$B,E$42,'jiliarena_代理数据_底稿'!$A:$A,$B55)</f>
        <v>0</v>
      </c>
      <c r="F58" s="388">
        <f>sumifs('jiliarena_代理数据_底稿'!$G:$G,'jiliarena_代理数据_底稿'!$B:$B,F$42,'jiliarena_代理数据_底稿'!$A:$A,$B55)</f>
        <v>0</v>
      </c>
      <c r="G58" s="393">
        <f t="shared" si="36"/>
        <v>0</v>
      </c>
      <c r="H58" s="389" t="str">
        <f t="array" ref="H58">INDEX(jiliarena!$A$3:$M$49,MATCH($A58,jiliarena!$A$3:$A$49,0),MATCH("存款人数",jiliarena!$A$3:$M$3,0))-G58</f>
        <v>#N/A</v>
      </c>
      <c r="I58" s="20"/>
      <c r="J58" s="387" t="s">
        <v>284</v>
      </c>
      <c r="K58" s="394">
        <f t="shared" ref="K58:M58" si="49">D54-D58</f>
        <v>0</v>
      </c>
      <c r="L58" s="394">
        <f t="shared" si="49"/>
        <v>0</v>
      </c>
      <c r="M58" s="394">
        <f t="shared" si="49"/>
        <v>0</v>
      </c>
    </row>
    <row r="59" hidden="1">
      <c r="A59" s="372">
        <f t="shared" ref="A59:A62" si="51">$B$59</f>
        <v>46058</v>
      </c>
      <c r="B59" s="373">
        <f>B55+1</f>
        <v>46058</v>
      </c>
      <c r="C59" s="374" t="s">
        <v>144</v>
      </c>
      <c r="D59" s="375">
        <f>sumifs('jiliarena_代理数据_底稿'!$I:$I,'jiliarena_代理数据_底稿'!$B:$B,D$42,'jiliarena_代理数据_底稿'!$A:$A,$B59)</f>
        <v>0</v>
      </c>
      <c r="E59" s="375">
        <f>sumifs('jiliarena_代理数据_底稿'!$I:$I,'jiliarena_代理数据_底稿'!$B:$B,E$42,'jiliarena_代理数据_底稿'!$A:$A,$B59)</f>
        <v>0</v>
      </c>
      <c r="F59" s="375">
        <f>sumifs('jiliarena_代理数据_底稿'!$I:$I,'jiliarena_代理数据_底稿'!$B:$B,F$42,'jiliarena_代理数据_底稿'!$A:$A,$B59)</f>
        <v>0</v>
      </c>
      <c r="G59" s="375">
        <f t="shared" si="36"/>
        <v>0</v>
      </c>
      <c r="H59" s="376" t="str">
        <f t="array" ref="H59">INDEX(jiliarena!$A$3:$M$49,MATCH($A59,jiliarena!$A$3:$A$49,0),MATCH($C$43,jiliarena!$A$3:$M$3,0))-G59</f>
        <v>#N/A</v>
      </c>
      <c r="I59" s="377">
        <f>B59</f>
        <v>46058</v>
      </c>
      <c r="J59" s="374" t="s">
        <v>144</v>
      </c>
      <c r="K59" s="379">
        <f t="shared" ref="K59:M59" si="50">D55-D59</f>
        <v>0</v>
      </c>
      <c r="L59" s="379">
        <f t="shared" si="50"/>
        <v>0</v>
      </c>
      <c r="M59" s="379">
        <f t="shared" si="50"/>
        <v>0</v>
      </c>
    </row>
    <row r="60" hidden="1">
      <c r="A60" s="372">
        <f t="shared" si="51"/>
        <v>46058</v>
      </c>
      <c r="B60" s="11"/>
      <c r="C60" s="380" t="s">
        <v>146</v>
      </c>
      <c r="D60" s="381">
        <f>sumifs('jiliarena_代理数据_底稿'!$E:$E,'jiliarena_代理数据_底稿'!$B:$B,D$42,'jiliarena_代理数据_底稿'!$A:$A,$B59)</f>
        <v>0</v>
      </c>
      <c r="E60" s="391">
        <f>sumifs('jiliarena_代理数据_底稿'!$E:$E,'jiliarena_代理数据_底稿'!$B:$B,E$42,'jiliarena_代理数据_底稿'!$A:$A,$B59)</f>
        <v>0</v>
      </c>
      <c r="F60" s="381">
        <f>sumifs('jiliarena_代理数据_底稿'!$E:$E,'jiliarena_代理数据_底稿'!$B:$B,F$42,'jiliarena_代理数据_底稿'!$A:$A,$B59)</f>
        <v>0</v>
      </c>
      <c r="G60" s="381">
        <f t="shared" si="36"/>
        <v>0</v>
      </c>
      <c r="H60" s="382" t="str">
        <f t="array" ref="H60">INDEX(jiliarena!$A$3:$M$49,MATCH($A60,jiliarena!$A$3:$A$49,0),MATCH("登录人数",jiliarena!$A$3:$M$3,0))-G60</f>
        <v>#N/A</v>
      </c>
      <c r="I60" s="11"/>
      <c r="J60" s="380" t="s">
        <v>146</v>
      </c>
      <c r="K60" s="392">
        <f t="shared" ref="K60:M60" si="52">D56-D60</f>
        <v>0</v>
      </c>
      <c r="L60" s="384">
        <f t="shared" si="52"/>
        <v>0</v>
      </c>
      <c r="M60" s="392">
        <f t="shared" si="52"/>
        <v>0</v>
      </c>
    </row>
    <row r="61" hidden="1">
      <c r="A61" s="372">
        <f t="shared" si="51"/>
        <v>46058</v>
      </c>
      <c r="B61" s="11"/>
      <c r="C61" s="385" t="s">
        <v>151</v>
      </c>
      <c r="D61" s="381">
        <f>sumifs('jiliarena_代理数据_底稿'!$F:$F,'jiliarena_代理数据_底稿'!$B:$B,D$42,'jiliarena_代理数据_底稿'!$A:$A,$B59)</f>
        <v>0</v>
      </c>
      <c r="E61" s="381">
        <f>sumifs('jiliarena_代理数据_底稿'!$F:$F,'jiliarena_代理数据_底稿'!$B:$B,E$42,'jiliarena_代理数据_底稿'!$A:$A,$B59)</f>
        <v>0</v>
      </c>
      <c r="F61" s="381">
        <f>sumifs('jiliarena_代理数据_底稿'!$F:$F,'jiliarena_代理数据_底稿'!$B:$B,F$42,'jiliarena_代理数据_底稿'!$A:$A,$B59)</f>
        <v>0</v>
      </c>
      <c r="G61" s="381">
        <f t="shared" si="36"/>
        <v>0</v>
      </c>
      <c r="H61" s="382" t="str">
        <f t="array" ref="H61">INDEX(jiliarena!$A$3:$M$49,MATCH($A61,jiliarena!$A$3:$A$49,0),MATCH("投注人数",jiliarena!$A$3:$M$3,0))-G61</f>
        <v>#N/A</v>
      </c>
      <c r="I61" s="11"/>
      <c r="J61" s="385" t="s">
        <v>151</v>
      </c>
      <c r="K61" s="392">
        <f t="shared" ref="K61:M61" si="53">D57-D61</f>
        <v>0</v>
      </c>
      <c r="L61" s="392">
        <f t="shared" si="53"/>
        <v>0</v>
      </c>
      <c r="M61" s="392">
        <f t="shared" si="53"/>
        <v>0</v>
      </c>
    </row>
    <row r="62" hidden="1">
      <c r="A62" s="372">
        <f t="shared" si="51"/>
        <v>46058</v>
      </c>
      <c r="B62" s="20"/>
      <c r="C62" s="387" t="s">
        <v>284</v>
      </c>
      <c r="D62" s="388">
        <f>sumifs('jiliarena_代理数据_底稿'!$G:$G,'jiliarena_代理数据_底稿'!$B:$B,D$42,'jiliarena_代理数据_底稿'!$A:$A,$B59)</f>
        <v>0</v>
      </c>
      <c r="E62" s="388">
        <f>sumifs('jiliarena_代理数据_底稿'!$G:$G,'jiliarena_代理数据_底稿'!$B:$B,E$42,'jiliarena_代理数据_底稿'!$A:$A,$B59)</f>
        <v>0</v>
      </c>
      <c r="F62" s="388">
        <f>sumifs('jiliarena_代理数据_底稿'!$G:$G,'jiliarena_代理数据_底稿'!$B:$B,F$42,'jiliarena_代理数据_底稿'!$A:$A,$B59)</f>
        <v>0</v>
      </c>
      <c r="G62" s="393">
        <f t="shared" si="36"/>
        <v>0</v>
      </c>
      <c r="H62" s="389" t="str">
        <f t="array" ref="H62">INDEX(jiliarena!$A$3:$M$49,MATCH($A62,jiliarena!$A$3:$A$49,0),MATCH("存款人数",jiliarena!$A$3:$M$3,0))-G62</f>
        <v>#N/A</v>
      </c>
      <c r="I62" s="20"/>
      <c r="J62" s="387" t="s">
        <v>284</v>
      </c>
      <c r="K62" s="394">
        <f t="shared" ref="K62:M62" si="54">D58-D62</f>
        <v>0</v>
      </c>
      <c r="L62" s="394">
        <f t="shared" si="54"/>
        <v>0</v>
      </c>
      <c r="M62" s="394">
        <f t="shared" si="54"/>
        <v>0</v>
      </c>
    </row>
    <row r="63" hidden="1">
      <c r="A63" s="372">
        <f t="shared" ref="A63:A66" si="56">$B$63</f>
        <v>46059</v>
      </c>
      <c r="B63" s="373">
        <f>B59+1</f>
        <v>46059</v>
      </c>
      <c r="C63" s="374" t="s">
        <v>144</v>
      </c>
      <c r="D63" s="375">
        <f>sumifs('jiliarena_代理数据_底稿'!$I:$I,'jiliarena_代理数据_底稿'!$B:$B,D$42,'jiliarena_代理数据_底稿'!$A:$A,$B63)</f>
        <v>0</v>
      </c>
      <c r="E63" s="375">
        <f>sumifs('jiliarena_代理数据_底稿'!$I:$I,'jiliarena_代理数据_底稿'!$B:$B,E$42,'jiliarena_代理数据_底稿'!$A:$A,$B63)</f>
        <v>0</v>
      </c>
      <c r="F63" s="375">
        <f>sumifs('jiliarena_代理数据_底稿'!$I:$I,'jiliarena_代理数据_底稿'!$B:$B,F$42,'jiliarena_代理数据_底稿'!$A:$A,$B63)</f>
        <v>0</v>
      </c>
      <c r="G63" s="375">
        <f t="shared" si="36"/>
        <v>0</v>
      </c>
      <c r="H63" s="376" t="str">
        <f t="array" ref="H63">INDEX(jiliarena!$A$3:$M$49,MATCH($A63,jiliarena!$A$3:$A$49,0),MATCH($C$43,jiliarena!$A$3:$M$3,0))-G63</f>
        <v>#N/A</v>
      </c>
      <c r="I63" s="377">
        <f>B63</f>
        <v>46059</v>
      </c>
      <c r="J63" s="374" t="s">
        <v>144</v>
      </c>
      <c r="K63" s="379">
        <f t="shared" ref="K63:M63" si="55">D59-D63</f>
        <v>0</v>
      </c>
      <c r="L63" s="379">
        <f t="shared" si="55"/>
        <v>0</v>
      </c>
      <c r="M63" s="379">
        <f t="shared" si="55"/>
        <v>0</v>
      </c>
    </row>
    <row r="64" hidden="1">
      <c r="A64" s="372">
        <f t="shared" si="56"/>
        <v>46059</v>
      </c>
      <c r="B64" s="11"/>
      <c r="C64" s="380" t="s">
        <v>146</v>
      </c>
      <c r="D64" s="381">
        <f>sumifs('jiliarena_代理数据_底稿'!$E:$E,'jiliarena_代理数据_底稿'!$B:$B,D$42,'jiliarena_代理数据_底稿'!$A:$A,$B63)</f>
        <v>0</v>
      </c>
      <c r="E64" s="391">
        <f>sumifs('jiliarena_代理数据_底稿'!$E:$E,'jiliarena_代理数据_底稿'!$B:$B,E$42,'jiliarena_代理数据_底稿'!$A:$A,$B63)</f>
        <v>0</v>
      </c>
      <c r="F64" s="381">
        <f>sumifs('jiliarena_代理数据_底稿'!$E:$E,'jiliarena_代理数据_底稿'!$B:$B,F$42,'jiliarena_代理数据_底稿'!$A:$A,$B63)</f>
        <v>0</v>
      </c>
      <c r="G64" s="381">
        <f t="shared" si="36"/>
        <v>0</v>
      </c>
      <c r="H64" s="382" t="str">
        <f t="array" ref="H64">INDEX(jiliarena!$A$3:$M$49,MATCH($A64,jiliarena!$A$3:$A$49,0),MATCH("登录人数",jiliarena!$A$3:$M$3,0))-G64</f>
        <v>#N/A</v>
      </c>
      <c r="I64" s="11"/>
      <c r="J64" s="380" t="s">
        <v>146</v>
      </c>
      <c r="K64" s="392">
        <f t="shared" ref="K64:M64" si="57">D60-D64</f>
        <v>0</v>
      </c>
      <c r="L64" s="384">
        <f t="shared" si="57"/>
        <v>0</v>
      </c>
      <c r="M64" s="392">
        <f t="shared" si="57"/>
        <v>0</v>
      </c>
    </row>
    <row r="65" hidden="1">
      <c r="A65" s="372">
        <f t="shared" si="56"/>
        <v>46059</v>
      </c>
      <c r="B65" s="11"/>
      <c r="C65" s="385" t="s">
        <v>151</v>
      </c>
      <c r="D65" s="381">
        <f>sumifs('jiliarena_代理数据_底稿'!$F:$F,'jiliarena_代理数据_底稿'!$B:$B,D$42,'jiliarena_代理数据_底稿'!$A:$A,$B63)</f>
        <v>0</v>
      </c>
      <c r="E65" s="381">
        <f>sumifs('jiliarena_代理数据_底稿'!$F:$F,'jiliarena_代理数据_底稿'!$B:$B,E$42,'jiliarena_代理数据_底稿'!$A:$A,$B63)</f>
        <v>0</v>
      </c>
      <c r="F65" s="381">
        <f>sumifs('jiliarena_代理数据_底稿'!$F:$F,'jiliarena_代理数据_底稿'!$B:$B,F$42,'jiliarena_代理数据_底稿'!$A:$A,$B63)</f>
        <v>0</v>
      </c>
      <c r="G65" s="381">
        <f t="shared" si="36"/>
        <v>0</v>
      </c>
      <c r="H65" s="382" t="str">
        <f t="array" ref="H65">INDEX(jiliarena!$A$3:$M$49,MATCH($A65,jiliarena!$A$3:$A$49,0),MATCH("投注人数",jiliarena!$A$3:$M$3,0))-G65</f>
        <v>#N/A</v>
      </c>
      <c r="I65" s="11"/>
      <c r="J65" s="385" t="s">
        <v>151</v>
      </c>
      <c r="K65" s="392">
        <f t="shared" ref="K65:M65" si="58">D61-D65</f>
        <v>0</v>
      </c>
      <c r="L65" s="392">
        <f t="shared" si="58"/>
        <v>0</v>
      </c>
      <c r="M65" s="392">
        <f t="shared" si="58"/>
        <v>0</v>
      </c>
    </row>
    <row r="66" hidden="1">
      <c r="A66" s="372">
        <f t="shared" si="56"/>
        <v>46059</v>
      </c>
      <c r="B66" s="20"/>
      <c r="C66" s="387" t="s">
        <v>284</v>
      </c>
      <c r="D66" s="388">
        <f>sumifs('jiliarena_代理数据_底稿'!$G:$G,'jiliarena_代理数据_底稿'!$B:$B,D$42,'jiliarena_代理数据_底稿'!$A:$A,$B63)</f>
        <v>0</v>
      </c>
      <c r="E66" s="388">
        <f>sumifs('jiliarena_代理数据_底稿'!$G:$G,'jiliarena_代理数据_底稿'!$B:$B,E$42,'jiliarena_代理数据_底稿'!$A:$A,$B63)</f>
        <v>0</v>
      </c>
      <c r="F66" s="388">
        <f>sumifs('jiliarena_代理数据_底稿'!$G:$G,'jiliarena_代理数据_底稿'!$B:$B,F$42,'jiliarena_代理数据_底稿'!$A:$A,$B63)</f>
        <v>0</v>
      </c>
      <c r="G66" s="393">
        <f t="shared" si="36"/>
        <v>0</v>
      </c>
      <c r="H66" s="389" t="str">
        <f t="array" ref="H66">INDEX(jiliarena!$A$3:$M$49,MATCH($A66,jiliarena!$A$3:$A$49,0),MATCH("存款人数",jiliarena!$A$3:$M$3,0))-G66</f>
        <v>#N/A</v>
      </c>
      <c r="I66" s="20"/>
      <c r="J66" s="387" t="s">
        <v>284</v>
      </c>
      <c r="K66" s="394">
        <f t="shared" ref="K66:M66" si="59">D62-D66</f>
        <v>0</v>
      </c>
      <c r="L66" s="394">
        <f t="shared" si="59"/>
        <v>0</v>
      </c>
      <c r="M66" s="394">
        <f t="shared" si="59"/>
        <v>0</v>
      </c>
    </row>
    <row r="67" hidden="1">
      <c r="A67" s="372">
        <f t="shared" ref="A67:A70" si="61">$B$67</f>
        <v>46060</v>
      </c>
      <c r="B67" s="373">
        <f>B63+1</f>
        <v>46060</v>
      </c>
      <c r="C67" s="374" t="s">
        <v>144</v>
      </c>
      <c r="D67" s="375">
        <f>sumifs('jiliarena_代理数据_底稿'!$I:$I,'jiliarena_代理数据_底稿'!$B:$B,D$42,'jiliarena_代理数据_底稿'!$A:$A,$B67)</f>
        <v>0</v>
      </c>
      <c r="E67" s="375">
        <f>sumifs('jiliarena_代理数据_底稿'!$I:$I,'jiliarena_代理数据_底稿'!$B:$B,E$42,'jiliarena_代理数据_底稿'!$A:$A,$B67)</f>
        <v>0</v>
      </c>
      <c r="F67" s="375">
        <f>sumifs('jiliarena_代理数据_底稿'!$I:$I,'jiliarena_代理数据_底稿'!$B:$B,F$42,'jiliarena_代理数据_底稿'!$A:$A,$B67)</f>
        <v>0</v>
      </c>
      <c r="G67" s="375">
        <f t="shared" si="36"/>
        <v>0</v>
      </c>
      <c r="H67" s="376" t="str">
        <f t="array" ref="H67">INDEX(jiliarena!$A$3:$M$49,MATCH($A67,jiliarena!$A$3:$A$49,0),MATCH($C$43,jiliarena!$A$3:$M$3,0))-G67</f>
        <v>#N/A</v>
      </c>
      <c r="I67" s="377">
        <f>B67</f>
        <v>46060</v>
      </c>
      <c r="J67" s="374" t="s">
        <v>144</v>
      </c>
      <c r="K67" s="379">
        <f t="shared" ref="K67:M67" si="60">D63-D67</f>
        <v>0</v>
      </c>
      <c r="L67" s="379">
        <f t="shared" si="60"/>
        <v>0</v>
      </c>
      <c r="M67" s="379">
        <f t="shared" si="60"/>
        <v>0</v>
      </c>
    </row>
    <row r="68" hidden="1">
      <c r="A68" s="372">
        <f t="shared" si="61"/>
        <v>46060</v>
      </c>
      <c r="B68" s="11"/>
      <c r="C68" s="380" t="s">
        <v>146</v>
      </c>
      <c r="D68" s="381">
        <f>sumifs('jiliarena_代理数据_底稿'!$E:$E,'jiliarena_代理数据_底稿'!$B:$B,D$42,'jiliarena_代理数据_底稿'!$A:$A,$B67)</f>
        <v>0</v>
      </c>
      <c r="E68" s="391">
        <f>sumifs('jiliarena_代理数据_底稿'!$E:$E,'jiliarena_代理数据_底稿'!$B:$B,E$42,'jiliarena_代理数据_底稿'!$A:$A,$B67)</f>
        <v>0</v>
      </c>
      <c r="F68" s="381">
        <f>sumifs('jiliarena_代理数据_底稿'!$E:$E,'jiliarena_代理数据_底稿'!$B:$B,F$42,'jiliarena_代理数据_底稿'!$A:$A,$B67)</f>
        <v>0</v>
      </c>
      <c r="G68" s="381">
        <f t="shared" si="36"/>
        <v>0</v>
      </c>
      <c r="H68" s="382" t="str">
        <f t="array" ref="H68">INDEX(jiliarena!$A$3:$M$49,MATCH($A68,jiliarena!$A$3:$A$49,0),MATCH("登录人数",jiliarena!$A$3:$M$3,0))-G68</f>
        <v>#N/A</v>
      </c>
      <c r="I68" s="11"/>
      <c r="J68" s="380" t="s">
        <v>146</v>
      </c>
      <c r="K68" s="392">
        <f t="shared" ref="K68:M68" si="62">D64-D68</f>
        <v>0</v>
      </c>
      <c r="L68" s="384">
        <f t="shared" si="62"/>
        <v>0</v>
      </c>
      <c r="M68" s="392">
        <f t="shared" si="62"/>
        <v>0</v>
      </c>
    </row>
    <row r="69" hidden="1">
      <c r="A69" s="372">
        <f t="shared" si="61"/>
        <v>46060</v>
      </c>
      <c r="B69" s="11"/>
      <c r="C69" s="385" t="s">
        <v>151</v>
      </c>
      <c r="D69" s="381">
        <f>sumifs('jiliarena_代理数据_底稿'!$F:$F,'jiliarena_代理数据_底稿'!$B:$B,D$42,'jiliarena_代理数据_底稿'!$A:$A,$B67)</f>
        <v>0</v>
      </c>
      <c r="E69" s="381">
        <f>sumifs('jiliarena_代理数据_底稿'!$F:$F,'jiliarena_代理数据_底稿'!$B:$B,E$42,'jiliarena_代理数据_底稿'!$A:$A,$B67)</f>
        <v>0</v>
      </c>
      <c r="F69" s="381">
        <f>sumifs('jiliarena_代理数据_底稿'!$F:$F,'jiliarena_代理数据_底稿'!$B:$B,F$42,'jiliarena_代理数据_底稿'!$A:$A,$B67)</f>
        <v>0</v>
      </c>
      <c r="G69" s="381">
        <f t="shared" si="36"/>
        <v>0</v>
      </c>
      <c r="H69" s="382" t="str">
        <f t="array" ref="H69">INDEX(jiliarena!$A$3:$M$49,MATCH($A69,jiliarena!$A$3:$A$49,0),MATCH("投注人数",jiliarena!$A$3:$M$3,0))-G69</f>
        <v>#N/A</v>
      </c>
      <c r="I69" s="11"/>
      <c r="J69" s="385" t="s">
        <v>151</v>
      </c>
      <c r="K69" s="392">
        <f t="shared" ref="K69:M69" si="63">D65-D69</f>
        <v>0</v>
      </c>
      <c r="L69" s="392">
        <f t="shared" si="63"/>
        <v>0</v>
      </c>
      <c r="M69" s="392">
        <f t="shared" si="63"/>
        <v>0</v>
      </c>
    </row>
    <row r="70" hidden="1">
      <c r="A70" s="372">
        <f t="shared" si="61"/>
        <v>46060</v>
      </c>
      <c r="B70" s="20"/>
      <c r="C70" s="387" t="s">
        <v>284</v>
      </c>
      <c r="D70" s="388">
        <f>sumifs('jiliarena_代理数据_底稿'!$G:$G,'jiliarena_代理数据_底稿'!$B:$B,D$42,'jiliarena_代理数据_底稿'!$A:$A,$B67)</f>
        <v>0</v>
      </c>
      <c r="E70" s="388">
        <f>sumifs('jiliarena_代理数据_底稿'!$G:$G,'jiliarena_代理数据_底稿'!$B:$B,E$42,'jiliarena_代理数据_底稿'!$A:$A,$B67)</f>
        <v>0</v>
      </c>
      <c r="F70" s="388">
        <f>sumifs('jiliarena_代理数据_底稿'!$G:$G,'jiliarena_代理数据_底稿'!$B:$B,F$42,'jiliarena_代理数据_底稿'!$A:$A,$B67)</f>
        <v>0</v>
      </c>
      <c r="G70" s="393">
        <f t="shared" si="36"/>
        <v>0</v>
      </c>
      <c r="H70" s="389" t="str">
        <f t="array" ref="H70">INDEX(jiliarena!$A$3:$M$49,MATCH($A70,jiliarena!$A$3:$A$49,0),MATCH("存款人数",jiliarena!$A$3:$M$3,0))-G70</f>
        <v>#N/A</v>
      </c>
      <c r="I70" s="20"/>
      <c r="J70" s="387" t="s">
        <v>284</v>
      </c>
      <c r="K70" s="394">
        <f t="shared" ref="K70:M70" si="64">D66-D70</f>
        <v>0</v>
      </c>
      <c r="L70" s="394">
        <f t="shared" si="64"/>
        <v>0</v>
      </c>
      <c r="M70" s="394">
        <f t="shared" si="64"/>
        <v>0</v>
      </c>
    </row>
    <row r="71" hidden="1">
      <c r="A71" s="372">
        <f t="shared" ref="A71:A74" si="66">$B$71</f>
        <v>46061</v>
      </c>
      <c r="B71" s="373">
        <f>B67+1</f>
        <v>46061</v>
      </c>
      <c r="C71" s="374" t="s">
        <v>144</v>
      </c>
      <c r="D71" s="375">
        <f>sumifs('jiliarena_代理数据_底稿'!$I:$I,'jiliarena_代理数据_底稿'!$B:$B,D$42,'jiliarena_代理数据_底稿'!$A:$A,$B71)</f>
        <v>0</v>
      </c>
      <c r="E71" s="375">
        <f>sumifs('jiliarena_代理数据_底稿'!$I:$I,'jiliarena_代理数据_底稿'!$B:$B,E$42,'jiliarena_代理数据_底稿'!$A:$A,$B71)</f>
        <v>0</v>
      </c>
      <c r="F71" s="375">
        <f>sumifs('jiliarena_代理数据_底稿'!$I:$I,'jiliarena_代理数据_底稿'!$B:$B,F$42,'jiliarena_代理数据_底稿'!$A:$A,$B71)</f>
        <v>0</v>
      </c>
      <c r="G71" s="375">
        <f t="shared" si="36"/>
        <v>0</v>
      </c>
      <c r="H71" s="376" t="str">
        <f t="array" ref="H71">INDEX(jiliarena!$A$3:$M$49,MATCH($A71,jiliarena!$A$3:$A$49,0),MATCH($C$43,jiliarena!$A$3:$M$3,0))-G71</f>
        <v>#N/A</v>
      </c>
      <c r="I71" s="377">
        <f>B71</f>
        <v>46061</v>
      </c>
      <c r="J71" s="374" t="s">
        <v>144</v>
      </c>
      <c r="K71" s="379">
        <f t="shared" ref="K71:M71" si="65">D67-D71</f>
        <v>0</v>
      </c>
      <c r="L71" s="379">
        <f t="shared" si="65"/>
        <v>0</v>
      </c>
      <c r="M71" s="379">
        <f t="shared" si="65"/>
        <v>0</v>
      </c>
    </row>
    <row r="72" hidden="1">
      <c r="A72" s="372">
        <f t="shared" si="66"/>
        <v>46061</v>
      </c>
      <c r="B72" s="11"/>
      <c r="C72" s="380" t="s">
        <v>146</v>
      </c>
      <c r="D72" s="381">
        <f>sumifs('jiliarena_代理数据_底稿'!$E:$E,'jiliarena_代理数据_底稿'!$B:$B,D$42,'jiliarena_代理数据_底稿'!$A:$A,$B71)</f>
        <v>0</v>
      </c>
      <c r="E72" s="391">
        <f>sumifs('jiliarena_代理数据_底稿'!$E:$E,'jiliarena_代理数据_底稿'!$B:$B,E$42,'jiliarena_代理数据_底稿'!$A:$A,$B71)</f>
        <v>0</v>
      </c>
      <c r="F72" s="381">
        <f>sumifs('jiliarena_代理数据_底稿'!$E:$E,'jiliarena_代理数据_底稿'!$B:$B,F$42,'jiliarena_代理数据_底稿'!$A:$A,$B71)</f>
        <v>0</v>
      </c>
      <c r="G72" s="381">
        <f t="shared" si="36"/>
        <v>0</v>
      </c>
      <c r="H72" s="382" t="str">
        <f t="array" ref="H72">INDEX(jiliarena!$A$3:$M$49,MATCH($A72,jiliarena!$A$3:$A$49,0),MATCH("登录人数",jiliarena!$A$3:$M$3,0))-G72</f>
        <v>#N/A</v>
      </c>
      <c r="I72" s="11"/>
      <c r="J72" s="380" t="s">
        <v>146</v>
      </c>
      <c r="K72" s="392">
        <f t="shared" ref="K72:M72" si="67">D68-D72</f>
        <v>0</v>
      </c>
      <c r="L72" s="384">
        <f t="shared" si="67"/>
        <v>0</v>
      </c>
      <c r="M72" s="392">
        <f t="shared" si="67"/>
        <v>0</v>
      </c>
    </row>
    <row r="73" hidden="1">
      <c r="A73" s="372">
        <f t="shared" si="66"/>
        <v>46061</v>
      </c>
      <c r="B73" s="11"/>
      <c r="C73" s="385" t="s">
        <v>151</v>
      </c>
      <c r="D73" s="381">
        <f>sumifs('jiliarena_代理数据_底稿'!$F:$F,'jiliarena_代理数据_底稿'!$B:$B,D$42,'jiliarena_代理数据_底稿'!$A:$A,$B71)</f>
        <v>0</v>
      </c>
      <c r="E73" s="381">
        <f>sumifs('jiliarena_代理数据_底稿'!$F:$F,'jiliarena_代理数据_底稿'!$B:$B,E$42,'jiliarena_代理数据_底稿'!$A:$A,$B71)</f>
        <v>0</v>
      </c>
      <c r="F73" s="381">
        <f>sumifs('jiliarena_代理数据_底稿'!$F:$F,'jiliarena_代理数据_底稿'!$B:$B,F$42,'jiliarena_代理数据_底稿'!$A:$A,$B71)</f>
        <v>0</v>
      </c>
      <c r="G73" s="381">
        <f t="shared" si="36"/>
        <v>0</v>
      </c>
      <c r="H73" s="382" t="str">
        <f t="array" ref="H73">INDEX(jiliarena!$A$3:$M$49,MATCH($A73,jiliarena!$A$3:$A$49,0),MATCH("投注人数",jiliarena!$A$3:$M$3,0))-G73</f>
        <v>#N/A</v>
      </c>
      <c r="I73" s="11"/>
      <c r="J73" s="385" t="s">
        <v>151</v>
      </c>
      <c r="K73" s="392">
        <f t="shared" ref="K73:M73" si="68">D69-D73</f>
        <v>0</v>
      </c>
      <c r="L73" s="392">
        <f t="shared" si="68"/>
        <v>0</v>
      </c>
      <c r="M73" s="392">
        <f t="shared" si="68"/>
        <v>0</v>
      </c>
    </row>
    <row r="74" hidden="1">
      <c r="A74" s="372">
        <f t="shared" si="66"/>
        <v>46061</v>
      </c>
      <c r="B74" s="20"/>
      <c r="C74" s="387" t="s">
        <v>284</v>
      </c>
      <c r="D74" s="388">
        <f>sumifs('jiliarena_代理数据_底稿'!$G:$G,'jiliarena_代理数据_底稿'!$B:$B,D$42,'jiliarena_代理数据_底稿'!$A:$A,$B71)</f>
        <v>0</v>
      </c>
      <c r="E74" s="388">
        <f>sumifs('jiliarena_代理数据_底稿'!$G:$G,'jiliarena_代理数据_底稿'!$B:$B,E$42,'jiliarena_代理数据_底稿'!$A:$A,$B71)</f>
        <v>0</v>
      </c>
      <c r="F74" s="388">
        <f>sumifs('jiliarena_代理数据_底稿'!$G:$G,'jiliarena_代理数据_底稿'!$B:$B,F$42,'jiliarena_代理数据_底稿'!$A:$A,$B71)</f>
        <v>0</v>
      </c>
      <c r="G74" s="393">
        <f t="shared" si="36"/>
        <v>0</v>
      </c>
      <c r="H74" s="389" t="str">
        <f t="array" ref="H74">INDEX(jiliarena!$A$3:$M$49,MATCH($A74,jiliarena!$A$3:$A$49,0),MATCH("存款人数",jiliarena!$A$3:$M$3,0))-G74</f>
        <v>#N/A</v>
      </c>
      <c r="I74" s="20"/>
      <c r="J74" s="387" t="s">
        <v>284</v>
      </c>
      <c r="K74" s="394">
        <f t="shared" ref="K74:M74" si="69">D70-D74</f>
        <v>0</v>
      </c>
      <c r="L74" s="394">
        <f t="shared" si="69"/>
        <v>0</v>
      </c>
      <c r="M74" s="394">
        <f t="shared" si="69"/>
        <v>0</v>
      </c>
    </row>
    <row r="75" hidden="1">
      <c r="A75" s="372">
        <f t="shared" ref="A75:A78" si="71">$B$75</f>
        <v>46062</v>
      </c>
      <c r="B75" s="373">
        <f>B71+1</f>
        <v>46062</v>
      </c>
      <c r="C75" s="374" t="s">
        <v>144</v>
      </c>
      <c r="D75" s="375">
        <f>sumifs('jiliarena_代理数据_底稿'!$I:$I,'jiliarena_代理数据_底稿'!$B:$B,D$42,'jiliarena_代理数据_底稿'!$A:$A,$B75)</f>
        <v>0</v>
      </c>
      <c r="E75" s="375">
        <f>sumifs('jiliarena_代理数据_底稿'!$I:$I,'jiliarena_代理数据_底稿'!$B:$B,E$42,'jiliarena_代理数据_底稿'!$A:$A,$B75)</f>
        <v>0</v>
      </c>
      <c r="F75" s="375">
        <f>sumifs('jiliarena_代理数据_底稿'!$I:$I,'jiliarena_代理数据_底稿'!$B:$B,F$42,'jiliarena_代理数据_底稿'!$A:$A,$B75)</f>
        <v>0</v>
      </c>
      <c r="G75" s="375">
        <f t="shared" si="36"/>
        <v>0</v>
      </c>
      <c r="H75" s="376" t="str">
        <f t="array" ref="H75">INDEX(jiliarena!$A$3:$M$49,MATCH($A75,jiliarena!$A$3:$A$49,0),MATCH($C$43,jiliarena!$A$3:$M$3,0))-G75</f>
        <v>#N/A</v>
      </c>
      <c r="I75" s="377">
        <f>B75</f>
        <v>46062</v>
      </c>
      <c r="J75" s="374" t="s">
        <v>144</v>
      </c>
      <c r="K75" s="379">
        <f t="shared" ref="K75:M75" si="70">D71-D75</f>
        <v>0</v>
      </c>
      <c r="L75" s="379">
        <f t="shared" si="70"/>
        <v>0</v>
      </c>
      <c r="M75" s="379">
        <f t="shared" si="70"/>
        <v>0</v>
      </c>
    </row>
    <row r="76" hidden="1">
      <c r="A76" s="372">
        <f t="shared" si="71"/>
        <v>46062</v>
      </c>
      <c r="B76" s="11"/>
      <c r="C76" s="380" t="s">
        <v>146</v>
      </c>
      <c r="D76" s="381">
        <f>sumifs('jiliarena_代理数据_底稿'!$E:$E,'jiliarena_代理数据_底稿'!$B:$B,D$42,'jiliarena_代理数据_底稿'!$A:$A,$B75)</f>
        <v>0</v>
      </c>
      <c r="E76" s="391">
        <f>sumifs('jiliarena_代理数据_底稿'!$E:$E,'jiliarena_代理数据_底稿'!$B:$B,E$42,'jiliarena_代理数据_底稿'!$A:$A,$B75)</f>
        <v>0</v>
      </c>
      <c r="F76" s="381">
        <f>sumifs('jiliarena_代理数据_底稿'!$E:$E,'jiliarena_代理数据_底稿'!$B:$B,F$42,'jiliarena_代理数据_底稿'!$A:$A,$B75)</f>
        <v>0</v>
      </c>
      <c r="G76" s="381">
        <f t="shared" si="36"/>
        <v>0</v>
      </c>
      <c r="H76" s="382" t="str">
        <f t="array" ref="H76">INDEX(jiliarena!$A$3:$M$49,MATCH($A76,jiliarena!$A$3:$A$49,0),MATCH("登录人数",jiliarena!$A$3:$M$3,0))-G76</f>
        <v>#N/A</v>
      </c>
      <c r="I76" s="11"/>
      <c r="J76" s="380" t="s">
        <v>146</v>
      </c>
      <c r="K76" s="392">
        <f t="shared" ref="K76:M76" si="72">D72-D76</f>
        <v>0</v>
      </c>
      <c r="L76" s="384">
        <f t="shared" si="72"/>
        <v>0</v>
      </c>
      <c r="M76" s="392">
        <f t="shared" si="72"/>
        <v>0</v>
      </c>
    </row>
    <row r="77" hidden="1">
      <c r="A77" s="372">
        <f t="shared" si="71"/>
        <v>46062</v>
      </c>
      <c r="B77" s="11"/>
      <c r="C77" s="385" t="s">
        <v>151</v>
      </c>
      <c r="D77" s="381">
        <f>sumifs('jiliarena_代理数据_底稿'!$F:$F,'jiliarena_代理数据_底稿'!$B:$B,D$42,'jiliarena_代理数据_底稿'!$A:$A,$B75)</f>
        <v>0</v>
      </c>
      <c r="E77" s="381">
        <f>sumifs('jiliarena_代理数据_底稿'!$F:$F,'jiliarena_代理数据_底稿'!$B:$B,E$42,'jiliarena_代理数据_底稿'!$A:$A,$B75)</f>
        <v>0</v>
      </c>
      <c r="F77" s="381">
        <f>sumifs('jiliarena_代理数据_底稿'!$F:$F,'jiliarena_代理数据_底稿'!$B:$B,F$42,'jiliarena_代理数据_底稿'!$A:$A,$B75)</f>
        <v>0</v>
      </c>
      <c r="G77" s="381">
        <f t="shared" si="36"/>
        <v>0</v>
      </c>
      <c r="H77" s="382" t="str">
        <f t="array" ref="H77">INDEX(jiliarena!$A$3:$M$49,MATCH($A77,jiliarena!$A$3:$A$49,0),MATCH("投注人数",jiliarena!$A$3:$M$3,0))-G77</f>
        <v>#N/A</v>
      </c>
      <c r="I77" s="11"/>
      <c r="J77" s="385" t="s">
        <v>151</v>
      </c>
      <c r="K77" s="392">
        <f t="shared" ref="K77:M77" si="73">D73-D77</f>
        <v>0</v>
      </c>
      <c r="L77" s="392">
        <f t="shared" si="73"/>
        <v>0</v>
      </c>
      <c r="M77" s="392">
        <f t="shared" si="73"/>
        <v>0</v>
      </c>
    </row>
    <row r="78" hidden="1">
      <c r="A78" s="372">
        <f t="shared" si="71"/>
        <v>46062</v>
      </c>
      <c r="B78" s="20"/>
      <c r="C78" s="387" t="s">
        <v>284</v>
      </c>
      <c r="D78" s="388">
        <f>sumifs('jiliarena_代理数据_底稿'!$G:$G,'jiliarena_代理数据_底稿'!$B:$B,D$42,'jiliarena_代理数据_底稿'!$A:$A,$B75)</f>
        <v>0</v>
      </c>
      <c r="E78" s="388">
        <f>sumifs('jiliarena_代理数据_底稿'!$G:$G,'jiliarena_代理数据_底稿'!$B:$B,E$42,'jiliarena_代理数据_底稿'!$A:$A,$B75)</f>
        <v>0</v>
      </c>
      <c r="F78" s="388">
        <f>sumifs('jiliarena_代理数据_底稿'!$G:$G,'jiliarena_代理数据_底稿'!$B:$B,F$42,'jiliarena_代理数据_底稿'!$A:$A,$B75)</f>
        <v>0</v>
      </c>
      <c r="G78" s="393">
        <f t="shared" si="36"/>
        <v>0</v>
      </c>
      <c r="H78" s="389" t="str">
        <f t="array" ref="H78">INDEX(jiliarena!$A$3:$M$49,MATCH($A78,jiliarena!$A$3:$A$49,0),MATCH("存款人数",jiliarena!$A$3:$M$3,0))-G78</f>
        <v>#N/A</v>
      </c>
      <c r="I78" s="20"/>
      <c r="J78" s="387" t="s">
        <v>284</v>
      </c>
      <c r="K78" s="394">
        <f t="shared" ref="K78:M78" si="74">D74-D78</f>
        <v>0</v>
      </c>
      <c r="L78" s="394">
        <f t="shared" si="74"/>
        <v>0</v>
      </c>
      <c r="M78" s="394">
        <f t="shared" si="74"/>
        <v>0</v>
      </c>
    </row>
    <row r="79" hidden="1">
      <c r="A79" s="372">
        <f t="shared" ref="A79:A82" si="76">$B$79</f>
        <v>46063</v>
      </c>
      <c r="B79" s="373">
        <f>B75+1</f>
        <v>46063</v>
      </c>
      <c r="C79" s="374" t="s">
        <v>144</v>
      </c>
      <c r="D79" s="375">
        <f>sumifs('jiliarena_代理数据_底稿'!$I:$I,'jiliarena_代理数据_底稿'!$B:$B,D$42,'jiliarena_代理数据_底稿'!$A:$A,$B79)</f>
        <v>0</v>
      </c>
      <c r="E79" s="375">
        <f>sumifs('jiliarena_代理数据_底稿'!$I:$I,'jiliarena_代理数据_底稿'!$B:$B,E$42,'jiliarena_代理数据_底稿'!$A:$A,$B79)</f>
        <v>0</v>
      </c>
      <c r="F79" s="375">
        <f>sumifs('jiliarena_代理数据_底稿'!$I:$I,'jiliarena_代理数据_底稿'!$B:$B,F$42,'jiliarena_代理数据_底稿'!$A:$A,$B79)</f>
        <v>0</v>
      </c>
      <c r="G79" s="375">
        <f t="shared" si="36"/>
        <v>0</v>
      </c>
      <c r="H79" s="376" t="str">
        <f t="array" ref="H79">INDEX(jiliarena!$A$3:$M$49,MATCH($A79,jiliarena!$A$3:$A$49,0),MATCH($C$43,jiliarena!$A$3:$M$3,0))-G79</f>
        <v>#N/A</v>
      </c>
      <c r="I79" s="377">
        <f>B79</f>
        <v>46063</v>
      </c>
      <c r="J79" s="374" t="s">
        <v>144</v>
      </c>
      <c r="K79" s="379">
        <f t="shared" ref="K79:M79" si="75">D75-D79</f>
        <v>0</v>
      </c>
      <c r="L79" s="379">
        <f t="shared" si="75"/>
        <v>0</v>
      </c>
      <c r="M79" s="379">
        <f t="shared" si="75"/>
        <v>0</v>
      </c>
    </row>
    <row r="80" hidden="1">
      <c r="A80" s="372">
        <f t="shared" si="76"/>
        <v>46063</v>
      </c>
      <c r="B80" s="11"/>
      <c r="C80" s="380" t="s">
        <v>146</v>
      </c>
      <c r="D80" s="381">
        <f>sumifs('jiliarena_代理数据_底稿'!$E:$E,'jiliarena_代理数据_底稿'!$B:$B,D$42,'jiliarena_代理数据_底稿'!$A:$A,$B79)</f>
        <v>0</v>
      </c>
      <c r="E80" s="391">
        <f>sumifs('jiliarena_代理数据_底稿'!$E:$E,'jiliarena_代理数据_底稿'!$B:$B,E$42,'jiliarena_代理数据_底稿'!$A:$A,$B79)</f>
        <v>0</v>
      </c>
      <c r="F80" s="381">
        <f>sumifs('jiliarena_代理数据_底稿'!$E:$E,'jiliarena_代理数据_底稿'!$B:$B,F$42,'jiliarena_代理数据_底稿'!$A:$A,$B79)</f>
        <v>0</v>
      </c>
      <c r="G80" s="381">
        <f t="shared" si="36"/>
        <v>0</v>
      </c>
      <c r="H80" s="382" t="str">
        <f t="array" ref="H80">INDEX(jiliarena!$A$3:$M$49,MATCH($A80,jiliarena!$A$3:$A$49,0),MATCH("登录人数",jiliarena!$A$3:$M$3,0))-G80</f>
        <v>#N/A</v>
      </c>
      <c r="I80" s="11"/>
      <c r="J80" s="380" t="s">
        <v>146</v>
      </c>
      <c r="K80" s="392">
        <f t="shared" ref="K80:M80" si="77">D76-D80</f>
        <v>0</v>
      </c>
      <c r="L80" s="384">
        <f t="shared" si="77"/>
        <v>0</v>
      </c>
      <c r="M80" s="392">
        <f t="shared" si="77"/>
        <v>0</v>
      </c>
    </row>
    <row r="81" hidden="1">
      <c r="A81" s="372">
        <f t="shared" si="76"/>
        <v>46063</v>
      </c>
      <c r="B81" s="11"/>
      <c r="C81" s="385" t="s">
        <v>151</v>
      </c>
      <c r="D81" s="381">
        <f>sumifs('jiliarena_代理数据_底稿'!$F:$F,'jiliarena_代理数据_底稿'!$B:$B,D$42,'jiliarena_代理数据_底稿'!$A:$A,$B79)</f>
        <v>0</v>
      </c>
      <c r="E81" s="381">
        <f>sumifs('jiliarena_代理数据_底稿'!$F:$F,'jiliarena_代理数据_底稿'!$B:$B,E$42,'jiliarena_代理数据_底稿'!$A:$A,$B79)</f>
        <v>0</v>
      </c>
      <c r="F81" s="381">
        <f>sumifs('jiliarena_代理数据_底稿'!$F:$F,'jiliarena_代理数据_底稿'!$B:$B,F$42,'jiliarena_代理数据_底稿'!$A:$A,$B79)</f>
        <v>0</v>
      </c>
      <c r="G81" s="381">
        <f t="shared" si="36"/>
        <v>0</v>
      </c>
      <c r="H81" s="382" t="str">
        <f t="array" ref="H81">INDEX(jiliarena!$A$3:$M$49,MATCH($A81,jiliarena!$A$3:$A$49,0),MATCH("投注人数",jiliarena!$A$3:$M$3,0))-G81</f>
        <v>#N/A</v>
      </c>
      <c r="I81" s="11"/>
      <c r="J81" s="385" t="s">
        <v>151</v>
      </c>
      <c r="K81" s="392">
        <f t="shared" ref="K81:M81" si="78">D77-D81</f>
        <v>0</v>
      </c>
      <c r="L81" s="392">
        <f t="shared" si="78"/>
        <v>0</v>
      </c>
      <c r="M81" s="392">
        <f t="shared" si="78"/>
        <v>0</v>
      </c>
    </row>
    <row r="82" hidden="1">
      <c r="A82" s="372">
        <f t="shared" si="76"/>
        <v>46063</v>
      </c>
      <c r="B82" s="20"/>
      <c r="C82" s="387" t="s">
        <v>284</v>
      </c>
      <c r="D82" s="388">
        <f>sumifs('jiliarena_代理数据_底稿'!$G:$G,'jiliarena_代理数据_底稿'!$B:$B,D$42,'jiliarena_代理数据_底稿'!$A:$A,$B79)</f>
        <v>0</v>
      </c>
      <c r="E82" s="388">
        <f>sumifs('jiliarena_代理数据_底稿'!$G:$G,'jiliarena_代理数据_底稿'!$B:$B,E$42,'jiliarena_代理数据_底稿'!$A:$A,$B79)</f>
        <v>0</v>
      </c>
      <c r="F82" s="388">
        <f>sumifs('jiliarena_代理数据_底稿'!$G:$G,'jiliarena_代理数据_底稿'!$B:$B,F$42,'jiliarena_代理数据_底稿'!$A:$A,$B79)</f>
        <v>0</v>
      </c>
      <c r="G82" s="393">
        <f t="shared" si="36"/>
        <v>0</v>
      </c>
      <c r="H82" s="389" t="str">
        <f t="array" ref="H82">INDEX(jiliarena!$A$3:$M$49,MATCH($A82,jiliarena!$A$3:$A$49,0),MATCH("存款人数",jiliarena!$A$3:$M$3,0))-G82</f>
        <v>#N/A</v>
      </c>
      <c r="I82" s="20"/>
      <c r="J82" s="387" t="s">
        <v>284</v>
      </c>
      <c r="K82" s="394">
        <f t="shared" ref="K82:M82" si="79">D78-D82</f>
        <v>0</v>
      </c>
      <c r="L82" s="394">
        <f t="shared" si="79"/>
        <v>0</v>
      </c>
      <c r="M82" s="394">
        <f t="shared" si="79"/>
        <v>0</v>
      </c>
    </row>
    <row r="83">
      <c r="A83" s="372">
        <f t="shared" ref="A83:A86" si="81">$B$83</f>
        <v>46064</v>
      </c>
      <c r="B83" s="373">
        <f>B79+1</f>
        <v>46064</v>
      </c>
      <c r="C83" s="374" t="s">
        <v>144</v>
      </c>
      <c r="D83" s="375">
        <f>sumifs('jiliarena_代理数据_底稿'!$I:$I,'jiliarena_代理数据_底稿'!$B:$B,D$42,'jiliarena_代理数据_底稿'!$A:$A,$B83)</f>
        <v>1014</v>
      </c>
      <c r="E83" s="375">
        <f>sumifs('jiliarena_代理数据_底稿'!$I:$I,'jiliarena_代理数据_底稿'!$B:$B,E$42,'jiliarena_代理数据_底稿'!$A:$A,$B83)</f>
        <v>12</v>
      </c>
      <c r="F83" s="375">
        <f>sumifs('jiliarena_代理数据_底稿'!$I:$I,'jiliarena_代理数据_底稿'!$B:$B,F$42,'jiliarena_代理数据_底稿'!$A:$A,$B83)</f>
        <v>130</v>
      </c>
      <c r="G83" s="375">
        <f t="shared" si="36"/>
        <v>1156</v>
      </c>
      <c r="H83" s="376" t="str">
        <f t="array" ref="H83">INDEX(jiliarena!$A$3:$M$49,MATCH($A83,jiliarena!$A$3:$A$49,0),MATCH($C$43,jiliarena!$A$3:$M$3,0))-G83</f>
        <v>#N/A</v>
      </c>
      <c r="I83" s="377">
        <f>B83</f>
        <v>46064</v>
      </c>
      <c r="J83" s="374" t="s">
        <v>144</v>
      </c>
      <c r="K83" s="379">
        <f t="shared" ref="K83:M83" si="80">D79-D83</f>
        <v>-1014</v>
      </c>
      <c r="L83" s="379">
        <f t="shared" si="80"/>
        <v>-12</v>
      </c>
      <c r="M83" s="379">
        <f t="shared" si="80"/>
        <v>-130</v>
      </c>
    </row>
    <row r="84">
      <c r="A84" s="372">
        <f t="shared" si="81"/>
        <v>46064</v>
      </c>
      <c r="B84" s="11"/>
      <c r="C84" s="380" t="s">
        <v>146</v>
      </c>
      <c r="D84" s="381">
        <f>sumifs('jiliarena_代理数据_底稿'!$E:$E,'jiliarena_代理数据_底稿'!$B:$B,D$42,'jiliarena_代理数据_底稿'!$A:$A,$B83)</f>
        <v>1016</v>
      </c>
      <c r="E84" s="391">
        <f>sumifs('jiliarena_代理数据_底稿'!$E:$E,'jiliarena_代理数据_底稿'!$B:$B,E$42,'jiliarena_代理数据_底稿'!$A:$A,$B83)</f>
        <v>11</v>
      </c>
      <c r="F84" s="381">
        <f>sumifs('jiliarena_代理数据_底稿'!$E:$E,'jiliarena_代理数据_底稿'!$B:$B,F$42,'jiliarena_代理数据_底稿'!$A:$A,$B83)</f>
        <v>130</v>
      </c>
      <c r="G84" s="381">
        <f t="shared" si="36"/>
        <v>1157</v>
      </c>
      <c r="H84" s="382" t="str">
        <f t="array" ref="H84">INDEX(jiliarena!$A$3:$M$49,MATCH($A84,jiliarena!$A$3:$A$49,0),MATCH("登录人数",jiliarena!$A$3:$M$3,0))-G84</f>
        <v>#N/A</v>
      </c>
      <c r="I84" s="11"/>
      <c r="J84" s="380" t="s">
        <v>146</v>
      </c>
      <c r="K84" s="392">
        <f t="shared" ref="K84:M84" si="82">D80-D84</f>
        <v>-1016</v>
      </c>
      <c r="L84" s="384">
        <f t="shared" si="82"/>
        <v>-11</v>
      </c>
      <c r="M84" s="392">
        <f t="shared" si="82"/>
        <v>-130</v>
      </c>
    </row>
    <row r="85">
      <c r="A85" s="372">
        <f t="shared" si="81"/>
        <v>46064</v>
      </c>
      <c r="B85" s="11"/>
      <c r="C85" s="385" t="s">
        <v>151</v>
      </c>
      <c r="D85" s="381">
        <f>sumifs('jiliarena_代理数据_底稿'!$F:$F,'jiliarena_代理数据_底稿'!$B:$B,D$42,'jiliarena_代理数据_底稿'!$A:$A,$B83)</f>
        <v>853</v>
      </c>
      <c r="E85" s="381">
        <f>sumifs('jiliarena_代理数据_底稿'!$F:$F,'jiliarena_代理数据_底稿'!$B:$B,E$42,'jiliarena_代理数据_底稿'!$A:$A,$B83)</f>
        <v>10</v>
      </c>
      <c r="F85" s="381">
        <f>sumifs('jiliarena_代理数据_底稿'!$F:$F,'jiliarena_代理数据_底稿'!$B:$B,F$42,'jiliarena_代理数据_底稿'!$A:$A,$B83)</f>
        <v>117</v>
      </c>
      <c r="G85" s="381">
        <f t="shared" si="36"/>
        <v>980</v>
      </c>
      <c r="H85" s="382" t="str">
        <f t="array" ref="H85">INDEX(jiliarena!$A$3:$M$49,MATCH($A85,jiliarena!$A$3:$A$49,0),MATCH("投注人数",jiliarena!$A$3:$M$3,0))-G85</f>
        <v>#N/A</v>
      </c>
      <c r="I85" s="11"/>
      <c r="J85" s="385" t="s">
        <v>151</v>
      </c>
      <c r="K85" s="392">
        <f t="shared" ref="K85:M85" si="83">D81-D85</f>
        <v>-853</v>
      </c>
      <c r="L85" s="392">
        <f t="shared" si="83"/>
        <v>-10</v>
      </c>
      <c r="M85" s="392">
        <f t="shared" si="83"/>
        <v>-117</v>
      </c>
    </row>
    <row r="86">
      <c r="A86" s="372">
        <f t="shared" si="81"/>
        <v>46064</v>
      </c>
      <c r="B86" s="20"/>
      <c r="C86" s="387" t="s">
        <v>284</v>
      </c>
      <c r="D86" s="388">
        <f>sumifs('jiliarena_代理数据_底稿'!$G:$G,'jiliarena_代理数据_底稿'!$B:$B,D$42,'jiliarena_代理数据_底稿'!$A:$A,$B83)</f>
        <v>252</v>
      </c>
      <c r="E86" s="388">
        <f>sumifs('jiliarena_代理数据_底稿'!$G:$G,'jiliarena_代理数据_底稿'!$B:$B,E$42,'jiliarena_代理数据_底稿'!$A:$A,$B83)</f>
        <v>1</v>
      </c>
      <c r="F86" s="388">
        <f>sumifs('jiliarena_代理数据_底稿'!$G:$G,'jiliarena_代理数据_底稿'!$B:$B,F$42,'jiliarena_代理数据_底稿'!$A:$A,$B83)</f>
        <v>41</v>
      </c>
      <c r="G86" s="393">
        <f t="shared" si="36"/>
        <v>294</v>
      </c>
      <c r="H86" s="389" t="str">
        <f t="array" ref="H86">INDEX(jiliarena!$A$3:$M$49,MATCH($A86,jiliarena!$A$3:$A$49,0),MATCH("存款人数",jiliarena!$A$3:$M$3,0))-G86</f>
        <v>#N/A</v>
      </c>
      <c r="I86" s="20"/>
      <c r="J86" s="387" t="s">
        <v>284</v>
      </c>
      <c r="K86" s="394">
        <f t="shared" ref="K86:M86" si="84">D82-D86</f>
        <v>-252</v>
      </c>
      <c r="L86" s="394">
        <f t="shared" si="84"/>
        <v>-1</v>
      </c>
      <c r="M86" s="394">
        <f t="shared" si="84"/>
        <v>-41</v>
      </c>
    </row>
    <row r="87">
      <c r="A87" s="372">
        <f t="shared" ref="A87:A90" si="86">$B$87</f>
        <v>46065</v>
      </c>
      <c r="B87" s="373">
        <f>B83+1</f>
        <v>46065</v>
      </c>
      <c r="C87" s="374" t="s">
        <v>144</v>
      </c>
      <c r="D87" s="375">
        <f>sumifs('jiliarena_代理数据_底稿'!$I:$I,'jiliarena_代理数据_底稿'!$B:$B,D$42,'jiliarena_代理数据_底稿'!$A:$A,$B87)</f>
        <v>21286</v>
      </c>
      <c r="E87" s="375">
        <f>sumifs('jiliarena_代理数据_底稿'!$I:$I,'jiliarena_代理数据_底稿'!$B:$B,E$42,'jiliarena_代理数据_底稿'!$A:$A,$B87)</f>
        <v>2050</v>
      </c>
      <c r="F87" s="375">
        <f>sumifs('jiliarena_代理数据_底稿'!$I:$I,'jiliarena_代理数据_底稿'!$B:$B,F$42,'jiliarena_代理数据_底稿'!$A:$A,$B87)</f>
        <v>1031</v>
      </c>
      <c r="G87" s="375">
        <f t="shared" si="36"/>
        <v>24367</v>
      </c>
      <c r="H87" s="376" t="str">
        <f t="array" ref="H87">INDEX(jiliarena!$A$3:$M$49,MATCH($A87,jiliarena!$A$3:$A$49,0),MATCH($C$43,jiliarena!$A$3:$M$3,0))-G87</f>
        <v>#N/A</v>
      </c>
      <c r="I87" s="377">
        <f>B87</f>
        <v>46065</v>
      </c>
      <c r="J87" s="374" t="s">
        <v>144</v>
      </c>
      <c r="K87" s="379">
        <f t="shared" ref="K87:M87" si="85">D83-D87</f>
        <v>-20272</v>
      </c>
      <c r="L87" s="379">
        <f t="shared" si="85"/>
        <v>-2038</v>
      </c>
      <c r="M87" s="379">
        <f t="shared" si="85"/>
        <v>-901</v>
      </c>
    </row>
    <row r="88">
      <c r="A88" s="372">
        <f t="shared" si="86"/>
        <v>46065</v>
      </c>
      <c r="B88" s="11"/>
      <c r="C88" s="380" t="s">
        <v>146</v>
      </c>
      <c r="D88" s="381">
        <f>sumifs('jiliarena_代理数据_底稿'!$E:$E,'jiliarena_代理数据_底稿'!$B:$B,D$42,'jiliarena_代理数据_底稿'!$A:$A,$B87)</f>
        <v>20999</v>
      </c>
      <c r="E88" s="391">
        <f>sumifs('jiliarena_代理数据_底稿'!$E:$E,'jiliarena_代理数据_底稿'!$B:$B,E$42,'jiliarena_代理数据_底稿'!$A:$A,$B87)</f>
        <v>2050</v>
      </c>
      <c r="F88" s="381">
        <f>sumifs('jiliarena_代理数据_底稿'!$E:$E,'jiliarena_代理数据_底稿'!$B:$B,F$42,'jiliarena_代理数据_底稿'!$A:$A,$B87)</f>
        <v>1127</v>
      </c>
      <c r="G88" s="381">
        <f t="shared" si="36"/>
        <v>24176</v>
      </c>
      <c r="H88" s="382" t="str">
        <f t="array" ref="H88">INDEX(jiliarena!$A$3:$M$49,MATCH($A88,jiliarena!$A$3:$A$49,0),MATCH("登录人数",jiliarena!$A$3:$M$3,0))-G88</f>
        <v>#N/A</v>
      </c>
      <c r="I88" s="11"/>
      <c r="J88" s="380" t="s">
        <v>146</v>
      </c>
      <c r="K88" s="392">
        <f t="shared" ref="K88:M88" si="87">D84-D88</f>
        <v>-19983</v>
      </c>
      <c r="L88" s="384">
        <f t="shared" si="87"/>
        <v>-2039</v>
      </c>
      <c r="M88" s="392">
        <f t="shared" si="87"/>
        <v>-997</v>
      </c>
    </row>
    <row r="89">
      <c r="A89" s="372">
        <f t="shared" si="86"/>
        <v>46065</v>
      </c>
      <c r="B89" s="11"/>
      <c r="C89" s="385" t="s">
        <v>151</v>
      </c>
      <c r="D89" s="381">
        <f>sumifs('jiliarena_代理数据_底稿'!$F:$F,'jiliarena_代理数据_底稿'!$B:$B,D$42,'jiliarena_代理数据_底稿'!$A:$A,$B87)</f>
        <v>19758</v>
      </c>
      <c r="E89" s="381">
        <f>sumifs('jiliarena_代理数据_底稿'!$F:$F,'jiliarena_代理数据_底稿'!$B:$B,E$42,'jiliarena_代理数据_底稿'!$A:$A,$B87)</f>
        <v>1775</v>
      </c>
      <c r="F89" s="381">
        <f>sumifs('jiliarena_代理数据_底稿'!$F:$F,'jiliarena_代理数据_底稿'!$B:$B,F$42,'jiliarena_代理数据_底稿'!$A:$A,$B87)</f>
        <v>1060</v>
      </c>
      <c r="G89" s="381">
        <f t="shared" si="36"/>
        <v>22593</v>
      </c>
      <c r="H89" s="382" t="str">
        <f t="array" ref="H89">INDEX(jiliarena!$A$3:$M$49,MATCH($A89,jiliarena!$A$3:$A$49,0),MATCH("投注人数",jiliarena!$A$3:$M$3,0))-G89</f>
        <v>#N/A</v>
      </c>
      <c r="I89" s="11"/>
      <c r="J89" s="385" t="s">
        <v>151</v>
      </c>
      <c r="K89" s="392">
        <f t="shared" ref="K89:M89" si="88">D85-D89</f>
        <v>-18905</v>
      </c>
      <c r="L89" s="392">
        <f t="shared" si="88"/>
        <v>-1765</v>
      </c>
      <c r="M89" s="392">
        <f t="shared" si="88"/>
        <v>-943</v>
      </c>
    </row>
    <row r="90">
      <c r="A90" s="372">
        <f t="shared" si="86"/>
        <v>46065</v>
      </c>
      <c r="B90" s="20"/>
      <c r="C90" s="387" t="s">
        <v>284</v>
      </c>
      <c r="D90" s="388">
        <f>sumifs('jiliarena_代理数据_底稿'!$G:$G,'jiliarena_代理数据_底稿'!$B:$B,D$42,'jiliarena_代理数据_底稿'!$A:$A,$B87)</f>
        <v>2036</v>
      </c>
      <c r="E90" s="388">
        <f>sumifs('jiliarena_代理数据_底稿'!$G:$G,'jiliarena_代理数据_底稿'!$B:$B,E$42,'jiliarena_代理数据_底稿'!$A:$A,$B87)</f>
        <v>496</v>
      </c>
      <c r="F90" s="388">
        <f>sumifs('jiliarena_代理数据_底稿'!$G:$G,'jiliarena_代理数据_底稿'!$B:$B,F$42,'jiliarena_代理数据_底稿'!$A:$A,$B87)</f>
        <v>193</v>
      </c>
      <c r="G90" s="393">
        <f t="shared" si="36"/>
        <v>2725</v>
      </c>
      <c r="H90" s="389" t="str">
        <f t="array" ref="H90">INDEX(jiliarena!$A$3:$M$49,MATCH($A90,jiliarena!$A$3:$A$49,0),MATCH("存款人数",jiliarena!$A$3:$M$3,0))-G90</f>
        <v>#N/A</v>
      </c>
      <c r="I90" s="20"/>
      <c r="J90" s="387" t="s">
        <v>284</v>
      </c>
      <c r="K90" s="394">
        <f t="shared" ref="K90:M90" si="89">D86-D90</f>
        <v>-1784</v>
      </c>
      <c r="L90" s="394">
        <f t="shared" si="89"/>
        <v>-495</v>
      </c>
      <c r="M90" s="394">
        <f t="shared" si="89"/>
        <v>-152</v>
      </c>
    </row>
    <row r="91">
      <c r="A91" s="372">
        <f t="shared" ref="A91:A94" si="91">$B$91</f>
        <v>46066</v>
      </c>
      <c r="B91" s="373">
        <f>B87+1</f>
        <v>46066</v>
      </c>
      <c r="C91" s="374" t="s">
        <v>144</v>
      </c>
      <c r="D91" s="375">
        <f>sumifs('jiliarena_代理数据_底稿'!$I:$I,'jiliarena_代理数据_底稿'!$B:$B,D$42,'jiliarena_代理数据_底稿'!$A:$A,$B91)</f>
        <v>3151</v>
      </c>
      <c r="E91" s="375">
        <f>sumifs('jiliarena_代理数据_底稿'!$I:$I,'jiliarena_代理数据_底稿'!$B:$B,E$42,'jiliarena_代理数据_底稿'!$A:$A,$B91)</f>
        <v>2402</v>
      </c>
      <c r="F91" s="375">
        <f>sumifs('jiliarena_代理数据_底稿'!$I:$I,'jiliarena_代理数据_底稿'!$B:$B,F$42,'jiliarena_代理数据_底稿'!$A:$A,$B91)</f>
        <v>297</v>
      </c>
      <c r="G91" s="375">
        <f t="shared" si="36"/>
        <v>5850</v>
      </c>
      <c r="H91" s="376" t="str">
        <f t="array" ref="H91">INDEX(jiliarena!$A$3:$M$49,MATCH($A91,jiliarena!$A$3:$A$49,0),MATCH($C$43,jiliarena!$A$3:$M$3,0))-G91</f>
        <v>#N/A</v>
      </c>
      <c r="I91" s="377">
        <f>B91</f>
        <v>46066</v>
      </c>
      <c r="J91" s="374" t="s">
        <v>144</v>
      </c>
      <c r="K91" s="379">
        <f t="shared" ref="K91:M91" si="90">D87-D91</f>
        <v>18135</v>
      </c>
      <c r="L91" s="379">
        <f t="shared" si="90"/>
        <v>-352</v>
      </c>
      <c r="M91" s="379">
        <f t="shared" si="90"/>
        <v>734</v>
      </c>
    </row>
    <row r="92">
      <c r="A92" s="372">
        <f t="shared" si="91"/>
        <v>46066</v>
      </c>
      <c r="B92" s="11"/>
      <c r="C92" s="380" t="s">
        <v>146</v>
      </c>
      <c r="D92" s="381">
        <f>sumifs('jiliarena_代理数据_底稿'!$E:$E,'jiliarena_代理数据_底稿'!$B:$B,D$42,'jiliarena_代理数据_底稿'!$A:$A,$B91)</f>
        <v>5959</v>
      </c>
      <c r="E92" s="391">
        <f>sumifs('jiliarena_代理数据_底稿'!$E:$E,'jiliarena_代理数据_底稿'!$B:$B,E$42,'jiliarena_代理数据_底稿'!$A:$A,$B91)</f>
        <v>3162</v>
      </c>
      <c r="F92" s="381">
        <f>sumifs('jiliarena_代理数据_底稿'!$E:$E,'jiliarena_代理数据_底稿'!$B:$B,F$42,'jiliarena_代理数据_底稿'!$A:$A,$B91)</f>
        <v>637</v>
      </c>
      <c r="G92" s="381">
        <f t="shared" si="36"/>
        <v>9758</v>
      </c>
      <c r="H92" s="382" t="str">
        <f t="array" ref="H92">INDEX(jiliarena!$A$3:$M$49,MATCH($A92,jiliarena!$A$3:$A$49,0),MATCH("登录人数",jiliarena!$A$3:$M$3,0))-G92</f>
        <v>#N/A</v>
      </c>
      <c r="I92" s="11"/>
      <c r="J92" s="380" t="s">
        <v>146</v>
      </c>
      <c r="K92" s="392">
        <f t="shared" ref="K92:M92" si="92">D88-D92</f>
        <v>15040</v>
      </c>
      <c r="L92" s="384">
        <f t="shared" si="92"/>
        <v>-1112</v>
      </c>
      <c r="M92" s="392">
        <f t="shared" si="92"/>
        <v>490</v>
      </c>
    </row>
    <row r="93">
      <c r="A93" s="372">
        <f t="shared" si="91"/>
        <v>46066</v>
      </c>
      <c r="B93" s="11"/>
      <c r="C93" s="385" t="s">
        <v>151</v>
      </c>
      <c r="D93" s="381">
        <f>sumifs('jiliarena_代理数据_底稿'!$F:$F,'jiliarena_代理数据_底稿'!$B:$B,D$42,'jiliarena_代理数据_底稿'!$A:$A,$B91)</f>
        <v>4720</v>
      </c>
      <c r="E93" s="381">
        <f>sumifs('jiliarena_代理数据_底稿'!$F:$F,'jiliarena_代理数据_底稿'!$B:$B,E$42,'jiliarena_代理数据_底稿'!$A:$A,$B91)</f>
        <v>2201</v>
      </c>
      <c r="F93" s="381">
        <f>sumifs('jiliarena_代理数据_底稿'!$F:$F,'jiliarena_代理数据_底稿'!$B:$B,F$42,'jiliarena_代理数据_底稿'!$A:$A,$B91)</f>
        <v>522</v>
      </c>
      <c r="G93" s="381">
        <f t="shared" si="36"/>
        <v>7443</v>
      </c>
      <c r="H93" s="382" t="str">
        <f t="array" ref="H93">INDEX(jiliarena!$A$3:$M$49,MATCH($A93,jiliarena!$A$3:$A$49,0),MATCH("投注人数",jiliarena!$A$3:$M$3,0))-G93</f>
        <v>#N/A</v>
      </c>
      <c r="I93" s="11"/>
      <c r="J93" s="385" t="s">
        <v>151</v>
      </c>
      <c r="K93" s="392">
        <f t="shared" ref="K93:M93" si="93">D89-D93</f>
        <v>15038</v>
      </c>
      <c r="L93" s="392">
        <f t="shared" si="93"/>
        <v>-426</v>
      </c>
      <c r="M93" s="392">
        <f t="shared" si="93"/>
        <v>538</v>
      </c>
    </row>
    <row r="94">
      <c r="A94" s="372">
        <f t="shared" si="91"/>
        <v>46066</v>
      </c>
      <c r="B94" s="20"/>
      <c r="C94" s="387" t="s">
        <v>284</v>
      </c>
      <c r="D94" s="388">
        <f>sumifs('jiliarena_代理数据_底稿'!$G:$G,'jiliarena_代理数据_底稿'!$B:$B,D$42,'jiliarena_代理数据_底稿'!$A:$A,$B91)</f>
        <v>2040</v>
      </c>
      <c r="E94" s="388">
        <f>sumifs('jiliarena_代理数据_底稿'!$G:$G,'jiliarena_代理数据_底稿'!$B:$B,E$42,'jiliarena_代理数据_底稿'!$A:$A,$B91)</f>
        <v>492</v>
      </c>
      <c r="F94" s="388">
        <f>sumifs('jiliarena_代理数据_底稿'!$G:$G,'jiliarena_代理数据_底稿'!$B:$B,F$42,'jiliarena_代理数据_底稿'!$A:$A,$B91)</f>
        <v>197</v>
      </c>
      <c r="G94" s="393">
        <f t="shared" si="36"/>
        <v>2729</v>
      </c>
      <c r="H94" s="389" t="str">
        <f t="array" ref="H94">INDEX(jiliarena!$A$3:$M$49,MATCH($A94,jiliarena!$A$3:$A$49,0),MATCH("存款人数",jiliarena!$A$3:$M$3,0))-G94</f>
        <v>#N/A</v>
      </c>
      <c r="I94" s="20"/>
      <c r="J94" s="387" t="s">
        <v>284</v>
      </c>
      <c r="K94" s="394">
        <f t="shared" ref="K94:M94" si="94">D90-D94</f>
        <v>-4</v>
      </c>
      <c r="L94" s="394">
        <f t="shared" si="94"/>
        <v>4</v>
      </c>
      <c r="M94" s="394">
        <f t="shared" si="94"/>
        <v>-4</v>
      </c>
    </row>
    <row r="95">
      <c r="A95" s="372">
        <f t="shared" ref="A95:A98" si="96">$B$95</f>
        <v>46067</v>
      </c>
      <c r="B95" s="373">
        <f>B91+1</f>
        <v>46067</v>
      </c>
      <c r="C95" s="374" t="s">
        <v>144</v>
      </c>
      <c r="D95" s="375">
        <f>sumifs('jiliarena_代理数据_底稿'!$I:$I,'jiliarena_代理数据_底稿'!$B:$B,D$42,'jiliarena_代理数据_底稿'!$A:$A,$B95)</f>
        <v>1048</v>
      </c>
      <c r="E95" s="375">
        <f>sumifs('jiliarena_代理数据_底稿'!$I:$I,'jiliarena_代理数据_底稿'!$B:$B,E$42,'jiliarena_代理数据_底稿'!$A:$A,$B95)</f>
        <v>1036</v>
      </c>
      <c r="F95" s="375">
        <f>sumifs('jiliarena_代理数据_底稿'!$I:$I,'jiliarena_代理数据_底稿'!$B:$B,F$42,'jiliarena_代理数据_底稿'!$A:$A,$B95)</f>
        <v>136</v>
      </c>
      <c r="G95" s="375">
        <f t="shared" si="36"/>
        <v>2220</v>
      </c>
      <c r="H95" s="376" t="str">
        <f t="array" ref="H95">INDEX(jiliarena!$A$3:$M$49,MATCH($A95,jiliarena!$A$3:$A$49,0),MATCH($C$43,jiliarena!$A$3:$M$3,0))-G95</f>
        <v>#N/A</v>
      </c>
      <c r="I95" s="377">
        <f>B95</f>
        <v>46067</v>
      </c>
      <c r="J95" s="374" t="s">
        <v>144</v>
      </c>
      <c r="K95" s="379">
        <f t="shared" ref="K95:M95" si="95">D91-D95</f>
        <v>2103</v>
      </c>
      <c r="L95" s="379">
        <f t="shared" si="95"/>
        <v>1366</v>
      </c>
      <c r="M95" s="379">
        <f t="shared" si="95"/>
        <v>161</v>
      </c>
    </row>
    <row r="96">
      <c r="A96" s="372">
        <f t="shared" si="96"/>
        <v>46067</v>
      </c>
      <c r="B96" s="11"/>
      <c r="C96" s="380" t="s">
        <v>146</v>
      </c>
      <c r="D96" s="381">
        <f>sumifs('jiliarena_代理数据_底稿'!$E:$E,'jiliarena_代理数据_底稿'!$B:$B,D$42,'jiliarena_代理数据_底稿'!$A:$A,$B95)</f>
        <v>3990</v>
      </c>
      <c r="E96" s="391">
        <f>sumifs('jiliarena_代理数据_底稿'!$E:$E,'jiliarena_代理数据_底稿'!$B:$B,E$42,'jiliarena_代理数据_底稿'!$A:$A,$B95)</f>
        <v>1977</v>
      </c>
      <c r="F96" s="381">
        <f>sumifs('jiliarena_代理数据_底稿'!$E:$E,'jiliarena_代理数据_底稿'!$B:$B,F$42,'jiliarena_代理数据_底稿'!$A:$A,$B95)</f>
        <v>512</v>
      </c>
      <c r="G96" s="381">
        <f t="shared" si="36"/>
        <v>6479</v>
      </c>
      <c r="H96" s="382" t="str">
        <f t="array" ref="H96">INDEX(jiliarena!$A$3:$M$49,MATCH($A96,jiliarena!$A$3:$A$49,0),MATCH("登录人数",jiliarena!$A$3:$M$3,0))-G96</f>
        <v>#N/A</v>
      </c>
      <c r="I96" s="11"/>
      <c r="J96" s="380" t="s">
        <v>146</v>
      </c>
      <c r="K96" s="392">
        <f t="shared" ref="K96:M96" si="97">D92-D96</f>
        <v>1969</v>
      </c>
      <c r="L96" s="384">
        <f t="shared" si="97"/>
        <v>1185</v>
      </c>
      <c r="M96" s="392">
        <f t="shared" si="97"/>
        <v>125</v>
      </c>
    </row>
    <row r="97">
      <c r="A97" s="372">
        <f t="shared" si="96"/>
        <v>46067</v>
      </c>
      <c r="B97" s="11"/>
      <c r="C97" s="385" t="s">
        <v>151</v>
      </c>
      <c r="D97" s="381">
        <f>sumifs('jiliarena_代理数据_底稿'!$F:$F,'jiliarena_代理数据_底稿'!$B:$B,D$42,'jiliarena_代理数据_底稿'!$A:$A,$B95)</f>
        <v>2949</v>
      </c>
      <c r="E97" s="381">
        <f>sumifs('jiliarena_代理数据_底稿'!$F:$F,'jiliarena_代理数据_底稿'!$B:$B,E$42,'jiliarena_代理数据_底稿'!$A:$A,$B95)</f>
        <v>1404</v>
      </c>
      <c r="F97" s="381">
        <f>sumifs('jiliarena_代理数据_底稿'!$F:$F,'jiliarena_代理数据_底稿'!$B:$B,F$42,'jiliarena_代理数据_底稿'!$A:$A,$B95)</f>
        <v>398</v>
      </c>
      <c r="G97" s="381">
        <f t="shared" si="36"/>
        <v>4751</v>
      </c>
      <c r="H97" s="382" t="str">
        <f t="array" ref="H97">INDEX(jiliarena!$A$3:$M$49,MATCH($A97,jiliarena!$A$3:$A$49,0),MATCH("投注人数",jiliarena!$A$3:$M$3,0))-G97</f>
        <v>#N/A</v>
      </c>
      <c r="I97" s="11"/>
      <c r="J97" s="385" t="s">
        <v>151</v>
      </c>
      <c r="K97" s="392">
        <f t="shared" ref="K97:M97" si="98">D93-D97</f>
        <v>1771</v>
      </c>
      <c r="L97" s="392">
        <f t="shared" si="98"/>
        <v>797</v>
      </c>
      <c r="M97" s="392">
        <f t="shared" si="98"/>
        <v>124</v>
      </c>
    </row>
    <row r="98">
      <c r="A98" s="372">
        <f t="shared" si="96"/>
        <v>46067</v>
      </c>
      <c r="B98" s="20"/>
      <c r="C98" s="387" t="s">
        <v>284</v>
      </c>
      <c r="D98" s="388">
        <f>sumifs('jiliarena_代理数据_底稿'!$G:$G,'jiliarena_代理数据_底稿'!$B:$B,D$42,'jiliarena_代理数据_底稿'!$A:$A,$B95)</f>
        <v>1144</v>
      </c>
      <c r="E98" s="388">
        <f>sumifs('jiliarena_代理数据_底稿'!$G:$G,'jiliarena_代理数据_底稿'!$B:$B,E$42,'jiliarena_代理数据_底稿'!$A:$A,$B95)</f>
        <v>331</v>
      </c>
      <c r="F98" s="388">
        <f>sumifs('jiliarena_代理数据_底稿'!$G:$G,'jiliarena_代理数据_底稿'!$B:$B,F$42,'jiliarena_代理数据_底稿'!$A:$A,$B95)</f>
        <v>168</v>
      </c>
      <c r="G98" s="393">
        <f t="shared" si="36"/>
        <v>1643</v>
      </c>
      <c r="H98" s="389" t="str">
        <f t="array" ref="H98">INDEX(jiliarena!$A$3:$M$49,MATCH($A98,jiliarena!$A$3:$A$49,0),MATCH("存款人数",jiliarena!$A$3:$M$3,0))-G98</f>
        <v>#N/A</v>
      </c>
      <c r="I98" s="20"/>
      <c r="J98" s="387" t="s">
        <v>284</v>
      </c>
      <c r="K98" s="394">
        <f t="shared" ref="K98:M98" si="99">D94-D98</f>
        <v>896</v>
      </c>
      <c r="L98" s="394">
        <f t="shared" si="99"/>
        <v>161</v>
      </c>
      <c r="M98" s="394">
        <f t="shared" si="99"/>
        <v>29</v>
      </c>
    </row>
    <row r="99">
      <c r="A99" s="372">
        <f t="shared" ref="A99:A102" si="101">$B$99</f>
        <v>46068</v>
      </c>
      <c r="B99" s="373">
        <f>B95+1</f>
        <v>46068</v>
      </c>
      <c r="C99" s="374" t="s">
        <v>144</v>
      </c>
      <c r="D99" s="375">
        <f>sumifs('jiliarena_代理数据_底稿'!$I:$I,'jiliarena_代理数据_底稿'!$B:$B,D$42,'jiliarena_代理数据_底稿'!$A:$A,$B99)</f>
        <v>442</v>
      </c>
      <c r="E99" s="375">
        <f>sumifs('jiliarena_代理数据_底稿'!$I:$I,'jiliarena_代理数据_底稿'!$B:$B,E$42,'jiliarena_代理数据_底稿'!$A:$A,$B99)</f>
        <v>527</v>
      </c>
      <c r="F99" s="375">
        <f>sumifs('jiliarena_代理数据_底稿'!$I:$I,'jiliarena_代理数据_底稿'!$B:$B,F$42,'jiliarena_代理数据_底稿'!$A:$A,$B99)</f>
        <v>59</v>
      </c>
      <c r="G99" s="375">
        <f t="shared" si="36"/>
        <v>1028</v>
      </c>
      <c r="H99" s="376" t="str">
        <f t="array" ref="H99">INDEX(jiliarena!$A$3:$M$49,MATCH($A99,jiliarena!$A$3:$A$49,0),MATCH($C$43,jiliarena!$A$3:$M$3,0))-G99</f>
        <v>#N/A</v>
      </c>
      <c r="I99" s="377">
        <f>B99</f>
        <v>46068</v>
      </c>
      <c r="J99" s="374" t="s">
        <v>144</v>
      </c>
      <c r="K99" s="379">
        <f t="shared" ref="K99:M99" si="100">D95-D99</f>
        <v>606</v>
      </c>
      <c r="L99" s="379">
        <f t="shared" si="100"/>
        <v>509</v>
      </c>
      <c r="M99" s="379">
        <f t="shared" si="100"/>
        <v>77</v>
      </c>
    </row>
    <row r="100">
      <c r="A100" s="372">
        <f t="shared" si="101"/>
        <v>46068</v>
      </c>
      <c r="B100" s="11"/>
      <c r="C100" s="380" t="s">
        <v>146</v>
      </c>
      <c r="D100" s="381">
        <f>sumifs('jiliarena_代理数据_底稿'!$E:$E,'jiliarena_代理数据_底稿'!$B:$B,D$42,'jiliarena_代理数据_底稿'!$A:$A,$B99)</f>
        <v>3004</v>
      </c>
      <c r="E100" s="391">
        <f>sumifs('jiliarena_代理数据_底稿'!$E:$E,'jiliarena_代理数据_底稿'!$B:$B,E$42,'jiliarena_代理数据_底稿'!$A:$A,$B99)</f>
        <v>1389</v>
      </c>
      <c r="F100" s="381">
        <f>sumifs('jiliarena_代理数据_底稿'!$E:$E,'jiliarena_代理数据_底稿'!$B:$B,F$42,'jiliarena_代理数据_底稿'!$A:$A,$B99)</f>
        <v>400</v>
      </c>
      <c r="G100" s="381">
        <f t="shared" si="36"/>
        <v>4793</v>
      </c>
      <c r="H100" s="382" t="str">
        <f t="array" ref="H100">INDEX(jiliarena!$A$3:$M$49,MATCH($A100,jiliarena!$A$3:$A$49,0),MATCH("登录人数",jiliarena!$A$3:$M$3,0))-G100</f>
        <v>#N/A</v>
      </c>
      <c r="I100" s="11"/>
      <c r="J100" s="380" t="s">
        <v>146</v>
      </c>
      <c r="K100" s="392">
        <f t="shared" ref="K100:M100" si="102">D96-D100</f>
        <v>986</v>
      </c>
      <c r="L100" s="384">
        <f t="shared" si="102"/>
        <v>588</v>
      </c>
      <c r="M100" s="392">
        <f t="shared" si="102"/>
        <v>112</v>
      </c>
    </row>
    <row r="101">
      <c r="A101" s="372">
        <f t="shared" si="101"/>
        <v>46068</v>
      </c>
      <c r="B101" s="11"/>
      <c r="C101" s="385" t="s">
        <v>151</v>
      </c>
      <c r="D101" s="381">
        <f>sumifs('jiliarena_代理数据_底稿'!$F:$F,'jiliarena_代理数据_底稿'!$B:$B,D$42,'jiliarena_代理数据_底稿'!$A:$A,$B99)</f>
        <v>2171</v>
      </c>
      <c r="E101" s="381">
        <f>sumifs('jiliarena_代理数据_底稿'!$F:$F,'jiliarena_代理数据_底稿'!$B:$B,E$42,'jiliarena_代理数据_底稿'!$A:$A,$B99)</f>
        <v>1004</v>
      </c>
      <c r="F101" s="381">
        <f>sumifs('jiliarena_代理数据_底稿'!$F:$F,'jiliarena_代理数据_底稿'!$B:$B,F$42,'jiliarena_代理数据_底稿'!$A:$A,$B99)</f>
        <v>294</v>
      </c>
      <c r="G101" s="381">
        <f t="shared" si="36"/>
        <v>3469</v>
      </c>
      <c r="H101" s="382" t="str">
        <f t="array" ref="H101">INDEX(jiliarena!$A$3:$M$49,MATCH($A101,jiliarena!$A$3:$A$49,0),MATCH("投注人数",jiliarena!$A$3:$M$3,0))-G101</f>
        <v>#N/A</v>
      </c>
      <c r="I101" s="11"/>
      <c r="J101" s="385" t="s">
        <v>151</v>
      </c>
      <c r="K101" s="392">
        <f t="shared" ref="K101:M101" si="103">D97-D101</f>
        <v>778</v>
      </c>
      <c r="L101" s="392">
        <f t="shared" si="103"/>
        <v>400</v>
      </c>
      <c r="M101" s="392">
        <f t="shared" si="103"/>
        <v>104</v>
      </c>
    </row>
    <row r="102">
      <c r="A102" s="372">
        <f t="shared" si="101"/>
        <v>46068</v>
      </c>
      <c r="B102" s="20"/>
      <c r="C102" s="387" t="s">
        <v>284</v>
      </c>
      <c r="D102" s="388">
        <f>sumifs('jiliarena_代理数据_底稿'!$G:$G,'jiliarena_代理数据_底稿'!$B:$B,D$42,'jiliarena_代理数据_底稿'!$A:$A,$B99)</f>
        <v>542</v>
      </c>
      <c r="E102" s="388">
        <f>sumifs('jiliarena_代理数据_底稿'!$G:$G,'jiliarena_代理数据_底稿'!$B:$B,E$42,'jiliarena_代理数据_底稿'!$A:$A,$B99)</f>
        <v>203</v>
      </c>
      <c r="F102" s="388">
        <f>sumifs('jiliarena_代理数据_底稿'!$G:$G,'jiliarena_代理数据_底稿'!$B:$B,F$42,'jiliarena_代理数据_底稿'!$A:$A,$B99)</f>
        <v>70</v>
      </c>
      <c r="G102" s="393">
        <f t="shared" si="36"/>
        <v>815</v>
      </c>
      <c r="H102" s="389" t="str">
        <f t="array" ref="H102">INDEX(jiliarena!$A$3:$M$49,MATCH($A102,jiliarena!$A$3:$A$49,0),MATCH("存款人数",jiliarena!$A$3:$M$3,0))-G102</f>
        <v>#N/A</v>
      </c>
      <c r="I102" s="20"/>
      <c r="J102" s="387" t="s">
        <v>284</v>
      </c>
      <c r="K102" s="394">
        <f t="shared" ref="K102:M102" si="104">D98-D102</f>
        <v>602</v>
      </c>
      <c r="L102" s="394">
        <f t="shared" si="104"/>
        <v>128</v>
      </c>
      <c r="M102" s="394">
        <f t="shared" si="104"/>
        <v>98</v>
      </c>
    </row>
    <row r="103">
      <c r="A103" s="372">
        <f t="shared" ref="A103:A106" si="106">$B$103</f>
        <v>46069</v>
      </c>
      <c r="B103" s="373">
        <f>B99+1</f>
        <v>46069</v>
      </c>
      <c r="C103" s="374" t="s">
        <v>144</v>
      </c>
      <c r="D103" s="375">
        <f>sumifs('jiliarena_代理数据_底稿'!$I:$I,'jiliarena_代理数据_底稿'!$B:$B,D$42,'jiliarena_代理数据_底稿'!$A:$A,$B103)</f>
        <v>344</v>
      </c>
      <c r="E103" s="375">
        <f>sumifs('jiliarena_代理数据_底稿'!$I:$I,'jiliarena_代理数据_底稿'!$B:$B,E$42,'jiliarena_代理数据_底稿'!$A:$A,$B103)</f>
        <v>435</v>
      </c>
      <c r="F103" s="375">
        <f>sumifs('jiliarena_代理数据_底稿'!$I:$I,'jiliarena_代理数据_底稿'!$B:$B,F$42,'jiliarena_代理数据_底稿'!$A:$A,$B103)</f>
        <v>68</v>
      </c>
      <c r="G103" s="375">
        <f t="shared" si="36"/>
        <v>847</v>
      </c>
      <c r="H103" s="376" t="str">
        <f t="array" ref="H103">INDEX(jiliarena!$A$3:$M$49,MATCH($A103,jiliarena!$A$3:$A$49,0),MATCH($C$43,jiliarena!$A$3:$M$3,0))-G103</f>
        <v>#N/A</v>
      </c>
      <c r="I103" s="377">
        <f>B103</f>
        <v>46069</v>
      </c>
      <c r="J103" s="374" t="s">
        <v>144</v>
      </c>
      <c r="K103" s="379">
        <f t="shared" ref="K103:M103" si="105">D99-D103</f>
        <v>98</v>
      </c>
      <c r="L103" s="379">
        <f t="shared" si="105"/>
        <v>92</v>
      </c>
      <c r="M103" s="379">
        <f t="shared" si="105"/>
        <v>-9</v>
      </c>
    </row>
    <row r="104">
      <c r="A104" s="372">
        <f t="shared" si="106"/>
        <v>46069</v>
      </c>
      <c r="B104" s="11"/>
      <c r="C104" s="380" t="s">
        <v>146</v>
      </c>
      <c r="D104" s="381">
        <f>sumifs('jiliarena_代理数据_底稿'!$E:$E,'jiliarena_代理数据_底稿'!$B:$B,D$42,'jiliarena_代理数据_底稿'!$A:$A,$B103)</f>
        <v>3005</v>
      </c>
      <c r="E104" s="391">
        <f>sumifs('jiliarena_代理数据_底稿'!$E:$E,'jiliarena_代理数据_底稿'!$B:$B,E$42,'jiliarena_代理数据_底稿'!$A:$A,$B103)</f>
        <v>1315</v>
      </c>
      <c r="F104" s="381">
        <f>sumifs('jiliarena_代理数据_底稿'!$E:$E,'jiliarena_代理数据_底稿'!$B:$B,F$42,'jiliarena_代理数据_底稿'!$A:$A,$B103)</f>
        <v>407</v>
      </c>
      <c r="G104" s="381">
        <f t="shared" si="36"/>
        <v>4727</v>
      </c>
      <c r="H104" s="382" t="str">
        <f t="array" ref="H104">INDEX(jiliarena!$A$3:$M$49,MATCH($A104,jiliarena!$A$3:$A$49,0),MATCH("登录人数",jiliarena!$A$3:$M$3,0))-G104</f>
        <v>#N/A</v>
      </c>
      <c r="I104" s="11"/>
      <c r="J104" s="380" t="s">
        <v>146</v>
      </c>
      <c r="K104" s="392">
        <f t="shared" ref="K104:M104" si="107">D100-D104</f>
        <v>-1</v>
      </c>
      <c r="L104" s="384">
        <f t="shared" si="107"/>
        <v>74</v>
      </c>
      <c r="M104" s="392">
        <f t="shared" si="107"/>
        <v>-7</v>
      </c>
    </row>
    <row r="105">
      <c r="A105" s="372">
        <f t="shared" si="106"/>
        <v>46069</v>
      </c>
      <c r="B105" s="11"/>
      <c r="C105" s="385" t="s">
        <v>151</v>
      </c>
      <c r="D105" s="381">
        <f>sumifs('jiliarena_代理数据_底稿'!$F:$F,'jiliarena_代理数据_底稿'!$B:$B,D$42,'jiliarena_代理数据_底稿'!$A:$A,$B103)</f>
        <v>2112</v>
      </c>
      <c r="E105" s="381">
        <f>sumifs('jiliarena_代理数据_底稿'!$F:$F,'jiliarena_代理数据_底稿'!$B:$B,E$42,'jiliarena_代理数据_底稿'!$A:$A,$B103)</f>
        <v>948</v>
      </c>
      <c r="F105" s="381">
        <f>sumifs('jiliarena_代理数据_底稿'!$F:$F,'jiliarena_代理数据_底稿'!$B:$B,F$42,'jiliarena_代理数据_底稿'!$A:$A,$B103)</f>
        <v>291</v>
      </c>
      <c r="G105" s="381">
        <f t="shared" si="36"/>
        <v>3351</v>
      </c>
      <c r="H105" s="382" t="str">
        <f t="array" ref="H105">INDEX(jiliarena!$A$3:$M$49,MATCH($A105,jiliarena!$A$3:$A$49,0),MATCH("投注人数",jiliarena!$A$3:$M$3,0))-G105</f>
        <v>#N/A</v>
      </c>
      <c r="I105" s="11"/>
      <c r="J105" s="385" t="s">
        <v>151</v>
      </c>
      <c r="K105" s="392">
        <f t="shared" ref="K105:M105" si="108">D101-D105</f>
        <v>59</v>
      </c>
      <c r="L105" s="392">
        <f t="shared" si="108"/>
        <v>56</v>
      </c>
      <c r="M105" s="392">
        <f t="shared" si="108"/>
        <v>3</v>
      </c>
    </row>
    <row r="106">
      <c r="A106" s="372">
        <f t="shared" si="106"/>
        <v>46069</v>
      </c>
      <c r="B106" s="20"/>
      <c r="C106" s="387" t="s">
        <v>284</v>
      </c>
      <c r="D106" s="388">
        <f>sumifs('jiliarena_代理数据_底稿'!$G:$G,'jiliarena_代理数据_底稿'!$B:$B,D$42,'jiliarena_代理数据_底稿'!$A:$A,$B103)</f>
        <v>467</v>
      </c>
      <c r="E106" s="388">
        <f>sumifs('jiliarena_代理数据_底稿'!$G:$G,'jiliarena_代理数据_底稿'!$B:$B,E$42,'jiliarena_代理数据_底稿'!$A:$A,$B103)</f>
        <v>179</v>
      </c>
      <c r="F106" s="388">
        <f>sumifs('jiliarena_代理数据_底稿'!$G:$G,'jiliarena_代理数据_底稿'!$B:$B,F$42,'jiliarena_代理数据_底稿'!$A:$A,$B103)</f>
        <v>74</v>
      </c>
      <c r="G106" s="393">
        <f t="shared" si="36"/>
        <v>720</v>
      </c>
      <c r="H106" s="389" t="str">
        <f t="array" ref="H106">INDEX(jiliarena!$A$3:$M$49,MATCH($A106,jiliarena!$A$3:$A$49,0),MATCH("存款人数",jiliarena!$A$3:$M$3,0))-G106</f>
        <v>#N/A</v>
      </c>
      <c r="I106" s="20"/>
      <c r="J106" s="387" t="s">
        <v>284</v>
      </c>
      <c r="K106" s="394">
        <f t="shared" ref="K106:M106" si="109">D102-D106</f>
        <v>75</v>
      </c>
      <c r="L106" s="394">
        <f t="shared" si="109"/>
        <v>24</v>
      </c>
      <c r="M106" s="394">
        <f t="shared" si="109"/>
        <v>-4</v>
      </c>
    </row>
    <row r="107">
      <c r="A107" s="372">
        <f t="shared" ref="A107:A110" si="111">$B$107</f>
        <v>46070</v>
      </c>
      <c r="B107" s="373">
        <f>B103+1</f>
        <v>46070</v>
      </c>
      <c r="C107" s="374" t="s">
        <v>144</v>
      </c>
      <c r="D107" s="375">
        <f>sumifs('jiliarena_代理数据_底稿'!$I:$I,'jiliarena_代理数据_底稿'!$B:$B,D$42,'jiliarena_代理数据_底稿'!$A:$A,$B107)</f>
        <v>269</v>
      </c>
      <c r="E107" s="375">
        <f>sumifs('jiliarena_代理数据_底稿'!$I:$I,'jiliarena_代理数据_底稿'!$B:$B,E$42,'jiliarena_代理数据_底稿'!$A:$A,$B107)</f>
        <v>403</v>
      </c>
      <c r="F107" s="375">
        <f>sumifs('jiliarena_代理数据_底稿'!$I:$I,'jiliarena_代理数据_底稿'!$B:$B,F$42,'jiliarena_代理数据_底稿'!$A:$A,$B107)</f>
        <v>48</v>
      </c>
      <c r="G107" s="375">
        <f t="shared" si="36"/>
        <v>720</v>
      </c>
      <c r="H107" s="376" t="str">
        <f t="array" ref="H107">INDEX(jiliarena!$A$3:$M$49,MATCH($A107,jiliarena!$A$3:$A$49,0),MATCH($C$43,jiliarena!$A$3:$M$3,0))-G107</f>
        <v>#N/A</v>
      </c>
      <c r="I107" s="377">
        <f>B107</f>
        <v>46070</v>
      </c>
      <c r="J107" s="374" t="s">
        <v>144</v>
      </c>
      <c r="K107" s="379">
        <f t="shared" ref="K107:M107" si="110">D103-D107</f>
        <v>75</v>
      </c>
      <c r="L107" s="379">
        <f t="shared" si="110"/>
        <v>32</v>
      </c>
      <c r="M107" s="379">
        <f t="shared" si="110"/>
        <v>20</v>
      </c>
    </row>
    <row r="108">
      <c r="A108" s="372">
        <f t="shared" si="111"/>
        <v>46070</v>
      </c>
      <c r="B108" s="11"/>
      <c r="C108" s="380" t="s">
        <v>146</v>
      </c>
      <c r="D108" s="381">
        <f>sumifs('jiliarena_代理数据_底稿'!$E:$E,'jiliarena_代理数据_底稿'!$B:$B,D$42,'jiliarena_代理数据_底稿'!$A:$A,$B107)</f>
        <v>3137</v>
      </c>
      <c r="E108" s="391">
        <f>sumifs('jiliarena_代理数据_底稿'!$E:$E,'jiliarena_代理数据_底稿'!$B:$B,E$42,'jiliarena_代理数据_底稿'!$A:$A,$B107)</f>
        <v>1358</v>
      </c>
      <c r="F108" s="381">
        <f>sumifs('jiliarena_代理数据_底稿'!$E:$E,'jiliarena_代理数据_底稿'!$B:$B,F$42,'jiliarena_代理数据_底稿'!$A:$A,$B107)</f>
        <v>385</v>
      </c>
      <c r="G108" s="381">
        <f t="shared" si="36"/>
        <v>4880</v>
      </c>
      <c r="H108" s="382" t="str">
        <f t="array" ref="H108">INDEX(jiliarena!$A$3:$M$49,MATCH($A108,jiliarena!$A$3:$A$49,0),MATCH("登录人数",jiliarena!$A$3:$M$3,0))-G108</f>
        <v>#N/A</v>
      </c>
      <c r="I108" s="11"/>
      <c r="J108" s="380" t="s">
        <v>146</v>
      </c>
      <c r="K108" s="392">
        <f t="shared" ref="K108:M108" si="112">D104-D108</f>
        <v>-132</v>
      </c>
      <c r="L108" s="384">
        <f t="shared" si="112"/>
        <v>-43</v>
      </c>
      <c r="M108" s="392">
        <f t="shared" si="112"/>
        <v>22</v>
      </c>
    </row>
    <row r="109">
      <c r="A109" s="372">
        <f t="shared" si="111"/>
        <v>46070</v>
      </c>
      <c r="B109" s="11"/>
      <c r="C109" s="385" t="s">
        <v>151</v>
      </c>
      <c r="D109" s="381">
        <f>sumifs('jiliarena_代理数据_底稿'!$F:$F,'jiliarena_代理数据_底稿'!$B:$B,D$42,'jiliarena_代理数据_底稿'!$A:$A,$B107)</f>
        <v>2240</v>
      </c>
      <c r="E109" s="381">
        <f>sumifs('jiliarena_代理数据_底稿'!$F:$F,'jiliarena_代理数据_底稿'!$B:$B,E$42,'jiliarena_代理数据_底稿'!$A:$A,$B107)</f>
        <v>975</v>
      </c>
      <c r="F109" s="381">
        <f>sumifs('jiliarena_代理数据_底稿'!$F:$F,'jiliarena_代理数据_底稿'!$B:$B,F$42,'jiliarena_代理数据_底稿'!$A:$A,$B107)</f>
        <v>305</v>
      </c>
      <c r="G109" s="381">
        <f t="shared" si="36"/>
        <v>3520</v>
      </c>
      <c r="H109" s="382" t="str">
        <f t="array" ref="H109">INDEX(jiliarena!$A$3:$M$49,MATCH($A109,jiliarena!$A$3:$A$49,0),MATCH("投注人数",jiliarena!$A$3:$M$3,0))-G109</f>
        <v>#N/A</v>
      </c>
      <c r="I109" s="11"/>
      <c r="J109" s="385" t="s">
        <v>151</v>
      </c>
      <c r="K109" s="392">
        <f t="shared" ref="K109:M109" si="113">D105-D109</f>
        <v>-128</v>
      </c>
      <c r="L109" s="392">
        <f t="shared" si="113"/>
        <v>-27</v>
      </c>
      <c r="M109" s="392">
        <f t="shared" si="113"/>
        <v>-14</v>
      </c>
    </row>
    <row r="110">
      <c r="A110" s="372">
        <f t="shared" si="111"/>
        <v>46070</v>
      </c>
      <c r="B110" s="20"/>
      <c r="C110" s="387" t="s">
        <v>284</v>
      </c>
      <c r="D110" s="388">
        <f>sumifs('jiliarena_代理数据_底稿'!$G:$G,'jiliarena_代理数据_底稿'!$B:$B,D$42,'jiliarena_代理数据_底稿'!$A:$A,$B107)</f>
        <v>444</v>
      </c>
      <c r="E110" s="388">
        <f>sumifs('jiliarena_代理数据_底稿'!$G:$G,'jiliarena_代理数据_底稿'!$B:$B,E$42,'jiliarena_代理数据_底稿'!$A:$A,$B107)</f>
        <v>181</v>
      </c>
      <c r="F110" s="388">
        <f>sumifs('jiliarena_代理数据_底稿'!$G:$G,'jiliarena_代理数据_底稿'!$B:$B,F$42,'jiliarena_代理数据_底稿'!$A:$A,$B107)</f>
        <v>73</v>
      </c>
      <c r="G110" s="393">
        <f t="shared" si="36"/>
        <v>698</v>
      </c>
      <c r="H110" s="389" t="str">
        <f t="array" ref="H110">INDEX(jiliarena!$A$3:$M$49,MATCH($A110,jiliarena!$A$3:$A$49,0),MATCH("存款人数",jiliarena!$A$3:$M$3,0))-G110</f>
        <v>#N/A</v>
      </c>
      <c r="I110" s="20"/>
      <c r="J110" s="387" t="s">
        <v>284</v>
      </c>
      <c r="K110" s="394">
        <f t="shared" ref="K110:M110" si="114">D106-D110</f>
        <v>23</v>
      </c>
      <c r="L110" s="394">
        <f t="shared" si="114"/>
        <v>-2</v>
      </c>
      <c r="M110" s="394">
        <f t="shared" si="114"/>
        <v>1</v>
      </c>
    </row>
    <row r="111">
      <c r="A111" s="372">
        <f t="shared" ref="A111:A114" si="116">$B$111</f>
        <v>46071</v>
      </c>
      <c r="B111" s="373">
        <f>B107+1</f>
        <v>46071</v>
      </c>
      <c r="C111" s="374" t="s">
        <v>144</v>
      </c>
      <c r="D111" s="375">
        <f>sumifs('jiliarena_代理数据_底稿'!$I:$I,'jiliarena_代理数据_底稿'!$B:$B,D$42,'jiliarena_代理数据_底稿'!$A:$A,$B111)</f>
        <v>209</v>
      </c>
      <c r="E111" s="375">
        <f>sumifs('jiliarena_代理数据_底稿'!$I:$I,'jiliarena_代理数据_底稿'!$B:$B,E$42,'jiliarena_代理数据_底稿'!$A:$A,$B111)</f>
        <v>432</v>
      </c>
      <c r="F111" s="375">
        <f>sumifs('jiliarena_代理数据_底稿'!$I:$I,'jiliarena_代理数据_底稿'!$B:$B,F$42,'jiliarena_代理数据_底稿'!$A:$A,$B111)</f>
        <v>46</v>
      </c>
      <c r="G111" s="375">
        <f t="shared" si="36"/>
        <v>687</v>
      </c>
      <c r="H111" s="376" t="str">
        <f t="array" ref="H111">INDEX(jiliarena!$A$3:$M$49,MATCH($A111,jiliarena!$A$3:$A$49,0),MATCH($C$43,jiliarena!$A$3:$M$3,0))-G111</f>
        <v>#N/A</v>
      </c>
      <c r="I111" s="377">
        <f>B111</f>
        <v>46071</v>
      </c>
      <c r="J111" s="374" t="s">
        <v>144</v>
      </c>
      <c r="K111" s="379">
        <f t="shared" ref="K111:M111" si="115">D107-D111</f>
        <v>60</v>
      </c>
      <c r="L111" s="379">
        <f t="shared" si="115"/>
        <v>-29</v>
      </c>
      <c r="M111" s="379">
        <f t="shared" si="115"/>
        <v>2</v>
      </c>
    </row>
    <row r="112">
      <c r="A112" s="372">
        <f t="shared" si="116"/>
        <v>46071</v>
      </c>
      <c r="B112" s="11"/>
      <c r="C112" s="380" t="s">
        <v>146</v>
      </c>
      <c r="D112" s="381">
        <f>sumifs('jiliarena_代理数据_底稿'!$E:$E,'jiliarena_代理数据_底稿'!$B:$B,D$42,'jiliarena_代理数据_底稿'!$A:$A,$B111)</f>
        <v>2554</v>
      </c>
      <c r="E112" s="391">
        <f>sumifs('jiliarena_代理数据_底稿'!$E:$E,'jiliarena_代理数据_底稿'!$B:$B,E$42,'jiliarena_代理数据_底稿'!$A:$A,$B111)</f>
        <v>1234</v>
      </c>
      <c r="F112" s="381">
        <f>sumifs('jiliarena_代理数据_底稿'!$E:$E,'jiliarena_代理数据_底稿'!$B:$B,F$42,'jiliarena_代理数据_底稿'!$A:$A,$B111)</f>
        <v>332</v>
      </c>
      <c r="G112" s="381">
        <f t="shared" si="36"/>
        <v>4120</v>
      </c>
      <c r="H112" s="382" t="str">
        <f t="array" ref="H112">INDEX(jiliarena!$A$3:$M$49,MATCH($A112,jiliarena!$A$3:$A$49,0),MATCH("登录人数",jiliarena!$A$3:$M$3,0))-G112</f>
        <v>#N/A</v>
      </c>
      <c r="I112" s="11"/>
      <c r="J112" s="380" t="s">
        <v>146</v>
      </c>
      <c r="K112" s="392">
        <f t="shared" ref="K112:M112" si="117">D108-D112</f>
        <v>583</v>
      </c>
      <c r="L112" s="384">
        <f t="shared" si="117"/>
        <v>124</v>
      </c>
      <c r="M112" s="392">
        <f t="shared" si="117"/>
        <v>53</v>
      </c>
    </row>
    <row r="113">
      <c r="A113" s="372">
        <f t="shared" si="116"/>
        <v>46071</v>
      </c>
      <c r="B113" s="11"/>
      <c r="C113" s="385" t="s">
        <v>151</v>
      </c>
      <c r="D113" s="381">
        <f>sumifs('jiliarena_代理数据_底稿'!$F:$F,'jiliarena_代理数据_底稿'!$B:$B,D$42,'jiliarena_代理数据_底稿'!$A:$A,$B111)</f>
        <v>1930</v>
      </c>
      <c r="E113" s="381">
        <f>sumifs('jiliarena_代理数据_底稿'!$F:$F,'jiliarena_代理数据_底稿'!$B:$B,E$42,'jiliarena_代理数据_底稿'!$A:$A,$B111)</f>
        <v>847</v>
      </c>
      <c r="F113" s="381">
        <f>sumifs('jiliarena_代理数据_底稿'!$F:$F,'jiliarena_代理数据_底稿'!$B:$B,F$42,'jiliarena_代理数据_底稿'!$A:$A,$B111)</f>
        <v>234</v>
      </c>
      <c r="G113" s="381">
        <f t="shared" si="36"/>
        <v>3011</v>
      </c>
      <c r="H113" s="382" t="str">
        <f t="array" ref="H113">INDEX(jiliarena!$A$3:$M$49,MATCH($A113,jiliarena!$A$3:$A$49,0),MATCH("投注人数",jiliarena!$A$3:$M$3,0))-G113</f>
        <v>#N/A</v>
      </c>
      <c r="I113" s="11"/>
      <c r="J113" s="385" t="s">
        <v>151</v>
      </c>
      <c r="K113" s="392">
        <f t="shared" ref="K113:M113" si="118">D109-D113</f>
        <v>310</v>
      </c>
      <c r="L113" s="392">
        <f t="shared" si="118"/>
        <v>128</v>
      </c>
      <c r="M113" s="392">
        <f t="shared" si="118"/>
        <v>71</v>
      </c>
    </row>
    <row r="114">
      <c r="A114" s="372">
        <f t="shared" si="116"/>
        <v>46071</v>
      </c>
      <c r="B114" s="20"/>
      <c r="C114" s="387" t="s">
        <v>284</v>
      </c>
      <c r="D114" s="388">
        <f>sumifs('jiliarena_代理数据_底稿'!$G:$G,'jiliarena_代理数据_底稿'!$B:$B,D$42,'jiliarena_代理数据_底稿'!$A:$A,$B111)</f>
        <v>346</v>
      </c>
      <c r="E114" s="388">
        <f>sumifs('jiliarena_代理数据_底稿'!$G:$G,'jiliarena_代理数据_底稿'!$B:$B,E$42,'jiliarena_代理数据_底稿'!$A:$A,$B111)</f>
        <v>165</v>
      </c>
      <c r="F114" s="388">
        <f>sumifs('jiliarena_代理数据_底稿'!$G:$G,'jiliarena_代理数据_底稿'!$B:$B,F$42,'jiliarena_代理数据_底稿'!$A:$A,$B111)</f>
        <v>57</v>
      </c>
      <c r="G114" s="393">
        <f t="shared" si="36"/>
        <v>568</v>
      </c>
      <c r="H114" s="389" t="str">
        <f t="array" ref="H114">INDEX(jiliarena!$A$3:$M$49,MATCH($A114,jiliarena!$A$3:$A$49,0),MATCH("存款人数",jiliarena!$A$3:$M$3,0))-G114</f>
        <v>#N/A</v>
      </c>
      <c r="I114" s="20"/>
      <c r="J114" s="387" t="s">
        <v>284</v>
      </c>
      <c r="K114" s="394">
        <f t="shared" ref="K114:M114" si="119">D110-D114</f>
        <v>98</v>
      </c>
      <c r="L114" s="394">
        <f t="shared" si="119"/>
        <v>16</v>
      </c>
      <c r="M114" s="394">
        <f t="shared" si="119"/>
        <v>16</v>
      </c>
    </row>
    <row r="115">
      <c r="A115" s="372">
        <f t="shared" ref="A115:A118" si="121">$B$115</f>
        <v>46072</v>
      </c>
      <c r="B115" s="373">
        <f>B111+1</f>
        <v>46072</v>
      </c>
      <c r="C115" s="374" t="s">
        <v>144</v>
      </c>
      <c r="D115" s="375">
        <f>sumifs('jiliarena_代理数据_底稿'!$I:$I,'jiliarena_代理数据_底稿'!$B:$B,D$42,'jiliarena_代理数据_底稿'!$A:$A,$B115)</f>
        <v>180</v>
      </c>
      <c r="E115" s="375">
        <f>sumifs('jiliarena_代理数据_底稿'!$I:$I,'jiliarena_代理数据_底稿'!$B:$B,E$42,'jiliarena_代理数据_底稿'!$A:$A,$B115)</f>
        <v>817</v>
      </c>
      <c r="F115" s="375">
        <f>sumifs('jiliarena_代理数据_底稿'!$I:$I,'jiliarena_代理数据_底稿'!$B:$B,F$42,'jiliarena_代理数据_底稿'!$A:$A,$B115)</f>
        <v>39</v>
      </c>
      <c r="G115" s="375">
        <f t="shared" si="36"/>
        <v>1036</v>
      </c>
      <c r="H115" s="376" t="str">
        <f t="array" ref="H115">INDEX(jiliarena!$A$3:$M$49,MATCH($A115,jiliarena!$A$3:$A$49,0),MATCH($C$43,jiliarena!$A$3:$M$3,0))-G115</f>
        <v>#N/A</v>
      </c>
      <c r="I115" s="377">
        <f>B115</f>
        <v>46072</v>
      </c>
      <c r="J115" s="374" t="s">
        <v>144</v>
      </c>
      <c r="K115" s="379">
        <f t="shared" ref="K115:M115" si="120">D111-D115</f>
        <v>29</v>
      </c>
      <c r="L115" s="379">
        <f t="shared" si="120"/>
        <v>-385</v>
      </c>
      <c r="M115" s="379">
        <f t="shared" si="120"/>
        <v>7</v>
      </c>
    </row>
    <row r="116">
      <c r="A116" s="372">
        <f t="shared" si="121"/>
        <v>46072</v>
      </c>
      <c r="B116" s="11"/>
      <c r="C116" s="380" t="s">
        <v>146</v>
      </c>
      <c r="D116" s="381">
        <f>sumifs('jiliarena_代理数据_底稿'!$E:$E,'jiliarena_代理数据_底稿'!$B:$B,D$42,'jiliarena_代理数据_底稿'!$A:$A,$B115)</f>
        <v>2436</v>
      </c>
      <c r="E116" s="391">
        <f>sumifs('jiliarena_代理数据_底稿'!$E:$E,'jiliarena_代理数据_底稿'!$B:$B,E$42,'jiliarena_代理数据_底稿'!$A:$A,$B115)</f>
        <v>1594</v>
      </c>
      <c r="F116" s="381">
        <f>sumifs('jiliarena_代理数据_底稿'!$E:$E,'jiliarena_代理数据_底稿'!$B:$B,F$42,'jiliarena_代理数据_底稿'!$A:$A,$B115)</f>
        <v>340</v>
      </c>
      <c r="G116" s="381">
        <f t="shared" si="36"/>
        <v>4370</v>
      </c>
      <c r="H116" s="382" t="str">
        <f t="array" ref="H116">INDEX(jiliarena!$A$3:$M$49,MATCH($A116,jiliarena!$A$3:$A$49,0),MATCH("登录人数",jiliarena!$A$3:$M$3,0))-G116</f>
        <v>#N/A</v>
      </c>
      <c r="I116" s="11"/>
      <c r="J116" s="380" t="s">
        <v>146</v>
      </c>
      <c r="K116" s="392">
        <f t="shared" ref="K116:M116" si="122">D112-D116</f>
        <v>118</v>
      </c>
      <c r="L116" s="384">
        <f t="shared" si="122"/>
        <v>-360</v>
      </c>
      <c r="M116" s="392">
        <f t="shared" si="122"/>
        <v>-8</v>
      </c>
    </row>
    <row r="117">
      <c r="A117" s="372">
        <f t="shared" si="121"/>
        <v>46072</v>
      </c>
      <c r="B117" s="11"/>
      <c r="C117" s="385" t="s">
        <v>151</v>
      </c>
      <c r="D117" s="381">
        <f>sumifs('jiliarena_代理数据_底稿'!$F:$F,'jiliarena_代理数据_底稿'!$B:$B,D$42,'jiliarena_代理数据_底稿'!$A:$A,$B115)</f>
        <v>1731</v>
      </c>
      <c r="E117" s="381">
        <f>sumifs('jiliarena_代理数据_底稿'!$F:$F,'jiliarena_代理数据_底稿'!$B:$B,E$42,'jiliarena_代理数据_底稿'!$A:$A,$B115)</f>
        <v>986</v>
      </c>
      <c r="F117" s="381">
        <f>sumifs('jiliarena_代理数据_底稿'!$F:$F,'jiliarena_代理数据_底稿'!$B:$B,F$42,'jiliarena_代理数据_底稿'!$A:$A,$B115)</f>
        <v>245</v>
      </c>
      <c r="G117" s="381">
        <f t="shared" si="36"/>
        <v>2962</v>
      </c>
      <c r="H117" s="382" t="str">
        <f t="array" ref="H117">INDEX(jiliarena!$A$3:$M$49,MATCH($A117,jiliarena!$A$3:$A$49,0),MATCH("投注人数",jiliarena!$A$3:$M$3,0))-G117</f>
        <v>#N/A</v>
      </c>
      <c r="I117" s="11"/>
      <c r="J117" s="385" t="s">
        <v>151</v>
      </c>
      <c r="K117" s="392">
        <f t="shared" ref="K117:M117" si="123">D113-D117</f>
        <v>199</v>
      </c>
      <c r="L117" s="392">
        <f t="shared" si="123"/>
        <v>-139</v>
      </c>
      <c r="M117" s="392">
        <f t="shared" si="123"/>
        <v>-11</v>
      </c>
    </row>
    <row r="118">
      <c r="A118" s="372">
        <f t="shared" si="121"/>
        <v>46072</v>
      </c>
      <c r="B118" s="20"/>
      <c r="C118" s="387" t="s">
        <v>284</v>
      </c>
      <c r="D118" s="388">
        <f>sumifs('jiliarena_代理数据_底稿'!$G:$G,'jiliarena_代理数据_底稿'!$B:$B,D$42,'jiliarena_代理数据_底稿'!$A:$A,$B115)</f>
        <v>303</v>
      </c>
      <c r="E118" s="388">
        <f>sumifs('jiliarena_代理数据_底稿'!$G:$G,'jiliarena_代理数据_底稿'!$B:$B,E$42,'jiliarena_代理数据_底稿'!$A:$A,$B115)</f>
        <v>218</v>
      </c>
      <c r="F118" s="388">
        <f>sumifs('jiliarena_代理数据_底稿'!$G:$G,'jiliarena_代理数据_底稿'!$B:$B,F$42,'jiliarena_代理数据_底稿'!$A:$A,$B115)</f>
        <v>53</v>
      </c>
      <c r="G118" s="393">
        <f t="shared" si="36"/>
        <v>574</v>
      </c>
      <c r="H118" s="389" t="str">
        <f t="array" ref="H118">INDEX(jiliarena!$A$3:$M$49,MATCH($A118,jiliarena!$A$3:$A$49,0),MATCH("存款人数",jiliarena!$A$3:$M$3,0))-G118</f>
        <v>#N/A</v>
      </c>
      <c r="I118" s="20"/>
      <c r="J118" s="387" t="s">
        <v>284</v>
      </c>
      <c r="K118" s="394">
        <f t="shared" ref="K118:M118" si="124">D114-D118</f>
        <v>43</v>
      </c>
      <c r="L118" s="394">
        <f t="shared" si="124"/>
        <v>-53</v>
      </c>
      <c r="M118" s="394">
        <f t="shared" si="124"/>
        <v>4</v>
      </c>
    </row>
    <row r="119">
      <c r="A119" s="372">
        <f t="shared" ref="A119:A122" si="126">$B$119</f>
        <v>46073</v>
      </c>
      <c r="B119" s="373">
        <f>B115+1</f>
        <v>46073</v>
      </c>
      <c r="C119" s="374" t="s">
        <v>144</v>
      </c>
      <c r="D119" s="375">
        <f>sumifs('jiliarena_代理数据_底稿'!$I:$I,'jiliarena_代理数据_底稿'!$B:$B,D$42,'jiliarena_代理数据_底稿'!$A:$A,$B119)</f>
        <v>88</v>
      </c>
      <c r="E119" s="375">
        <f>sumifs('jiliarena_代理数据_底稿'!$I:$I,'jiliarena_代理数据_底稿'!$B:$B,E$42,'jiliarena_代理数据_底稿'!$A:$A,$B119)</f>
        <v>461</v>
      </c>
      <c r="F119" s="375">
        <f>sumifs('jiliarena_代理数据_底稿'!$I:$I,'jiliarena_代理数据_底稿'!$B:$B,F$42,'jiliarena_代理数据_底稿'!$A:$A,$B119)</f>
        <v>55</v>
      </c>
      <c r="G119" s="375">
        <f t="shared" si="36"/>
        <v>604</v>
      </c>
      <c r="H119" s="376" t="str">
        <f t="array" ref="H119">INDEX(jiliarena!$A$3:$M$49,MATCH($A119,jiliarena!$A$3:$A$49,0),MATCH($C$43,jiliarena!$A$3:$M$3,0))-G119</f>
        <v>#N/A</v>
      </c>
      <c r="I119" s="377">
        <f>B119</f>
        <v>46073</v>
      </c>
      <c r="J119" s="374" t="s">
        <v>144</v>
      </c>
      <c r="K119" s="379">
        <f t="shared" ref="K119:M119" si="125">D115-D119</f>
        <v>92</v>
      </c>
      <c r="L119" s="379">
        <f t="shared" si="125"/>
        <v>356</v>
      </c>
      <c r="M119" s="379">
        <f t="shared" si="125"/>
        <v>-16</v>
      </c>
    </row>
    <row r="120">
      <c r="A120" s="372">
        <f t="shared" si="126"/>
        <v>46073</v>
      </c>
      <c r="B120" s="11"/>
      <c r="C120" s="380" t="s">
        <v>146</v>
      </c>
      <c r="D120" s="381">
        <f>sumifs('jiliarena_代理数据_底稿'!$E:$E,'jiliarena_代理数据_底稿'!$B:$B,D$42,'jiliarena_代理数据_底稿'!$A:$A,$B119)</f>
        <v>2237</v>
      </c>
      <c r="E120" s="391">
        <f>sumifs('jiliarena_代理数据_底稿'!$E:$E,'jiliarena_代理数据_底稿'!$B:$B,E$42,'jiliarena_代理数据_底稿'!$A:$A,$B119)</f>
        <v>1286</v>
      </c>
      <c r="F120" s="381">
        <f>sumifs('jiliarena_代理数据_底稿'!$E:$E,'jiliarena_代理数据_底稿'!$B:$B,F$42,'jiliarena_代理数据_底稿'!$A:$A,$B119)</f>
        <v>345</v>
      </c>
      <c r="G120" s="381">
        <f t="shared" si="36"/>
        <v>3868</v>
      </c>
      <c r="H120" s="382" t="str">
        <f t="array" ref="H120">INDEX(jiliarena!$A$3:$M$49,MATCH($A120,jiliarena!$A$3:$A$49,0),MATCH("登录人数",jiliarena!$A$3:$M$3,0))-G120</f>
        <v>#N/A</v>
      </c>
      <c r="I120" s="11"/>
      <c r="J120" s="380" t="s">
        <v>146</v>
      </c>
      <c r="K120" s="392">
        <f t="shared" ref="K120:M120" si="127">D116-D120</f>
        <v>199</v>
      </c>
      <c r="L120" s="384">
        <f t="shared" si="127"/>
        <v>308</v>
      </c>
      <c r="M120" s="392">
        <f t="shared" si="127"/>
        <v>-5</v>
      </c>
    </row>
    <row r="121">
      <c r="A121" s="372">
        <f t="shared" si="126"/>
        <v>46073</v>
      </c>
      <c r="B121" s="11"/>
      <c r="C121" s="385" t="s">
        <v>151</v>
      </c>
      <c r="D121" s="381">
        <f>sumifs('jiliarena_代理数据_底稿'!$F:$F,'jiliarena_代理数据_底稿'!$B:$B,D$42,'jiliarena_代理数据_底稿'!$A:$A,$B119)</f>
        <v>1589</v>
      </c>
      <c r="E121" s="381">
        <f>sumifs('jiliarena_代理数据_底稿'!$F:$F,'jiliarena_代理数据_底稿'!$B:$B,E$42,'jiliarena_代理数据_底稿'!$A:$A,$B119)</f>
        <v>881</v>
      </c>
      <c r="F121" s="381">
        <f>sumifs('jiliarena_代理数据_底稿'!$F:$F,'jiliarena_代理数据_底稿'!$B:$B,F$42,'jiliarena_代理数据_底稿'!$A:$A,$B119)</f>
        <v>245</v>
      </c>
      <c r="G121" s="381">
        <f t="shared" si="36"/>
        <v>2715</v>
      </c>
      <c r="H121" s="382" t="str">
        <f t="array" ref="H121">INDEX(jiliarena!$A$3:$M$49,MATCH($A121,jiliarena!$A$3:$A$49,0),MATCH("投注人数",jiliarena!$A$3:$M$3,0))-G121</f>
        <v>#N/A</v>
      </c>
      <c r="I121" s="11"/>
      <c r="J121" s="385" t="s">
        <v>151</v>
      </c>
      <c r="K121" s="392">
        <f t="shared" ref="K121:M121" si="128">D117-D121</f>
        <v>142</v>
      </c>
      <c r="L121" s="392">
        <f t="shared" si="128"/>
        <v>105</v>
      </c>
      <c r="M121" s="392">
        <f t="shared" si="128"/>
        <v>0</v>
      </c>
    </row>
    <row r="122">
      <c r="A122" s="372">
        <f t="shared" si="126"/>
        <v>46073</v>
      </c>
      <c r="B122" s="20"/>
      <c r="C122" s="387" t="s">
        <v>284</v>
      </c>
      <c r="D122" s="388">
        <f>sumifs('jiliarena_代理数据_底稿'!$G:$G,'jiliarena_代理数据_底稿'!$B:$B,D$42,'jiliarena_代理数据_底稿'!$A:$A,$B119)</f>
        <v>276</v>
      </c>
      <c r="E122" s="388">
        <f>sumifs('jiliarena_代理数据_底稿'!$G:$G,'jiliarena_代理数据_底稿'!$B:$B,E$42,'jiliarena_代理数据_底稿'!$A:$A,$B119)</f>
        <v>197</v>
      </c>
      <c r="F122" s="388">
        <f>sumifs('jiliarena_代理数据_底稿'!$G:$G,'jiliarena_代理数据_底稿'!$B:$B,F$42,'jiliarena_代理数据_底稿'!$A:$A,$B119)</f>
        <v>59</v>
      </c>
      <c r="G122" s="393">
        <f t="shared" si="36"/>
        <v>532</v>
      </c>
      <c r="H122" s="389" t="str">
        <f t="array" ref="H122">INDEX(jiliarena!$A$3:$M$49,MATCH($A122,jiliarena!$A$3:$A$49,0),MATCH("存款人数",jiliarena!$A$3:$M$3,0))-G122</f>
        <v>#N/A</v>
      </c>
      <c r="I122" s="20"/>
      <c r="J122" s="387" t="s">
        <v>284</v>
      </c>
      <c r="K122" s="394">
        <f t="shared" ref="K122:M122" si="129">D118-D122</f>
        <v>27</v>
      </c>
      <c r="L122" s="394">
        <f t="shared" si="129"/>
        <v>21</v>
      </c>
      <c r="M122" s="394">
        <f t="shared" si="129"/>
        <v>-6</v>
      </c>
    </row>
    <row r="123">
      <c r="A123" s="372">
        <f t="shared" ref="A123:A126" si="131">$B$123</f>
        <v>46074</v>
      </c>
      <c r="B123" s="373">
        <f>B119+1</f>
        <v>46074</v>
      </c>
      <c r="C123" s="374" t="s">
        <v>144</v>
      </c>
      <c r="D123" s="375">
        <f>sumifs('jiliarena_代理数据_底稿'!$I:$I,'jiliarena_代理数据_底稿'!$B:$B,D$42,'jiliarena_代理数据_底稿'!$A:$A,$B123)</f>
        <v>0</v>
      </c>
      <c r="E123" s="375">
        <f>sumifs('jiliarena_代理数据_底稿'!$I:$I,'jiliarena_代理数据_底稿'!$B:$B,E$42,'jiliarena_代理数据_底稿'!$A:$A,$B123)</f>
        <v>0</v>
      </c>
      <c r="F123" s="375">
        <f>sumifs('jiliarena_代理数据_底稿'!$I:$I,'jiliarena_代理数据_底稿'!$B:$B,F$42,'jiliarena_代理数据_底稿'!$A:$A,$B123)</f>
        <v>0</v>
      </c>
      <c r="G123" s="375">
        <f t="shared" si="36"/>
        <v>0</v>
      </c>
      <c r="H123" s="376" t="str">
        <f t="array" ref="H123">INDEX(jiliarena!$A$3:$M$49,MATCH($A123,jiliarena!$A$3:$A$49,0),MATCH($C$43,jiliarena!$A$3:$M$3,0))-G123</f>
        <v>#N/A</v>
      </c>
      <c r="I123" s="377">
        <f>B123</f>
        <v>46074</v>
      </c>
      <c r="J123" s="374" t="s">
        <v>144</v>
      </c>
      <c r="K123" s="379">
        <f t="shared" ref="K123:M123" si="130">D119-D123</f>
        <v>88</v>
      </c>
      <c r="L123" s="379">
        <f t="shared" si="130"/>
        <v>461</v>
      </c>
      <c r="M123" s="379">
        <f t="shared" si="130"/>
        <v>55</v>
      </c>
    </row>
    <row r="124">
      <c r="A124" s="372">
        <f t="shared" si="131"/>
        <v>46074</v>
      </c>
      <c r="B124" s="11"/>
      <c r="C124" s="380" t="s">
        <v>146</v>
      </c>
      <c r="D124" s="381">
        <f>sumifs('jiliarena_代理数据_底稿'!$E:$E,'jiliarena_代理数据_底稿'!$B:$B,D$42,'jiliarena_代理数据_底稿'!$A:$A,$B123)</f>
        <v>0</v>
      </c>
      <c r="E124" s="391">
        <f>sumifs('jiliarena_代理数据_底稿'!$E:$E,'jiliarena_代理数据_底稿'!$B:$B,E$42,'jiliarena_代理数据_底稿'!$A:$A,$B123)</f>
        <v>0</v>
      </c>
      <c r="F124" s="381">
        <f>sumifs('jiliarena_代理数据_底稿'!$E:$E,'jiliarena_代理数据_底稿'!$B:$B,F$42,'jiliarena_代理数据_底稿'!$A:$A,$B123)</f>
        <v>0</v>
      </c>
      <c r="G124" s="381">
        <f t="shared" si="36"/>
        <v>0</v>
      </c>
      <c r="H124" s="382" t="str">
        <f t="array" ref="H124">INDEX(jiliarena!$A$3:$M$49,MATCH($A124,jiliarena!$A$3:$A$49,0),MATCH("登录人数",jiliarena!$A$3:$M$3,0))-G124</f>
        <v>#N/A</v>
      </c>
      <c r="I124" s="11"/>
      <c r="J124" s="380" t="s">
        <v>146</v>
      </c>
      <c r="K124" s="392">
        <f t="shared" ref="K124:M124" si="132">D120-D124</f>
        <v>2237</v>
      </c>
      <c r="L124" s="384">
        <f t="shared" si="132"/>
        <v>1286</v>
      </c>
      <c r="M124" s="392">
        <f t="shared" si="132"/>
        <v>345</v>
      </c>
    </row>
    <row r="125">
      <c r="A125" s="372">
        <f t="shared" si="131"/>
        <v>46074</v>
      </c>
      <c r="B125" s="11"/>
      <c r="C125" s="385" t="s">
        <v>151</v>
      </c>
      <c r="D125" s="381">
        <f>sumifs('jiliarena_代理数据_底稿'!$F:$F,'jiliarena_代理数据_底稿'!$B:$B,D$42,'jiliarena_代理数据_底稿'!$A:$A,$B123)</f>
        <v>0</v>
      </c>
      <c r="E125" s="381">
        <f>sumifs('jiliarena_代理数据_底稿'!$F:$F,'jiliarena_代理数据_底稿'!$B:$B,E$42,'jiliarena_代理数据_底稿'!$A:$A,$B123)</f>
        <v>0</v>
      </c>
      <c r="F125" s="381">
        <f>sumifs('jiliarena_代理数据_底稿'!$F:$F,'jiliarena_代理数据_底稿'!$B:$B,F$42,'jiliarena_代理数据_底稿'!$A:$A,$B123)</f>
        <v>0</v>
      </c>
      <c r="G125" s="381">
        <f t="shared" si="36"/>
        <v>0</v>
      </c>
      <c r="H125" s="382" t="str">
        <f t="array" ref="H125">INDEX(jiliarena!$A$3:$M$49,MATCH($A125,jiliarena!$A$3:$A$49,0),MATCH("投注人数",jiliarena!$A$3:$M$3,0))-G125</f>
        <v>#N/A</v>
      </c>
      <c r="I125" s="11"/>
      <c r="J125" s="385" t="s">
        <v>151</v>
      </c>
      <c r="K125" s="392">
        <f t="shared" ref="K125:M125" si="133">D121-D125</f>
        <v>1589</v>
      </c>
      <c r="L125" s="392">
        <f t="shared" si="133"/>
        <v>881</v>
      </c>
      <c r="M125" s="392">
        <f t="shared" si="133"/>
        <v>245</v>
      </c>
    </row>
    <row r="126">
      <c r="A126" s="372">
        <f t="shared" si="131"/>
        <v>46074</v>
      </c>
      <c r="B126" s="20"/>
      <c r="C126" s="387" t="s">
        <v>284</v>
      </c>
      <c r="D126" s="388">
        <f>sumifs('jiliarena_代理数据_底稿'!$G:$G,'jiliarena_代理数据_底稿'!$B:$B,D$42,'jiliarena_代理数据_底稿'!$A:$A,$B123)</f>
        <v>0</v>
      </c>
      <c r="E126" s="388">
        <f>sumifs('jiliarena_代理数据_底稿'!$G:$G,'jiliarena_代理数据_底稿'!$B:$B,E$42,'jiliarena_代理数据_底稿'!$A:$A,$B123)</f>
        <v>0</v>
      </c>
      <c r="F126" s="388">
        <f>sumifs('jiliarena_代理数据_底稿'!$G:$G,'jiliarena_代理数据_底稿'!$B:$B,F$42,'jiliarena_代理数据_底稿'!$A:$A,$B123)</f>
        <v>0</v>
      </c>
      <c r="G126" s="393">
        <f t="shared" si="36"/>
        <v>0</v>
      </c>
      <c r="H126" s="389" t="str">
        <f t="array" ref="H126">INDEX(jiliarena!$A$3:$M$49,MATCH($A126,jiliarena!$A$3:$A$49,0),MATCH("存款人数",jiliarena!$A$3:$M$3,0))-G126</f>
        <v>#N/A</v>
      </c>
      <c r="I126" s="20"/>
      <c r="J126" s="387" t="s">
        <v>284</v>
      </c>
      <c r="K126" s="394">
        <f t="shared" ref="K126:M126" si="134">D122-D126</f>
        <v>276</v>
      </c>
      <c r="L126" s="394">
        <f t="shared" si="134"/>
        <v>197</v>
      </c>
      <c r="M126" s="394">
        <f t="shared" si="134"/>
        <v>59</v>
      </c>
    </row>
    <row r="127">
      <c r="A127" s="372">
        <f t="shared" ref="A127:A130" si="136">$B$127</f>
        <v>46075</v>
      </c>
      <c r="B127" s="373">
        <f>B123+1</f>
        <v>46075</v>
      </c>
      <c r="C127" s="374" t="s">
        <v>144</v>
      </c>
      <c r="D127" s="375">
        <f>sumifs('jiliarena_代理数据_底稿'!$I:$I,'jiliarena_代理数据_底稿'!$B:$B,D$42,'jiliarena_代理数据_底稿'!$A:$A,$B127)</f>
        <v>0</v>
      </c>
      <c r="E127" s="375">
        <f>sumifs('jiliarena_代理数据_底稿'!$I:$I,'jiliarena_代理数据_底稿'!$B:$B,E$42,'jiliarena_代理数据_底稿'!$A:$A,$B127)</f>
        <v>0</v>
      </c>
      <c r="F127" s="375">
        <f>sumifs('jiliarena_代理数据_底稿'!$I:$I,'jiliarena_代理数据_底稿'!$B:$B,F$42,'jiliarena_代理数据_底稿'!$A:$A,$B127)</f>
        <v>0</v>
      </c>
      <c r="G127" s="375">
        <f t="shared" si="36"/>
        <v>0</v>
      </c>
      <c r="H127" s="376" t="str">
        <f t="array" ref="H127">INDEX(jiliarena!$A$3:$M$49,MATCH($A127,jiliarena!$A$3:$A$49,0),MATCH($C$43,jiliarena!$A$3:$M$3,0))-G127</f>
        <v>#N/A</v>
      </c>
      <c r="I127" s="377">
        <f>B127</f>
        <v>46075</v>
      </c>
      <c r="J127" s="374" t="s">
        <v>144</v>
      </c>
      <c r="K127" s="379">
        <f t="shared" ref="K127:M127" si="135">D123-D127</f>
        <v>0</v>
      </c>
      <c r="L127" s="379">
        <f t="shared" si="135"/>
        <v>0</v>
      </c>
      <c r="M127" s="379">
        <f t="shared" si="135"/>
        <v>0</v>
      </c>
    </row>
    <row r="128">
      <c r="A128" s="372">
        <f t="shared" si="136"/>
        <v>46075</v>
      </c>
      <c r="B128" s="11"/>
      <c r="C128" s="380" t="s">
        <v>146</v>
      </c>
      <c r="D128" s="381">
        <f>sumifs('jiliarena_代理数据_底稿'!$E:$E,'jiliarena_代理数据_底稿'!$B:$B,D$42,'jiliarena_代理数据_底稿'!$A:$A,$B127)</f>
        <v>0</v>
      </c>
      <c r="E128" s="391">
        <f>sumifs('jiliarena_代理数据_底稿'!$E:$E,'jiliarena_代理数据_底稿'!$B:$B,E$42,'jiliarena_代理数据_底稿'!$A:$A,$B127)</f>
        <v>0</v>
      </c>
      <c r="F128" s="381">
        <f>sumifs('jiliarena_代理数据_底稿'!$E:$E,'jiliarena_代理数据_底稿'!$B:$B,F$42,'jiliarena_代理数据_底稿'!$A:$A,$B127)</f>
        <v>0</v>
      </c>
      <c r="G128" s="381">
        <f t="shared" si="36"/>
        <v>0</v>
      </c>
      <c r="H128" s="382" t="str">
        <f t="array" ref="H128">INDEX(jiliarena!$A$3:$M$49,MATCH($A128,jiliarena!$A$3:$A$49,0),MATCH("登录人数",jiliarena!$A$3:$M$3,0))-G128</f>
        <v>#N/A</v>
      </c>
      <c r="I128" s="11"/>
      <c r="J128" s="380" t="s">
        <v>146</v>
      </c>
      <c r="K128" s="392">
        <f t="shared" ref="K128:M128" si="137">D124-D128</f>
        <v>0</v>
      </c>
      <c r="L128" s="384">
        <f t="shared" si="137"/>
        <v>0</v>
      </c>
      <c r="M128" s="392">
        <f t="shared" si="137"/>
        <v>0</v>
      </c>
    </row>
    <row r="129">
      <c r="A129" s="372">
        <f t="shared" si="136"/>
        <v>46075</v>
      </c>
      <c r="B129" s="11"/>
      <c r="C129" s="385" t="s">
        <v>151</v>
      </c>
      <c r="D129" s="381">
        <f>sumifs('jiliarena_代理数据_底稿'!$F:$F,'jiliarena_代理数据_底稿'!$B:$B,D$42,'jiliarena_代理数据_底稿'!$A:$A,$B127)</f>
        <v>0</v>
      </c>
      <c r="E129" s="381">
        <f>sumifs('jiliarena_代理数据_底稿'!$F:$F,'jiliarena_代理数据_底稿'!$B:$B,E$42,'jiliarena_代理数据_底稿'!$A:$A,$B127)</f>
        <v>0</v>
      </c>
      <c r="F129" s="381">
        <f>sumifs('jiliarena_代理数据_底稿'!$F:$F,'jiliarena_代理数据_底稿'!$B:$B,F$42,'jiliarena_代理数据_底稿'!$A:$A,$B127)</f>
        <v>0</v>
      </c>
      <c r="G129" s="381">
        <f t="shared" si="36"/>
        <v>0</v>
      </c>
      <c r="H129" s="382" t="str">
        <f t="array" ref="H129">INDEX(jiliarena!$A$3:$M$49,MATCH($A129,jiliarena!$A$3:$A$49,0),MATCH("投注人数",jiliarena!$A$3:$M$3,0))-G129</f>
        <v>#N/A</v>
      </c>
      <c r="I129" s="11"/>
      <c r="J129" s="385" t="s">
        <v>151</v>
      </c>
      <c r="K129" s="392">
        <f t="shared" ref="K129:M129" si="138">D125-D129</f>
        <v>0</v>
      </c>
      <c r="L129" s="392">
        <f t="shared" si="138"/>
        <v>0</v>
      </c>
      <c r="M129" s="392">
        <f t="shared" si="138"/>
        <v>0</v>
      </c>
    </row>
    <row r="130">
      <c r="A130" s="372">
        <f t="shared" si="136"/>
        <v>46075</v>
      </c>
      <c r="B130" s="20"/>
      <c r="C130" s="387" t="s">
        <v>284</v>
      </c>
      <c r="D130" s="388">
        <f>sumifs('jiliarena_代理数据_底稿'!$G:$G,'jiliarena_代理数据_底稿'!$B:$B,D$42,'jiliarena_代理数据_底稿'!$A:$A,$B127)</f>
        <v>0</v>
      </c>
      <c r="E130" s="388">
        <f>sumifs('jiliarena_代理数据_底稿'!$G:$G,'jiliarena_代理数据_底稿'!$B:$B,E$42,'jiliarena_代理数据_底稿'!$A:$A,$B127)</f>
        <v>0</v>
      </c>
      <c r="F130" s="388">
        <f>sumifs('jiliarena_代理数据_底稿'!$G:$G,'jiliarena_代理数据_底稿'!$B:$B,F$42,'jiliarena_代理数据_底稿'!$A:$A,$B127)</f>
        <v>0</v>
      </c>
      <c r="G130" s="393">
        <f t="shared" si="36"/>
        <v>0</v>
      </c>
      <c r="H130" s="389" t="str">
        <f t="array" ref="H130">INDEX(jiliarena!$A$3:$M$49,MATCH($A130,jiliarena!$A$3:$A$49,0),MATCH("存款人数",jiliarena!$A$3:$M$3,0))-G130</f>
        <v>#N/A</v>
      </c>
      <c r="I130" s="20"/>
      <c r="J130" s="387" t="s">
        <v>284</v>
      </c>
      <c r="K130" s="394">
        <f t="shared" ref="K130:M130" si="139">D126-D130</f>
        <v>0</v>
      </c>
      <c r="L130" s="394">
        <f t="shared" si="139"/>
        <v>0</v>
      </c>
      <c r="M130" s="394">
        <f t="shared" si="139"/>
        <v>0</v>
      </c>
    </row>
    <row r="131">
      <c r="A131" s="372">
        <f t="shared" ref="A131:A134" si="141">$B$131</f>
        <v>46076</v>
      </c>
      <c r="B131" s="373">
        <f>B127+1</f>
        <v>46076</v>
      </c>
      <c r="C131" s="374" t="s">
        <v>144</v>
      </c>
      <c r="D131" s="375">
        <f>sumifs('jiliarena_代理数据_底稿'!$I:$I,'jiliarena_代理数据_底稿'!$B:$B,D$42,'jiliarena_代理数据_底稿'!$A:$A,$B131)</f>
        <v>0</v>
      </c>
      <c r="E131" s="375">
        <f>sumifs('jiliarena_代理数据_底稿'!$I:$I,'jiliarena_代理数据_底稿'!$B:$B,E$42,'jiliarena_代理数据_底稿'!$A:$A,$B131)</f>
        <v>0</v>
      </c>
      <c r="F131" s="375">
        <f>sumifs('jiliarena_代理数据_底稿'!$I:$I,'jiliarena_代理数据_底稿'!$B:$B,F$42,'jiliarena_代理数据_底稿'!$A:$A,$B131)</f>
        <v>0</v>
      </c>
      <c r="G131" s="375">
        <f t="shared" si="36"/>
        <v>0</v>
      </c>
      <c r="H131" s="376">
        <f t="array" ref="H131">INDEX(jiliarena!$A$3:$M$49,MATCH($A131,jiliarena!$A$3:$A$49,0),MATCH($C$43,jiliarena!$A$3:$M$3,0))-G131</f>
        <v>623</v>
      </c>
      <c r="I131" s="377">
        <f>B131</f>
        <v>46076</v>
      </c>
      <c r="J131" s="374" t="s">
        <v>144</v>
      </c>
      <c r="K131" s="379">
        <f t="shared" ref="K131:M131" si="140">D127-D131</f>
        <v>0</v>
      </c>
      <c r="L131" s="379">
        <f t="shared" si="140"/>
        <v>0</v>
      </c>
      <c r="M131" s="379">
        <f t="shared" si="140"/>
        <v>0</v>
      </c>
    </row>
    <row r="132">
      <c r="A132" s="372">
        <f t="shared" si="141"/>
        <v>46076</v>
      </c>
      <c r="B132" s="11"/>
      <c r="C132" s="380" t="s">
        <v>146</v>
      </c>
      <c r="D132" s="381">
        <f>sumifs('jiliarena_代理数据_底稿'!$E:$E,'jiliarena_代理数据_底稿'!$B:$B,D$42,'jiliarena_代理数据_底稿'!$A:$A,$B131)</f>
        <v>0</v>
      </c>
      <c r="E132" s="391">
        <f>sumifs('jiliarena_代理数据_底稿'!$E:$E,'jiliarena_代理数据_底稿'!$B:$B,E$42,'jiliarena_代理数据_底稿'!$A:$A,$B131)</f>
        <v>0</v>
      </c>
      <c r="F132" s="381">
        <f>sumifs('jiliarena_代理数据_底稿'!$E:$E,'jiliarena_代理数据_底稿'!$B:$B,F$42,'jiliarena_代理数据_底稿'!$A:$A,$B131)</f>
        <v>0</v>
      </c>
      <c r="G132" s="381">
        <f t="shared" si="36"/>
        <v>0</v>
      </c>
      <c r="H132" s="382">
        <f t="array" ref="H132">INDEX(jiliarena!$A$3:$M$49,MATCH($A132,jiliarena!$A$3:$A$49,0),MATCH("登录人数",jiliarena!$A$3:$M$3,0))-G132</f>
        <v>3493</v>
      </c>
      <c r="I132" s="11"/>
      <c r="J132" s="380" t="s">
        <v>146</v>
      </c>
      <c r="K132" s="392">
        <f t="shared" ref="K132:M132" si="142">D128-D132</f>
        <v>0</v>
      </c>
      <c r="L132" s="384">
        <f t="shared" si="142"/>
        <v>0</v>
      </c>
      <c r="M132" s="392">
        <f t="shared" si="142"/>
        <v>0</v>
      </c>
    </row>
    <row r="133">
      <c r="A133" s="372">
        <f t="shared" si="141"/>
        <v>46076</v>
      </c>
      <c r="B133" s="11"/>
      <c r="C133" s="385" t="s">
        <v>151</v>
      </c>
      <c r="D133" s="381">
        <f>sumifs('jiliarena_代理数据_底稿'!$F:$F,'jiliarena_代理数据_底稿'!$B:$B,D$42,'jiliarena_代理数据_底稿'!$A:$A,$B131)</f>
        <v>0</v>
      </c>
      <c r="E133" s="381">
        <f>sumifs('jiliarena_代理数据_底稿'!$F:$F,'jiliarena_代理数据_底稿'!$B:$B,E$42,'jiliarena_代理数据_底稿'!$A:$A,$B131)</f>
        <v>0</v>
      </c>
      <c r="F133" s="381">
        <f>sumifs('jiliarena_代理数据_底稿'!$F:$F,'jiliarena_代理数据_底稿'!$B:$B,F$42,'jiliarena_代理数据_底稿'!$A:$A,$B131)</f>
        <v>0</v>
      </c>
      <c r="G133" s="381">
        <f t="shared" si="36"/>
        <v>0</v>
      </c>
      <c r="H133" s="382">
        <f t="array" ref="H133">INDEX(jiliarena!$A$3:$M$49,MATCH($A133,jiliarena!$A$3:$A$49,0),MATCH("投注人数",jiliarena!$A$3:$M$3,0))-G133</f>
        <v>2358</v>
      </c>
      <c r="I133" s="11"/>
      <c r="J133" s="385" t="s">
        <v>151</v>
      </c>
      <c r="K133" s="392">
        <f t="shared" ref="K133:M133" si="143">D129-D133</f>
        <v>0</v>
      </c>
      <c r="L133" s="392">
        <f t="shared" si="143"/>
        <v>0</v>
      </c>
      <c r="M133" s="392">
        <f t="shared" si="143"/>
        <v>0</v>
      </c>
    </row>
    <row r="134">
      <c r="A134" s="372">
        <f t="shared" si="141"/>
        <v>46076</v>
      </c>
      <c r="B134" s="20"/>
      <c r="C134" s="387" t="s">
        <v>284</v>
      </c>
      <c r="D134" s="388">
        <f>sumifs('jiliarena_代理数据_底稿'!$G:$G,'jiliarena_代理数据_底稿'!$B:$B,D$42,'jiliarena_代理数据_底稿'!$A:$A,$B131)</f>
        <v>0</v>
      </c>
      <c r="E134" s="388">
        <f>sumifs('jiliarena_代理数据_底稿'!$G:$G,'jiliarena_代理数据_底稿'!$B:$B,E$42,'jiliarena_代理数据_底稿'!$A:$A,$B131)</f>
        <v>0</v>
      </c>
      <c r="F134" s="388">
        <f>sumifs('jiliarena_代理数据_底稿'!$G:$G,'jiliarena_代理数据_底稿'!$B:$B,F$42,'jiliarena_代理数据_底稿'!$A:$A,$B131)</f>
        <v>0</v>
      </c>
      <c r="G134" s="393">
        <f t="shared" si="36"/>
        <v>0</v>
      </c>
      <c r="H134" s="389">
        <f t="array" ref="H134">INDEX(jiliarena!$A$3:$M$49,MATCH($A134,jiliarena!$A$3:$A$49,0),MATCH("存款人数",jiliarena!$A$3:$M$3,0))-G134</f>
        <v>419</v>
      </c>
      <c r="I134" s="20"/>
      <c r="J134" s="387" t="s">
        <v>284</v>
      </c>
      <c r="K134" s="394">
        <f t="shared" ref="K134:M134" si="144">D130-D134</f>
        <v>0</v>
      </c>
      <c r="L134" s="394">
        <f t="shared" si="144"/>
        <v>0</v>
      </c>
      <c r="M134" s="394">
        <f t="shared" si="144"/>
        <v>0</v>
      </c>
    </row>
    <row r="135">
      <c r="A135" s="372">
        <f t="shared" ref="A135:A138" si="146">$B$135</f>
        <v>46077</v>
      </c>
      <c r="B135" s="373">
        <f>B131+1</f>
        <v>46077</v>
      </c>
      <c r="C135" s="374" t="s">
        <v>144</v>
      </c>
      <c r="D135" s="375">
        <f>sumifs('jiliarena_代理数据_底稿'!$I:$I,'jiliarena_代理数据_底稿'!$B:$B,D$42,'jiliarena_代理数据_底稿'!$A:$A,$B135)</f>
        <v>0</v>
      </c>
      <c r="E135" s="375">
        <f>sumifs('jiliarena_代理数据_底稿'!$I:$I,'jiliarena_代理数据_底稿'!$B:$B,E$42,'jiliarena_代理数据_底稿'!$A:$A,$B135)</f>
        <v>0</v>
      </c>
      <c r="F135" s="375">
        <f>sumifs('jiliarena_代理数据_底稿'!$I:$I,'jiliarena_代理数据_底稿'!$B:$B,F$42,'jiliarena_代理数据_底稿'!$A:$A,$B135)</f>
        <v>0</v>
      </c>
      <c r="G135" s="375">
        <f t="shared" si="36"/>
        <v>0</v>
      </c>
      <c r="H135" s="376">
        <f t="array" ref="H135">INDEX(jiliarena!$A$3:$M$49,MATCH($A135,jiliarena!$A$3:$A$49,0),MATCH($C$43,jiliarena!$A$3:$M$3,0))-G135</f>
        <v>707</v>
      </c>
      <c r="I135" s="377">
        <f>B135</f>
        <v>46077</v>
      </c>
      <c r="J135" s="374" t="s">
        <v>144</v>
      </c>
      <c r="K135" s="379">
        <f t="shared" ref="K135:M135" si="145">D131-D135</f>
        <v>0</v>
      </c>
      <c r="L135" s="379">
        <f t="shared" si="145"/>
        <v>0</v>
      </c>
      <c r="M135" s="379">
        <f t="shared" si="145"/>
        <v>0</v>
      </c>
    </row>
    <row r="136">
      <c r="A136" s="372">
        <f t="shared" si="146"/>
        <v>46077</v>
      </c>
      <c r="B136" s="11"/>
      <c r="C136" s="380" t="s">
        <v>146</v>
      </c>
      <c r="D136" s="381">
        <f>sumifs('jiliarena_代理数据_底稿'!$E:$E,'jiliarena_代理数据_底稿'!$B:$B,D$42,'jiliarena_代理数据_底稿'!$A:$A,$B135)</f>
        <v>0</v>
      </c>
      <c r="E136" s="391">
        <f>sumifs('jiliarena_代理数据_底稿'!$E:$E,'jiliarena_代理数据_底稿'!$B:$B,E$42,'jiliarena_代理数据_底稿'!$A:$A,$B135)</f>
        <v>0</v>
      </c>
      <c r="F136" s="381">
        <f>sumifs('jiliarena_代理数据_底稿'!$E:$E,'jiliarena_代理数据_底稿'!$B:$B,F$42,'jiliarena_代理数据_底稿'!$A:$A,$B135)</f>
        <v>0</v>
      </c>
      <c r="G136" s="381">
        <f t="shared" si="36"/>
        <v>0</v>
      </c>
      <c r="H136" s="382">
        <f t="array" ref="H136">INDEX(jiliarena!$A$3:$M$49,MATCH($A136,jiliarena!$A$3:$A$49,0),MATCH("登录人数",jiliarena!$A$3:$M$3,0))-G136</f>
        <v>3785</v>
      </c>
      <c r="I136" s="11"/>
      <c r="J136" s="380" t="s">
        <v>146</v>
      </c>
      <c r="K136" s="392">
        <f t="shared" ref="K136:M136" si="147">D132-D136</f>
        <v>0</v>
      </c>
      <c r="L136" s="384">
        <f t="shared" si="147"/>
        <v>0</v>
      </c>
      <c r="M136" s="392">
        <f t="shared" si="147"/>
        <v>0</v>
      </c>
    </row>
    <row r="137">
      <c r="A137" s="372">
        <f t="shared" si="146"/>
        <v>46077</v>
      </c>
      <c r="B137" s="11"/>
      <c r="C137" s="385" t="s">
        <v>151</v>
      </c>
      <c r="D137" s="381">
        <f>sumifs('jiliarena_代理数据_底稿'!$F:$F,'jiliarena_代理数据_底稿'!$B:$B,D$42,'jiliarena_代理数据_底稿'!$A:$A,$B135)</f>
        <v>0</v>
      </c>
      <c r="E137" s="381">
        <f>sumifs('jiliarena_代理数据_底稿'!$F:$F,'jiliarena_代理数据_底稿'!$B:$B,E$42,'jiliarena_代理数据_底稿'!$A:$A,$B135)</f>
        <v>0</v>
      </c>
      <c r="F137" s="381">
        <f>sumifs('jiliarena_代理数据_底稿'!$F:$F,'jiliarena_代理数据_底稿'!$B:$B,F$42,'jiliarena_代理数据_底稿'!$A:$A,$B135)</f>
        <v>0</v>
      </c>
      <c r="G137" s="381">
        <f t="shared" si="36"/>
        <v>0</v>
      </c>
      <c r="H137" s="382">
        <f t="array" ref="H137">INDEX(jiliarena!$A$3:$M$49,MATCH($A137,jiliarena!$A$3:$A$49,0),MATCH("投注人数",jiliarena!$A$3:$M$3,0))-G137</f>
        <v>2686</v>
      </c>
      <c r="I137" s="11"/>
      <c r="J137" s="385" t="s">
        <v>151</v>
      </c>
      <c r="K137" s="392">
        <f t="shared" ref="K137:M137" si="148">D133-D137</f>
        <v>0</v>
      </c>
      <c r="L137" s="392">
        <f t="shared" si="148"/>
        <v>0</v>
      </c>
      <c r="M137" s="392">
        <f t="shared" si="148"/>
        <v>0</v>
      </c>
    </row>
    <row r="138">
      <c r="A138" s="372">
        <f t="shared" si="146"/>
        <v>46077</v>
      </c>
      <c r="B138" s="20"/>
      <c r="C138" s="387" t="s">
        <v>284</v>
      </c>
      <c r="D138" s="388">
        <f>sumifs('jiliarena_代理数据_底稿'!$G:$G,'jiliarena_代理数据_底稿'!$B:$B,D$42,'jiliarena_代理数据_底稿'!$A:$A,$B135)</f>
        <v>0</v>
      </c>
      <c r="E138" s="388">
        <f>sumifs('jiliarena_代理数据_底稿'!$G:$G,'jiliarena_代理数据_底稿'!$B:$B,E$42,'jiliarena_代理数据_底稿'!$A:$A,$B135)</f>
        <v>0</v>
      </c>
      <c r="F138" s="388">
        <f>sumifs('jiliarena_代理数据_底稿'!$G:$G,'jiliarena_代理数据_底稿'!$B:$B,F$42,'jiliarena_代理数据_底稿'!$A:$A,$B135)</f>
        <v>0</v>
      </c>
      <c r="G138" s="393">
        <f t="shared" si="36"/>
        <v>0</v>
      </c>
      <c r="H138" s="389">
        <f t="array" ref="H138">INDEX(jiliarena!$A$3:$M$49,MATCH($A138,jiliarena!$A$3:$A$49,0),MATCH("存款人数",jiliarena!$A$3:$M$3,0))-G138</f>
        <v>498</v>
      </c>
      <c r="I138" s="20"/>
      <c r="J138" s="387" t="s">
        <v>284</v>
      </c>
      <c r="K138" s="394">
        <f t="shared" ref="K138:M138" si="149">D134-D138</f>
        <v>0</v>
      </c>
      <c r="L138" s="394">
        <f t="shared" si="149"/>
        <v>0</v>
      </c>
      <c r="M138" s="394">
        <f t="shared" si="149"/>
        <v>0</v>
      </c>
    </row>
    <row r="139">
      <c r="A139" s="372">
        <f t="shared" ref="A139:A142" si="151">$B$139</f>
        <v>46078</v>
      </c>
      <c r="B139" s="373">
        <f>B135+1</f>
        <v>46078</v>
      </c>
      <c r="C139" s="374" t="s">
        <v>144</v>
      </c>
      <c r="D139" s="375">
        <f>sumifs('jiliarena_代理数据_底稿'!$I:$I,'jiliarena_代理数据_底稿'!$B:$B,D$42,'jiliarena_代理数据_底稿'!$A:$A,$B139)</f>
        <v>0</v>
      </c>
      <c r="E139" s="375">
        <f>sumifs('jiliarena_代理数据_底稿'!$I:$I,'jiliarena_代理数据_底稿'!$B:$B,E$42,'jiliarena_代理数据_底稿'!$A:$A,$B139)</f>
        <v>0</v>
      </c>
      <c r="F139" s="375">
        <f>sumifs('jiliarena_代理数据_底稿'!$I:$I,'jiliarena_代理数据_底稿'!$B:$B,F$42,'jiliarena_代理数据_底稿'!$A:$A,$B139)</f>
        <v>0</v>
      </c>
      <c r="G139" s="375">
        <f t="shared" si="36"/>
        <v>0</v>
      </c>
      <c r="H139" s="376">
        <f t="array" ref="H139">INDEX(jiliarena!$A$3:$M$49,MATCH($A139,jiliarena!$A$3:$A$49,0),MATCH($C$43,jiliarena!$A$3:$M$3,0))-G139</f>
        <v>826</v>
      </c>
      <c r="I139" s="377">
        <f>B139</f>
        <v>46078</v>
      </c>
      <c r="J139" s="374" t="s">
        <v>144</v>
      </c>
      <c r="K139" s="379">
        <f t="shared" ref="K139:M139" si="150">D135-D139</f>
        <v>0</v>
      </c>
      <c r="L139" s="379">
        <f t="shared" si="150"/>
        <v>0</v>
      </c>
      <c r="M139" s="379">
        <f t="shared" si="150"/>
        <v>0</v>
      </c>
    </row>
    <row r="140">
      <c r="A140" s="372">
        <f t="shared" si="151"/>
        <v>46078</v>
      </c>
      <c r="B140" s="11"/>
      <c r="C140" s="380" t="s">
        <v>146</v>
      </c>
      <c r="D140" s="381">
        <f>sumifs('jiliarena_代理数据_底稿'!$E:$E,'jiliarena_代理数据_底稿'!$B:$B,D$42,'jiliarena_代理数据_底稿'!$A:$A,$B139)</f>
        <v>0</v>
      </c>
      <c r="E140" s="391">
        <f>sumifs('jiliarena_代理数据_底稿'!$E:$E,'jiliarena_代理数据_底稿'!$B:$B,E$42,'jiliarena_代理数据_底稿'!$A:$A,$B139)</f>
        <v>0</v>
      </c>
      <c r="F140" s="381">
        <f>sumifs('jiliarena_代理数据_底稿'!$E:$E,'jiliarena_代理数据_底稿'!$B:$B,F$42,'jiliarena_代理数据_底稿'!$A:$A,$B139)</f>
        <v>0</v>
      </c>
      <c r="G140" s="381">
        <f t="shared" si="36"/>
        <v>0</v>
      </c>
      <c r="H140" s="382">
        <f t="array" ref="H140">INDEX(jiliarena!$A$3:$M$49,MATCH($A140,jiliarena!$A$3:$A$49,0),MATCH("登录人数",jiliarena!$A$3:$M$3,0))-G140</f>
        <v>3611</v>
      </c>
      <c r="I140" s="11"/>
      <c r="J140" s="380" t="s">
        <v>146</v>
      </c>
      <c r="K140" s="392">
        <f t="shared" ref="K140:M140" si="152">D136-D140</f>
        <v>0</v>
      </c>
      <c r="L140" s="384">
        <f t="shared" si="152"/>
        <v>0</v>
      </c>
      <c r="M140" s="392">
        <f t="shared" si="152"/>
        <v>0</v>
      </c>
    </row>
    <row r="141">
      <c r="A141" s="372">
        <f t="shared" si="151"/>
        <v>46078</v>
      </c>
      <c r="B141" s="11"/>
      <c r="C141" s="385" t="s">
        <v>151</v>
      </c>
      <c r="D141" s="381">
        <f>sumifs('jiliarena_代理数据_底稿'!$F:$F,'jiliarena_代理数据_底稿'!$B:$B,D$42,'jiliarena_代理数据_底稿'!$A:$A,$B139)</f>
        <v>0</v>
      </c>
      <c r="E141" s="381">
        <f>sumifs('jiliarena_代理数据_底稿'!$F:$F,'jiliarena_代理数据_底稿'!$B:$B,E$42,'jiliarena_代理数据_底稿'!$A:$A,$B139)</f>
        <v>0</v>
      </c>
      <c r="F141" s="381">
        <f>sumifs('jiliarena_代理数据_底稿'!$F:$F,'jiliarena_代理数据_底稿'!$B:$B,F$42,'jiliarena_代理数据_底稿'!$A:$A,$B139)</f>
        <v>0</v>
      </c>
      <c r="G141" s="381">
        <f t="shared" si="36"/>
        <v>0</v>
      </c>
      <c r="H141" s="382">
        <f t="array" ref="H141">INDEX(jiliarena!$A$3:$M$49,MATCH($A141,jiliarena!$A$3:$A$49,0),MATCH("投注人数",jiliarena!$A$3:$M$3,0))-G141</f>
        <v>2548</v>
      </c>
      <c r="I141" s="11"/>
      <c r="J141" s="385" t="s">
        <v>151</v>
      </c>
      <c r="K141" s="392">
        <f t="shared" ref="K141:M141" si="153">D137-D141</f>
        <v>0</v>
      </c>
      <c r="L141" s="392">
        <f t="shared" si="153"/>
        <v>0</v>
      </c>
      <c r="M141" s="392">
        <f t="shared" si="153"/>
        <v>0</v>
      </c>
    </row>
    <row r="142">
      <c r="A142" s="372">
        <f t="shared" si="151"/>
        <v>46078</v>
      </c>
      <c r="B142" s="20"/>
      <c r="C142" s="387" t="s">
        <v>284</v>
      </c>
      <c r="D142" s="388">
        <f>sumifs('jiliarena_代理数据_底稿'!$G:$G,'jiliarena_代理数据_底稿'!$B:$B,D$42,'jiliarena_代理数据_底稿'!$A:$A,$B139)</f>
        <v>0</v>
      </c>
      <c r="E142" s="388">
        <f>sumifs('jiliarena_代理数据_底稿'!$G:$G,'jiliarena_代理数据_底稿'!$B:$B,E$42,'jiliarena_代理数据_底稿'!$A:$A,$B139)</f>
        <v>0</v>
      </c>
      <c r="F142" s="388">
        <f>sumifs('jiliarena_代理数据_底稿'!$G:$G,'jiliarena_代理数据_底稿'!$B:$B,F$42,'jiliarena_代理数据_底稿'!$A:$A,$B139)</f>
        <v>0</v>
      </c>
      <c r="G142" s="393">
        <f t="shared" si="36"/>
        <v>0</v>
      </c>
      <c r="H142" s="389">
        <f t="array" ref="H142">INDEX(jiliarena!$A$3:$M$49,MATCH($A142,jiliarena!$A$3:$A$49,0),MATCH("存款人数",jiliarena!$A$3:$M$3,0))-G142</f>
        <v>481</v>
      </c>
      <c r="I142" s="20"/>
      <c r="J142" s="387" t="s">
        <v>284</v>
      </c>
      <c r="K142" s="394">
        <f t="shared" ref="K142:M142" si="154">D138-D142</f>
        <v>0</v>
      </c>
      <c r="L142" s="394">
        <f t="shared" si="154"/>
        <v>0</v>
      </c>
      <c r="M142" s="394">
        <f t="shared" si="154"/>
        <v>0</v>
      </c>
    </row>
    <row r="143">
      <c r="A143" s="372">
        <f t="shared" ref="A143:A146" si="156">$B$143</f>
        <v>46079</v>
      </c>
      <c r="B143" s="373">
        <f>B139+1</f>
        <v>46079</v>
      </c>
      <c r="C143" s="374" t="s">
        <v>144</v>
      </c>
      <c r="D143" s="375">
        <f>sumifs('jiliarena_代理数据_底稿'!$I:$I,'jiliarena_代理数据_底稿'!$B:$B,D$42,'jiliarena_代理数据_底稿'!$A:$A,$B143)</f>
        <v>0</v>
      </c>
      <c r="E143" s="375">
        <f>sumifs('jiliarena_代理数据_底稿'!$I:$I,'jiliarena_代理数据_底稿'!$B:$B,E$42,'jiliarena_代理数据_底稿'!$A:$A,$B143)</f>
        <v>0</v>
      </c>
      <c r="F143" s="375">
        <f>sumifs('jiliarena_代理数据_底稿'!$I:$I,'jiliarena_代理数据_底稿'!$B:$B,F$42,'jiliarena_代理数据_底稿'!$A:$A,$B143)</f>
        <v>0</v>
      </c>
      <c r="G143" s="375">
        <f t="shared" si="36"/>
        <v>0</v>
      </c>
      <c r="H143" s="376">
        <f t="array" ref="H143">INDEX(jiliarena!$A$3:$M$49,MATCH($A143,jiliarena!$A$3:$A$49,0),MATCH($C$43,jiliarena!$A$3:$M$3,0))-G143</f>
        <v>594</v>
      </c>
      <c r="I143" s="377">
        <f>B143</f>
        <v>46079</v>
      </c>
      <c r="J143" s="374" t="s">
        <v>144</v>
      </c>
      <c r="K143" s="379">
        <f t="shared" ref="K143:M143" si="155">D139-D143</f>
        <v>0</v>
      </c>
      <c r="L143" s="379">
        <f t="shared" si="155"/>
        <v>0</v>
      </c>
      <c r="M143" s="379">
        <f t="shared" si="155"/>
        <v>0</v>
      </c>
    </row>
    <row r="144">
      <c r="A144" s="372">
        <f t="shared" si="156"/>
        <v>46079</v>
      </c>
      <c r="B144" s="11"/>
      <c r="C144" s="380" t="s">
        <v>146</v>
      </c>
      <c r="D144" s="381">
        <f>sumifs('jiliarena_代理数据_底稿'!$E:$E,'jiliarena_代理数据_底稿'!$B:$B,D$42,'jiliarena_代理数据_底稿'!$A:$A,$B143)</f>
        <v>0</v>
      </c>
      <c r="E144" s="391">
        <f>sumifs('jiliarena_代理数据_底稿'!$E:$E,'jiliarena_代理数据_底稿'!$B:$B,E$42,'jiliarena_代理数据_底稿'!$A:$A,$B143)</f>
        <v>0</v>
      </c>
      <c r="F144" s="381">
        <f>sumifs('jiliarena_代理数据_底稿'!$E:$E,'jiliarena_代理数据_底稿'!$B:$B,F$42,'jiliarena_代理数据_底稿'!$A:$A,$B143)</f>
        <v>0</v>
      </c>
      <c r="G144" s="381">
        <f t="shared" si="36"/>
        <v>0</v>
      </c>
      <c r="H144" s="382">
        <f t="array" ref="H144">INDEX(jiliarena!$A$3:$M$49,MATCH($A144,jiliarena!$A$3:$A$49,0),MATCH("登录人数",jiliarena!$A$3:$M$3,0))-G144</f>
        <v>3223</v>
      </c>
      <c r="I144" s="11"/>
      <c r="J144" s="380" t="s">
        <v>146</v>
      </c>
      <c r="K144" s="392">
        <f t="shared" ref="K144:M144" si="157">D140-D144</f>
        <v>0</v>
      </c>
      <c r="L144" s="384">
        <f t="shared" si="157"/>
        <v>0</v>
      </c>
      <c r="M144" s="392">
        <f t="shared" si="157"/>
        <v>0</v>
      </c>
    </row>
    <row r="145">
      <c r="A145" s="372">
        <f t="shared" si="156"/>
        <v>46079</v>
      </c>
      <c r="B145" s="11"/>
      <c r="C145" s="385" t="s">
        <v>151</v>
      </c>
      <c r="D145" s="381">
        <f>sumifs('jiliarena_代理数据_底稿'!$F:$F,'jiliarena_代理数据_底稿'!$B:$B,D$42,'jiliarena_代理数据_底稿'!$A:$A,$B143)</f>
        <v>0</v>
      </c>
      <c r="E145" s="381">
        <f>sumifs('jiliarena_代理数据_底稿'!$F:$F,'jiliarena_代理数据_底稿'!$B:$B,E$42,'jiliarena_代理数据_底稿'!$A:$A,$B143)</f>
        <v>0</v>
      </c>
      <c r="F145" s="381">
        <f>sumifs('jiliarena_代理数据_底稿'!$F:$F,'jiliarena_代理数据_底稿'!$B:$B,F$42,'jiliarena_代理数据_底稿'!$A:$A,$B143)</f>
        <v>0</v>
      </c>
      <c r="G145" s="381">
        <f t="shared" si="36"/>
        <v>0</v>
      </c>
      <c r="H145" s="382">
        <f t="array" ref="H145">INDEX(jiliarena!$A$3:$M$49,MATCH($A145,jiliarena!$A$3:$A$49,0),MATCH("投注人数",jiliarena!$A$3:$M$3,0))-G145</f>
        <v>2304</v>
      </c>
      <c r="I145" s="11"/>
      <c r="J145" s="385" t="s">
        <v>151</v>
      </c>
      <c r="K145" s="392">
        <f t="shared" ref="K145:M145" si="158">D141-D145</f>
        <v>0</v>
      </c>
      <c r="L145" s="392">
        <f t="shared" si="158"/>
        <v>0</v>
      </c>
      <c r="M145" s="392">
        <f t="shared" si="158"/>
        <v>0</v>
      </c>
    </row>
    <row r="146">
      <c r="A146" s="372">
        <f t="shared" si="156"/>
        <v>46079</v>
      </c>
      <c r="B146" s="20"/>
      <c r="C146" s="387" t="s">
        <v>284</v>
      </c>
      <c r="D146" s="388">
        <f>sumifs('jiliarena_代理数据_底稿'!$G:$G,'jiliarena_代理数据_底稿'!$B:$B,D$42,'jiliarena_代理数据_底稿'!$A:$A,$B143)</f>
        <v>0</v>
      </c>
      <c r="E146" s="388">
        <f>sumifs('jiliarena_代理数据_底稿'!$G:$G,'jiliarena_代理数据_底稿'!$B:$B,E$42,'jiliarena_代理数据_底稿'!$A:$A,$B143)</f>
        <v>0</v>
      </c>
      <c r="F146" s="388">
        <f>sumifs('jiliarena_代理数据_底稿'!$G:$G,'jiliarena_代理数据_底稿'!$B:$B,F$42,'jiliarena_代理数据_底稿'!$A:$A,$B143)</f>
        <v>0</v>
      </c>
      <c r="G146" s="393">
        <f t="shared" si="36"/>
        <v>0</v>
      </c>
      <c r="H146" s="389">
        <f t="array" ref="H146">INDEX(jiliarena!$A$3:$M$49,MATCH($A146,jiliarena!$A$3:$A$49,0),MATCH("存款人数",jiliarena!$A$3:$M$3,0))-G146</f>
        <v>437</v>
      </c>
      <c r="I146" s="20"/>
      <c r="J146" s="387" t="s">
        <v>284</v>
      </c>
      <c r="K146" s="394">
        <f t="shared" ref="K146:M146" si="159">D142-D146</f>
        <v>0</v>
      </c>
      <c r="L146" s="394">
        <f t="shared" si="159"/>
        <v>0</v>
      </c>
      <c r="M146" s="394">
        <f t="shared" si="159"/>
        <v>0</v>
      </c>
    </row>
    <row r="147">
      <c r="A147" s="372">
        <f t="shared" ref="A147:A150" si="161">$B$147</f>
        <v>46080</v>
      </c>
      <c r="B147" s="373">
        <f>B143+1</f>
        <v>46080</v>
      </c>
      <c r="C147" s="374" t="s">
        <v>144</v>
      </c>
      <c r="D147" s="375">
        <f>sumifs('jiliarena_代理数据_底稿'!$I:$I,'jiliarena_代理数据_底稿'!$B:$B,D$42,'jiliarena_代理数据_底稿'!$A:$A,$B147)</f>
        <v>0</v>
      </c>
      <c r="E147" s="375">
        <f>sumifs('jiliarena_代理数据_底稿'!$I:$I,'jiliarena_代理数据_底稿'!$B:$B,E$42,'jiliarena_代理数据_底稿'!$A:$A,$B147)</f>
        <v>0</v>
      </c>
      <c r="F147" s="375">
        <f>sumifs('jiliarena_代理数据_底稿'!$I:$I,'jiliarena_代理数据_底稿'!$B:$B,F$42,'jiliarena_代理数据_底稿'!$A:$A,$B147)</f>
        <v>0</v>
      </c>
      <c r="G147" s="375">
        <f t="shared" si="36"/>
        <v>0</v>
      </c>
      <c r="H147" s="376">
        <f t="array" ref="H147">INDEX(jiliarena!$A$3:$M$49,MATCH($A147,jiliarena!$A$3:$A$49,0),MATCH($C$43,jiliarena!$A$3:$M$3,0))-G147</f>
        <v>268</v>
      </c>
      <c r="I147" s="377">
        <f>B147</f>
        <v>46080</v>
      </c>
      <c r="J147" s="374" t="s">
        <v>144</v>
      </c>
      <c r="K147" s="379">
        <f t="shared" ref="K147:M147" si="160">D143-D147</f>
        <v>0</v>
      </c>
      <c r="L147" s="379">
        <f t="shared" si="160"/>
        <v>0</v>
      </c>
      <c r="M147" s="379">
        <f t="shared" si="160"/>
        <v>0</v>
      </c>
    </row>
    <row r="148">
      <c r="A148" s="372">
        <f t="shared" si="161"/>
        <v>46080</v>
      </c>
      <c r="B148" s="11"/>
      <c r="C148" s="380" t="s">
        <v>146</v>
      </c>
      <c r="D148" s="381">
        <f>sumifs('jiliarena_代理数据_底稿'!$E:$E,'jiliarena_代理数据_底稿'!$B:$B,D$42,'jiliarena_代理数据_底稿'!$A:$A,$B147)</f>
        <v>0</v>
      </c>
      <c r="E148" s="391">
        <f>sumifs('jiliarena_代理数据_底稿'!$E:$E,'jiliarena_代理数据_底稿'!$B:$B,E$42,'jiliarena_代理数据_底稿'!$A:$A,$B147)</f>
        <v>0</v>
      </c>
      <c r="F148" s="381">
        <f>sumifs('jiliarena_代理数据_底稿'!$E:$E,'jiliarena_代理数据_底稿'!$B:$B,F$42,'jiliarena_代理数据_底稿'!$A:$A,$B147)</f>
        <v>0</v>
      </c>
      <c r="G148" s="381">
        <f t="shared" si="36"/>
        <v>0</v>
      </c>
      <c r="H148" s="382">
        <f t="array" ref="H148">INDEX(jiliarena!$A$3:$M$49,MATCH($A148,jiliarena!$A$3:$A$49,0),MATCH("登录人数",jiliarena!$A$3:$M$3,0))-G148</f>
        <v>2890</v>
      </c>
      <c r="I148" s="11"/>
      <c r="J148" s="380" t="s">
        <v>146</v>
      </c>
      <c r="K148" s="392">
        <f t="shared" ref="K148:M148" si="162">D144-D148</f>
        <v>0</v>
      </c>
      <c r="L148" s="384">
        <f t="shared" si="162"/>
        <v>0</v>
      </c>
      <c r="M148" s="392">
        <f t="shared" si="162"/>
        <v>0</v>
      </c>
    </row>
    <row r="149">
      <c r="A149" s="372">
        <f t="shared" si="161"/>
        <v>46080</v>
      </c>
      <c r="B149" s="11"/>
      <c r="C149" s="385" t="s">
        <v>151</v>
      </c>
      <c r="D149" s="381">
        <f>sumifs('jiliarena_代理数据_底稿'!$F:$F,'jiliarena_代理数据_底稿'!$B:$B,D$42,'jiliarena_代理数据_底稿'!$A:$A,$B147)</f>
        <v>0</v>
      </c>
      <c r="E149" s="381">
        <f>sumifs('jiliarena_代理数据_底稿'!$F:$F,'jiliarena_代理数据_底稿'!$B:$B,E$42,'jiliarena_代理数据_底稿'!$A:$A,$B147)</f>
        <v>0</v>
      </c>
      <c r="F149" s="381">
        <f>sumifs('jiliarena_代理数据_底稿'!$F:$F,'jiliarena_代理数据_底稿'!$B:$B,F$42,'jiliarena_代理数据_底稿'!$A:$A,$B147)</f>
        <v>0</v>
      </c>
      <c r="G149" s="381">
        <f t="shared" si="36"/>
        <v>0</v>
      </c>
      <c r="H149" s="382">
        <f t="array" ref="H149">INDEX(jiliarena!$A$3:$M$49,MATCH($A149,jiliarena!$A$3:$A$49,0),MATCH("投注人数",jiliarena!$A$3:$M$3,0))-G149</f>
        <v>2122</v>
      </c>
      <c r="I149" s="11"/>
      <c r="J149" s="385" t="s">
        <v>151</v>
      </c>
      <c r="K149" s="392">
        <f t="shared" ref="K149:M149" si="163">D145-D149</f>
        <v>0</v>
      </c>
      <c r="L149" s="392">
        <f t="shared" si="163"/>
        <v>0</v>
      </c>
      <c r="M149" s="392">
        <f t="shared" si="163"/>
        <v>0</v>
      </c>
    </row>
    <row r="150">
      <c r="A150" s="372">
        <f t="shared" si="161"/>
        <v>46080</v>
      </c>
      <c r="B150" s="20"/>
      <c r="C150" s="387" t="s">
        <v>284</v>
      </c>
      <c r="D150" s="388">
        <f>sumifs('jiliarena_代理数据_底稿'!$G:$G,'jiliarena_代理数据_底稿'!$B:$B,D$42,'jiliarena_代理数据_底稿'!$A:$A,$B147)</f>
        <v>0</v>
      </c>
      <c r="E150" s="388">
        <f>sumifs('jiliarena_代理数据_底稿'!$G:$G,'jiliarena_代理数据_底稿'!$B:$B,E$42,'jiliarena_代理数据_底稿'!$A:$A,$B147)</f>
        <v>0</v>
      </c>
      <c r="F150" s="388">
        <f>sumifs('jiliarena_代理数据_底稿'!$G:$G,'jiliarena_代理数据_底稿'!$B:$B,F$42,'jiliarena_代理数据_底稿'!$A:$A,$B147)</f>
        <v>0</v>
      </c>
      <c r="G150" s="393">
        <f t="shared" si="36"/>
        <v>0</v>
      </c>
      <c r="H150" s="389">
        <f t="array" ref="H150">INDEX(jiliarena!$A$3:$M$49,MATCH($A150,jiliarena!$A$3:$A$49,0),MATCH("存款人数",jiliarena!$A$3:$M$3,0))-G150</f>
        <v>352</v>
      </c>
      <c r="I150" s="20"/>
      <c r="J150" s="387" t="s">
        <v>284</v>
      </c>
      <c r="K150" s="394">
        <f t="shared" ref="K150:M150" si="164">D146-D150</f>
        <v>0</v>
      </c>
      <c r="L150" s="394">
        <f t="shared" si="164"/>
        <v>0</v>
      </c>
      <c r="M150" s="394">
        <f t="shared" si="164"/>
        <v>0</v>
      </c>
    </row>
    <row r="151">
      <c r="A151" s="372">
        <f t="shared" ref="A151:A154" si="166">$B$151</f>
        <v>46081</v>
      </c>
      <c r="B151" s="373">
        <f>B147+1</f>
        <v>46081</v>
      </c>
      <c r="C151" s="374" t="s">
        <v>144</v>
      </c>
      <c r="D151" s="375">
        <f>sumifs('jiliarena_代理数据_底稿'!$I:$I,'jiliarena_代理数据_底稿'!$B:$B,D$42,'jiliarena_代理数据_底稿'!$A:$A,$B151)</f>
        <v>0</v>
      </c>
      <c r="E151" s="375">
        <f>sumifs('jiliarena_代理数据_底稿'!$I:$I,'jiliarena_代理数据_底稿'!$B:$B,E$42,'jiliarena_代理数据_底稿'!$A:$A,$B151)</f>
        <v>0</v>
      </c>
      <c r="F151" s="375">
        <f>sumifs('jiliarena_代理数据_底稿'!$I:$I,'jiliarena_代理数据_底稿'!$B:$B,F$42,'jiliarena_代理数据_底稿'!$A:$A,$B151)</f>
        <v>0</v>
      </c>
      <c r="G151" s="375">
        <f t="shared" si="36"/>
        <v>0</v>
      </c>
      <c r="H151" s="376">
        <f t="array" ref="H151">INDEX(jiliarena!$A$3:$M$49,MATCH($A151,jiliarena!$A$3:$A$49,0),MATCH($C$43,jiliarena!$A$3:$M$3,0))-G151</f>
        <v>717</v>
      </c>
      <c r="I151" s="377">
        <f>B151</f>
        <v>46081</v>
      </c>
      <c r="J151" s="374" t="s">
        <v>144</v>
      </c>
      <c r="K151" s="379">
        <f t="shared" ref="K151:M151" si="165">D147-D151</f>
        <v>0</v>
      </c>
      <c r="L151" s="379">
        <f t="shared" si="165"/>
        <v>0</v>
      </c>
      <c r="M151" s="379">
        <f t="shared" si="165"/>
        <v>0</v>
      </c>
    </row>
    <row r="152">
      <c r="A152" s="372">
        <f t="shared" si="166"/>
        <v>46081</v>
      </c>
      <c r="B152" s="11"/>
      <c r="C152" s="380" t="s">
        <v>146</v>
      </c>
      <c r="D152" s="381">
        <f>sumifs('jiliarena_代理数据_底稿'!$E:$E,'jiliarena_代理数据_底稿'!$B:$B,D$42,'jiliarena_代理数据_底稿'!$A:$A,$B151)</f>
        <v>0</v>
      </c>
      <c r="E152" s="391">
        <f>sumifs('jiliarena_代理数据_底稿'!$E:$E,'jiliarena_代理数据_底稿'!$B:$B,E$42,'jiliarena_代理数据_底稿'!$A:$A,$B151)</f>
        <v>0</v>
      </c>
      <c r="F152" s="381">
        <f>sumifs('jiliarena_代理数据_底稿'!$E:$E,'jiliarena_代理数据_底稿'!$B:$B,F$42,'jiliarena_代理数据_底稿'!$A:$A,$B151)</f>
        <v>0</v>
      </c>
      <c r="G152" s="381">
        <f t="shared" si="36"/>
        <v>0</v>
      </c>
      <c r="H152" s="382">
        <f t="array" ref="H152">INDEX(jiliarena!$A$3:$M$49,MATCH($A152,jiliarena!$A$3:$A$49,0),MATCH("登录人数",jiliarena!$A$3:$M$3,0))-G152</f>
        <v>3515</v>
      </c>
      <c r="I152" s="11"/>
      <c r="J152" s="380" t="s">
        <v>146</v>
      </c>
      <c r="K152" s="392">
        <f t="shared" ref="K152:M152" si="167">D148-D152</f>
        <v>0</v>
      </c>
      <c r="L152" s="384">
        <f t="shared" si="167"/>
        <v>0</v>
      </c>
      <c r="M152" s="392">
        <f t="shared" si="167"/>
        <v>0</v>
      </c>
    </row>
    <row r="153">
      <c r="A153" s="372">
        <f t="shared" si="166"/>
        <v>46081</v>
      </c>
      <c r="B153" s="11"/>
      <c r="C153" s="385" t="s">
        <v>151</v>
      </c>
      <c r="D153" s="381">
        <f>sumifs('jiliarena_代理数据_底稿'!$F:$F,'jiliarena_代理数据_底稿'!$B:$B,D$42,'jiliarena_代理数据_底稿'!$A:$A,$B151)</f>
        <v>0</v>
      </c>
      <c r="E153" s="381">
        <f>sumifs('jiliarena_代理数据_底稿'!$F:$F,'jiliarena_代理数据_底稿'!$B:$B,E$42,'jiliarena_代理数据_底稿'!$A:$A,$B151)</f>
        <v>0</v>
      </c>
      <c r="F153" s="381">
        <f>sumifs('jiliarena_代理数据_底稿'!$F:$F,'jiliarena_代理数据_底稿'!$B:$B,F$42,'jiliarena_代理数据_底稿'!$A:$A,$B151)</f>
        <v>0</v>
      </c>
      <c r="G153" s="381">
        <f t="shared" si="36"/>
        <v>0</v>
      </c>
      <c r="H153" s="382">
        <f t="array" ref="H153">INDEX(jiliarena!$A$3:$M$49,MATCH($A153,jiliarena!$A$3:$A$49,0),MATCH("投注人数",jiliarena!$A$3:$M$3,0))-G153</f>
        <v>2404</v>
      </c>
      <c r="I153" s="11"/>
      <c r="J153" s="385" t="s">
        <v>151</v>
      </c>
      <c r="K153" s="392">
        <f t="shared" ref="K153:M153" si="168">D149-D153</f>
        <v>0</v>
      </c>
      <c r="L153" s="392">
        <f t="shared" si="168"/>
        <v>0</v>
      </c>
      <c r="M153" s="392">
        <f t="shared" si="168"/>
        <v>0</v>
      </c>
    </row>
    <row r="154">
      <c r="A154" s="372">
        <f t="shared" si="166"/>
        <v>46081</v>
      </c>
      <c r="B154" s="20"/>
      <c r="C154" s="387" t="s">
        <v>284</v>
      </c>
      <c r="D154" s="388">
        <f>sumifs('jiliarena_代理数据_底稿'!$G:$G,'jiliarena_代理数据_底稿'!$B:$B,D$42,'jiliarena_代理数据_底稿'!$A:$A,$B151)</f>
        <v>0</v>
      </c>
      <c r="E154" s="388">
        <f>sumifs('jiliarena_代理数据_底稿'!$G:$G,'jiliarena_代理数据_底稿'!$B:$B,E$42,'jiliarena_代理数据_底稿'!$A:$A,$B151)</f>
        <v>0</v>
      </c>
      <c r="F154" s="388">
        <f>sumifs('jiliarena_代理数据_底稿'!$G:$G,'jiliarena_代理数据_底稿'!$B:$B,F$42,'jiliarena_代理数据_底稿'!$A:$A,$B151)</f>
        <v>0</v>
      </c>
      <c r="G154" s="393">
        <f t="shared" si="36"/>
        <v>0</v>
      </c>
      <c r="H154" s="389">
        <f t="array" ref="H154">INDEX(jiliarena!$A$3:$M$49,MATCH($A154,jiliarena!$A$3:$A$49,0),MATCH("存款人数",jiliarena!$A$3:$M$3,0))-G154</f>
        <v>515</v>
      </c>
      <c r="I154" s="20"/>
      <c r="J154" s="387" t="s">
        <v>284</v>
      </c>
      <c r="K154" s="394">
        <f t="shared" ref="K154:M154" si="169">D150-D154</f>
        <v>0</v>
      </c>
      <c r="L154" s="394">
        <f t="shared" si="169"/>
        <v>0</v>
      </c>
      <c r="M154" s="394">
        <f t="shared" si="169"/>
        <v>0</v>
      </c>
    </row>
    <row r="155">
      <c r="A155" s="395"/>
      <c r="B155" s="396" t="s">
        <v>444</v>
      </c>
      <c r="C155" s="397" t="s">
        <v>144</v>
      </c>
      <c r="D155" s="398">
        <f t="shared" ref="D155:F155" si="170">sumifs(D$43:D$154,$C$43:$C$154,$C155)</f>
        <v>28031</v>
      </c>
      <c r="E155" s="399">
        <f t="shared" si="170"/>
        <v>8575</v>
      </c>
      <c r="F155" s="399">
        <f t="shared" si="170"/>
        <v>1909</v>
      </c>
      <c r="G155" s="399">
        <f t="shared" si="36"/>
        <v>38515</v>
      </c>
      <c r="H155" s="384"/>
      <c r="I155" s="384"/>
      <c r="J155" s="384"/>
      <c r="K155" s="384"/>
      <c r="L155" s="384"/>
      <c r="M155" s="240"/>
    </row>
    <row r="156">
      <c r="A156" s="395"/>
      <c r="B156" s="11"/>
      <c r="C156" s="400" t="s">
        <v>146</v>
      </c>
      <c r="D156" s="401">
        <f t="shared" ref="D156:F156" si="171">sumifs(D$43:D$154,$C$43:$C$154,$C156)</f>
        <v>48337</v>
      </c>
      <c r="E156" s="381">
        <f t="shared" si="171"/>
        <v>15376</v>
      </c>
      <c r="F156" s="381">
        <f t="shared" si="171"/>
        <v>4615</v>
      </c>
      <c r="G156" s="381">
        <f t="shared" si="36"/>
        <v>68328</v>
      </c>
      <c r="H156" s="384"/>
      <c r="I156" s="384"/>
      <c r="J156" s="384"/>
      <c r="K156" s="384"/>
      <c r="L156" s="384"/>
      <c r="M156" s="240"/>
    </row>
    <row r="157">
      <c r="A157" s="395"/>
      <c r="B157" s="11"/>
      <c r="C157" s="402" t="s">
        <v>151</v>
      </c>
      <c r="D157" s="401">
        <f t="shared" ref="D157:F157" si="172">sumifs(D$43:D$154,$C$43:$C$154,$C157)</f>
        <v>40053</v>
      </c>
      <c r="E157" s="381">
        <f t="shared" si="172"/>
        <v>11031</v>
      </c>
      <c r="F157" s="381">
        <f t="shared" si="172"/>
        <v>3711</v>
      </c>
      <c r="G157" s="381">
        <f t="shared" si="36"/>
        <v>54795</v>
      </c>
      <c r="H157" s="384"/>
      <c r="I157" s="384"/>
      <c r="J157" s="384"/>
      <c r="K157" s="384"/>
      <c r="L157" s="384"/>
      <c r="M157" s="240"/>
    </row>
    <row r="158">
      <c r="A158" s="395"/>
      <c r="B158" s="20"/>
      <c r="C158" s="403" t="s">
        <v>284</v>
      </c>
      <c r="D158" s="404">
        <f t="shared" ref="D158:F158" si="173">sumifs(D$43:D$154,$C$43:$C$154,$C158)</f>
        <v>7850</v>
      </c>
      <c r="E158" s="388">
        <f t="shared" si="173"/>
        <v>2463</v>
      </c>
      <c r="F158" s="388">
        <f t="shared" si="173"/>
        <v>985</v>
      </c>
      <c r="G158" s="393">
        <f t="shared" si="36"/>
        <v>11298</v>
      </c>
      <c r="H158" s="384"/>
      <c r="I158" s="384"/>
      <c r="J158" s="384"/>
      <c r="K158" s="384"/>
      <c r="L158" s="384"/>
      <c r="M158" s="240"/>
    </row>
    <row r="159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</row>
  </sheetData>
  <mergeCells count="57">
    <mergeCell ref="I143:I146"/>
    <mergeCell ref="I147:I150"/>
    <mergeCell ref="I115:I118"/>
    <mergeCell ref="I119:I122"/>
    <mergeCell ref="I123:I126"/>
    <mergeCell ref="I127:I130"/>
    <mergeCell ref="I131:I134"/>
    <mergeCell ref="I135:I138"/>
    <mergeCell ref="I139:I142"/>
    <mergeCell ref="B43:B46"/>
    <mergeCell ref="I43:I46"/>
    <mergeCell ref="B47:B50"/>
    <mergeCell ref="I47:I50"/>
    <mergeCell ref="B51:B54"/>
    <mergeCell ref="I51:I54"/>
    <mergeCell ref="I55:I58"/>
    <mergeCell ref="B55:B58"/>
    <mergeCell ref="B59:B62"/>
    <mergeCell ref="B63:B66"/>
    <mergeCell ref="B67:B70"/>
    <mergeCell ref="B71:B74"/>
    <mergeCell ref="B75:B78"/>
    <mergeCell ref="B79:B82"/>
    <mergeCell ref="I59:I62"/>
    <mergeCell ref="I63:I66"/>
    <mergeCell ref="I67:I70"/>
    <mergeCell ref="I71:I74"/>
    <mergeCell ref="I75:I78"/>
    <mergeCell ref="I79:I82"/>
    <mergeCell ref="I83:I86"/>
    <mergeCell ref="B83:B86"/>
    <mergeCell ref="B87:B90"/>
    <mergeCell ref="B91:B94"/>
    <mergeCell ref="B95:B98"/>
    <mergeCell ref="B99:B102"/>
    <mergeCell ref="B103:B106"/>
    <mergeCell ref="B107:B110"/>
    <mergeCell ref="I87:I90"/>
    <mergeCell ref="I91:I94"/>
    <mergeCell ref="I95:I98"/>
    <mergeCell ref="I99:I102"/>
    <mergeCell ref="I103:I106"/>
    <mergeCell ref="I107:I110"/>
    <mergeCell ref="I111:I114"/>
    <mergeCell ref="I151:I154"/>
    <mergeCell ref="B139:B142"/>
    <mergeCell ref="B143:B146"/>
    <mergeCell ref="B147:B150"/>
    <mergeCell ref="B151:B154"/>
    <mergeCell ref="B155:B158"/>
    <mergeCell ref="B111:B114"/>
    <mergeCell ref="B115:B118"/>
    <mergeCell ref="B119:B122"/>
    <mergeCell ref="B123:B126"/>
    <mergeCell ref="B127:B130"/>
    <mergeCell ref="B131:B134"/>
    <mergeCell ref="B135:B138"/>
  </mergeCells>
  <conditionalFormatting sqref="J8:L35">
    <cfRule type="cellIs" dxfId="1" priority="1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.88"/>
    <col customWidth="1" min="2" max="2" width="15.0"/>
    <col customWidth="1" min="3" max="3" width="9.0"/>
    <col customWidth="1" min="4" max="4" width="12.63"/>
    <col customWidth="1" min="5" max="7" width="10.13"/>
    <col customWidth="1" min="8" max="12" width="9.0"/>
    <col customWidth="1" min="13" max="13" width="13.0"/>
    <col customWidth="1" min="14" max="14" width="11.38"/>
    <col customWidth="1" min="15" max="15" width="14.38"/>
    <col customWidth="1" min="16" max="16" width="10.13"/>
    <col customWidth="1" min="17" max="17" width="14.38"/>
    <col customWidth="1" min="18" max="18" width="12.63"/>
    <col customWidth="1" min="19" max="19" width="11.38"/>
    <col customWidth="1" min="20" max="20" width="10.13"/>
    <col customWidth="1" min="21" max="23" width="15.63"/>
    <col customWidth="1" min="24" max="25" width="13.38"/>
  </cols>
  <sheetData>
    <row r="1" ht="32.25" customHeight="1">
      <c r="A1" s="405" t="s">
        <v>445</v>
      </c>
      <c r="B1" s="406" t="s">
        <v>446</v>
      </c>
      <c r="C1" s="406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</row>
    <row r="2" ht="32.25" customHeight="1">
      <c r="B2" s="408" t="s">
        <v>447</v>
      </c>
      <c r="C2" s="409" t="s">
        <v>448</v>
      </c>
      <c r="D2" s="409" t="s">
        <v>276</v>
      </c>
      <c r="E2" s="410" t="s">
        <v>449</v>
      </c>
      <c r="F2" s="410" t="s">
        <v>151</v>
      </c>
      <c r="G2" s="410" t="s">
        <v>284</v>
      </c>
      <c r="H2" s="410" t="s">
        <v>285</v>
      </c>
      <c r="I2" s="410" t="s">
        <v>144</v>
      </c>
      <c r="J2" s="410" t="s">
        <v>277</v>
      </c>
      <c r="K2" s="410" t="s">
        <v>145</v>
      </c>
      <c r="L2" s="410" t="s">
        <v>278</v>
      </c>
      <c r="M2" s="410" t="s">
        <v>279</v>
      </c>
      <c r="N2" s="410" t="s">
        <v>450</v>
      </c>
      <c r="O2" s="410" t="s">
        <v>283</v>
      </c>
      <c r="P2" s="410" t="s">
        <v>451</v>
      </c>
      <c r="Q2" s="410" t="s">
        <v>452</v>
      </c>
      <c r="R2" s="410" t="s">
        <v>453</v>
      </c>
      <c r="S2" s="410" t="s">
        <v>454</v>
      </c>
      <c r="T2" s="410" t="s">
        <v>382</v>
      </c>
      <c r="U2" s="410" t="s">
        <v>133</v>
      </c>
      <c r="V2" s="410" t="s">
        <v>156</v>
      </c>
      <c r="W2" s="410" t="s">
        <v>157</v>
      </c>
      <c r="X2" s="410" t="s">
        <v>455</v>
      </c>
      <c r="Y2" s="410" t="s">
        <v>456</v>
      </c>
    </row>
    <row r="3">
      <c r="A3" s="411">
        <v>46064.0</v>
      </c>
      <c r="B3" s="412" t="s">
        <v>435</v>
      </c>
      <c r="C3" s="412">
        <v>0.0</v>
      </c>
      <c r="D3" s="235">
        <v>1157.0</v>
      </c>
      <c r="E3" s="235">
        <v>1016.0</v>
      </c>
      <c r="F3" s="235">
        <v>853.0</v>
      </c>
      <c r="G3" s="235">
        <v>252.0</v>
      </c>
      <c r="H3" s="235">
        <v>47.0</v>
      </c>
      <c r="I3" s="235">
        <v>1014.0</v>
      </c>
      <c r="J3" s="235">
        <v>853.0</v>
      </c>
      <c r="K3" s="235">
        <v>252.0</v>
      </c>
      <c r="L3" s="235">
        <v>47.0</v>
      </c>
      <c r="M3" s="235">
        <v>1014.0</v>
      </c>
      <c r="N3" s="235">
        <v>34008.0</v>
      </c>
      <c r="O3" s="235">
        <v>45048.0</v>
      </c>
      <c r="P3" s="235">
        <v>284.0</v>
      </c>
      <c r="Q3" s="235">
        <v>29211.0</v>
      </c>
      <c r="R3" s="235">
        <v>61.0</v>
      </c>
      <c r="S3" s="235">
        <v>35628.0</v>
      </c>
      <c r="T3" s="235">
        <v>0.0</v>
      </c>
      <c r="U3" s="235">
        <v>320.0</v>
      </c>
      <c r="V3" s="235">
        <v>394693.71</v>
      </c>
      <c r="W3" s="235">
        <v>371240.39</v>
      </c>
      <c r="X3" s="235">
        <v>366559.39</v>
      </c>
      <c r="Y3" s="235">
        <v>7813.68</v>
      </c>
    </row>
    <row r="4">
      <c r="A4" s="411">
        <v>46064.0</v>
      </c>
      <c r="B4" s="412" t="s">
        <v>437</v>
      </c>
      <c r="C4" s="412">
        <v>0.0</v>
      </c>
      <c r="D4" s="235">
        <v>151.0</v>
      </c>
      <c r="E4" s="235">
        <v>130.0</v>
      </c>
      <c r="F4" s="235">
        <v>117.0</v>
      </c>
      <c r="G4" s="235">
        <v>41.0</v>
      </c>
      <c r="H4" s="235">
        <v>10.0</v>
      </c>
      <c r="I4" s="235">
        <v>130.0</v>
      </c>
      <c r="J4" s="235">
        <v>117.0</v>
      </c>
      <c r="K4" s="235">
        <v>41.0</v>
      </c>
      <c r="L4" s="235">
        <v>10.0</v>
      </c>
      <c r="M4" s="235">
        <v>130.0</v>
      </c>
      <c r="N4" s="235">
        <v>4815.0</v>
      </c>
      <c r="O4" s="235">
        <v>5565.0</v>
      </c>
      <c r="P4" s="235">
        <v>46.0</v>
      </c>
      <c r="Q4" s="235">
        <v>4104.0</v>
      </c>
      <c r="R4" s="235">
        <v>11.0</v>
      </c>
      <c r="S4" s="235">
        <v>5500.05</v>
      </c>
      <c r="T4" s="235">
        <v>0.0</v>
      </c>
      <c r="U4" s="235">
        <v>0.0</v>
      </c>
      <c r="V4" s="235">
        <v>59017.14</v>
      </c>
      <c r="W4" s="235">
        <v>53267.005</v>
      </c>
      <c r="X4" s="235">
        <v>90030.425</v>
      </c>
      <c r="Y4" s="235">
        <v>36513.335</v>
      </c>
    </row>
    <row r="5">
      <c r="A5" s="411">
        <v>46064.0</v>
      </c>
      <c r="B5" s="412" t="s">
        <v>436</v>
      </c>
      <c r="C5" s="412">
        <v>0.0</v>
      </c>
      <c r="D5" s="235">
        <v>72.0</v>
      </c>
      <c r="E5" s="235">
        <v>11.0</v>
      </c>
      <c r="F5" s="235">
        <v>10.0</v>
      </c>
      <c r="G5" s="235">
        <v>1.0</v>
      </c>
      <c r="H5" s="235">
        <v>0.0</v>
      </c>
      <c r="I5" s="235">
        <v>12.0</v>
      </c>
      <c r="J5" s="235">
        <v>10.0</v>
      </c>
      <c r="K5" s="235">
        <v>1.0</v>
      </c>
      <c r="L5" s="235">
        <v>0.0</v>
      </c>
      <c r="M5" s="235">
        <v>11.0</v>
      </c>
      <c r="N5" s="235">
        <v>100.0</v>
      </c>
      <c r="O5" s="235">
        <v>100.0</v>
      </c>
      <c r="P5" s="235">
        <v>1.0</v>
      </c>
      <c r="Q5" s="235">
        <v>0.0</v>
      </c>
      <c r="R5" s="235">
        <v>0.0</v>
      </c>
      <c r="S5" s="235">
        <v>210.0</v>
      </c>
      <c r="T5" s="235">
        <v>0.0</v>
      </c>
      <c r="U5" s="235">
        <v>0.0</v>
      </c>
      <c r="V5" s="235">
        <v>938.2</v>
      </c>
      <c r="W5" s="235">
        <v>877.51</v>
      </c>
      <c r="X5" s="235">
        <v>639.9</v>
      </c>
      <c r="Y5" s="235">
        <v>-88.3</v>
      </c>
    </row>
    <row r="6">
      <c r="A6" s="413"/>
      <c r="B6" s="414"/>
      <c r="C6" s="414">
        <f t="shared" ref="C6:Y6" si="1">SUM(C3:C5)</f>
        <v>0</v>
      </c>
      <c r="D6" s="415">
        <f t="shared" si="1"/>
        <v>1380</v>
      </c>
      <c r="E6" s="415">
        <f t="shared" si="1"/>
        <v>1157</v>
      </c>
      <c r="F6" s="415">
        <f t="shared" si="1"/>
        <v>980</v>
      </c>
      <c r="G6" s="415">
        <f t="shared" si="1"/>
        <v>294</v>
      </c>
      <c r="H6" s="415">
        <f t="shared" si="1"/>
        <v>57</v>
      </c>
      <c r="I6" s="415">
        <f t="shared" si="1"/>
        <v>1156</v>
      </c>
      <c r="J6" s="415">
        <f t="shared" si="1"/>
        <v>980</v>
      </c>
      <c r="K6" s="415">
        <f t="shared" si="1"/>
        <v>294</v>
      </c>
      <c r="L6" s="415">
        <f t="shared" si="1"/>
        <v>57</v>
      </c>
      <c r="M6" s="415">
        <f t="shared" si="1"/>
        <v>1155</v>
      </c>
      <c r="N6" s="415">
        <f t="shared" si="1"/>
        <v>38923</v>
      </c>
      <c r="O6" s="415">
        <f t="shared" si="1"/>
        <v>50713</v>
      </c>
      <c r="P6" s="415">
        <f t="shared" si="1"/>
        <v>331</v>
      </c>
      <c r="Q6" s="415">
        <f t="shared" si="1"/>
        <v>33315</v>
      </c>
      <c r="R6" s="415">
        <f t="shared" si="1"/>
        <v>72</v>
      </c>
      <c r="S6" s="415">
        <f t="shared" si="1"/>
        <v>41338.05</v>
      </c>
      <c r="T6" s="415">
        <f t="shared" si="1"/>
        <v>0</v>
      </c>
      <c r="U6" s="415">
        <f t="shared" si="1"/>
        <v>320</v>
      </c>
      <c r="V6" s="415">
        <f t="shared" si="1"/>
        <v>454649.05</v>
      </c>
      <c r="W6" s="415">
        <f t="shared" si="1"/>
        <v>425384.905</v>
      </c>
      <c r="X6" s="415">
        <f t="shared" si="1"/>
        <v>457229.715</v>
      </c>
      <c r="Y6" s="415">
        <f t="shared" si="1"/>
        <v>44238.715</v>
      </c>
    </row>
    <row r="7">
      <c r="A7" s="411">
        <v>46065.0</v>
      </c>
      <c r="B7" s="412" t="s">
        <v>435</v>
      </c>
      <c r="C7" s="412">
        <v>0.0</v>
      </c>
      <c r="D7" s="235">
        <v>22497.0</v>
      </c>
      <c r="E7" s="235">
        <v>20999.0</v>
      </c>
      <c r="F7" s="235">
        <v>19758.0</v>
      </c>
      <c r="G7" s="235">
        <v>2036.0</v>
      </c>
      <c r="H7" s="235">
        <v>495.0</v>
      </c>
      <c r="I7" s="235">
        <v>21286.0</v>
      </c>
      <c r="J7" s="235">
        <v>19259.0</v>
      </c>
      <c r="K7" s="235">
        <v>1954.0</v>
      </c>
      <c r="L7" s="235">
        <v>486.0</v>
      </c>
      <c r="M7" s="235">
        <v>20204.0</v>
      </c>
      <c r="N7" s="235">
        <v>305057.0</v>
      </c>
      <c r="O7" s="235">
        <v>405902.0</v>
      </c>
      <c r="P7" s="235">
        <v>2531.0</v>
      </c>
      <c r="Q7" s="235">
        <v>486459.0</v>
      </c>
      <c r="R7" s="235">
        <v>626.0</v>
      </c>
      <c r="S7" s="235">
        <v>452661.44</v>
      </c>
      <c r="T7" s="235">
        <v>204.7</v>
      </c>
      <c r="U7" s="235">
        <v>12915.6498</v>
      </c>
      <c r="V7" s="235">
        <v>6531846.47</v>
      </c>
      <c r="W7" s="235">
        <v>6058164.72</v>
      </c>
      <c r="X7" s="235">
        <v>6322673.962</v>
      </c>
      <c r="Y7" s="235">
        <v>256609.2816</v>
      </c>
    </row>
    <row r="8">
      <c r="A8" s="411">
        <v>46065.0</v>
      </c>
      <c r="B8" s="412" t="s">
        <v>436</v>
      </c>
      <c r="C8" s="412">
        <v>0.0</v>
      </c>
      <c r="D8" s="235">
        <v>2132.0</v>
      </c>
      <c r="E8" s="235">
        <v>2050.0</v>
      </c>
      <c r="F8" s="235">
        <v>1775.0</v>
      </c>
      <c r="G8" s="235">
        <v>496.0</v>
      </c>
      <c r="H8" s="235">
        <v>133.0</v>
      </c>
      <c r="I8" s="235">
        <v>2050.0</v>
      </c>
      <c r="J8" s="235">
        <v>1775.0</v>
      </c>
      <c r="K8" s="235">
        <v>496.0</v>
      </c>
      <c r="L8" s="235">
        <v>133.0</v>
      </c>
      <c r="M8" s="235">
        <v>1939.0</v>
      </c>
      <c r="N8" s="235">
        <v>77078.0</v>
      </c>
      <c r="O8" s="235">
        <v>102513.0</v>
      </c>
      <c r="P8" s="235">
        <v>673.0</v>
      </c>
      <c r="Q8" s="235">
        <v>114157.0</v>
      </c>
      <c r="R8" s="235">
        <v>187.0</v>
      </c>
      <c r="S8" s="235">
        <v>81556.51</v>
      </c>
      <c r="T8" s="235">
        <v>0.0</v>
      </c>
      <c r="U8" s="235">
        <v>815.0</v>
      </c>
      <c r="V8" s="235">
        <v>1480419.0</v>
      </c>
      <c r="W8" s="235">
        <v>1377882.355</v>
      </c>
      <c r="X8" s="235">
        <v>1433057.435</v>
      </c>
      <c r="Y8" s="235">
        <v>35009.945</v>
      </c>
    </row>
    <row r="9">
      <c r="A9" s="411">
        <v>46065.0</v>
      </c>
      <c r="B9" s="412" t="s">
        <v>437</v>
      </c>
      <c r="C9" s="412">
        <v>0.0</v>
      </c>
      <c r="D9" s="235">
        <v>1179.0</v>
      </c>
      <c r="E9" s="235">
        <v>1127.0</v>
      </c>
      <c r="F9" s="235">
        <v>1060.0</v>
      </c>
      <c r="G9" s="235">
        <v>193.0</v>
      </c>
      <c r="H9" s="235">
        <v>67.0</v>
      </c>
      <c r="I9" s="235">
        <v>1031.0</v>
      </c>
      <c r="J9" s="235">
        <v>982.0</v>
      </c>
      <c r="K9" s="235">
        <v>179.0</v>
      </c>
      <c r="L9" s="235">
        <v>64.0</v>
      </c>
      <c r="M9" s="235">
        <v>1091.0</v>
      </c>
      <c r="N9" s="235">
        <v>29404.0</v>
      </c>
      <c r="O9" s="235">
        <v>40321.0</v>
      </c>
      <c r="P9" s="235">
        <v>240.0</v>
      </c>
      <c r="Q9" s="235">
        <v>61181.0</v>
      </c>
      <c r="R9" s="235">
        <v>85.0</v>
      </c>
      <c r="S9" s="235">
        <v>43014.43</v>
      </c>
      <c r="T9" s="235">
        <v>40.97</v>
      </c>
      <c r="U9" s="235">
        <v>900.0</v>
      </c>
      <c r="V9" s="235">
        <v>716479.8</v>
      </c>
      <c r="W9" s="235">
        <v>639768.34</v>
      </c>
      <c r="X9" s="235">
        <v>714926.16</v>
      </c>
      <c r="Y9" s="235">
        <v>42401.76</v>
      </c>
    </row>
    <row r="10">
      <c r="A10" s="413"/>
      <c r="B10" s="414"/>
      <c r="C10" s="414">
        <f t="shared" ref="C10:Y10" si="2">SUM(C7:C9)</f>
        <v>0</v>
      </c>
      <c r="D10" s="415">
        <f t="shared" si="2"/>
        <v>25808</v>
      </c>
      <c r="E10" s="415">
        <f t="shared" si="2"/>
        <v>24176</v>
      </c>
      <c r="F10" s="415">
        <f t="shared" si="2"/>
        <v>22593</v>
      </c>
      <c r="G10" s="415">
        <f t="shared" si="2"/>
        <v>2725</v>
      </c>
      <c r="H10" s="415">
        <f t="shared" si="2"/>
        <v>695</v>
      </c>
      <c r="I10" s="415">
        <f t="shared" si="2"/>
        <v>24367</v>
      </c>
      <c r="J10" s="415">
        <f t="shared" si="2"/>
        <v>22016</v>
      </c>
      <c r="K10" s="415">
        <f t="shared" si="2"/>
        <v>2629</v>
      </c>
      <c r="L10" s="415">
        <f t="shared" si="2"/>
        <v>683</v>
      </c>
      <c r="M10" s="415">
        <f t="shared" si="2"/>
        <v>23234</v>
      </c>
      <c r="N10" s="415">
        <f t="shared" si="2"/>
        <v>411539</v>
      </c>
      <c r="O10" s="415">
        <f t="shared" si="2"/>
        <v>548736</v>
      </c>
      <c r="P10" s="415">
        <f t="shared" si="2"/>
        <v>3444</v>
      </c>
      <c r="Q10" s="415">
        <f t="shared" si="2"/>
        <v>661797</v>
      </c>
      <c r="R10" s="415">
        <f t="shared" si="2"/>
        <v>898</v>
      </c>
      <c r="S10" s="415">
        <f t="shared" si="2"/>
        <v>577232.38</v>
      </c>
      <c r="T10" s="415">
        <f t="shared" si="2"/>
        <v>245.67</v>
      </c>
      <c r="U10" s="415">
        <f t="shared" si="2"/>
        <v>14630.6498</v>
      </c>
      <c r="V10" s="415">
        <f t="shared" si="2"/>
        <v>8728745.27</v>
      </c>
      <c r="W10" s="415">
        <f t="shared" si="2"/>
        <v>8075815.415</v>
      </c>
      <c r="X10" s="415">
        <f t="shared" si="2"/>
        <v>8470657.557</v>
      </c>
      <c r="Y10" s="415">
        <f t="shared" si="2"/>
        <v>334020.9866</v>
      </c>
    </row>
    <row r="11">
      <c r="A11" s="411">
        <v>46066.0</v>
      </c>
      <c r="B11" s="412" t="s">
        <v>435</v>
      </c>
      <c r="C11" s="412">
        <v>0.0</v>
      </c>
      <c r="D11" s="235">
        <v>25588.0</v>
      </c>
      <c r="E11" s="235">
        <v>5959.0</v>
      </c>
      <c r="F11" s="235">
        <v>4720.0</v>
      </c>
      <c r="G11" s="235">
        <v>2040.0</v>
      </c>
      <c r="H11" s="235">
        <v>535.0</v>
      </c>
      <c r="I11" s="235">
        <v>3151.0</v>
      </c>
      <c r="J11" s="235">
        <v>2568.0</v>
      </c>
      <c r="K11" s="235">
        <v>1680.0</v>
      </c>
      <c r="L11" s="235">
        <v>484.0</v>
      </c>
      <c r="M11" s="235">
        <v>5124.0</v>
      </c>
      <c r="N11" s="235">
        <v>294848.0</v>
      </c>
      <c r="O11" s="235">
        <v>425380.0</v>
      </c>
      <c r="P11" s="235">
        <v>2553.0</v>
      </c>
      <c r="Q11" s="235">
        <v>530015.0</v>
      </c>
      <c r="R11" s="235">
        <v>698.0</v>
      </c>
      <c r="S11" s="235">
        <v>322800.01</v>
      </c>
      <c r="T11" s="235">
        <v>5679.07</v>
      </c>
      <c r="U11" s="235">
        <v>7783.3663</v>
      </c>
      <c r="V11" s="235">
        <v>6898602.42</v>
      </c>
      <c r="W11" s="235">
        <v>6206772.84</v>
      </c>
      <c r="X11" s="235">
        <v>6738889.852</v>
      </c>
      <c r="Y11" s="235">
        <v>176549.8783</v>
      </c>
    </row>
    <row r="12">
      <c r="A12" s="411">
        <v>46066.0</v>
      </c>
      <c r="B12" s="412" t="s">
        <v>436</v>
      </c>
      <c r="C12" s="412">
        <v>0.0</v>
      </c>
      <c r="D12" s="235">
        <v>4552.0</v>
      </c>
      <c r="E12" s="235">
        <v>3162.0</v>
      </c>
      <c r="F12" s="235">
        <v>2201.0</v>
      </c>
      <c r="G12" s="235">
        <v>492.0</v>
      </c>
      <c r="H12" s="235">
        <v>90.0</v>
      </c>
      <c r="I12" s="235">
        <v>2402.0</v>
      </c>
      <c r="J12" s="235">
        <v>1609.0</v>
      </c>
      <c r="K12" s="235">
        <v>388.0</v>
      </c>
      <c r="L12" s="235">
        <v>79.0</v>
      </c>
      <c r="M12" s="235">
        <v>2577.0</v>
      </c>
      <c r="N12" s="235">
        <v>48259.0</v>
      </c>
      <c r="O12" s="235">
        <v>82493.0</v>
      </c>
      <c r="P12" s="235">
        <v>638.0</v>
      </c>
      <c r="Q12" s="235">
        <v>65531.0</v>
      </c>
      <c r="R12" s="235">
        <v>114.0</v>
      </c>
      <c r="S12" s="235">
        <v>43449.38</v>
      </c>
      <c r="T12" s="235">
        <v>1141.27</v>
      </c>
      <c r="U12" s="235">
        <v>1070.0631</v>
      </c>
      <c r="V12" s="235">
        <v>1268999.3</v>
      </c>
      <c r="W12" s="235">
        <v>1183996.28</v>
      </c>
      <c r="X12" s="235">
        <v>1274807.055</v>
      </c>
      <c r="Y12" s="235">
        <v>51468.4681</v>
      </c>
    </row>
    <row r="13">
      <c r="A13" s="411">
        <v>46066.0</v>
      </c>
      <c r="B13" s="412" t="s">
        <v>437</v>
      </c>
      <c r="C13" s="412">
        <v>0.0</v>
      </c>
      <c r="D13" s="235">
        <v>1466.0</v>
      </c>
      <c r="E13" s="235">
        <v>637.0</v>
      </c>
      <c r="F13" s="235">
        <v>522.0</v>
      </c>
      <c r="G13" s="235">
        <v>197.0</v>
      </c>
      <c r="H13" s="235">
        <v>38.0</v>
      </c>
      <c r="I13" s="235">
        <v>297.0</v>
      </c>
      <c r="J13" s="235">
        <v>265.0</v>
      </c>
      <c r="K13" s="235">
        <v>150.0</v>
      </c>
      <c r="L13" s="235">
        <v>32.0</v>
      </c>
      <c r="M13" s="235">
        <v>578.0</v>
      </c>
      <c r="N13" s="235">
        <v>19701.0</v>
      </c>
      <c r="O13" s="235">
        <v>35135.0</v>
      </c>
      <c r="P13" s="235">
        <v>246.0</v>
      </c>
      <c r="Q13" s="235">
        <v>31221.0</v>
      </c>
      <c r="R13" s="235">
        <v>44.0</v>
      </c>
      <c r="S13" s="235">
        <v>17186.28</v>
      </c>
      <c r="T13" s="235">
        <v>402.02</v>
      </c>
      <c r="U13" s="235">
        <v>640.7978</v>
      </c>
      <c r="V13" s="235">
        <v>572384.94</v>
      </c>
      <c r="W13" s="235">
        <v>536013.535</v>
      </c>
      <c r="X13" s="235">
        <v>548606.935</v>
      </c>
      <c r="Y13" s="235">
        <v>-5548.9072</v>
      </c>
    </row>
    <row r="14">
      <c r="A14" s="411">
        <v>46066.0</v>
      </c>
      <c r="B14" s="412" t="s">
        <v>457</v>
      </c>
      <c r="C14" s="412">
        <v>0.0</v>
      </c>
      <c r="D14" s="235">
        <v>83.0</v>
      </c>
      <c r="E14" s="235">
        <v>66.0</v>
      </c>
      <c r="F14" s="235">
        <v>53.0</v>
      </c>
      <c r="G14" s="235">
        <v>26.0</v>
      </c>
      <c r="H14" s="235">
        <v>4.0</v>
      </c>
      <c r="I14" s="235">
        <v>67.0</v>
      </c>
      <c r="J14" s="235">
        <v>53.0</v>
      </c>
      <c r="K14" s="235">
        <v>26.0</v>
      </c>
      <c r="L14" s="235">
        <v>4.0</v>
      </c>
      <c r="M14" s="235">
        <v>45.0</v>
      </c>
      <c r="N14" s="235">
        <v>5558.0</v>
      </c>
      <c r="O14" s="235">
        <v>6258.0</v>
      </c>
      <c r="P14" s="235">
        <v>33.0</v>
      </c>
      <c r="Q14" s="235">
        <v>2875.0</v>
      </c>
      <c r="R14" s="235">
        <v>5.0</v>
      </c>
      <c r="S14" s="235">
        <v>763.0</v>
      </c>
      <c r="T14" s="235">
        <v>0.0</v>
      </c>
      <c r="U14" s="235">
        <v>0.0</v>
      </c>
      <c r="V14" s="235">
        <v>42992.15</v>
      </c>
      <c r="W14" s="235">
        <v>39479.385</v>
      </c>
      <c r="X14" s="235">
        <v>49124.28</v>
      </c>
      <c r="Y14" s="235">
        <v>6895.13</v>
      </c>
    </row>
    <row r="15">
      <c r="A15" s="411">
        <v>46066.0</v>
      </c>
      <c r="B15" s="412" t="s">
        <v>458</v>
      </c>
      <c r="C15" s="412">
        <v>0.0</v>
      </c>
      <c r="D15" s="235">
        <v>1.0</v>
      </c>
      <c r="E15" s="235">
        <v>0.0</v>
      </c>
      <c r="F15" s="235">
        <v>0.0</v>
      </c>
      <c r="G15" s="235">
        <v>0.0</v>
      </c>
      <c r="H15" s="235">
        <v>0.0</v>
      </c>
      <c r="I15" s="235">
        <v>1.0</v>
      </c>
      <c r="J15" s="235">
        <v>0.0</v>
      </c>
      <c r="K15" s="235">
        <v>0.0</v>
      </c>
      <c r="L15" s="235">
        <v>0.0</v>
      </c>
      <c r="M15" s="235">
        <v>0.0</v>
      </c>
      <c r="N15" s="235">
        <v>0.0</v>
      </c>
      <c r="O15" s="235">
        <v>0.0</v>
      </c>
      <c r="P15" s="235">
        <v>0.0</v>
      </c>
      <c r="Q15" s="235">
        <v>0.0</v>
      </c>
      <c r="R15" s="235">
        <v>0.0</v>
      </c>
      <c r="S15" s="235">
        <v>0.0</v>
      </c>
      <c r="T15" s="235">
        <v>0.0</v>
      </c>
      <c r="U15" s="235">
        <v>0.0</v>
      </c>
      <c r="V15" s="235">
        <v>0.0</v>
      </c>
      <c r="W15" s="235">
        <v>0.0</v>
      </c>
      <c r="X15" s="235">
        <v>0.0</v>
      </c>
      <c r="Y15" s="235">
        <v>0.0</v>
      </c>
    </row>
    <row r="16">
      <c r="A16" s="413"/>
      <c r="B16" s="414"/>
      <c r="C16" s="414">
        <f t="shared" ref="C16:Y16" si="3">SUM(C11:C15)</f>
        <v>0</v>
      </c>
      <c r="D16" s="415">
        <f t="shared" si="3"/>
        <v>31690</v>
      </c>
      <c r="E16" s="415">
        <f t="shared" si="3"/>
        <v>9824</v>
      </c>
      <c r="F16" s="415">
        <f t="shared" si="3"/>
        <v>7496</v>
      </c>
      <c r="G16" s="415">
        <f t="shared" si="3"/>
        <v>2755</v>
      </c>
      <c r="H16" s="415">
        <f t="shared" si="3"/>
        <v>667</v>
      </c>
      <c r="I16" s="415">
        <f t="shared" si="3"/>
        <v>5918</v>
      </c>
      <c r="J16" s="415">
        <f t="shared" si="3"/>
        <v>4495</v>
      </c>
      <c r="K16" s="415">
        <f t="shared" si="3"/>
        <v>2244</v>
      </c>
      <c r="L16" s="415">
        <f t="shared" si="3"/>
        <v>599</v>
      </c>
      <c r="M16" s="415">
        <f t="shared" si="3"/>
        <v>8324</v>
      </c>
      <c r="N16" s="415">
        <f t="shared" si="3"/>
        <v>368366</v>
      </c>
      <c r="O16" s="415">
        <f t="shared" si="3"/>
        <v>549266</v>
      </c>
      <c r="P16" s="415">
        <f t="shared" si="3"/>
        <v>3470</v>
      </c>
      <c r="Q16" s="415">
        <f t="shared" si="3"/>
        <v>629642</v>
      </c>
      <c r="R16" s="415">
        <f t="shared" si="3"/>
        <v>861</v>
      </c>
      <c r="S16" s="415">
        <f t="shared" si="3"/>
        <v>384198.67</v>
      </c>
      <c r="T16" s="415">
        <f t="shared" si="3"/>
        <v>7222.36</v>
      </c>
      <c r="U16" s="415">
        <f t="shared" si="3"/>
        <v>9494.2272</v>
      </c>
      <c r="V16" s="415">
        <f t="shared" si="3"/>
        <v>8782978.81</v>
      </c>
      <c r="W16" s="415">
        <f t="shared" si="3"/>
        <v>7966262.04</v>
      </c>
      <c r="X16" s="415">
        <f t="shared" si="3"/>
        <v>8611428.122</v>
      </c>
      <c r="Y16" s="415">
        <f t="shared" si="3"/>
        <v>229364.5692</v>
      </c>
    </row>
    <row r="17">
      <c r="A17" s="411">
        <v>46067.0</v>
      </c>
      <c r="B17" s="412" t="s">
        <v>435</v>
      </c>
      <c r="C17" s="412">
        <v>0.0</v>
      </c>
      <c r="D17" s="235">
        <v>26541.0</v>
      </c>
      <c r="E17" s="235">
        <v>3990.0</v>
      </c>
      <c r="F17" s="235">
        <v>2949.0</v>
      </c>
      <c r="G17" s="235">
        <v>1144.0</v>
      </c>
      <c r="H17" s="235">
        <v>286.0</v>
      </c>
      <c r="I17" s="235">
        <v>1048.0</v>
      </c>
      <c r="J17" s="235">
        <v>915.0</v>
      </c>
      <c r="K17" s="235">
        <v>749.0</v>
      </c>
      <c r="L17" s="235">
        <v>228.0</v>
      </c>
      <c r="M17" s="235">
        <v>3448.0</v>
      </c>
      <c r="N17" s="235">
        <v>138855.0</v>
      </c>
      <c r="O17" s="235">
        <v>303080.0</v>
      </c>
      <c r="P17" s="235">
        <v>1445.0</v>
      </c>
      <c r="Q17" s="235">
        <v>328840.0</v>
      </c>
      <c r="R17" s="235">
        <v>382.0</v>
      </c>
      <c r="S17" s="235">
        <v>134499.49</v>
      </c>
      <c r="T17" s="235">
        <v>7529.87</v>
      </c>
      <c r="U17" s="235">
        <v>2878.7113</v>
      </c>
      <c r="V17" s="235">
        <v>3589571.05</v>
      </c>
      <c r="W17" s="235">
        <v>3181916.01</v>
      </c>
      <c r="X17" s="235">
        <v>3472396.095</v>
      </c>
      <c r="Y17" s="235">
        <v>27733.1163</v>
      </c>
    </row>
    <row r="18">
      <c r="A18" s="411">
        <v>46067.0</v>
      </c>
      <c r="B18" s="412" t="s">
        <v>436</v>
      </c>
      <c r="C18" s="412">
        <v>0.0</v>
      </c>
      <c r="D18" s="235">
        <v>5550.0</v>
      </c>
      <c r="E18" s="235">
        <v>1977.0</v>
      </c>
      <c r="F18" s="235">
        <v>1404.0</v>
      </c>
      <c r="G18" s="235">
        <v>331.0</v>
      </c>
      <c r="H18" s="235">
        <v>71.0</v>
      </c>
      <c r="I18" s="235">
        <v>1036.0</v>
      </c>
      <c r="J18" s="235">
        <v>752.0</v>
      </c>
      <c r="K18" s="235">
        <v>220.0</v>
      </c>
      <c r="L18" s="235">
        <v>55.0</v>
      </c>
      <c r="M18" s="235">
        <v>1635.0</v>
      </c>
      <c r="N18" s="235">
        <v>28382.0</v>
      </c>
      <c r="O18" s="235">
        <v>63735.0</v>
      </c>
      <c r="P18" s="235">
        <v>453.0</v>
      </c>
      <c r="Q18" s="235">
        <v>48419.0</v>
      </c>
      <c r="R18" s="235">
        <v>86.0</v>
      </c>
      <c r="S18" s="235">
        <v>18226.73</v>
      </c>
      <c r="T18" s="235">
        <v>1548.53</v>
      </c>
      <c r="U18" s="235">
        <v>603.4303</v>
      </c>
      <c r="V18" s="235">
        <v>737566.89</v>
      </c>
      <c r="W18" s="235">
        <v>690472.985</v>
      </c>
      <c r="X18" s="235">
        <v>708033.745</v>
      </c>
      <c r="Y18" s="235">
        <v>-9154.4547</v>
      </c>
    </row>
    <row r="19">
      <c r="A19" s="411">
        <v>46067.0</v>
      </c>
      <c r="B19" s="412" t="s">
        <v>437</v>
      </c>
      <c r="C19" s="412">
        <v>0.0</v>
      </c>
      <c r="D19" s="235">
        <v>1597.0</v>
      </c>
      <c r="E19" s="235">
        <v>512.0</v>
      </c>
      <c r="F19" s="235">
        <v>398.0</v>
      </c>
      <c r="G19" s="235">
        <v>168.0</v>
      </c>
      <c r="H19" s="235">
        <v>34.0</v>
      </c>
      <c r="I19" s="235">
        <v>136.0</v>
      </c>
      <c r="J19" s="235">
        <v>130.0</v>
      </c>
      <c r="K19" s="235">
        <v>117.0</v>
      </c>
      <c r="L19" s="235">
        <v>30.0</v>
      </c>
      <c r="M19" s="235">
        <v>455.0</v>
      </c>
      <c r="N19" s="235">
        <v>25005.0</v>
      </c>
      <c r="O19" s="235">
        <v>51371.0</v>
      </c>
      <c r="P19" s="235">
        <v>224.0</v>
      </c>
      <c r="Q19" s="235">
        <v>47295.0</v>
      </c>
      <c r="R19" s="235">
        <v>66.0</v>
      </c>
      <c r="S19" s="235">
        <v>20495.9</v>
      </c>
      <c r="T19" s="235">
        <v>1209.56</v>
      </c>
      <c r="U19" s="235">
        <v>239.1707</v>
      </c>
      <c r="V19" s="235">
        <v>560885.17</v>
      </c>
      <c r="W19" s="235">
        <v>486596.1</v>
      </c>
      <c r="X19" s="235">
        <v>561618.435</v>
      </c>
      <c r="Y19" s="235">
        <v>22677.8957</v>
      </c>
    </row>
    <row r="20">
      <c r="A20" s="411">
        <v>46067.0</v>
      </c>
      <c r="B20" s="412" t="s">
        <v>457</v>
      </c>
      <c r="C20" s="412">
        <v>0.0</v>
      </c>
      <c r="D20" s="235">
        <v>345.0</v>
      </c>
      <c r="E20" s="235">
        <v>289.0</v>
      </c>
      <c r="F20" s="235">
        <v>202.0</v>
      </c>
      <c r="G20" s="235">
        <v>100.0</v>
      </c>
      <c r="H20" s="235">
        <v>17.0</v>
      </c>
      <c r="I20" s="235">
        <v>261.0</v>
      </c>
      <c r="J20" s="235">
        <v>181.0</v>
      </c>
      <c r="K20" s="235">
        <v>93.0</v>
      </c>
      <c r="L20" s="235">
        <v>17.0</v>
      </c>
      <c r="M20" s="235">
        <v>207.0</v>
      </c>
      <c r="N20" s="235">
        <v>14594.0</v>
      </c>
      <c r="O20" s="235">
        <v>23795.0</v>
      </c>
      <c r="P20" s="235">
        <v>150.0</v>
      </c>
      <c r="Q20" s="235">
        <v>17457.0</v>
      </c>
      <c r="R20" s="235">
        <v>20.0</v>
      </c>
      <c r="S20" s="235">
        <v>3493.0</v>
      </c>
      <c r="T20" s="235">
        <v>168.5</v>
      </c>
      <c r="U20" s="235">
        <v>0.0</v>
      </c>
      <c r="V20" s="235">
        <v>284238.36</v>
      </c>
      <c r="W20" s="235">
        <v>263973.075</v>
      </c>
      <c r="X20" s="235">
        <v>281021.83</v>
      </c>
      <c r="Y20" s="235">
        <v>444.97</v>
      </c>
    </row>
    <row r="21">
      <c r="A21" s="413"/>
      <c r="B21" s="414"/>
      <c r="C21" s="414">
        <f t="shared" ref="C21:Y21" si="4">SUM(C17:C20)</f>
        <v>0</v>
      </c>
      <c r="D21" s="415">
        <f t="shared" si="4"/>
        <v>34033</v>
      </c>
      <c r="E21" s="415">
        <f t="shared" si="4"/>
        <v>6768</v>
      </c>
      <c r="F21" s="415">
        <f t="shared" si="4"/>
        <v>4953</v>
      </c>
      <c r="G21" s="415">
        <f t="shared" si="4"/>
        <v>1743</v>
      </c>
      <c r="H21" s="415">
        <f t="shared" si="4"/>
        <v>408</v>
      </c>
      <c r="I21" s="415">
        <f t="shared" si="4"/>
        <v>2481</v>
      </c>
      <c r="J21" s="415">
        <f t="shared" si="4"/>
        <v>1978</v>
      </c>
      <c r="K21" s="415">
        <f t="shared" si="4"/>
        <v>1179</v>
      </c>
      <c r="L21" s="415">
        <f t="shared" si="4"/>
        <v>330</v>
      </c>
      <c r="M21" s="415">
        <f t="shared" si="4"/>
        <v>5745</v>
      </c>
      <c r="N21" s="415">
        <f t="shared" si="4"/>
        <v>206836</v>
      </c>
      <c r="O21" s="415">
        <f t="shared" si="4"/>
        <v>441981</v>
      </c>
      <c r="P21" s="415">
        <f t="shared" si="4"/>
        <v>2272</v>
      </c>
      <c r="Q21" s="415">
        <f t="shared" si="4"/>
        <v>442011</v>
      </c>
      <c r="R21" s="415">
        <f t="shared" si="4"/>
        <v>554</v>
      </c>
      <c r="S21" s="415">
        <f t="shared" si="4"/>
        <v>176715.12</v>
      </c>
      <c r="T21" s="415">
        <f t="shared" si="4"/>
        <v>10456.46</v>
      </c>
      <c r="U21" s="415">
        <f t="shared" si="4"/>
        <v>3721.3123</v>
      </c>
      <c r="V21" s="415">
        <f t="shared" si="4"/>
        <v>5172261.47</v>
      </c>
      <c r="W21" s="415">
        <f t="shared" si="4"/>
        <v>4622958.17</v>
      </c>
      <c r="X21" s="415">
        <f t="shared" si="4"/>
        <v>5023070.105</v>
      </c>
      <c r="Y21" s="415">
        <f t="shared" si="4"/>
        <v>41701.5273</v>
      </c>
    </row>
    <row r="22">
      <c r="A22" s="411">
        <v>46068.0</v>
      </c>
      <c r="B22" s="412" t="s">
        <v>435</v>
      </c>
      <c r="C22" s="412">
        <v>0.0</v>
      </c>
      <c r="D22" s="235">
        <v>26971.0</v>
      </c>
      <c r="E22" s="235">
        <v>3004.0</v>
      </c>
      <c r="F22" s="235">
        <v>2171.0</v>
      </c>
      <c r="G22" s="235">
        <v>542.0</v>
      </c>
      <c r="H22" s="235">
        <v>124.0</v>
      </c>
      <c r="I22" s="235">
        <v>442.0</v>
      </c>
      <c r="J22" s="235">
        <v>391.0</v>
      </c>
      <c r="K22" s="235">
        <v>273.0</v>
      </c>
      <c r="L22" s="235">
        <v>84.0</v>
      </c>
      <c r="M22" s="235">
        <v>2595.0</v>
      </c>
      <c r="N22" s="235">
        <v>39289.0</v>
      </c>
      <c r="O22" s="235">
        <v>107395.0</v>
      </c>
      <c r="P22" s="235">
        <v>752.0</v>
      </c>
      <c r="Q22" s="235">
        <v>85784.0</v>
      </c>
      <c r="R22" s="235">
        <v>157.0</v>
      </c>
      <c r="S22" s="235">
        <v>23266.77</v>
      </c>
      <c r="T22" s="235">
        <v>5325.2</v>
      </c>
      <c r="U22" s="235">
        <v>1239.6276</v>
      </c>
      <c r="V22" s="235">
        <v>1181841.28</v>
      </c>
      <c r="W22" s="235">
        <v>1110117.605</v>
      </c>
      <c r="X22" s="235">
        <v>1149168.17</v>
      </c>
      <c r="Y22" s="235">
        <v>-2841.5124</v>
      </c>
    </row>
    <row r="23">
      <c r="A23" s="411">
        <v>46068.0</v>
      </c>
      <c r="B23" s="412" t="s">
        <v>436</v>
      </c>
      <c r="C23" s="412">
        <v>0.0</v>
      </c>
      <c r="D23" s="412">
        <v>6047.0</v>
      </c>
      <c r="E23" s="412">
        <v>1389.0</v>
      </c>
      <c r="F23" s="412">
        <v>1004.0</v>
      </c>
      <c r="G23" s="412">
        <v>203.0</v>
      </c>
      <c r="H23" s="412">
        <v>38.0</v>
      </c>
      <c r="I23" s="412">
        <v>527.0</v>
      </c>
      <c r="J23" s="412">
        <v>385.0</v>
      </c>
      <c r="K23" s="412">
        <v>106.0</v>
      </c>
      <c r="L23" s="412">
        <v>26.0</v>
      </c>
      <c r="M23" s="412">
        <v>1200.0</v>
      </c>
      <c r="N23" s="412">
        <v>12229.0</v>
      </c>
      <c r="O23" s="412">
        <v>37856.0</v>
      </c>
      <c r="P23" s="412">
        <v>303.0</v>
      </c>
      <c r="Q23" s="412">
        <v>30285.0</v>
      </c>
      <c r="R23" s="412">
        <v>50.0</v>
      </c>
      <c r="S23" s="412">
        <v>7095.71</v>
      </c>
      <c r="T23" s="412">
        <v>1465.32</v>
      </c>
      <c r="U23" s="412">
        <v>169.8045</v>
      </c>
      <c r="V23" s="412">
        <v>382600.6</v>
      </c>
      <c r="W23" s="412">
        <v>352812.33</v>
      </c>
      <c r="X23" s="412">
        <v>370360.88</v>
      </c>
      <c r="Y23" s="412">
        <v>-3508.8855</v>
      </c>
    </row>
    <row r="24">
      <c r="A24" s="411">
        <v>46068.0</v>
      </c>
      <c r="B24" s="412" t="s">
        <v>437</v>
      </c>
      <c r="C24" s="412">
        <v>0.0</v>
      </c>
      <c r="D24" s="412">
        <v>1659.0</v>
      </c>
      <c r="E24" s="412">
        <v>400.0</v>
      </c>
      <c r="F24" s="412">
        <v>294.0</v>
      </c>
      <c r="G24" s="412">
        <v>70.0</v>
      </c>
      <c r="H24" s="412">
        <v>17.0</v>
      </c>
      <c r="I24" s="412">
        <v>59.0</v>
      </c>
      <c r="J24" s="412">
        <v>51.0</v>
      </c>
      <c r="K24" s="412">
        <v>32.0</v>
      </c>
      <c r="L24" s="412">
        <v>10.0</v>
      </c>
      <c r="M24" s="412">
        <v>346.0</v>
      </c>
      <c r="N24" s="412">
        <v>3846.0</v>
      </c>
      <c r="O24" s="412">
        <v>19707.0</v>
      </c>
      <c r="P24" s="412">
        <v>105.0</v>
      </c>
      <c r="Q24" s="412">
        <v>23549.0</v>
      </c>
      <c r="R24" s="412">
        <v>33.0</v>
      </c>
      <c r="S24" s="412">
        <v>2231.63</v>
      </c>
      <c r="T24" s="412">
        <v>729.57</v>
      </c>
      <c r="U24" s="412">
        <v>74.6483</v>
      </c>
      <c r="V24" s="412">
        <v>201728.28</v>
      </c>
      <c r="W24" s="412">
        <v>190009.97</v>
      </c>
      <c r="X24" s="412">
        <v>197338.28</v>
      </c>
      <c r="Y24" s="412">
        <v>-1354.1517</v>
      </c>
    </row>
    <row r="25">
      <c r="A25" s="411">
        <v>46068.0</v>
      </c>
      <c r="B25" s="412" t="s">
        <v>457</v>
      </c>
      <c r="C25" s="412">
        <v>0.0</v>
      </c>
      <c r="D25" s="412">
        <v>572.0</v>
      </c>
      <c r="E25" s="412">
        <v>329.0</v>
      </c>
      <c r="F25" s="412">
        <v>245.0</v>
      </c>
      <c r="G25" s="412">
        <v>100.0</v>
      </c>
      <c r="H25" s="412">
        <v>21.0</v>
      </c>
      <c r="I25" s="412">
        <v>236.0</v>
      </c>
      <c r="J25" s="412">
        <v>176.0</v>
      </c>
      <c r="K25" s="412">
        <v>79.0</v>
      </c>
      <c r="L25" s="412">
        <v>21.0</v>
      </c>
      <c r="M25" s="412">
        <v>239.0</v>
      </c>
      <c r="N25" s="412">
        <v>11465.0</v>
      </c>
      <c r="O25" s="412">
        <v>21995.0</v>
      </c>
      <c r="P25" s="412">
        <v>150.0</v>
      </c>
      <c r="Q25" s="412">
        <v>19952.0</v>
      </c>
      <c r="R25" s="412">
        <v>28.0</v>
      </c>
      <c r="S25" s="412">
        <v>2328.71</v>
      </c>
      <c r="T25" s="412">
        <v>860.02</v>
      </c>
      <c r="U25" s="412">
        <v>0.0</v>
      </c>
      <c r="V25" s="412">
        <v>202820.9</v>
      </c>
      <c r="W25" s="412">
        <v>188716.25</v>
      </c>
      <c r="X25" s="412">
        <v>195966.345</v>
      </c>
      <c r="Y25" s="412">
        <v>-3665.825</v>
      </c>
    </row>
    <row r="26">
      <c r="A26" s="413"/>
      <c r="B26" s="414"/>
      <c r="C26" s="414">
        <f t="shared" ref="C26:Y26" si="5">SUM(C22:C25)</f>
        <v>0</v>
      </c>
      <c r="D26" s="415">
        <f t="shared" si="5"/>
        <v>35249</v>
      </c>
      <c r="E26" s="415">
        <f t="shared" si="5"/>
        <v>5122</v>
      </c>
      <c r="F26" s="415">
        <f t="shared" si="5"/>
        <v>3714</v>
      </c>
      <c r="G26" s="415">
        <f t="shared" si="5"/>
        <v>915</v>
      </c>
      <c r="H26" s="415">
        <f t="shared" si="5"/>
        <v>200</v>
      </c>
      <c r="I26" s="415">
        <f t="shared" si="5"/>
        <v>1264</v>
      </c>
      <c r="J26" s="415">
        <f t="shared" si="5"/>
        <v>1003</v>
      </c>
      <c r="K26" s="415">
        <f t="shared" si="5"/>
        <v>490</v>
      </c>
      <c r="L26" s="415">
        <f t="shared" si="5"/>
        <v>141</v>
      </c>
      <c r="M26" s="415">
        <f t="shared" si="5"/>
        <v>4380</v>
      </c>
      <c r="N26" s="415">
        <f t="shared" si="5"/>
        <v>66829</v>
      </c>
      <c r="O26" s="415">
        <f t="shared" si="5"/>
        <v>186953</v>
      </c>
      <c r="P26" s="415">
        <f t="shared" si="5"/>
        <v>1310</v>
      </c>
      <c r="Q26" s="415">
        <f t="shared" si="5"/>
        <v>159570</v>
      </c>
      <c r="R26" s="415">
        <f t="shared" si="5"/>
        <v>268</v>
      </c>
      <c r="S26" s="415">
        <f t="shared" si="5"/>
        <v>34922.82</v>
      </c>
      <c r="T26" s="415">
        <f t="shared" si="5"/>
        <v>8380.11</v>
      </c>
      <c r="U26" s="415">
        <f t="shared" si="5"/>
        <v>1484.0804</v>
      </c>
      <c r="V26" s="415">
        <f t="shared" si="5"/>
        <v>1968991.06</v>
      </c>
      <c r="W26" s="415">
        <f t="shared" si="5"/>
        <v>1841656.155</v>
      </c>
      <c r="X26" s="415">
        <f t="shared" si="5"/>
        <v>1912833.675</v>
      </c>
      <c r="Y26" s="415">
        <f t="shared" si="5"/>
        <v>-11370.3746</v>
      </c>
    </row>
    <row r="27">
      <c r="A27" s="411">
        <v>46069.0</v>
      </c>
      <c r="B27" s="412" t="s">
        <v>435</v>
      </c>
      <c r="C27" s="412">
        <v>0.0</v>
      </c>
      <c r="D27" s="412">
        <v>27313.0</v>
      </c>
      <c r="E27" s="412">
        <v>3005.0</v>
      </c>
      <c r="F27" s="412">
        <v>2112.0</v>
      </c>
      <c r="G27" s="412">
        <v>467.0</v>
      </c>
      <c r="H27" s="412">
        <v>101.0</v>
      </c>
      <c r="I27" s="412">
        <v>344.0</v>
      </c>
      <c r="J27" s="412">
        <v>276.0</v>
      </c>
      <c r="K27" s="412">
        <v>199.0</v>
      </c>
      <c r="L27" s="412">
        <v>61.0</v>
      </c>
      <c r="M27" s="412">
        <v>2581.0</v>
      </c>
      <c r="N27" s="412">
        <v>31105.0</v>
      </c>
      <c r="O27" s="412">
        <v>94219.0</v>
      </c>
      <c r="P27" s="412">
        <v>618.0</v>
      </c>
      <c r="Q27" s="412">
        <v>62057.0</v>
      </c>
      <c r="R27" s="412">
        <v>128.0</v>
      </c>
      <c r="S27" s="412">
        <v>18561.53</v>
      </c>
      <c r="T27" s="412">
        <v>2891.41</v>
      </c>
      <c r="U27" s="412">
        <v>588.0269</v>
      </c>
      <c r="V27" s="412">
        <v>903963.07</v>
      </c>
      <c r="W27" s="412">
        <v>851719.345</v>
      </c>
      <c r="X27" s="412">
        <v>862903.89</v>
      </c>
      <c r="Y27" s="412">
        <v>-19018.2131</v>
      </c>
    </row>
    <row r="28">
      <c r="A28" s="411">
        <v>46069.0</v>
      </c>
      <c r="B28" s="412" t="s">
        <v>436</v>
      </c>
      <c r="C28" s="412">
        <v>0.0</v>
      </c>
      <c r="D28" s="412">
        <v>6479.0</v>
      </c>
      <c r="E28" s="412">
        <v>1315.0</v>
      </c>
      <c r="F28" s="412">
        <v>948.0</v>
      </c>
      <c r="G28" s="412">
        <v>179.0</v>
      </c>
      <c r="H28" s="412">
        <v>33.0</v>
      </c>
      <c r="I28" s="412">
        <v>435.0</v>
      </c>
      <c r="J28" s="412">
        <v>327.0</v>
      </c>
      <c r="K28" s="412">
        <v>91.0</v>
      </c>
      <c r="L28" s="412">
        <v>22.0</v>
      </c>
      <c r="M28" s="412">
        <v>1086.0</v>
      </c>
      <c r="N28" s="412">
        <v>10985.0</v>
      </c>
      <c r="O28" s="412">
        <v>27315.0</v>
      </c>
      <c r="P28" s="412">
        <v>219.0</v>
      </c>
      <c r="Q28" s="412">
        <v>14490.0</v>
      </c>
      <c r="R28" s="412">
        <v>38.0</v>
      </c>
      <c r="S28" s="412">
        <v>5154.14</v>
      </c>
      <c r="T28" s="412">
        <v>908.75</v>
      </c>
      <c r="U28" s="412">
        <v>62.6446</v>
      </c>
      <c r="V28" s="412">
        <v>263458.92</v>
      </c>
      <c r="W28" s="412">
        <v>246089.47</v>
      </c>
      <c r="X28" s="412">
        <v>251641.0</v>
      </c>
      <c r="Y28" s="412">
        <v>-5692.3854</v>
      </c>
    </row>
    <row r="29">
      <c r="A29" s="411">
        <v>46069.0</v>
      </c>
      <c r="B29" s="412" t="s">
        <v>437</v>
      </c>
      <c r="C29" s="412">
        <v>0.0</v>
      </c>
      <c r="D29" s="412">
        <v>1727.0</v>
      </c>
      <c r="E29" s="412">
        <v>407.0</v>
      </c>
      <c r="F29" s="412">
        <v>291.0</v>
      </c>
      <c r="G29" s="412">
        <v>74.0</v>
      </c>
      <c r="H29" s="412">
        <v>17.0</v>
      </c>
      <c r="I29" s="412">
        <v>68.0</v>
      </c>
      <c r="J29" s="412">
        <v>50.0</v>
      </c>
      <c r="K29" s="412">
        <v>44.0</v>
      </c>
      <c r="L29" s="412">
        <v>14.0</v>
      </c>
      <c r="M29" s="412">
        <v>335.0</v>
      </c>
      <c r="N29" s="412">
        <v>7078.0</v>
      </c>
      <c r="O29" s="412">
        <v>16440.0</v>
      </c>
      <c r="P29" s="412">
        <v>96.0</v>
      </c>
      <c r="Q29" s="412">
        <v>9850.0</v>
      </c>
      <c r="R29" s="412">
        <v>21.0</v>
      </c>
      <c r="S29" s="412">
        <v>2465.0</v>
      </c>
      <c r="T29" s="412">
        <v>560.27</v>
      </c>
      <c r="U29" s="412">
        <v>55.3846</v>
      </c>
      <c r="V29" s="412">
        <v>125110.63</v>
      </c>
      <c r="W29" s="412">
        <v>118056.255</v>
      </c>
      <c r="X29" s="412">
        <v>116019.015</v>
      </c>
      <c r="Y29" s="412">
        <v>-6010.9604</v>
      </c>
    </row>
    <row r="30">
      <c r="A30" s="411">
        <v>46069.0</v>
      </c>
      <c r="B30" s="412" t="s">
        <v>457</v>
      </c>
      <c r="C30" s="412">
        <v>0.0</v>
      </c>
      <c r="D30" s="235">
        <v>761.0</v>
      </c>
      <c r="E30" s="235">
        <v>312.0</v>
      </c>
      <c r="F30" s="235">
        <v>246.0</v>
      </c>
      <c r="G30" s="235">
        <v>101.0</v>
      </c>
      <c r="H30" s="235">
        <v>25.0</v>
      </c>
      <c r="I30" s="235">
        <v>183.0</v>
      </c>
      <c r="J30" s="235">
        <v>152.0</v>
      </c>
      <c r="K30" s="235">
        <v>78.0</v>
      </c>
      <c r="L30" s="235">
        <v>19.0</v>
      </c>
      <c r="M30" s="235">
        <v>243.0</v>
      </c>
      <c r="N30" s="235">
        <v>10055.0</v>
      </c>
      <c r="O30" s="235">
        <v>23490.0</v>
      </c>
      <c r="P30" s="235">
        <v>161.0</v>
      </c>
      <c r="Q30" s="235">
        <v>17580.0</v>
      </c>
      <c r="R30" s="235">
        <v>30.0</v>
      </c>
      <c r="S30" s="235">
        <v>2333.5</v>
      </c>
      <c r="T30" s="235">
        <v>639.16</v>
      </c>
      <c r="U30" s="235">
        <v>21.7412</v>
      </c>
      <c r="V30" s="235">
        <v>217649.03</v>
      </c>
      <c r="W30" s="235">
        <v>202607.175</v>
      </c>
      <c r="X30" s="235">
        <v>206390.17</v>
      </c>
      <c r="Y30" s="235">
        <v>-8264.4588</v>
      </c>
    </row>
    <row r="31">
      <c r="A31" s="411">
        <v>46069.0</v>
      </c>
      <c r="B31" s="412" t="s">
        <v>459</v>
      </c>
      <c r="C31" s="412">
        <v>0.0</v>
      </c>
      <c r="D31" s="235">
        <v>1.0</v>
      </c>
      <c r="E31" s="235">
        <v>0.0</v>
      </c>
      <c r="F31" s="235">
        <v>0.0</v>
      </c>
      <c r="G31" s="235">
        <v>0.0</v>
      </c>
      <c r="H31" s="235">
        <v>0.0</v>
      </c>
      <c r="I31" s="235">
        <v>1.0</v>
      </c>
      <c r="J31" s="235">
        <v>0.0</v>
      </c>
      <c r="K31" s="235">
        <v>0.0</v>
      </c>
      <c r="L31" s="235">
        <v>0.0</v>
      </c>
      <c r="M31" s="235">
        <v>0.0</v>
      </c>
      <c r="N31" s="235">
        <v>0.0</v>
      </c>
      <c r="O31" s="235">
        <v>0.0</v>
      </c>
      <c r="P31" s="235">
        <v>0.0</v>
      </c>
      <c r="Q31" s="235">
        <v>0.0</v>
      </c>
      <c r="R31" s="235">
        <v>0.0</v>
      </c>
      <c r="S31" s="235">
        <v>0.0</v>
      </c>
      <c r="T31" s="235">
        <v>0.0</v>
      </c>
      <c r="U31" s="235">
        <v>0.0</v>
      </c>
      <c r="V31" s="235">
        <v>0.0</v>
      </c>
      <c r="W31" s="235">
        <v>0.0</v>
      </c>
      <c r="X31" s="235">
        <v>0.0</v>
      </c>
      <c r="Y31" s="235">
        <v>0.0</v>
      </c>
    </row>
    <row r="32">
      <c r="A32" s="413"/>
      <c r="B32" s="414"/>
      <c r="C32" s="414">
        <f t="shared" ref="C32:Y32" si="6">SUM(C27:C31)</f>
        <v>0</v>
      </c>
      <c r="D32" s="414">
        <f t="shared" si="6"/>
        <v>36281</v>
      </c>
      <c r="E32" s="414">
        <f t="shared" si="6"/>
        <v>5039</v>
      </c>
      <c r="F32" s="414">
        <f t="shared" si="6"/>
        <v>3597</v>
      </c>
      <c r="G32" s="414">
        <f t="shared" si="6"/>
        <v>821</v>
      </c>
      <c r="H32" s="414">
        <f t="shared" si="6"/>
        <v>176</v>
      </c>
      <c r="I32" s="414">
        <f t="shared" si="6"/>
        <v>1031</v>
      </c>
      <c r="J32" s="414">
        <f t="shared" si="6"/>
        <v>805</v>
      </c>
      <c r="K32" s="414">
        <f t="shared" si="6"/>
        <v>412</v>
      </c>
      <c r="L32" s="414">
        <f t="shared" si="6"/>
        <v>116</v>
      </c>
      <c r="M32" s="414">
        <f t="shared" si="6"/>
        <v>4245</v>
      </c>
      <c r="N32" s="414">
        <f t="shared" si="6"/>
        <v>59223</v>
      </c>
      <c r="O32" s="414">
        <f t="shared" si="6"/>
        <v>161464</v>
      </c>
      <c r="P32" s="414">
        <f t="shared" si="6"/>
        <v>1094</v>
      </c>
      <c r="Q32" s="414">
        <f t="shared" si="6"/>
        <v>103977</v>
      </c>
      <c r="R32" s="414">
        <f t="shared" si="6"/>
        <v>217</v>
      </c>
      <c r="S32" s="414">
        <f t="shared" si="6"/>
        <v>28514.17</v>
      </c>
      <c r="T32" s="414">
        <f t="shared" si="6"/>
        <v>4999.59</v>
      </c>
      <c r="U32" s="414">
        <f t="shared" si="6"/>
        <v>727.7973</v>
      </c>
      <c r="V32" s="414">
        <f t="shared" si="6"/>
        <v>1510181.65</v>
      </c>
      <c r="W32" s="414">
        <f t="shared" si="6"/>
        <v>1418472.245</v>
      </c>
      <c r="X32" s="414">
        <f t="shared" si="6"/>
        <v>1436954.075</v>
      </c>
      <c r="Y32" s="414">
        <f t="shared" si="6"/>
        <v>-38986.0177</v>
      </c>
    </row>
    <row r="33">
      <c r="A33" s="411">
        <v>46070.0</v>
      </c>
      <c r="B33" s="412" t="s">
        <v>435</v>
      </c>
      <c r="C33" s="412">
        <v>0.0</v>
      </c>
      <c r="D33" s="235">
        <v>27580.0</v>
      </c>
      <c r="E33" s="235">
        <v>3137.0</v>
      </c>
      <c r="F33" s="235">
        <v>2240.0</v>
      </c>
      <c r="G33" s="235">
        <v>444.0</v>
      </c>
      <c r="H33" s="235">
        <v>101.0</v>
      </c>
      <c r="I33" s="235">
        <v>269.0</v>
      </c>
      <c r="J33" s="235">
        <v>277.0</v>
      </c>
      <c r="K33" s="235">
        <v>187.0</v>
      </c>
      <c r="L33" s="235">
        <v>58.0</v>
      </c>
      <c r="M33" s="235">
        <v>2689.0</v>
      </c>
      <c r="N33" s="235">
        <v>29191.0</v>
      </c>
      <c r="O33" s="235">
        <v>94011.0</v>
      </c>
      <c r="P33" s="235">
        <v>562.0</v>
      </c>
      <c r="Q33" s="235">
        <v>63419.0</v>
      </c>
      <c r="R33" s="235">
        <v>124.0</v>
      </c>
      <c r="S33" s="235">
        <v>19342.8</v>
      </c>
      <c r="T33" s="235">
        <v>2796.81</v>
      </c>
      <c r="U33" s="235">
        <v>453.0174</v>
      </c>
      <c r="V33" s="235">
        <v>845016.82</v>
      </c>
      <c r="W33" s="235">
        <v>778447.88</v>
      </c>
      <c r="X33" s="235">
        <v>808201.55</v>
      </c>
      <c r="Y33" s="235">
        <v>-14222.6426</v>
      </c>
    </row>
    <row r="34">
      <c r="A34" s="411">
        <v>46070.0</v>
      </c>
      <c r="B34" s="412" t="s">
        <v>436</v>
      </c>
      <c r="C34" s="412">
        <v>0.0</v>
      </c>
      <c r="D34" s="235">
        <v>6891.0</v>
      </c>
      <c r="E34" s="235">
        <v>1358.0</v>
      </c>
      <c r="F34" s="235">
        <v>975.0</v>
      </c>
      <c r="G34" s="235">
        <v>181.0</v>
      </c>
      <c r="H34" s="235">
        <v>33.0</v>
      </c>
      <c r="I34" s="235">
        <v>403.0</v>
      </c>
      <c r="J34" s="235">
        <v>280.0</v>
      </c>
      <c r="K34" s="235">
        <v>102.0</v>
      </c>
      <c r="L34" s="235">
        <v>27.0</v>
      </c>
      <c r="M34" s="235">
        <v>1103.0</v>
      </c>
      <c r="N34" s="235">
        <v>15900.0</v>
      </c>
      <c r="O34" s="235">
        <v>30795.0</v>
      </c>
      <c r="P34" s="235">
        <v>223.0</v>
      </c>
      <c r="Q34" s="235">
        <v>18051.0</v>
      </c>
      <c r="R34" s="235">
        <v>41.0</v>
      </c>
      <c r="S34" s="235">
        <v>6109.1</v>
      </c>
      <c r="T34" s="235">
        <v>651.24</v>
      </c>
      <c r="U34" s="235">
        <v>26.2234</v>
      </c>
      <c r="V34" s="235">
        <v>291412.7</v>
      </c>
      <c r="W34" s="235">
        <v>272251.05</v>
      </c>
      <c r="X34" s="235">
        <v>274144.84</v>
      </c>
      <c r="Y34" s="235">
        <v>-10481.2966</v>
      </c>
    </row>
    <row r="35">
      <c r="A35" s="411">
        <v>46070.0</v>
      </c>
      <c r="B35" s="412" t="s">
        <v>437</v>
      </c>
      <c r="C35" s="412">
        <v>0.0</v>
      </c>
      <c r="D35" s="235">
        <v>1773.0</v>
      </c>
      <c r="E35" s="235">
        <v>385.0</v>
      </c>
      <c r="F35" s="235">
        <v>305.0</v>
      </c>
      <c r="G35" s="235">
        <v>73.0</v>
      </c>
      <c r="H35" s="235">
        <v>26.0</v>
      </c>
      <c r="I35" s="235">
        <v>48.0</v>
      </c>
      <c r="J35" s="235">
        <v>47.0</v>
      </c>
      <c r="K35" s="235">
        <v>35.0</v>
      </c>
      <c r="L35" s="235">
        <v>16.0</v>
      </c>
      <c r="M35" s="235">
        <v>333.0</v>
      </c>
      <c r="N35" s="235">
        <v>5567.0</v>
      </c>
      <c r="O35" s="235">
        <v>19167.0</v>
      </c>
      <c r="P35" s="235">
        <v>115.0</v>
      </c>
      <c r="Q35" s="235">
        <v>17050.0</v>
      </c>
      <c r="R35" s="235">
        <v>34.0</v>
      </c>
      <c r="S35" s="235">
        <v>1958.0</v>
      </c>
      <c r="T35" s="235">
        <v>244.69</v>
      </c>
      <c r="U35" s="235">
        <v>62.5938</v>
      </c>
      <c r="V35" s="235">
        <v>168645.63</v>
      </c>
      <c r="W35" s="235">
        <v>157487.56</v>
      </c>
      <c r="X35" s="235">
        <v>165184.47</v>
      </c>
      <c r="Y35" s="235">
        <v>-1195.8762</v>
      </c>
    </row>
    <row r="36">
      <c r="A36" s="411">
        <v>46070.0</v>
      </c>
      <c r="B36" s="412" t="s">
        <v>457</v>
      </c>
      <c r="C36" s="412">
        <v>0.0</v>
      </c>
      <c r="D36" s="235">
        <v>916.0</v>
      </c>
      <c r="E36" s="235">
        <v>336.0</v>
      </c>
      <c r="F36" s="235">
        <v>244.0</v>
      </c>
      <c r="G36" s="235">
        <v>89.0</v>
      </c>
      <c r="H36" s="235">
        <v>20.0</v>
      </c>
      <c r="I36" s="235">
        <v>161.0</v>
      </c>
      <c r="J36" s="235">
        <v>119.0</v>
      </c>
      <c r="K36" s="235">
        <v>54.0</v>
      </c>
      <c r="L36" s="235">
        <v>18.0</v>
      </c>
      <c r="M36" s="235">
        <v>254.0</v>
      </c>
      <c r="N36" s="235">
        <v>7073.0</v>
      </c>
      <c r="O36" s="235">
        <v>21693.0</v>
      </c>
      <c r="P36" s="235">
        <v>152.0</v>
      </c>
      <c r="Q36" s="235">
        <v>17320.0</v>
      </c>
      <c r="R36" s="235">
        <v>27.0</v>
      </c>
      <c r="S36" s="235">
        <v>2247.0</v>
      </c>
      <c r="T36" s="235">
        <v>809.03</v>
      </c>
      <c r="U36" s="235">
        <v>2.9816</v>
      </c>
      <c r="V36" s="235">
        <v>217861.14</v>
      </c>
      <c r="W36" s="235">
        <v>205744.34</v>
      </c>
      <c r="X36" s="235">
        <v>213616.79</v>
      </c>
      <c r="Y36" s="235">
        <v>-1185.3384</v>
      </c>
    </row>
    <row r="37">
      <c r="A37" s="413"/>
      <c r="B37" s="414"/>
      <c r="C37" s="414">
        <f t="shared" ref="C37:Y37" si="7">SUM(C33:C36)</f>
        <v>0</v>
      </c>
      <c r="D37" s="415">
        <f t="shared" si="7"/>
        <v>37160</v>
      </c>
      <c r="E37" s="415">
        <f t="shared" si="7"/>
        <v>5216</v>
      </c>
      <c r="F37" s="415">
        <f t="shared" si="7"/>
        <v>3764</v>
      </c>
      <c r="G37" s="415">
        <f t="shared" si="7"/>
        <v>787</v>
      </c>
      <c r="H37" s="415">
        <f t="shared" si="7"/>
        <v>180</v>
      </c>
      <c r="I37" s="415">
        <f t="shared" si="7"/>
        <v>881</v>
      </c>
      <c r="J37" s="415">
        <f t="shared" si="7"/>
        <v>723</v>
      </c>
      <c r="K37" s="415">
        <f t="shared" si="7"/>
        <v>378</v>
      </c>
      <c r="L37" s="415">
        <f t="shared" si="7"/>
        <v>119</v>
      </c>
      <c r="M37" s="415">
        <f t="shared" si="7"/>
        <v>4379</v>
      </c>
      <c r="N37" s="415">
        <f t="shared" si="7"/>
        <v>57731</v>
      </c>
      <c r="O37" s="415">
        <f t="shared" si="7"/>
        <v>165666</v>
      </c>
      <c r="P37" s="415">
        <f t="shared" si="7"/>
        <v>1052</v>
      </c>
      <c r="Q37" s="415">
        <f t="shared" si="7"/>
        <v>115840</v>
      </c>
      <c r="R37" s="415">
        <f t="shared" si="7"/>
        <v>226</v>
      </c>
      <c r="S37" s="415">
        <f t="shared" si="7"/>
        <v>29656.9</v>
      </c>
      <c r="T37" s="415">
        <f t="shared" si="7"/>
        <v>4501.77</v>
      </c>
      <c r="U37" s="415">
        <f t="shared" si="7"/>
        <v>544.8162</v>
      </c>
      <c r="V37" s="415">
        <f t="shared" si="7"/>
        <v>1522936.29</v>
      </c>
      <c r="W37" s="415">
        <f t="shared" si="7"/>
        <v>1413930.83</v>
      </c>
      <c r="X37" s="415">
        <f t="shared" si="7"/>
        <v>1461147.65</v>
      </c>
      <c r="Y37" s="415">
        <f t="shared" si="7"/>
        <v>-27085.1538</v>
      </c>
    </row>
    <row r="38">
      <c r="A38" s="411">
        <v>46071.0</v>
      </c>
      <c r="B38" s="412" t="s">
        <v>435</v>
      </c>
      <c r="C38" s="412">
        <v>0.0</v>
      </c>
      <c r="D38" s="235">
        <v>27780.0</v>
      </c>
      <c r="E38" s="235">
        <v>2554.0</v>
      </c>
      <c r="F38" s="235">
        <v>1930.0</v>
      </c>
      <c r="G38" s="235">
        <v>346.0</v>
      </c>
      <c r="H38" s="235">
        <v>81.0</v>
      </c>
      <c r="I38" s="235">
        <v>209.0</v>
      </c>
      <c r="J38" s="235">
        <v>198.0</v>
      </c>
      <c r="K38" s="235">
        <v>130.0</v>
      </c>
      <c r="L38" s="235">
        <v>47.0</v>
      </c>
      <c r="M38" s="235">
        <v>2237.0</v>
      </c>
      <c r="N38" s="235">
        <v>21811.0</v>
      </c>
      <c r="O38" s="235">
        <v>61952.0</v>
      </c>
      <c r="P38" s="235">
        <v>443.0</v>
      </c>
      <c r="Q38" s="235">
        <v>59347.0</v>
      </c>
      <c r="R38" s="235">
        <v>108.0</v>
      </c>
      <c r="S38" s="235">
        <v>15786.61</v>
      </c>
      <c r="T38" s="235">
        <v>2506.17</v>
      </c>
      <c r="U38" s="235">
        <v>408.4826</v>
      </c>
      <c r="V38" s="235">
        <v>558976.31</v>
      </c>
      <c r="W38" s="235">
        <v>487903.78</v>
      </c>
      <c r="X38" s="235">
        <v>525275.6</v>
      </c>
      <c r="Y38" s="235">
        <v>-14999.4474</v>
      </c>
    </row>
    <row r="39">
      <c r="A39" s="411">
        <v>46071.0</v>
      </c>
      <c r="B39" s="412" t="s">
        <v>436</v>
      </c>
      <c r="C39" s="412">
        <v>0.0</v>
      </c>
      <c r="D39" s="416">
        <v>7327.0</v>
      </c>
      <c r="E39" s="416">
        <v>1234.0</v>
      </c>
      <c r="F39" s="416">
        <v>847.0</v>
      </c>
      <c r="G39" s="416">
        <v>165.0</v>
      </c>
      <c r="H39" s="416">
        <v>37.0</v>
      </c>
      <c r="I39" s="416">
        <v>432.0</v>
      </c>
      <c r="J39" s="416">
        <v>264.0</v>
      </c>
      <c r="K39" s="416">
        <v>84.0</v>
      </c>
      <c r="L39" s="416">
        <v>28.0</v>
      </c>
      <c r="M39" s="416">
        <v>976.0</v>
      </c>
      <c r="N39" s="416">
        <v>11706.0</v>
      </c>
      <c r="O39" s="416">
        <v>32864.0</v>
      </c>
      <c r="P39" s="416">
        <v>223.0</v>
      </c>
      <c r="Q39" s="416">
        <v>24138.0</v>
      </c>
      <c r="R39" s="416">
        <v>47.0</v>
      </c>
      <c r="S39" s="416">
        <v>5065.3</v>
      </c>
      <c r="T39" s="416">
        <v>702.11</v>
      </c>
      <c r="U39" s="416">
        <v>70.882</v>
      </c>
      <c r="V39" s="416">
        <v>318683.68</v>
      </c>
      <c r="W39" s="416">
        <v>298455.835</v>
      </c>
      <c r="X39" s="416">
        <v>303096.64</v>
      </c>
      <c r="Y39" s="416">
        <v>-9748.748</v>
      </c>
    </row>
    <row r="40">
      <c r="A40" s="411">
        <v>46071.0</v>
      </c>
      <c r="B40" s="412" t="s">
        <v>437</v>
      </c>
      <c r="C40" s="412">
        <v>0.0</v>
      </c>
      <c r="D40" s="235">
        <v>1818.0</v>
      </c>
      <c r="E40" s="235">
        <v>332.0</v>
      </c>
      <c r="F40" s="235">
        <v>234.0</v>
      </c>
      <c r="G40" s="235">
        <v>57.0</v>
      </c>
      <c r="H40" s="235">
        <v>14.0</v>
      </c>
      <c r="I40" s="235">
        <v>46.0</v>
      </c>
      <c r="J40" s="235">
        <v>30.0</v>
      </c>
      <c r="K40" s="235">
        <v>21.0</v>
      </c>
      <c r="L40" s="235">
        <v>6.0</v>
      </c>
      <c r="M40" s="235">
        <v>291.0</v>
      </c>
      <c r="N40" s="235">
        <v>2689.0</v>
      </c>
      <c r="O40" s="235">
        <v>11860.0</v>
      </c>
      <c r="P40" s="235">
        <v>72.0</v>
      </c>
      <c r="Q40" s="235">
        <v>9616.0</v>
      </c>
      <c r="R40" s="235">
        <v>22.0</v>
      </c>
      <c r="S40" s="235">
        <v>1737.7</v>
      </c>
      <c r="T40" s="235">
        <v>592.93</v>
      </c>
      <c r="U40" s="235">
        <v>37.5224</v>
      </c>
      <c r="V40" s="235">
        <v>112695.19</v>
      </c>
      <c r="W40" s="235">
        <v>107444.975</v>
      </c>
      <c r="X40" s="235">
        <v>104869.04</v>
      </c>
      <c r="Y40" s="235">
        <v>-5457.9976</v>
      </c>
    </row>
    <row r="41">
      <c r="A41" s="411">
        <v>46071.0</v>
      </c>
      <c r="B41" s="412" t="s">
        <v>457</v>
      </c>
      <c r="C41" s="412">
        <v>0.0</v>
      </c>
      <c r="D41" s="235">
        <v>1054.0</v>
      </c>
      <c r="E41" s="235">
        <v>324.0</v>
      </c>
      <c r="F41" s="235">
        <v>240.0</v>
      </c>
      <c r="G41" s="235">
        <v>102.0</v>
      </c>
      <c r="H41" s="235">
        <v>19.0</v>
      </c>
      <c r="I41" s="235">
        <v>142.0</v>
      </c>
      <c r="J41" s="235">
        <v>106.0</v>
      </c>
      <c r="K41" s="235">
        <v>56.0</v>
      </c>
      <c r="L41" s="235">
        <v>11.0</v>
      </c>
      <c r="M41" s="235">
        <v>243.0</v>
      </c>
      <c r="N41" s="235">
        <v>6858.0</v>
      </c>
      <c r="O41" s="235">
        <v>24412.0</v>
      </c>
      <c r="P41" s="235">
        <v>172.0</v>
      </c>
      <c r="Q41" s="235">
        <v>14970.0</v>
      </c>
      <c r="R41" s="235">
        <v>24.0</v>
      </c>
      <c r="S41" s="235">
        <v>2133.5</v>
      </c>
      <c r="T41" s="235">
        <v>737.63</v>
      </c>
      <c r="U41" s="235">
        <v>0.7111</v>
      </c>
      <c r="V41" s="235">
        <v>244645.4</v>
      </c>
      <c r="W41" s="235">
        <v>225439.51</v>
      </c>
      <c r="X41" s="235">
        <v>231634.625</v>
      </c>
      <c r="Y41" s="235">
        <v>-10138.9339</v>
      </c>
    </row>
    <row r="42">
      <c r="A42" s="413"/>
      <c r="B42" s="414"/>
      <c r="C42" s="414">
        <f t="shared" ref="C42:Y42" si="8">SUM(C38:C41)</f>
        <v>0</v>
      </c>
      <c r="D42" s="415">
        <f t="shared" si="8"/>
        <v>37979</v>
      </c>
      <c r="E42" s="415">
        <f t="shared" si="8"/>
        <v>4444</v>
      </c>
      <c r="F42" s="415">
        <f t="shared" si="8"/>
        <v>3251</v>
      </c>
      <c r="G42" s="415">
        <f t="shared" si="8"/>
        <v>670</v>
      </c>
      <c r="H42" s="415">
        <f t="shared" si="8"/>
        <v>151</v>
      </c>
      <c r="I42" s="415">
        <f t="shared" si="8"/>
        <v>829</v>
      </c>
      <c r="J42" s="415">
        <f t="shared" si="8"/>
        <v>598</v>
      </c>
      <c r="K42" s="415">
        <f t="shared" si="8"/>
        <v>291</v>
      </c>
      <c r="L42" s="415">
        <f t="shared" si="8"/>
        <v>92</v>
      </c>
      <c r="M42" s="415">
        <f t="shared" si="8"/>
        <v>3747</v>
      </c>
      <c r="N42" s="415">
        <f t="shared" si="8"/>
        <v>43064</v>
      </c>
      <c r="O42" s="415">
        <f t="shared" si="8"/>
        <v>131088</v>
      </c>
      <c r="P42" s="415">
        <f t="shared" si="8"/>
        <v>910</v>
      </c>
      <c r="Q42" s="415">
        <f t="shared" si="8"/>
        <v>108071</v>
      </c>
      <c r="R42" s="415">
        <f t="shared" si="8"/>
        <v>201</v>
      </c>
      <c r="S42" s="415">
        <f t="shared" si="8"/>
        <v>24723.11</v>
      </c>
      <c r="T42" s="415">
        <f t="shared" si="8"/>
        <v>4538.84</v>
      </c>
      <c r="U42" s="415">
        <f t="shared" si="8"/>
        <v>517.5981</v>
      </c>
      <c r="V42" s="415">
        <f t="shared" si="8"/>
        <v>1235000.58</v>
      </c>
      <c r="W42" s="415">
        <f t="shared" si="8"/>
        <v>1119244.1</v>
      </c>
      <c r="X42" s="415">
        <f t="shared" si="8"/>
        <v>1164875.905</v>
      </c>
      <c r="Y42" s="415">
        <f t="shared" si="8"/>
        <v>-40345.1269</v>
      </c>
    </row>
    <row r="43">
      <c r="A43" s="411">
        <v>46072.0</v>
      </c>
      <c r="B43" s="412" t="s">
        <v>435</v>
      </c>
      <c r="C43" s="412">
        <v>0.0</v>
      </c>
      <c r="D43" s="235">
        <v>27983.0</v>
      </c>
      <c r="E43" s="235">
        <v>2436.0</v>
      </c>
      <c r="F43" s="235">
        <v>1731.0</v>
      </c>
      <c r="G43" s="235">
        <v>303.0</v>
      </c>
      <c r="H43" s="235">
        <v>75.0</v>
      </c>
      <c r="I43" s="235">
        <v>180.0</v>
      </c>
      <c r="J43" s="235">
        <v>166.0</v>
      </c>
      <c r="K43" s="235">
        <v>115.0</v>
      </c>
      <c r="L43" s="235">
        <v>46.0</v>
      </c>
      <c r="M43" s="235">
        <v>2135.0</v>
      </c>
      <c r="N43" s="235">
        <v>18032.0</v>
      </c>
      <c r="O43" s="235">
        <v>65442.0</v>
      </c>
      <c r="P43" s="235">
        <v>418.0</v>
      </c>
      <c r="Q43" s="235">
        <v>55979.0</v>
      </c>
      <c r="R43" s="235">
        <v>99.0</v>
      </c>
      <c r="S43" s="235">
        <v>12616.89</v>
      </c>
      <c r="T43" s="235">
        <v>1287.65</v>
      </c>
      <c r="U43" s="235">
        <v>235.2897</v>
      </c>
      <c r="V43" s="235">
        <v>668195.01</v>
      </c>
      <c r="W43" s="235">
        <v>607784.99</v>
      </c>
      <c r="X43" s="235">
        <v>652655.3</v>
      </c>
      <c r="Y43" s="235">
        <v>-1399.8803</v>
      </c>
    </row>
    <row r="44">
      <c r="A44" s="411">
        <v>46072.0</v>
      </c>
      <c r="B44" s="412" t="s">
        <v>436</v>
      </c>
      <c r="C44" s="412">
        <v>0.0</v>
      </c>
      <c r="D44" s="412">
        <v>8210.0</v>
      </c>
      <c r="E44" s="412">
        <v>1594.0</v>
      </c>
      <c r="F44" s="412">
        <v>986.0</v>
      </c>
      <c r="G44" s="412">
        <v>218.0</v>
      </c>
      <c r="H44" s="412">
        <v>39.0</v>
      </c>
      <c r="I44" s="412">
        <v>817.0</v>
      </c>
      <c r="J44" s="412">
        <v>448.0</v>
      </c>
      <c r="K44" s="412">
        <v>157.0</v>
      </c>
      <c r="L44" s="412">
        <v>23.0</v>
      </c>
      <c r="M44" s="412">
        <v>1126.0</v>
      </c>
      <c r="N44" s="412">
        <v>22126.0</v>
      </c>
      <c r="O44" s="412">
        <v>44718.0</v>
      </c>
      <c r="P44" s="412">
        <v>299.0</v>
      </c>
      <c r="Q44" s="412">
        <v>18752.0</v>
      </c>
      <c r="R44" s="412">
        <v>47.0</v>
      </c>
      <c r="S44" s="412">
        <v>5906.13</v>
      </c>
      <c r="T44" s="412">
        <v>946.43</v>
      </c>
      <c r="U44" s="412">
        <v>140.0251</v>
      </c>
      <c r="V44" s="412">
        <v>442505.81</v>
      </c>
      <c r="W44" s="412">
        <v>417500.95</v>
      </c>
      <c r="X44" s="412">
        <v>424950.485</v>
      </c>
      <c r="Y44" s="412">
        <v>-10562.7399</v>
      </c>
    </row>
    <row r="45">
      <c r="A45" s="411">
        <v>46072.0</v>
      </c>
      <c r="B45" s="412" t="s">
        <v>437</v>
      </c>
      <c r="C45" s="412">
        <v>0.0</v>
      </c>
      <c r="D45" s="412">
        <v>1868.0</v>
      </c>
      <c r="E45" s="412">
        <v>340.0</v>
      </c>
      <c r="F45" s="412">
        <v>245.0</v>
      </c>
      <c r="G45" s="412">
        <v>53.0</v>
      </c>
      <c r="H45" s="412">
        <v>13.0</v>
      </c>
      <c r="I45" s="412">
        <v>39.0</v>
      </c>
      <c r="J45" s="412">
        <v>32.0</v>
      </c>
      <c r="K45" s="412">
        <v>22.0</v>
      </c>
      <c r="L45" s="412">
        <v>6.0</v>
      </c>
      <c r="M45" s="412">
        <v>286.0</v>
      </c>
      <c r="N45" s="412">
        <v>3250.0</v>
      </c>
      <c r="O45" s="412">
        <v>13797.0</v>
      </c>
      <c r="P45" s="412">
        <v>74.0</v>
      </c>
      <c r="Q45" s="412">
        <v>9830.0</v>
      </c>
      <c r="R45" s="412">
        <v>19.0</v>
      </c>
      <c r="S45" s="412">
        <v>1557.84</v>
      </c>
      <c r="T45" s="412">
        <v>311.58</v>
      </c>
      <c r="U45" s="412">
        <v>51.0437</v>
      </c>
      <c r="V45" s="412">
        <v>143842.52</v>
      </c>
      <c r="W45" s="412">
        <v>132330.47</v>
      </c>
      <c r="X45" s="412">
        <v>179917.695</v>
      </c>
      <c r="Y45" s="412">
        <v>37995.6387</v>
      </c>
    </row>
    <row r="46">
      <c r="A46" s="411">
        <v>46072.0</v>
      </c>
      <c r="B46" s="412" t="s">
        <v>457</v>
      </c>
      <c r="C46" s="412">
        <v>0.0</v>
      </c>
      <c r="D46" s="235">
        <v>1230.0</v>
      </c>
      <c r="E46" s="235">
        <v>339.0</v>
      </c>
      <c r="F46" s="235">
        <v>242.0</v>
      </c>
      <c r="G46" s="235">
        <v>93.0</v>
      </c>
      <c r="H46" s="235">
        <v>20.0</v>
      </c>
      <c r="I46" s="235">
        <v>149.0</v>
      </c>
      <c r="J46" s="235">
        <v>107.0</v>
      </c>
      <c r="K46" s="235">
        <v>50.0</v>
      </c>
      <c r="L46" s="235">
        <v>14.0</v>
      </c>
      <c r="M46" s="235">
        <v>250.0</v>
      </c>
      <c r="N46" s="235">
        <v>7600.0</v>
      </c>
      <c r="O46" s="235">
        <v>22564.0</v>
      </c>
      <c r="P46" s="235">
        <v>147.0</v>
      </c>
      <c r="Q46" s="235">
        <v>17614.0</v>
      </c>
      <c r="R46" s="235">
        <v>27.0</v>
      </c>
      <c r="S46" s="235">
        <v>2241.9</v>
      </c>
      <c r="T46" s="235">
        <v>932.27</v>
      </c>
      <c r="U46" s="235">
        <v>0.0075</v>
      </c>
      <c r="V46" s="235">
        <v>216010.68</v>
      </c>
      <c r="W46" s="235">
        <v>203892.89</v>
      </c>
      <c r="X46" s="235">
        <v>207805.97</v>
      </c>
      <c r="Y46" s="235">
        <v>-5030.5325</v>
      </c>
    </row>
    <row r="47">
      <c r="A47" s="411">
        <v>46072.0</v>
      </c>
      <c r="B47" s="412" t="s">
        <v>458</v>
      </c>
      <c r="C47" s="412">
        <v>0.0</v>
      </c>
      <c r="D47" s="412">
        <v>2.0</v>
      </c>
      <c r="E47" s="412">
        <v>1.0</v>
      </c>
      <c r="F47" s="412">
        <v>0.0</v>
      </c>
      <c r="G47" s="412">
        <v>0.0</v>
      </c>
      <c r="H47" s="412">
        <v>0.0</v>
      </c>
      <c r="I47" s="412">
        <v>1.0</v>
      </c>
      <c r="J47" s="412">
        <v>0.0</v>
      </c>
      <c r="K47" s="412">
        <v>0.0</v>
      </c>
      <c r="L47" s="412">
        <v>0.0</v>
      </c>
      <c r="M47" s="412">
        <v>1.0</v>
      </c>
      <c r="N47" s="412">
        <v>0.0</v>
      </c>
      <c r="O47" s="412">
        <v>0.0</v>
      </c>
      <c r="P47" s="412">
        <v>0.0</v>
      </c>
      <c r="Q47" s="412">
        <v>0.0</v>
      </c>
      <c r="R47" s="412">
        <v>0.0</v>
      </c>
      <c r="S47" s="412">
        <v>1.0</v>
      </c>
      <c r="T47" s="412">
        <v>0.0</v>
      </c>
      <c r="U47" s="412">
        <v>0.0</v>
      </c>
      <c r="V47" s="412">
        <v>0.0</v>
      </c>
      <c r="W47" s="412">
        <v>0.0</v>
      </c>
      <c r="X47" s="412">
        <v>0.0</v>
      </c>
      <c r="Y47" s="412">
        <v>1.0</v>
      </c>
    </row>
    <row r="48">
      <c r="A48" s="413"/>
      <c r="B48" s="414"/>
      <c r="C48" s="414">
        <f t="shared" ref="C48:Y48" si="9">SUM(C43:C47)</f>
        <v>0</v>
      </c>
      <c r="D48" s="415">
        <f t="shared" si="9"/>
        <v>39293</v>
      </c>
      <c r="E48" s="415">
        <f t="shared" si="9"/>
        <v>4710</v>
      </c>
      <c r="F48" s="415">
        <f t="shared" si="9"/>
        <v>3204</v>
      </c>
      <c r="G48" s="415">
        <f t="shared" si="9"/>
        <v>667</v>
      </c>
      <c r="H48" s="415">
        <f t="shared" si="9"/>
        <v>147</v>
      </c>
      <c r="I48" s="415">
        <f t="shared" si="9"/>
        <v>1186</v>
      </c>
      <c r="J48" s="415">
        <f t="shared" si="9"/>
        <v>753</v>
      </c>
      <c r="K48" s="415">
        <f t="shared" si="9"/>
        <v>344</v>
      </c>
      <c r="L48" s="415">
        <f t="shared" si="9"/>
        <v>89</v>
      </c>
      <c r="M48" s="415">
        <f t="shared" si="9"/>
        <v>3798</v>
      </c>
      <c r="N48" s="415">
        <f t="shared" si="9"/>
        <v>51008</v>
      </c>
      <c r="O48" s="415">
        <f t="shared" si="9"/>
        <v>146521</v>
      </c>
      <c r="P48" s="415">
        <f t="shared" si="9"/>
        <v>938</v>
      </c>
      <c r="Q48" s="415">
        <f t="shared" si="9"/>
        <v>102175</v>
      </c>
      <c r="R48" s="415">
        <f t="shared" si="9"/>
        <v>192</v>
      </c>
      <c r="S48" s="415">
        <f t="shared" si="9"/>
        <v>22323.76</v>
      </c>
      <c r="T48" s="415">
        <f t="shared" si="9"/>
        <v>3477.93</v>
      </c>
      <c r="U48" s="415">
        <f t="shared" si="9"/>
        <v>426.366</v>
      </c>
      <c r="V48" s="415">
        <f t="shared" si="9"/>
        <v>1470554.02</v>
      </c>
      <c r="W48" s="415">
        <f t="shared" si="9"/>
        <v>1361509.3</v>
      </c>
      <c r="X48" s="415">
        <f t="shared" si="9"/>
        <v>1465329.45</v>
      </c>
      <c r="Y48" s="415">
        <f t="shared" si="9"/>
        <v>21003.486</v>
      </c>
    </row>
    <row r="49">
      <c r="A49" s="411">
        <v>46073.0</v>
      </c>
      <c r="B49" s="412" t="s">
        <v>435</v>
      </c>
      <c r="C49" s="412">
        <v>0.0</v>
      </c>
      <c r="D49" s="235">
        <v>28048.0</v>
      </c>
      <c r="E49" s="235">
        <v>2237.0</v>
      </c>
      <c r="F49" s="235">
        <v>1589.0</v>
      </c>
      <c r="G49" s="235">
        <v>276.0</v>
      </c>
      <c r="H49" s="235">
        <v>51.0</v>
      </c>
      <c r="I49" s="235">
        <v>88.0</v>
      </c>
      <c r="J49" s="235">
        <v>91.0</v>
      </c>
      <c r="K49" s="235">
        <v>80.0</v>
      </c>
      <c r="L49" s="235">
        <v>18.0</v>
      </c>
      <c r="M49" s="235">
        <v>1944.0</v>
      </c>
      <c r="N49" s="235">
        <v>11518.0</v>
      </c>
      <c r="O49" s="235">
        <v>47735.0</v>
      </c>
      <c r="P49" s="235">
        <v>362.0</v>
      </c>
      <c r="Q49" s="235">
        <v>41059.0</v>
      </c>
      <c r="R49" s="235">
        <v>62.0</v>
      </c>
      <c r="S49" s="235">
        <v>9671.05</v>
      </c>
      <c r="T49" s="235">
        <v>2200.47</v>
      </c>
      <c r="U49" s="235">
        <v>378.9589</v>
      </c>
      <c r="V49" s="235">
        <v>497187.52</v>
      </c>
      <c r="W49" s="235">
        <v>449216.75</v>
      </c>
      <c r="X49" s="235">
        <v>489285.92</v>
      </c>
      <c r="Y49" s="235">
        <v>4348.8789</v>
      </c>
    </row>
    <row r="50">
      <c r="A50" s="411">
        <v>46073.0</v>
      </c>
      <c r="B50" s="412" t="s">
        <v>436</v>
      </c>
      <c r="C50" s="412">
        <v>0.0</v>
      </c>
      <c r="D50" s="235">
        <v>8596.0</v>
      </c>
      <c r="E50" s="235">
        <v>1286.0</v>
      </c>
      <c r="F50" s="235">
        <v>881.0</v>
      </c>
      <c r="G50" s="235">
        <v>197.0</v>
      </c>
      <c r="H50" s="235">
        <v>43.0</v>
      </c>
      <c r="I50" s="235">
        <v>461.0</v>
      </c>
      <c r="J50" s="235">
        <v>268.0</v>
      </c>
      <c r="K50" s="235">
        <v>104.0</v>
      </c>
      <c r="L50" s="235">
        <v>23.0</v>
      </c>
      <c r="M50" s="235">
        <v>983.0</v>
      </c>
      <c r="N50" s="235">
        <v>14340.0</v>
      </c>
      <c r="O50" s="235">
        <v>42635.0</v>
      </c>
      <c r="P50" s="235">
        <v>287.0</v>
      </c>
      <c r="Q50" s="235">
        <v>37396.0</v>
      </c>
      <c r="R50" s="235">
        <v>57.0</v>
      </c>
      <c r="S50" s="235">
        <v>5650.54</v>
      </c>
      <c r="T50" s="235">
        <v>1214.46</v>
      </c>
      <c r="U50" s="235">
        <v>29.0375</v>
      </c>
      <c r="V50" s="235">
        <v>400662.81</v>
      </c>
      <c r="W50" s="235">
        <v>372801.2744</v>
      </c>
      <c r="X50" s="235">
        <v>392025.2494</v>
      </c>
      <c r="Y50" s="235">
        <v>-1743.5231</v>
      </c>
    </row>
    <row r="51">
      <c r="A51" s="411">
        <v>46073.0</v>
      </c>
      <c r="B51" s="412" t="s">
        <v>437</v>
      </c>
      <c r="C51" s="412">
        <v>0.0</v>
      </c>
      <c r="D51" s="412">
        <v>1912.0</v>
      </c>
      <c r="E51" s="412">
        <v>345.0</v>
      </c>
      <c r="F51" s="412">
        <v>245.0</v>
      </c>
      <c r="G51" s="412">
        <v>59.0</v>
      </c>
      <c r="H51" s="412">
        <v>10.0</v>
      </c>
      <c r="I51" s="412">
        <v>55.0</v>
      </c>
      <c r="J51" s="412">
        <v>51.0</v>
      </c>
      <c r="K51" s="412">
        <v>36.0</v>
      </c>
      <c r="L51" s="412">
        <v>4.0</v>
      </c>
      <c r="M51" s="412">
        <v>291.0</v>
      </c>
      <c r="N51" s="412">
        <v>7564.0</v>
      </c>
      <c r="O51" s="412">
        <v>23030.0</v>
      </c>
      <c r="P51" s="412">
        <v>86.0</v>
      </c>
      <c r="Q51" s="412">
        <v>10750.0</v>
      </c>
      <c r="R51" s="412">
        <v>22.0</v>
      </c>
      <c r="S51" s="412">
        <v>1987.1</v>
      </c>
      <c r="T51" s="412">
        <v>544.42</v>
      </c>
      <c r="U51" s="412">
        <v>47.5383</v>
      </c>
      <c r="V51" s="412">
        <v>176919.86</v>
      </c>
      <c r="W51" s="412">
        <v>166757.015</v>
      </c>
      <c r="X51" s="412">
        <v>161573.855</v>
      </c>
      <c r="Y51" s="412">
        <v>-12766.9467</v>
      </c>
    </row>
    <row r="52">
      <c r="A52" s="411">
        <v>46073.0</v>
      </c>
      <c r="B52" s="412" t="s">
        <v>457</v>
      </c>
      <c r="C52" s="412">
        <v>0.0</v>
      </c>
      <c r="D52" s="235">
        <v>1345.0</v>
      </c>
      <c r="E52" s="235">
        <v>331.0</v>
      </c>
      <c r="F52" s="235">
        <v>250.0</v>
      </c>
      <c r="G52" s="235">
        <v>93.0</v>
      </c>
      <c r="H52" s="235">
        <v>22.0</v>
      </c>
      <c r="I52" s="235">
        <v>134.0</v>
      </c>
      <c r="J52" s="235">
        <v>102.0</v>
      </c>
      <c r="K52" s="235">
        <v>52.0</v>
      </c>
      <c r="L52" s="235">
        <v>17.0</v>
      </c>
      <c r="M52" s="235">
        <v>240.0</v>
      </c>
      <c r="N52" s="235">
        <v>7308.0</v>
      </c>
      <c r="O52" s="235">
        <v>25868.0</v>
      </c>
      <c r="P52" s="235">
        <v>168.0</v>
      </c>
      <c r="Q52" s="235">
        <v>15520.0</v>
      </c>
      <c r="R52" s="235">
        <v>30.0</v>
      </c>
      <c r="S52" s="235">
        <v>2293.24</v>
      </c>
      <c r="T52" s="235">
        <v>770.01</v>
      </c>
      <c r="U52" s="235">
        <v>0.4459</v>
      </c>
      <c r="V52" s="235">
        <v>223565.93</v>
      </c>
      <c r="W52" s="235">
        <v>208566.8</v>
      </c>
      <c r="X52" s="235">
        <v>216889.99</v>
      </c>
      <c r="Y52" s="235">
        <v>-3612.2441</v>
      </c>
    </row>
    <row r="53">
      <c r="A53" s="411">
        <v>46073.0</v>
      </c>
      <c r="B53" s="412" t="s">
        <v>458</v>
      </c>
      <c r="C53" s="412">
        <v>0.0</v>
      </c>
      <c r="D53" s="412">
        <v>3.0</v>
      </c>
      <c r="E53" s="412">
        <v>1.0</v>
      </c>
      <c r="F53" s="412">
        <v>0.0</v>
      </c>
      <c r="G53" s="412">
        <v>0.0</v>
      </c>
      <c r="H53" s="412">
        <v>0.0</v>
      </c>
      <c r="I53" s="412">
        <v>1.0</v>
      </c>
      <c r="J53" s="412">
        <v>0.0</v>
      </c>
      <c r="K53" s="412">
        <v>0.0</v>
      </c>
      <c r="L53" s="412">
        <v>0.0</v>
      </c>
      <c r="M53" s="412">
        <v>1.0</v>
      </c>
      <c r="N53" s="412">
        <v>0.0</v>
      </c>
      <c r="O53" s="412">
        <v>0.0</v>
      </c>
      <c r="P53" s="412">
        <v>0.0</v>
      </c>
      <c r="Q53" s="412">
        <v>0.0</v>
      </c>
      <c r="R53" s="412">
        <v>0.0</v>
      </c>
      <c r="S53" s="412">
        <v>1.0</v>
      </c>
      <c r="T53" s="412">
        <v>0.0</v>
      </c>
      <c r="U53" s="412">
        <v>0.0</v>
      </c>
      <c r="V53" s="412">
        <v>0.0</v>
      </c>
      <c r="W53" s="412">
        <v>0.0</v>
      </c>
      <c r="X53" s="412">
        <v>0.0</v>
      </c>
      <c r="Y53" s="412">
        <v>1.0</v>
      </c>
    </row>
    <row r="54">
      <c r="A54" s="413"/>
      <c r="B54" s="414"/>
      <c r="C54" s="414">
        <f t="shared" ref="C54:Y54" si="10">SUM(C49:C53)</f>
        <v>0</v>
      </c>
      <c r="D54" s="415">
        <f t="shared" si="10"/>
        <v>39904</v>
      </c>
      <c r="E54" s="415">
        <f t="shared" si="10"/>
        <v>4200</v>
      </c>
      <c r="F54" s="415">
        <f t="shared" si="10"/>
        <v>2965</v>
      </c>
      <c r="G54" s="415">
        <f t="shared" si="10"/>
        <v>625</v>
      </c>
      <c r="H54" s="415">
        <f t="shared" si="10"/>
        <v>126</v>
      </c>
      <c r="I54" s="415">
        <f t="shared" si="10"/>
        <v>739</v>
      </c>
      <c r="J54" s="415">
        <f t="shared" si="10"/>
        <v>512</v>
      </c>
      <c r="K54" s="415">
        <f t="shared" si="10"/>
        <v>272</v>
      </c>
      <c r="L54" s="415">
        <f t="shared" si="10"/>
        <v>62</v>
      </c>
      <c r="M54" s="415">
        <f t="shared" si="10"/>
        <v>3459</v>
      </c>
      <c r="N54" s="415">
        <f t="shared" si="10"/>
        <v>40730</v>
      </c>
      <c r="O54" s="415">
        <f t="shared" si="10"/>
        <v>139268</v>
      </c>
      <c r="P54" s="415">
        <f t="shared" si="10"/>
        <v>903</v>
      </c>
      <c r="Q54" s="415">
        <f t="shared" si="10"/>
        <v>104725</v>
      </c>
      <c r="R54" s="415">
        <f t="shared" si="10"/>
        <v>171</v>
      </c>
      <c r="S54" s="415">
        <f t="shared" si="10"/>
        <v>19602.93</v>
      </c>
      <c r="T54" s="415">
        <f t="shared" si="10"/>
        <v>4729.36</v>
      </c>
      <c r="U54" s="415">
        <f t="shared" si="10"/>
        <v>455.9806</v>
      </c>
      <c r="V54" s="415">
        <f t="shared" si="10"/>
        <v>1298336.12</v>
      </c>
      <c r="W54" s="415">
        <f t="shared" si="10"/>
        <v>1197341.839</v>
      </c>
      <c r="X54" s="415">
        <f t="shared" si="10"/>
        <v>1259775.014</v>
      </c>
      <c r="Y54" s="415">
        <f t="shared" si="10"/>
        <v>-13772.835</v>
      </c>
    </row>
    <row r="55">
      <c r="A55" s="411"/>
      <c r="B55" s="412"/>
      <c r="C55" s="412"/>
      <c r="D55" s="412"/>
      <c r="E55" s="412"/>
      <c r="F55" s="412"/>
      <c r="G55" s="412"/>
      <c r="H55" s="412"/>
      <c r="I55" s="412"/>
      <c r="J55" s="412"/>
      <c r="K55" s="412"/>
      <c r="L55" s="412"/>
      <c r="M55" s="412"/>
      <c r="N55" s="412"/>
      <c r="O55" s="412"/>
      <c r="P55" s="412"/>
      <c r="Q55" s="412"/>
      <c r="R55" s="412"/>
      <c r="S55" s="412"/>
      <c r="T55" s="412"/>
      <c r="U55" s="412"/>
      <c r="V55" s="412"/>
      <c r="W55" s="412"/>
      <c r="X55" s="412"/>
      <c r="Y55" s="412"/>
    </row>
    <row r="56">
      <c r="A56" s="411"/>
      <c r="B56" s="412"/>
      <c r="C56" s="412"/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35"/>
      <c r="V56" s="235"/>
      <c r="W56" s="235"/>
      <c r="X56" s="235"/>
      <c r="Y56" s="235"/>
    </row>
    <row r="57">
      <c r="A57" s="411"/>
      <c r="B57" s="412"/>
      <c r="C57" s="412"/>
      <c r="D57" s="235"/>
      <c r="E57" s="235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  <c r="W57" s="235"/>
      <c r="X57" s="235"/>
      <c r="Y57" s="235"/>
    </row>
    <row r="58">
      <c r="A58" s="411"/>
      <c r="B58" s="412"/>
      <c r="C58" s="412"/>
      <c r="D58" s="235"/>
      <c r="E58" s="235"/>
      <c r="F58" s="235"/>
      <c r="G58" s="235"/>
      <c r="H58" s="235"/>
      <c r="I58" s="235"/>
      <c r="J58" s="235"/>
      <c r="K58" s="235"/>
      <c r="L58" s="235"/>
      <c r="M58" s="235"/>
      <c r="N58" s="235"/>
      <c r="O58" s="235"/>
      <c r="P58" s="235"/>
      <c r="Q58" s="235"/>
      <c r="R58" s="235"/>
      <c r="S58" s="235"/>
      <c r="T58" s="235"/>
      <c r="U58" s="235"/>
      <c r="V58" s="235"/>
      <c r="W58" s="235"/>
      <c r="X58" s="235"/>
      <c r="Y58" s="235"/>
    </row>
    <row r="59">
      <c r="A59" s="411"/>
      <c r="B59" s="412"/>
      <c r="C59" s="412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5"/>
      <c r="W59" s="235"/>
      <c r="X59" s="235"/>
      <c r="Y59" s="235"/>
    </row>
    <row r="60">
      <c r="A60" s="411"/>
      <c r="B60" s="412"/>
      <c r="C60" s="412"/>
      <c r="D60" s="235"/>
      <c r="E60" s="235"/>
      <c r="F60" s="235"/>
      <c r="G60" s="235"/>
      <c r="H60" s="235"/>
      <c r="I60" s="235"/>
      <c r="J60" s="235"/>
      <c r="K60" s="235"/>
      <c r="L60" s="235"/>
      <c r="M60" s="235"/>
      <c r="N60" s="235"/>
      <c r="O60" s="235"/>
      <c r="P60" s="235"/>
      <c r="Q60" s="235"/>
      <c r="R60" s="235"/>
      <c r="S60" s="235"/>
      <c r="T60" s="235"/>
      <c r="U60" s="235"/>
      <c r="V60" s="235"/>
      <c r="W60" s="235"/>
      <c r="X60" s="235"/>
      <c r="Y60" s="235"/>
    </row>
    <row r="61">
      <c r="A61" s="411"/>
      <c r="B61" s="412"/>
      <c r="C61" s="412"/>
      <c r="D61" s="412"/>
      <c r="E61" s="412"/>
      <c r="F61" s="412"/>
      <c r="G61" s="412"/>
      <c r="H61" s="412"/>
      <c r="I61" s="412"/>
      <c r="J61" s="412"/>
      <c r="K61" s="412"/>
      <c r="L61" s="412"/>
      <c r="M61" s="412"/>
      <c r="N61" s="412"/>
      <c r="O61" s="412"/>
      <c r="P61" s="412"/>
      <c r="Q61" s="412"/>
      <c r="R61" s="412"/>
      <c r="S61" s="412"/>
      <c r="T61" s="412"/>
      <c r="U61" s="412"/>
      <c r="V61" s="412"/>
      <c r="W61" s="412"/>
      <c r="X61" s="412"/>
      <c r="Y61" s="412"/>
    </row>
    <row r="62">
      <c r="A62" s="411"/>
      <c r="B62" s="412"/>
      <c r="C62" s="412"/>
      <c r="D62" s="235"/>
      <c r="E62" s="235"/>
      <c r="F62" s="235"/>
      <c r="G62" s="235"/>
      <c r="H62" s="235"/>
      <c r="I62" s="235"/>
      <c r="J62" s="235"/>
      <c r="K62" s="235"/>
      <c r="L62" s="235"/>
      <c r="M62" s="235"/>
      <c r="N62" s="235"/>
      <c r="O62" s="235"/>
      <c r="P62" s="235"/>
      <c r="Q62" s="235"/>
      <c r="R62" s="235"/>
      <c r="S62" s="235"/>
      <c r="T62" s="235"/>
      <c r="U62" s="235"/>
      <c r="V62" s="235"/>
      <c r="W62" s="235"/>
      <c r="X62" s="235"/>
      <c r="Y62" s="235"/>
    </row>
    <row r="63">
      <c r="A63" s="411"/>
      <c r="B63" s="412"/>
      <c r="C63" s="412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235"/>
      <c r="U63" s="235"/>
      <c r="V63" s="235"/>
      <c r="W63" s="235"/>
      <c r="X63" s="235"/>
      <c r="Y63" s="235"/>
    </row>
    <row r="64">
      <c r="A64" s="411"/>
      <c r="B64" s="412"/>
      <c r="C64" s="412"/>
      <c r="D64" s="235"/>
      <c r="E64" s="235"/>
      <c r="F64" s="235"/>
      <c r="G64" s="235"/>
      <c r="H64" s="235"/>
      <c r="I64" s="235"/>
      <c r="J64" s="235"/>
      <c r="K64" s="235"/>
      <c r="L64" s="235"/>
      <c r="M64" s="235"/>
      <c r="N64" s="235"/>
      <c r="O64" s="235"/>
      <c r="P64" s="235"/>
      <c r="Q64" s="235"/>
      <c r="R64" s="235"/>
      <c r="S64" s="235"/>
      <c r="T64" s="235"/>
      <c r="U64" s="235"/>
      <c r="V64" s="235"/>
      <c r="W64" s="235"/>
      <c r="X64" s="235"/>
      <c r="Y64" s="235"/>
    </row>
    <row r="65">
      <c r="A65" s="411"/>
      <c r="B65" s="412"/>
      <c r="C65" s="412"/>
      <c r="D65" s="235"/>
      <c r="E65" s="235"/>
      <c r="F65" s="235"/>
      <c r="G65" s="235"/>
      <c r="H65" s="235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Y65" s="235"/>
    </row>
    <row r="66">
      <c r="A66" s="411"/>
      <c r="B66" s="412"/>
      <c r="C66" s="412"/>
      <c r="D66" s="412"/>
      <c r="E66" s="412"/>
      <c r="F66" s="412"/>
      <c r="G66" s="412"/>
      <c r="H66" s="412"/>
      <c r="I66" s="412"/>
      <c r="J66" s="412"/>
      <c r="K66" s="412"/>
      <c r="L66" s="412"/>
      <c r="M66" s="412"/>
      <c r="N66" s="412"/>
      <c r="O66" s="412"/>
      <c r="P66" s="412"/>
      <c r="Q66" s="412"/>
      <c r="R66" s="412"/>
      <c r="S66" s="412"/>
      <c r="T66" s="412"/>
      <c r="U66" s="412"/>
      <c r="V66" s="412"/>
      <c r="W66" s="412"/>
      <c r="X66" s="412"/>
      <c r="Y66" s="412"/>
    </row>
    <row r="67">
      <c r="A67" s="411"/>
      <c r="B67" s="412"/>
      <c r="C67" s="412"/>
      <c r="D67" s="412"/>
      <c r="E67" s="412"/>
      <c r="F67" s="412"/>
      <c r="G67" s="412"/>
      <c r="H67" s="412"/>
      <c r="I67" s="412"/>
      <c r="J67" s="412"/>
      <c r="K67" s="412"/>
      <c r="L67" s="412"/>
      <c r="M67" s="412"/>
      <c r="N67" s="412"/>
      <c r="O67" s="412"/>
      <c r="P67" s="412"/>
      <c r="Q67" s="412"/>
      <c r="R67" s="412"/>
      <c r="S67" s="412"/>
      <c r="T67" s="412"/>
      <c r="U67" s="412"/>
      <c r="V67" s="412"/>
      <c r="W67" s="412"/>
      <c r="X67" s="412"/>
      <c r="Y67" s="412"/>
    </row>
    <row r="68">
      <c r="A68" s="411"/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2"/>
      <c r="Q68" s="412"/>
      <c r="R68" s="412"/>
      <c r="S68" s="412"/>
      <c r="T68" s="412"/>
      <c r="U68" s="412"/>
      <c r="V68" s="412"/>
      <c r="W68" s="412"/>
      <c r="X68" s="412"/>
      <c r="Y68" s="412"/>
    </row>
    <row r="69">
      <c r="A69" s="411"/>
      <c r="B69" s="412"/>
      <c r="C69" s="412"/>
      <c r="D69" s="235"/>
      <c r="E69" s="235"/>
      <c r="F69" s="235"/>
      <c r="G69" s="235"/>
      <c r="H69" s="235"/>
      <c r="I69" s="235"/>
      <c r="J69" s="235"/>
      <c r="K69" s="235"/>
      <c r="L69" s="235"/>
      <c r="M69" s="235"/>
      <c r="N69" s="235"/>
      <c r="O69" s="235"/>
      <c r="P69" s="235"/>
      <c r="Q69" s="235"/>
      <c r="R69" s="235"/>
      <c r="S69" s="235"/>
      <c r="T69" s="235"/>
      <c r="U69" s="235"/>
      <c r="V69" s="235"/>
      <c r="W69" s="235"/>
      <c r="X69" s="235"/>
      <c r="Y69" s="235"/>
    </row>
    <row r="70">
      <c r="A70" s="411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2"/>
      <c r="Q70" s="412"/>
      <c r="R70" s="412"/>
      <c r="S70" s="412"/>
      <c r="T70" s="412"/>
      <c r="U70" s="412"/>
      <c r="V70" s="412"/>
      <c r="W70" s="412"/>
      <c r="X70" s="412"/>
      <c r="Y70" s="412"/>
    </row>
    <row r="71">
      <c r="A71" s="411"/>
      <c r="B71" s="412"/>
      <c r="C71" s="412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35"/>
      <c r="W71" s="235"/>
      <c r="X71" s="235"/>
      <c r="Y71" s="235"/>
    </row>
    <row r="72">
      <c r="A72" s="411"/>
      <c r="B72" s="412"/>
      <c r="C72" s="412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35"/>
      <c r="W72" s="235"/>
      <c r="X72" s="235"/>
      <c r="Y72" s="235"/>
    </row>
    <row r="73">
      <c r="A73" s="411"/>
      <c r="B73" s="412"/>
      <c r="C73" s="412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</row>
    <row r="74">
      <c r="A74" s="411"/>
      <c r="B74" s="412"/>
      <c r="C74" s="412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35"/>
      <c r="W74" s="235"/>
      <c r="X74" s="235"/>
      <c r="Y74" s="235"/>
    </row>
    <row r="75">
      <c r="A75" s="411"/>
      <c r="B75" s="412"/>
      <c r="C75" s="412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235"/>
      <c r="X75" s="235"/>
      <c r="Y75" s="235"/>
    </row>
    <row r="76">
      <c r="A76" s="411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2"/>
      <c r="Q76" s="412"/>
      <c r="R76" s="412"/>
      <c r="S76" s="412"/>
      <c r="T76" s="412"/>
      <c r="U76" s="412"/>
      <c r="V76" s="412"/>
      <c r="W76" s="412"/>
      <c r="X76" s="412"/>
      <c r="Y76" s="412"/>
    </row>
    <row r="77">
      <c r="A77" s="411"/>
      <c r="B77" s="412"/>
      <c r="C77" s="412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35"/>
      <c r="W77" s="235"/>
      <c r="X77" s="235"/>
      <c r="Y77" s="235"/>
    </row>
    <row r="78">
      <c r="A78" s="411"/>
      <c r="B78" s="412"/>
      <c r="C78" s="412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35"/>
      <c r="W78" s="235"/>
      <c r="X78" s="235"/>
      <c r="Y78" s="235"/>
    </row>
    <row r="79">
      <c r="A79" s="411"/>
      <c r="B79" s="412"/>
      <c r="C79" s="412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35"/>
      <c r="W79" s="235"/>
      <c r="X79" s="235"/>
      <c r="Y79" s="235"/>
    </row>
    <row r="80">
      <c r="A80" s="411"/>
      <c r="B80" s="412"/>
      <c r="C80" s="412"/>
      <c r="D80" s="412"/>
      <c r="E80" s="412"/>
      <c r="F80" s="412"/>
      <c r="G80" s="412"/>
      <c r="H80" s="412"/>
      <c r="I80" s="412"/>
      <c r="J80" s="412"/>
      <c r="K80" s="412"/>
      <c r="L80" s="412"/>
      <c r="M80" s="412"/>
      <c r="N80" s="412"/>
      <c r="O80" s="412"/>
      <c r="P80" s="412"/>
      <c r="Q80" s="412"/>
      <c r="R80" s="412"/>
      <c r="S80" s="412"/>
      <c r="T80" s="412"/>
      <c r="U80" s="412"/>
      <c r="V80" s="412"/>
      <c r="W80" s="412"/>
      <c r="X80" s="412"/>
      <c r="Y80" s="412"/>
    </row>
    <row r="81">
      <c r="A81" s="411"/>
      <c r="B81" s="412"/>
      <c r="C81" s="412"/>
      <c r="D81" s="412"/>
      <c r="E81" s="412"/>
      <c r="F81" s="412"/>
      <c r="G81" s="412"/>
      <c r="H81" s="412"/>
      <c r="I81" s="412"/>
      <c r="J81" s="412"/>
      <c r="K81" s="412"/>
      <c r="L81" s="412"/>
      <c r="M81" s="412"/>
      <c r="N81" s="412"/>
      <c r="O81" s="412"/>
      <c r="P81" s="412"/>
      <c r="Q81" s="412"/>
      <c r="R81" s="412"/>
      <c r="S81" s="412"/>
      <c r="T81" s="412"/>
      <c r="U81" s="412"/>
      <c r="V81" s="412"/>
      <c r="W81" s="412"/>
      <c r="X81" s="412"/>
      <c r="Y81" s="412"/>
    </row>
    <row r="82">
      <c r="A82" s="411"/>
      <c r="B82" s="412"/>
      <c r="C82" s="412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</row>
    <row r="83">
      <c r="A83" s="411"/>
      <c r="B83" s="412"/>
      <c r="C83" s="412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</row>
    <row r="84">
      <c r="A84" s="411"/>
      <c r="B84" s="412"/>
      <c r="C84" s="412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35"/>
      <c r="W84" s="235"/>
      <c r="X84" s="235"/>
      <c r="Y84" s="235"/>
    </row>
    <row r="85">
      <c r="A85" s="411"/>
      <c r="B85" s="412"/>
      <c r="C85" s="412"/>
      <c r="D85" s="412"/>
      <c r="E85" s="412"/>
      <c r="F85" s="412"/>
      <c r="G85" s="412"/>
      <c r="H85" s="412"/>
      <c r="I85" s="412"/>
      <c r="J85" s="412"/>
      <c r="K85" s="412"/>
      <c r="L85" s="412"/>
      <c r="M85" s="412"/>
      <c r="N85" s="412"/>
      <c r="O85" s="412"/>
      <c r="P85" s="412"/>
      <c r="Q85" s="412"/>
      <c r="R85" s="412"/>
      <c r="S85" s="412"/>
      <c r="T85" s="412"/>
      <c r="U85" s="412"/>
      <c r="V85" s="412"/>
      <c r="W85" s="412"/>
      <c r="X85" s="412"/>
      <c r="Y85" s="412"/>
    </row>
    <row r="86">
      <c r="A86" s="411"/>
      <c r="B86" s="412"/>
      <c r="C86" s="412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35"/>
      <c r="W86" s="235"/>
      <c r="X86" s="235"/>
      <c r="Y86" s="235"/>
    </row>
    <row r="87">
      <c r="A87" s="411"/>
      <c r="B87" s="412"/>
      <c r="C87" s="412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35"/>
      <c r="W87" s="235"/>
      <c r="X87" s="235"/>
      <c r="Y87" s="235"/>
    </row>
    <row r="88">
      <c r="A88" s="411"/>
      <c r="B88" s="412"/>
      <c r="C88" s="412"/>
      <c r="D88" s="412"/>
      <c r="E88" s="412"/>
      <c r="F88" s="412"/>
      <c r="G88" s="412"/>
      <c r="H88" s="412"/>
      <c r="I88" s="412"/>
      <c r="J88" s="412"/>
      <c r="K88" s="412"/>
      <c r="L88" s="412"/>
      <c r="M88" s="412"/>
      <c r="N88" s="412"/>
      <c r="O88" s="412"/>
      <c r="P88" s="412"/>
      <c r="Q88" s="412"/>
      <c r="R88" s="412"/>
      <c r="S88" s="412"/>
      <c r="T88" s="412"/>
      <c r="U88" s="412"/>
      <c r="V88" s="412"/>
      <c r="W88" s="412"/>
      <c r="X88" s="412"/>
      <c r="Y88" s="412"/>
    </row>
    <row r="89">
      <c r="A89" s="411"/>
      <c r="B89" s="412"/>
      <c r="C89" s="412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5"/>
      <c r="Y89" s="235"/>
    </row>
    <row r="90">
      <c r="A90" s="411"/>
      <c r="B90" s="412"/>
      <c r="C90" s="412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35"/>
      <c r="W90" s="235"/>
      <c r="X90" s="235"/>
      <c r="Y90" s="235"/>
    </row>
    <row r="91">
      <c r="A91" s="411"/>
      <c r="B91" s="412"/>
      <c r="C91" s="412"/>
      <c r="D91" s="412"/>
      <c r="E91" s="412"/>
      <c r="F91" s="412"/>
      <c r="G91" s="412"/>
      <c r="H91" s="412"/>
      <c r="I91" s="412"/>
      <c r="J91" s="412"/>
      <c r="K91" s="412"/>
      <c r="L91" s="412"/>
      <c r="M91" s="412"/>
      <c r="N91" s="412"/>
      <c r="O91" s="412"/>
      <c r="P91" s="412"/>
      <c r="Q91" s="412"/>
      <c r="R91" s="412"/>
      <c r="S91" s="412"/>
      <c r="T91" s="412"/>
      <c r="U91" s="412"/>
      <c r="V91" s="412"/>
      <c r="W91" s="412"/>
      <c r="X91" s="412"/>
      <c r="Y91" s="412"/>
    </row>
    <row r="92">
      <c r="A92" s="411"/>
      <c r="B92" s="412"/>
      <c r="C92" s="412"/>
      <c r="D92" s="412"/>
      <c r="E92" s="412"/>
      <c r="F92" s="412"/>
      <c r="G92" s="412"/>
      <c r="H92" s="412"/>
      <c r="I92" s="412"/>
      <c r="J92" s="412"/>
      <c r="K92" s="412"/>
      <c r="L92" s="412"/>
      <c r="M92" s="412"/>
      <c r="N92" s="412"/>
      <c r="O92" s="412"/>
      <c r="P92" s="412"/>
      <c r="Q92" s="412"/>
      <c r="R92" s="412"/>
      <c r="S92" s="412"/>
      <c r="T92" s="412"/>
      <c r="U92" s="412"/>
      <c r="V92" s="412"/>
      <c r="W92" s="412"/>
      <c r="X92" s="412"/>
      <c r="Y92" s="412"/>
    </row>
    <row r="93">
      <c r="A93" s="411"/>
      <c r="B93" s="412"/>
      <c r="C93" s="412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35"/>
      <c r="W93" s="235"/>
      <c r="X93" s="235"/>
      <c r="Y93" s="235"/>
    </row>
    <row r="94">
      <c r="A94" s="411"/>
      <c r="B94" s="412"/>
      <c r="C94" s="412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35"/>
      <c r="W94" s="235"/>
      <c r="X94" s="235"/>
      <c r="Y94" s="235"/>
    </row>
    <row r="95">
      <c r="A95" s="411"/>
      <c r="B95" s="412"/>
      <c r="C95" s="412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35"/>
      <c r="W95" s="235"/>
      <c r="X95" s="235"/>
      <c r="Y95" s="235"/>
    </row>
    <row r="96">
      <c r="A96" s="411"/>
      <c r="B96" s="412"/>
      <c r="C96" s="412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35"/>
      <c r="W96" s="235"/>
      <c r="X96" s="235"/>
      <c r="Y96" s="235"/>
    </row>
    <row r="97">
      <c r="A97" s="411"/>
      <c r="B97" s="412"/>
      <c r="C97" s="412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35"/>
      <c r="W97" s="235"/>
      <c r="X97" s="235"/>
      <c r="Y97" s="235"/>
    </row>
    <row r="98">
      <c r="A98" s="411"/>
      <c r="B98" s="412"/>
      <c r="C98" s="412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35"/>
      <c r="W98" s="235"/>
      <c r="X98" s="235"/>
      <c r="Y98" s="235"/>
    </row>
    <row r="99">
      <c r="A99" s="411"/>
      <c r="B99" s="412"/>
      <c r="C99" s="412"/>
      <c r="D99" s="412"/>
      <c r="E99" s="412"/>
      <c r="F99" s="412"/>
      <c r="G99" s="412"/>
      <c r="H99" s="412"/>
      <c r="I99" s="412"/>
      <c r="J99" s="412"/>
      <c r="K99" s="412"/>
      <c r="L99" s="412"/>
      <c r="M99" s="412"/>
      <c r="N99" s="412"/>
      <c r="O99" s="412"/>
      <c r="P99" s="412"/>
      <c r="Q99" s="412"/>
      <c r="R99" s="412"/>
      <c r="S99" s="412"/>
      <c r="T99" s="412"/>
      <c r="U99" s="412"/>
      <c r="V99" s="412"/>
      <c r="W99" s="412"/>
      <c r="X99" s="412"/>
      <c r="Y99" s="412"/>
    </row>
    <row r="100">
      <c r="A100" s="411"/>
      <c r="B100" s="412"/>
      <c r="C100" s="412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35"/>
      <c r="W100" s="235"/>
      <c r="X100" s="235"/>
      <c r="Y100" s="235"/>
    </row>
    <row r="101">
      <c r="A101" s="411"/>
      <c r="B101" s="412"/>
      <c r="C101" s="412"/>
      <c r="D101" s="412"/>
      <c r="E101" s="412"/>
      <c r="F101" s="412"/>
      <c r="G101" s="412"/>
      <c r="H101" s="412"/>
      <c r="I101" s="412"/>
      <c r="J101" s="412"/>
      <c r="K101" s="412"/>
      <c r="L101" s="412"/>
      <c r="M101" s="412"/>
      <c r="N101" s="412"/>
      <c r="O101" s="412"/>
      <c r="P101" s="412"/>
      <c r="Q101" s="412"/>
      <c r="R101" s="412"/>
      <c r="S101" s="412"/>
      <c r="T101" s="412"/>
      <c r="U101" s="412"/>
      <c r="V101" s="412"/>
      <c r="W101" s="412"/>
      <c r="X101" s="412"/>
      <c r="Y101" s="412"/>
    </row>
    <row r="102">
      <c r="A102" s="411"/>
      <c r="B102" s="412"/>
      <c r="C102" s="412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</row>
    <row r="103">
      <c r="A103" s="411"/>
      <c r="B103" s="412"/>
      <c r="C103" s="412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35"/>
      <c r="W103" s="235"/>
      <c r="X103" s="235"/>
      <c r="Y103" s="235"/>
    </row>
    <row r="104">
      <c r="A104" s="411"/>
      <c r="B104" s="412"/>
      <c r="C104" s="412"/>
      <c r="D104" s="412"/>
      <c r="E104" s="412"/>
      <c r="F104" s="412"/>
      <c r="G104" s="412"/>
      <c r="H104" s="412"/>
      <c r="I104" s="412"/>
      <c r="J104" s="412"/>
      <c r="K104" s="412"/>
      <c r="L104" s="412"/>
      <c r="M104" s="412"/>
      <c r="N104" s="412"/>
      <c r="O104" s="412"/>
      <c r="P104" s="412"/>
      <c r="Q104" s="412"/>
      <c r="R104" s="412"/>
      <c r="S104" s="412"/>
      <c r="T104" s="412"/>
      <c r="U104" s="412"/>
      <c r="V104" s="412"/>
      <c r="W104" s="412"/>
      <c r="X104" s="412"/>
      <c r="Y104" s="412"/>
    </row>
    <row r="105">
      <c r="A105" s="411"/>
      <c r="B105" s="412"/>
      <c r="C105" s="412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35"/>
      <c r="W105" s="235"/>
      <c r="X105" s="235"/>
      <c r="Y105" s="235"/>
    </row>
    <row r="106">
      <c r="A106" s="411"/>
      <c r="B106" s="412"/>
      <c r="C106" s="412"/>
      <c r="D106" s="412"/>
      <c r="E106" s="412"/>
      <c r="F106" s="412"/>
      <c r="G106" s="412"/>
      <c r="H106" s="412"/>
      <c r="I106" s="412"/>
      <c r="J106" s="412"/>
      <c r="K106" s="412"/>
      <c r="L106" s="412"/>
      <c r="M106" s="412"/>
      <c r="N106" s="412"/>
      <c r="O106" s="412"/>
      <c r="P106" s="412"/>
      <c r="Q106" s="412"/>
      <c r="R106" s="412"/>
      <c r="S106" s="412"/>
      <c r="T106" s="412"/>
      <c r="U106" s="412"/>
      <c r="V106" s="412"/>
      <c r="W106" s="412"/>
      <c r="X106" s="412"/>
      <c r="Y106" s="412"/>
    </row>
    <row r="107">
      <c r="A107" s="411"/>
      <c r="B107" s="412"/>
      <c r="C107" s="412"/>
      <c r="D107" s="412"/>
      <c r="E107" s="412"/>
      <c r="F107" s="412"/>
      <c r="G107" s="412"/>
      <c r="H107" s="412"/>
      <c r="I107" s="412"/>
      <c r="J107" s="412"/>
      <c r="K107" s="412"/>
      <c r="L107" s="412"/>
      <c r="M107" s="412"/>
      <c r="N107" s="412"/>
      <c r="O107" s="412"/>
      <c r="P107" s="412"/>
      <c r="Q107" s="412"/>
      <c r="R107" s="412"/>
      <c r="S107" s="412"/>
      <c r="T107" s="412"/>
      <c r="U107" s="412"/>
      <c r="V107" s="412"/>
      <c r="W107" s="412"/>
      <c r="X107" s="412"/>
      <c r="Y107" s="412"/>
    </row>
    <row r="108">
      <c r="A108" s="411"/>
      <c r="B108" s="412"/>
      <c r="C108" s="412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35"/>
      <c r="W108" s="235"/>
      <c r="X108" s="235"/>
      <c r="Y108" s="235"/>
    </row>
    <row r="109">
      <c r="A109" s="411"/>
      <c r="B109" s="412"/>
      <c r="C109" s="412"/>
      <c r="D109" s="412"/>
      <c r="E109" s="412"/>
      <c r="F109" s="412"/>
      <c r="G109" s="412"/>
      <c r="H109" s="412"/>
      <c r="I109" s="412"/>
      <c r="J109" s="412"/>
      <c r="K109" s="412"/>
      <c r="L109" s="412"/>
      <c r="M109" s="412"/>
      <c r="N109" s="412"/>
      <c r="O109" s="412"/>
      <c r="P109" s="412"/>
      <c r="Q109" s="412"/>
      <c r="R109" s="412"/>
      <c r="S109" s="412"/>
      <c r="T109" s="412"/>
      <c r="U109" s="412"/>
      <c r="V109" s="412"/>
      <c r="W109" s="412"/>
      <c r="X109" s="412"/>
      <c r="Y109" s="412"/>
    </row>
    <row r="110">
      <c r="A110" s="411"/>
      <c r="B110" s="412"/>
      <c r="C110" s="412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35"/>
      <c r="W110" s="235"/>
      <c r="X110" s="235"/>
      <c r="Y110" s="235"/>
    </row>
    <row r="111">
      <c r="A111" s="411"/>
      <c r="B111" s="412"/>
      <c r="C111" s="412"/>
      <c r="D111" s="416"/>
      <c r="E111" s="416"/>
      <c r="F111" s="416"/>
      <c r="G111" s="416"/>
      <c r="H111" s="416"/>
      <c r="I111" s="416"/>
      <c r="J111" s="416"/>
      <c r="K111" s="416"/>
      <c r="L111" s="416"/>
      <c r="M111" s="416"/>
      <c r="N111" s="416"/>
      <c r="O111" s="416"/>
      <c r="P111" s="416"/>
      <c r="Q111" s="416"/>
      <c r="R111" s="416"/>
      <c r="S111" s="416"/>
      <c r="T111" s="416"/>
      <c r="U111" s="416"/>
      <c r="V111" s="416"/>
      <c r="W111" s="416"/>
      <c r="X111" s="416"/>
      <c r="Y111" s="416"/>
    </row>
    <row r="112">
      <c r="A112" s="411"/>
      <c r="B112" s="412"/>
      <c r="C112" s="412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</row>
    <row r="113">
      <c r="A113" s="411"/>
      <c r="B113" s="412"/>
      <c r="C113" s="412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35"/>
      <c r="W113" s="235"/>
      <c r="X113" s="235"/>
      <c r="Y113" s="235"/>
    </row>
    <row r="114">
      <c r="A114" s="411"/>
      <c r="B114" s="412"/>
      <c r="C114" s="412"/>
      <c r="D114" s="412"/>
      <c r="E114" s="412"/>
      <c r="F114" s="412"/>
      <c r="G114" s="412"/>
      <c r="H114" s="412"/>
      <c r="I114" s="412"/>
      <c r="J114" s="412"/>
      <c r="K114" s="412"/>
      <c r="L114" s="412"/>
      <c r="M114" s="412"/>
      <c r="N114" s="412"/>
      <c r="O114" s="412"/>
      <c r="P114" s="412"/>
      <c r="Q114" s="412"/>
      <c r="R114" s="412"/>
      <c r="S114" s="412"/>
      <c r="T114" s="412"/>
      <c r="U114" s="412"/>
      <c r="V114" s="412"/>
      <c r="W114" s="412"/>
      <c r="X114" s="412"/>
      <c r="Y114" s="412"/>
    </row>
    <row r="115">
      <c r="A115" s="411"/>
      <c r="B115" s="412"/>
      <c r="C115" s="412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35"/>
      <c r="W115" s="235"/>
      <c r="X115" s="235"/>
      <c r="Y115" s="235"/>
    </row>
    <row r="116">
      <c r="A116" s="411"/>
      <c r="B116" s="412"/>
      <c r="C116" s="412"/>
      <c r="D116" s="412"/>
      <c r="E116" s="412"/>
      <c r="F116" s="412"/>
      <c r="G116" s="412"/>
      <c r="H116" s="412"/>
      <c r="I116" s="412"/>
      <c r="J116" s="412"/>
      <c r="K116" s="412"/>
      <c r="L116" s="412"/>
      <c r="M116" s="412"/>
      <c r="N116" s="412"/>
      <c r="O116" s="412"/>
      <c r="P116" s="412"/>
      <c r="Q116" s="412"/>
      <c r="R116" s="412"/>
      <c r="S116" s="412"/>
      <c r="T116" s="412"/>
      <c r="U116" s="412"/>
      <c r="V116" s="412"/>
      <c r="W116" s="412"/>
      <c r="X116" s="412"/>
      <c r="Y116" s="412"/>
    </row>
    <row r="117">
      <c r="A117" s="411"/>
      <c r="B117" s="412"/>
      <c r="C117" s="412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35"/>
      <c r="W117" s="235"/>
      <c r="X117" s="235"/>
      <c r="Y117" s="235"/>
    </row>
    <row r="118">
      <c r="A118" s="411"/>
      <c r="B118" s="412"/>
      <c r="C118" s="412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35"/>
      <c r="W118" s="235"/>
      <c r="X118" s="235"/>
      <c r="Y118" s="235"/>
    </row>
    <row r="119">
      <c r="A119" s="411"/>
      <c r="B119" s="412"/>
      <c r="C119" s="412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35"/>
      <c r="W119" s="235"/>
      <c r="X119" s="235"/>
      <c r="Y119" s="235"/>
    </row>
    <row r="120" ht="19.5" customHeight="1">
      <c r="A120" s="411"/>
      <c r="B120" s="412"/>
      <c r="C120" s="412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35"/>
      <c r="W120" s="235"/>
      <c r="X120" s="235"/>
      <c r="Y120" s="235"/>
    </row>
    <row r="121">
      <c r="A121" s="411"/>
      <c r="B121" s="412"/>
      <c r="C121" s="412"/>
      <c r="D121" s="412"/>
      <c r="E121" s="412"/>
      <c r="F121" s="412"/>
      <c r="G121" s="412"/>
      <c r="H121" s="412"/>
      <c r="I121" s="412"/>
      <c r="J121" s="412"/>
      <c r="K121" s="412"/>
      <c r="L121" s="412"/>
      <c r="M121" s="412"/>
      <c r="N121" s="412"/>
      <c r="O121" s="412"/>
      <c r="P121" s="412"/>
      <c r="Q121" s="412"/>
      <c r="R121" s="412"/>
      <c r="S121" s="412"/>
      <c r="T121" s="412"/>
      <c r="U121" s="412"/>
      <c r="V121" s="412"/>
      <c r="W121" s="412"/>
      <c r="X121" s="412"/>
      <c r="Y121" s="412"/>
    </row>
    <row r="122">
      <c r="A122" s="411"/>
      <c r="B122" s="412"/>
      <c r="C122" s="412"/>
      <c r="D122" s="412"/>
      <c r="E122" s="412"/>
      <c r="F122" s="412"/>
      <c r="G122" s="412"/>
      <c r="H122" s="412"/>
      <c r="I122" s="412"/>
      <c r="J122" s="412"/>
      <c r="K122" s="412"/>
      <c r="L122" s="412"/>
      <c r="M122" s="412"/>
      <c r="N122" s="412"/>
      <c r="O122" s="412"/>
      <c r="P122" s="412"/>
      <c r="Q122" s="412"/>
      <c r="R122" s="412"/>
      <c r="S122" s="412"/>
      <c r="T122" s="412"/>
      <c r="U122" s="412"/>
      <c r="V122" s="412"/>
      <c r="W122" s="412"/>
      <c r="X122" s="412"/>
      <c r="Y122" s="412"/>
    </row>
    <row r="123">
      <c r="A123" s="411"/>
      <c r="B123" s="412"/>
      <c r="C123" s="412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35"/>
      <c r="W123" s="235"/>
      <c r="X123" s="235"/>
      <c r="Y123" s="235"/>
    </row>
    <row r="124">
      <c r="A124" s="411"/>
      <c r="B124" s="412"/>
      <c r="C124" s="412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35"/>
      <c r="X124" s="235"/>
      <c r="Y124" s="235"/>
    </row>
    <row r="125">
      <c r="A125" s="411"/>
      <c r="B125" s="412"/>
      <c r="C125" s="412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35"/>
      <c r="W125" s="235"/>
      <c r="X125" s="235"/>
      <c r="Y125" s="235"/>
    </row>
    <row r="126">
      <c r="A126" s="411"/>
      <c r="B126" s="412"/>
      <c r="C126" s="412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35"/>
      <c r="W126" s="235"/>
      <c r="X126" s="235"/>
      <c r="Y126" s="235"/>
    </row>
    <row r="127">
      <c r="A127" s="411"/>
      <c r="B127" s="412"/>
      <c r="C127" s="412"/>
      <c r="D127" s="412"/>
      <c r="E127" s="412"/>
      <c r="F127" s="412"/>
      <c r="G127" s="412"/>
      <c r="H127" s="412"/>
      <c r="I127" s="412"/>
      <c r="J127" s="412"/>
      <c r="K127" s="412"/>
      <c r="L127" s="412"/>
      <c r="M127" s="412"/>
      <c r="N127" s="412"/>
      <c r="O127" s="412"/>
      <c r="P127" s="412"/>
      <c r="Q127" s="412"/>
      <c r="R127" s="412"/>
      <c r="S127" s="412"/>
      <c r="T127" s="412"/>
      <c r="U127" s="412"/>
      <c r="V127" s="412"/>
      <c r="W127" s="412"/>
      <c r="X127" s="412"/>
      <c r="Y127" s="412"/>
    </row>
    <row r="128">
      <c r="A128" s="411"/>
      <c r="B128" s="412"/>
      <c r="C128" s="412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35"/>
      <c r="W128" s="235"/>
      <c r="X128" s="235"/>
      <c r="Y128" s="235"/>
    </row>
    <row r="129">
      <c r="A129" s="411"/>
      <c r="B129" s="412"/>
      <c r="C129" s="412"/>
      <c r="D129" s="412"/>
      <c r="E129" s="412"/>
      <c r="F129" s="412"/>
      <c r="G129" s="412"/>
      <c r="H129" s="412"/>
      <c r="I129" s="412"/>
      <c r="J129" s="412"/>
      <c r="K129" s="412"/>
      <c r="L129" s="412"/>
      <c r="M129" s="412"/>
      <c r="N129" s="412"/>
      <c r="O129" s="412"/>
      <c r="P129" s="412"/>
      <c r="Q129" s="412"/>
      <c r="R129" s="412"/>
      <c r="S129" s="412"/>
      <c r="T129" s="412"/>
      <c r="U129" s="412"/>
      <c r="V129" s="412"/>
      <c r="W129" s="412"/>
      <c r="X129" s="412"/>
      <c r="Y129" s="412"/>
    </row>
    <row r="130">
      <c r="A130" s="411"/>
      <c r="B130" s="412"/>
      <c r="C130" s="412"/>
      <c r="D130" s="412"/>
      <c r="E130" s="412"/>
      <c r="F130" s="412"/>
      <c r="G130" s="412"/>
      <c r="H130" s="412"/>
      <c r="I130" s="412"/>
      <c r="J130" s="412"/>
      <c r="K130" s="412"/>
      <c r="L130" s="412"/>
      <c r="M130" s="412"/>
      <c r="N130" s="412"/>
      <c r="O130" s="412"/>
      <c r="P130" s="412"/>
      <c r="Q130" s="412"/>
      <c r="R130" s="412"/>
      <c r="S130" s="412"/>
      <c r="T130" s="412"/>
      <c r="U130" s="412"/>
      <c r="V130" s="412"/>
      <c r="W130" s="412"/>
      <c r="X130" s="412"/>
      <c r="Y130" s="412"/>
    </row>
    <row r="131">
      <c r="A131" s="411"/>
      <c r="B131" s="412"/>
      <c r="C131" s="412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35"/>
      <c r="W131" s="235"/>
      <c r="X131" s="235"/>
      <c r="Y131" s="235"/>
    </row>
    <row r="132">
      <c r="A132" s="411"/>
      <c r="B132" s="412"/>
      <c r="C132" s="412"/>
      <c r="D132" s="412"/>
      <c r="E132" s="412"/>
      <c r="F132" s="412"/>
      <c r="G132" s="412"/>
      <c r="H132" s="412"/>
      <c r="I132" s="412"/>
      <c r="J132" s="412"/>
      <c r="K132" s="412"/>
      <c r="L132" s="412"/>
      <c r="M132" s="412"/>
      <c r="N132" s="412"/>
      <c r="O132" s="412"/>
      <c r="P132" s="412"/>
      <c r="Q132" s="412"/>
      <c r="R132" s="412"/>
      <c r="S132" s="412"/>
      <c r="T132" s="412"/>
      <c r="U132" s="412"/>
      <c r="V132" s="412"/>
      <c r="W132" s="412"/>
      <c r="X132" s="412"/>
      <c r="Y132" s="412"/>
    </row>
    <row r="133">
      <c r="A133" s="411"/>
      <c r="B133" s="412"/>
      <c r="C133" s="412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35"/>
      <c r="W133" s="235"/>
      <c r="X133" s="235"/>
      <c r="Y133" s="235"/>
    </row>
    <row r="134">
      <c r="A134" s="411"/>
      <c r="B134" s="412"/>
      <c r="C134" s="412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35"/>
      <c r="W134" s="235"/>
      <c r="X134" s="235"/>
      <c r="Y134" s="235"/>
    </row>
    <row r="135">
      <c r="A135" s="411"/>
      <c r="B135" s="412"/>
      <c r="C135" s="412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35"/>
      <c r="W135" s="235"/>
      <c r="X135" s="235"/>
      <c r="Y135" s="235"/>
    </row>
    <row r="136">
      <c r="A136" s="411"/>
      <c r="B136" s="412"/>
      <c r="C136" s="412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35"/>
      <c r="W136" s="235"/>
      <c r="X136" s="235"/>
      <c r="Y136" s="235"/>
    </row>
    <row r="137">
      <c r="A137" s="411"/>
      <c r="B137" s="412"/>
      <c r="C137" s="412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35"/>
      <c r="W137" s="235"/>
      <c r="X137" s="235"/>
      <c r="Y137" s="235"/>
    </row>
    <row r="138">
      <c r="A138" s="411"/>
      <c r="B138" s="412"/>
      <c r="C138" s="412"/>
      <c r="D138" s="412"/>
      <c r="E138" s="412"/>
      <c r="F138" s="412"/>
      <c r="G138" s="412"/>
      <c r="H138" s="412"/>
      <c r="I138" s="412"/>
      <c r="J138" s="412"/>
      <c r="K138" s="412"/>
      <c r="L138" s="412"/>
      <c r="M138" s="412"/>
      <c r="N138" s="412"/>
      <c r="O138" s="412"/>
      <c r="P138" s="412"/>
      <c r="Q138" s="412"/>
      <c r="R138" s="412"/>
      <c r="S138" s="412"/>
      <c r="T138" s="412"/>
      <c r="U138" s="412"/>
      <c r="V138" s="412"/>
      <c r="W138" s="412"/>
      <c r="X138" s="412"/>
      <c r="Y138" s="412"/>
    </row>
    <row r="139">
      <c r="A139" s="411"/>
      <c r="B139" s="412"/>
      <c r="C139" s="412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35"/>
      <c r="W139" s="235"/>
      <c r="X139" s="235"/>
      <c r="Y139" s="235"/>
    </row>
    <row r="140">
      <c r="A140" s="411"/>
      <c r="B140" s="412"/>
      <c r="C140" s="412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35"/>
      <c r="W140" s="235"/>
      <c r="X140" s="235"/>
      <c r="Y140" s="235"/>
    </row>
    <row r="141">
      <c r="A141" s="411"/>
      <c r="B141" s="412"/>
      <c r="C141" s="412"/>
      <c r="D141" s="412"/>
      <c r="E141" s="412"/>
      <c r="F141" s="412"/>
      <c r="G141" s="412"/>
      <c r="H141" s="412"/>
      <c r="I141" s="412"/>
      <c r="J141" s="412"/>
      <c r="K141" s="412"/>
      <c r="L141" s="412"/>
      <c r="M141" s="412"/>
      <c r="N141" s="412"/>
      <c r="O141" s="412"/>
      <c r="P141" s="412"/>
      <c r="Q141" s="412"/>
      <c r="R141" s="412"/>
      <c r="S141" s="412"/>
      <c r="T141" s="412"/>
      <c r="U141" s="412"/>
      <c r="V141" s="412"/>
      <c r="W141" s="412"/>
      <c r="X141" s="412"/>
      <c r="Y141" s="412"/>
    </row>
    <row r="142" ht="19.5" customHeight="1">
      <c r="A142" s="411"/>
      <c r="B142" s="412"/>
      <c r="C142" s="412"/>
      <c r="D142" s="416"/>
      <c r="E142" s="416"/>
      <c r="F142" s="416"/>
      <c r="G142" s="416"/>
      <c r="H142" s="416"/>
      <c r="I142" s="416"/>
      <c r="J142" s="416"/>
      <c r="K142" s="416"/>
      <c r="L142" s="416"/>
      <c r="M142" s="416"/>
      <c r="N142" s="416"/>
      <c r="O142" s="416"/>
      <c r="P142" s="416"/>
      <c r="Q142" s="416"/>
      <c r="R142" s="416"/>
      <c r="S142" s="416"/>
      <c r="T142" s="416"/>
      <c r="U142" s="416"/>
      <c r="V142" s="416"/>
      <c r="W142" s="416"/>
      <c r="X142" s="416"/>
      <c r="Y142" s="416"/>
    </row>
    <row r="143">
      <c r="A143" s="411"/>
      <c r="B143" s="412"/>
      <c r="C143" s="412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35"/>
      <c r="W143" s="235"/>
      <c r="X143" s="235"/>
      <c r="Y143" s="235"/>
    </row>
    <row r="144">
      <c r="A144" s="411"/>
      <c r="B144" s="412"/>
      <c r="C144" s="412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35"/>
      <c r="W144" s="235"/>
      <c r="X144" s="235"/>
      <c r="Y144" s="235"/>
    </row>
    <row r="145">
      <c r="A145" s="411"/>
      <c r="B145" s="412"/>
      <c r="C145" s="412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35"/>
      <c r="W145" s="235"/>
      <c r="X145" s="235"/>
      <c r="Y145" s="235"/>
    </row>
    <row r="146">
      <c r="A146" s="411"/>
      <c r="B146" s="412"/>
      <c r="C146" s="412"/>
      <c r="D146" s="412"/>
      <c r="E146" s="412"/>
      <c r="F146" s="412"/>
      <c r="G146" s="412"/>
      <c r="H146" s="412"/>
      <c r="I146" s="412"/>
      <c r="J146" s="412"/>
      <c r="K146" s="412"/>
      <c r="L146" s="412"/>
      <c r="M146" s="412"/>
      <c r="N146" s="412"/>
      <c r="O146" s="412"/>
      <c r="P146" s="412"/>
      <c r="Q146" s="412"/>
      <c r="R146" s="412"/>
      <c r="S146" s="412"/>
      <c r="T146" s="412"/>
      <c r="U146" s="412"/>
      <c r="V146" s="412"/>
      <c r="W146" s="412"/>
      <c r="X146" s="412"/>
      <c r="Y146" s="412"/>
    </row>
    <row r="147">
      <c r="A147" s="411"/>
      <c r="B147" s="412"/>
      <c r="C147" s="412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35"/>
      <c r="W147" s="235"/>
      <c r="X147" s="235"/>
      <c r="Y147" s="235"/>
    </row>
    <row r="148">
      <c r="A148" s="411"/>
      <c r="B148" s="412"/>
      <c r="C148" s="412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35"/>
      <c r="W148" s="235"/>
      <c r="X148" s="235"/>
      <c r="Y148" s="235"/>
    </row>
    <row r="149">
      <c r="A149" s="411"/>
      <c r="B149" s="412"/>
      <c r="C149" s="412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35"/>
      <c r="W149" s="235"/>
      <c r="X149" s="235"/>
      <c r="Y149" s="235"/>
    </row>
    <row r="150">
      <c r="A150" s="411"/>
      <c r="B150" s="412"/>
      <c r="C150" s="412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35"/>
      <c r="W150" s="235"/>
      <c r="X150" s="235"/>
      <c r="Y150" s="235"/>
    </row>
    <row r="151">
      <c r="A151" s="411"/>
      <c r="B151" s="412"/>
      <c r="C151" s="412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35"/>
      <c r="W151" s="235"/>
      <c r="X151" s="235"/>
      <c r="Y151" s="235"/>
    </row>
    <row r="152">
      <c r="A152" s="411"/>
      <c r="B152" s="412"/>
      <c r="C152" s="412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35"/>
      <c r="W152" s="235"/>
      <c r="X152" s="235"/>
      <c r="Y152" s="235"/>
    </row>
    <row r="153">
      <c r="A153" s="411"/>
      <c r="B153" s="412"/>
      <c r="C153" s="412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35"/>
      <c r="W153" s="235"/>
      <c r="X153" s="235"/>
      <c r="Y153" s="235"/>
    </row>
    <row r="154">
      <c r="A154" s="411"/>
      <c r="B154" s="412"/>
      <c r="C154" s="412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35"/>
      <c r="W154" s="235"/>
      <c r="X154" s="235"/>
      <c r="Y154" s="235"/>
    </row>
    <row r="155">
      <c r="A155" s="411"/>
      <c r="B155" s="412"/>
      <c r="C155" s="412"/>
      <c r="D155" s="412"/>
      <c r="E155" s="412"/>
      <c r="F155" s="412"/>
      <c r="G155" s="412"/>
      <c r="H155" s="412"/>
      <c r="I155" s="412"/>
      <c r="J155" s="412"/>
      <c r="K155" s="412"/>
      <c r="L155" s="412"/>
      <c r="M155" s="412"/>
      <c r="N155" s="412"/>
      <c r="O155" s="412"/>
      <c r="P155" s="412"/>
      <c r="Q155" s="412"/>
      <c r="R155" s="412"/>
      <c r="S155" s="412"/>
      <c r="T155" s="412"/>
      <c r="U155" s="412"/>
      <c r="V155" s="412"/>
      <c r="W155" s="412"/>
      <c r="X155" s="412"/>
      <c r="Y155" s="412"/>
    </row>
    <row r="156">
      <c r="A156" s="411"/>
      <c r="B156" s="412"/>
      <c r="C156" s="412"/>
      <c r="D156" s="412"/>
      <c r="E156" s="412"/>
      <c r="F156" s="412"/>
      <c r="G156" s="412"/>
      <c r="H156" s="412"/>
      <c r="I156" s="412"/>
      <c r="J156" s="412"/>
      <c r="K156" s="412"/>
      <c r="L156" s="412"/>
      <c r="M156" s="412"/>
      <c r="N156" s="412"/>
      <c r="O156" s="412"/>
      <c r="P156" s="412"/>
      <c r="Q156" s="412"/>
      <c r="R156" s="412"/>
      <c r="S156" s="412"/>
      <c r="T156" s="412"/>
      <c r="U156" s="412"/>
      <c r="V156" s="412"/>
      <c r="W156" s="412"/>
      <c r="X156" s="412"/>
      <c r="Y156" s="412"/>
    </row>
    <row r="157">
      <c r="A157" s="411"/>
      <c r="B157" s="412"/>
      <c r="C157" s="412"/>
      <c r="D157" s="412"/>
      <c r="E157" s="412"/>
      <c r="F157" s="412"/>
      <c r="G157" s="412"/>
      <c r="H157" s="412"/>
      <c r="I157" s="412"/>
      <c r="J157" s="412"/>
      <c r="K157" s="412"/>
      <c r="L157" s="412"/>
      <c r="M157" s="412"/>
      <c r="N157" s="412"/>
      <c r="O157" s="412"/>
      <c r="P157" s="412"/>
      <c r="Q157" s="412"/>
      <c r="R157" s="412"/>
      <c r="S157" s="412"/>
      <c r="T157" s="412"/>
      <c r="U157" s="412"/>
      <c r="V157" s="412"/>
      <c r="W157" s="412"/>
      <c r="X157" s="412"/>
      <c r="Y157" s="412"/>
    </row>
    <row r="158">
      <c r="A158" s="411"/>
      <c r="B158" s="412"/>
      <c r="C158" s="412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35"/>
      <c r="W158" s="235"/>
      <c r="X158" s="235"/>
      <c r="Y158" s="235"/>
    </row>
    <row r="159">
      <c r="A159" s="411"/>
      <c r="B159" s="412"/>
      <c r="C159" s="412"/>
      <c r="D159" s="412"/>
      <c r="E159" s="412"/>
      <c r="F159" s="412"/>
      <c r="G159" s="412"/>
      <c r="H159" s="412"/>
      <c r="I159" s="412"/>
      <c r="J159" s="412"/>
      <c r="K159" s="412"/>
      <c r="L159" s="412"/>
      <c r="M159" s="412"/>
      <c r="N159" s="412"/>
      <c r="O159" s="412"/>
      <c r="P159" s="412"/>
      <c r="Q159" s="412"/>
      <c r="R159" s="412"/>
      <c r="S159" s="412"/>
      <c r="T159" s="412"/>
      <c r="U159" s="412"/>
      <c r="V159" s="412"/>
      <c r="W159" s="412"/>
      <c r="X159" s="412"/>
      <c r="Y159" s="412"/>
    </row>
    <row r="160">
      <c r="A160" s="411"/>
      <c r="B160" s="412"/>
      <c r="C160" s="412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35"/>
      <c r="W160" s="235"/>
      <c r="X160" s="235"/>
      <c r="Y160" s="235"/>
    </row>
    <row r="161">
      <c r="A161" s="411"/>
      <c r="B161" s="412"/>
      <c r="C161" s="412"/>
      <c r="D161" s="412"/>
      <c r="E161" s="412"/>
      <c r="F161" s="412"/>
      <c r="G161" s="412"/>
      <c r="H161" s="412"/>
      <c r="I161" s="412"/>
      <c r="J161" s="412"/>
      <c r="K161" s="412"/>
      <c r="L161" s="412"/>
      <c r="M161" s="412"/>
      <c r="N161" s="412"/>
      <c r="O161" s="412"/>
      <c r="P161" s="412"/>
      <c r="Q161" s="412"/>
      <c r="R161" s="412"/>
      <c r="S161" s="412"/>
      <c r="T161" s="412"/>
      <c r="U161" s="412"/>
      <c r="V161" s="412"/>
      <c r="W161" s="412"/>
      <c r="X161" s="412"/>
      <c r="Y161" s="412"/>
    </row>
    <row r="162">
      <c r="A162" s="411"/>
      <c r="B162" s="412"/>
      <c r="C162" s="412"/>
      <c r="D162" s="412"/>
      <c r="E162" s="412"/>
      <c r="F162" s="412"/>
      <c r="G162" s="412"/>
      <c r="H162" s="412"/>
      <c r="I162" s="412"/>
      <c r="J162" s="412"/>
      <c r="K162" s="412"/>
      <c r="L162" s="412"/>
      <c r="M162" s="412"/>
      <c r="N162" s="412"/>
      <c r="O162" s="412"/>
      <c r="P162" s="412"/>
      <c r="Q162" s="412"/>
      <c r="R162" s="412"/>
      <c r="S162" s="412"/>
      <c r="T162" s="412"/>
      <c r="U162" s="412"/>
      <c r="V162" s="412"/>
      <c r="W162" s="412"/>
      <c r="X162" s="412"/>
      <c r="Y162" s="412"/>
    </row>
    <row r="163">
      <c r="A163" s="411"/>
      <c r="B163" s="412"/>
      <c r="C163" s="412"/>
      <c r="D163" s="412"/>
      <c r="E163" s="412"/>
      <c r="F163" s="412"/>
      <c r="G163" s="412"/>
      <c r="H163" s="412"/>
      <c r="I163" s="412"/>
      <c r="J163" s="412"/>
      <c r="K163" s="412"/>
      <c r="L163" s="412"/>
      <c r="M163" s="412"/>
      <c r="N163" s="412"/>
      <c r="O163" s="412"/>
      <c r="P163" s="412"/>
      <c r="Q163" s="412"/>
      <c r="R163" s="412"/>
      <c r="S163" s="412"/>
      <c r="T163" s="412"/>
      <c r="U163" s="412"/>
      <c r="V163" s="412"/>
      <c r="W163" s="412"/>
      <c r="X163" s="412"/>
      <c r="Y163" s="412"/>
    </row>
    <row r="164">
      <c r="A164" s="411"/>
      <c r="B164" s="412"/>
      <c r="C164" s="412"/>
      <c r="D164" s="412"/>
      <c r="E164" s="412"/>
      <c r="F164" s="412"/>
      <c r="G164" s="412"/>
      <c r="H164" s="412"/>
      <c r="I164" s="412"/>
      <c r="J164" s="412"/>
      <c r="K164" s="412"/>
      <c r="L164" s="412"/>
      <c r="M164" s="412"/>
      <c r="N164" s="412"/>
      <c r="O164" s="412"/>
      <c r="P164" s="412"/>
      <c r="Q164" s="412"/>
      <c r="R164" s="412"/>
      <c r="S164" s="412"/>
      <c r="T164" s="412"/>
      <c r="U164" s="412"/>
      <c r="V164" s="412"/>
      <c r="W164" s="412"/>
      <c r="X164" s="412"/>
      <c r="Y164" s="412"/>
    </row>
    <row r="165">
      <c r="A165" s="411"/>
      <c r="B165" s="412"/>
      <c r="C165" s="412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35"/>
      <c r="W165" s="235"/>
      <c r="X165" s="235"/>
      <c r="Y165" s="235"/>
    </row>
    <row r="166">
      <c r="A166" s="411"/>
      <c r="B166" s="412"/>
      <c r="C166" s="412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35"/>
      <c r="W166" s="235"/>
      <c r="X166" s="235"/>
      <c r="Y166" s="235"/>
    </row>
    <row r="167">
      <c r="A167" s="411"/>
      <c r="B167" s="412"/>
      <c r="C167" s="412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35"/>
      <c r="W167" s="235"/>
      <c r="X167" s="235"/>
      <c r="Y167" s="235"/>
    </row>
    <row r="168">
      <c r="A168" s="411"/>
      <c r="B168" s="412"/>
      <c r="C168" s="412"/>
      <c r="D168" s="412"/>
      <c r="E168" s="412"/>
      <c r="F168" s="412"/>
      <c r="G168" s="412"/>
      <c r="H168" s="412"/>
      <c r="I168" s="412"/>
      <c r="J168" s="412"/>
      <c r="K168" s="412"/>
      <c r="L168" s="412"/>
      <c r="M168" s="412"/>
      <c r="N168" s="412"/>
      <c r="O168" s="412"/>
      <c r="P168" s="412"/>
      <c r="Q168" s="412"/>
      <c r="R168" s="412"/>
      <c r="S168" s="412"/>
      <c r="T168" s="412"/>
      <c r="U168" s="412"/>
      <c r="V168" s="412"/>
      <c r="W168" s="412"/>
      <c r="X168" s="412"/>
      <c r="Y168" s="412"/>
    </row>
    <row r="169">
      <c r="A169" s="411"/>
      <c r="B169" s="412"/>
      <c r="C169" s="412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35"/>
      <c r="W169" s="235"/>
      <c r="X169" s="235"/>
      <c r="Y169" s="235"/>
    </row>
    <row r="170">
      <c r="A170" s="411"/>
      <c r="B170" s="412"/>
      <c r="C170" s="412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35"/>
      <c r="W170" s="235"/>
      <c r="X170" s="235"/>
      <c r="Y170" s="235"/>
    </row>
    <row r="171">
      <c r="A171" s="411"/>
      <c r="B171" s="412"/>
      <c r="C171" s="412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35"/>
      <c r="W171" s="235"/>
      <c r="X171" s="235"/>
      <c r="Y171" s="235"/>
    </row>
    <row r="172">
      <c r="A172" s="411"/>
      <c r="B172" s="412"/>
      <c r="C172" s="412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35"/>
      <c r="W172" s="235"/>
      <c r="X172" s="235"/>
      <c r="Y172" s="235"/>
    </row>
    <row r="173">
      <c r="A173" s="411"/>
      <c r="B173" s="412"/>
      <c r="C173" s="412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35"/>
      <c r="W173" s="235"/>
      <c r="X173" s="235"/>
      <c r="Y173" s="235"/>
    </row>
    <row r="174">
      <c r="A174" s="411"/>
      <c r="B174" s="412"/>
      <c r="C174" s="412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35"/>
      <c r="W174" s="235"/>
      <c r="X174" s="235"/>
      <c r="Y174" s="235"/>
    </row>
    <row r="175">
      <c r="A175" s="411"/>
      <c r="B175" s="412"/>
      <c r="C175" s="412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35"/>
      <c r="W175" s="235"/>
      <c r="X175" s="235"/>
      <c r="Y175" s="235"/>
    </row>
    <row r="176">
      <c r="A176" s="411"/>
      <c r="B176" s="412"/>
      <c r="C176" s="412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35"/>
      <c r="W176" s="235"/>
      <c r="X176" s="235"/>
      <c r="Y176" s="235"/>
    </row>
    <row r="177">
      <c r="A177" s="411"/>
      <c r="B177" s="412"/>
      <c r="C177" s="412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35"/>
      <c r="W177" s="235"/>
      <c r="X177" s="235"/>
      <c r="Y177" s="235"/>
    </row>
    <row r="178">
      <c r="A178" s="411"/>
      <c r="B178" s="412"/>
      <c r="C178" s="412"/>
      <c r="D178" s="412"/>
      <c r="E178" s="412"/>
      <c r="F178" s="412"/>
      <c r="G178" s="412"/>
      <c r="H178" s="412"/>
      <c r="I178" s="412"/>
      <c r="J178" s="412"/>
      <c r="K178" s="412"/>
      <c r="L178" s="412"/>
      <c r="M178" s="412"/>
      <c r="N178" s="412"/>
      <c r="O178" s="412"/>
      <c r="P178" s="412"/>
      <c r="Q178" s="412"/>
      <c r="R178" s="412"/>
      <c r="S178" s="412"/>
      <c r="T178" s="412"/>
      <c r="U178" s="412"/>
      <c r="V178" s="412"/>
      <c r="W178" s="412"/>
      <c r="X178" s="412"/>
      <c r="Y178" s="412"/>
    </row>
    <row r="179">
      <c r="A179" s="411"/>
      <c r="B179" s="412"/>
      <c r="C179" s="412"/>
      <c r="D179" s="412"/>
      <c r="E179" s="412"/>
      <c r="F179" s="412"/>
      <c r="G179" s="412"/>
      <c r="H179" s="412"/>
      <c r="I179" s="412"/>
      <c r="J179" s="412"/>
      <c r="K179" s="412"/>
      <c r="L179" s="412"/>
      <c r="M179" s="412"/>
      <c r="N179" s="412"/>
      <c r="O179" s="412"/>
      <c r="P179" s="412"/>
      <c r="Q179" s="412"/>
      <c r="R179" s="412"/>
      <c r="S179" s="412"/>
      <c r="T179" s="412"/>
      <c r="U179" s="412"/>
      <c r="V179" s="412"/>
      <c r="W179" s="412"/>
      <c r="X179" s="412"/>
      <c r="Y179" s="412"/>
    </row>
    <row r="180">
      <c r="A180" s="411"/>
      <c r="B180" s="412"/>
      <c r="C180" s="412"/>
      <c r="D180" s="412"/>
      <c r="E180" s="412"/>
      <c r="F180" s="412"/>
      <c r="G180" s="412"/>
      <c r="H180" s="412"/>
      <c r="I180" s="412"/>
      <c r="J180" s="412"/>
      <c r="K180" s="412"/>
      <c r="L180" s="412"/>
      <c r="M180" s="412"/>
      <c r="N180" s="412"/>
      <c r="O180" s="412"/>
      <c r="P180" s="412"/>
      <c r="Q180" s="412"/>
      <c r="R180" s="412"/>
      <c r="S180" s="412"/>
      <c r="T180" s="412"/>
      <c r="U180" s="412"/>
      <c r="V180" s="412"/>
      <c r="W180" s="412"/>
      <c r="X180" s="412"/>
      <c r="Y180" s="412"/>
    </row>
    <row r="181">
      <c r="A181" s="411"/>
      <c r="B181" s="412"/>
      <c r="C181" s="412"/>
      <c r="D181" s="412"/>
      <c r="E181" s="412"/>
      <c r="F181" s="412"/>
      <c r="G181" s="412"/>
      <c r="H181" s="412"/>
      <c r="I181" s="412"/>
      <c r="J181" s="412"/>
      <c r="K181" s="412"/>
      <c r="L181" s="412"/>
      <c r="M181" s="412"/>
      <c r="N181" s="412"/>
      <c r="O181" s="412"/>
      <c r="P181" s="412"/>
      <c r="Q181" s="412"/>
      <c r="R181" s="412"/>
      <c r="S181" s="412"/>
      <c r="T181" s="412"/>
      <c r="U181" s="412"/>
      <c r="V181" s="412"/>
      <c r="W181" s="412"/>
      <c r="X181" s="412"/>
      <c r="Y181" s="412"/>
    </row>
    <row r="182">
      <c r="A182" s="411"/>
      <c r="B182" s="412"/>
      <c r="C182" s="412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</row>
    <row r="183">
      <c r="A183" s="411"/>
      <c r="B183" s="412"/>
      <c r="C183" s="412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35"/>
      <c r="W183" s="235"/>
      <c r="X183" s="235"/>
      <c r="Y183" s="235"/>
    </row>
    <row r="184">
      <c r="A184" s="411"/>
      <c r="B184" s="412"/>
      <c r="C184" s="412"/>
      <c r="D184" s="412"/>
      <c r="E184" s="412"/>
      <c r="F184" s="412"/>
      <c r="G184" s="412"/>
      <c r="H184" s="412"/>
      <c r="I184" s="412"/>
      <c r="J184" s="412"/>
      <c r="K184" s="412"/>
      <c r="L184" s="412"/>
      <c r="M184" s="412"/>
      <c r="N184" s="412"/>
      <c r="O184" s="412"/>
      <c r="P184" s="412"/>
      <c r="Q184" s="412"/>
      <c r="R184" s="412"/>
      <c r="S184" s="412"/>
      <c r="T184" s="412"/>
      <c r="U184" s="412"/>
      <c r="V184" s="412"/>
      <c r="W184" s="412"/>
      <c r="X184" s="412"/>
      <c r="Y184" s="412"/>
    </row>
    <row r="185">
      <c r="A185" s="411"/>
      <c r="B185" s="412"/>
      <c r="C185" s="412"/>
      <c r="D185" s="412"/>
      <c r="E185" s="412"/>
      <c r="F185" s="412"/>
      <c r="G185" s="412"/>
      <c r="H185" s="412"/>
      <c r="I185" s="412"/>
      <c r="J185" s="412"/>
      <c r="K185" s="412"/>
      <c r="L185" s="412"/>
      <c r="M185" s="412"/>
      <c r="N185" s="412"/>
      <c r="O185" s="412"/>
      <c r="P185" s="412"/>
      <c r="Q185" s="412"/>
      <c r="R185" s="412"/>
      <c r="S185" s="412"/>
      <c r="T185" s="412"/>
      <c r="U185" s="412"/>
      <c r="V185" s="412"/>
      <c r="W185" s="412"/>
      <c r="X185" s="412"/>
      <c r="Y185" s="412"/>
    </row>
    <row r="186">
      <c r="A186" s="411"/>
      <c r="B186" s="412"/>
      <c r="C186" s="412"/>
      <c r="D186" s="412"/>
      <c r="E186" s="412"/>
      <c r="F186" s="412"/>
      <c r="G186" s="412"/>
      <c r="H186" s="412"/>
      <c r="I186" s="412"/>
      <c r="J186" s="412"/>
      <c r="K186" s="412"/>
      <c r="L186" s="412"/>
      <c r="M186" s="412"/>
      <c r="N186" s="412"/>
      <c r="O186" s="412"/>
      <c r="P186" s="412"/>
      <c r="Q186" s="412"/>
      <c r="R186" s="412"/>
      <c r="S186" s="412"/>
      <c r="T186" s="412"/>
      <c r="U186" s="412"/>
      <c r="V186" s="412"/>
      <c r="W186" s="412"/>
      <c r="X186" s="412"/>
      <c r="Y186" s="412"/>
    </row>
    <row r="187">
      <c r="A187" s="411"/>
      <c r="B187" s="412"/>
      <c r="C187" s="412"/>
      <c r="D187" s="412"/>
      <c r="E187" s="412"/>
      <c r="F187" s="412"/>
      <c r="G187" s="412"/>
      <c r="H187" s="412"/>
      <c r="I187" s="412"/>
      <c r="J187" s="412"/>
      <c r="K187" s="412"/>
      <c r="L187" s="412"/>
      <c r="M187" s="412"/>
      <c r="N187" s="412"/>
      <c r="O187" s="412"/>
      <c r="P187" s="412"/>
      <c r="Q187" s="412"/>
      <c r="R187" s="412"/>
      <c r="S187" s="412"/>
      <c r="T187" s="412"/>
      <c r="U187" s="412"/>
      <c r="V187" s="412"/>
      <c r="W187" s="412"/>
      <c r="X187" s="412"/>
      <c r="Y187" s="412"/>
    </row>
    <row r="188">
      <c r="A188" s="411"/>
      <c r="B188" s="412"/>
      <c r="C188" s="412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35"/>
      <c r="W188" s="235"/>
      <c r="X188" s="235"/>
      <c r="Y188" s="235"/>
    </row>
    <row r="189">
      <c r="A189" s="411"/>
      <c r="B189" s="412"/>
      <c r="C189" s="412"/>
      <c r="D189" s="412"/>
      <c r="E189" s="412"/>
      <c r="F189" s="412"/>
      <c r="G189" s="412"/>
      <c r="H189" s="412"/>
      <c r="I189" s="412"/>
      <c r="J189" s="412"/>
      <c r="K189" s="412"/>
      <c r="L189" s="412"/>
      <c r="M189" s="412"/>
      <c r="N189" s="412"/>
      <c r="O189" s="412"/>
      <c r="P189" s="412"/>
      <c r="Q189" s="412"/>
      <c r="R189" s="412"/>
      <c r="S189" s="412"/>
      <c r="T189" s="412"/>
      <c r="U189" s="412"/>
      <c r="V189" s="412"/>
      <c r="W189" s="412"/>
      <c r="X189" s="412"/>
      <c r="Y189" s="412"/>
    </row>
    <row r="190">
      <c r="A190" s="411"/>
      <c r="B190" s="412"/>
      <c r="C190" s="412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35"/>
      <c r="W190" s="235"/>
      <c r="X190" s="235"/>
      <c r="Y190" s="235"/>
    </row>
    <row r="191">
      <c r="A191" s="411"/>
      <c r="B191" s="412"/>
      <c r="C191" s="412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35"/>
      <c r="W191" s="235"/>
      <c r="X191" s="235"/>
      <c r="Y191" s="235"/>
    </row>
    <row r="192">
      <c r="A192" s="411"/>
      <c r="B192" s="412"/>
      <c r="C192" s="412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35"/>
      <c r="W192" s="235"/>
      <c r="X192" s="235"/>
      <c r="Y192" s="235"/>
    </row>
    <row r="193">
      <c r="A193" s="411"/>
      <c r="B193" s="412"/>
      <c r="C193" s="412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35"/>
      <c r="W193" s="235"/>
      <c r="X193" s="235"/>
      <c r="Y193" s="235"/>
    </row>
    <row r="194">
      <c r="A194" s="411"/>
      <c r="B194" s="412"/>
      <c r="C194" s="412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35"/>
      <c r="W194" s="235"/>
      <c r="X194" s="235"/>
      <c r="Y194" s="235"/>
    </row>
    <row r="195">
      <c r="A195" s="411"/>
      <c r="B195" s="412"/>
      <c r="C195" s="412"/>
      <c r="D195" s="416"/>
      <c r="E195" s="416"/>
      <c r="F195" s="416"/>
      <c r="G195" s="416"/>
      <c r="H195" s="416"/>
      <c r="I195" s="416"/>
      <c r="J195" s="416"/>
      <c r="K195" s="416"/>
      <c r="L195" s="416"/>
      <c r="M195" s="416"/>
      <c r="N195" s="416"/>
      <c r="O195" s="416"/>
      <c r="P195" s="416"/>
      <c r="Q195" s="416"/>
      <c r="R195" s="416"/>
      <c r="S195" s="416"/>
      <c r="T195" s="416"/>
      <c r="U195" s="416"/>
      <c r="V195" s="416"/>
      <c r="W195" s="416"/>
      <c r="X195" s="416"/>
      <c r="Y195" s="416"/>
    </row>
    <row r="196">
      <c r="A196" s="411"/>
      <c r="B196" s="412"/>
      <c r="C196" s="412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35"/>
      <c r="W196" s="235"/>
      <c r="X196" s="235"/>
      <c r="Y196" s="235"/>
    </row>
    <row r="197">
      <c r="A197" s="411"/>
      <c r="B197" s="412"/>
      <c r="C197" s="412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35"/>
      <c r="W197" s="235"/>
      <c r="X197" s="235"/>
      <c r="Y197" s="235"/>
    </row>
    <row r="198">
      <c r="A198" s="411"/>
      <c r="B198" s="412"/>
      <c r="C198" s="412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35"/>
      <c r="W198" s="235"/>
      <c r="X198" s="235"/>
      <c r="Y198" s="235"/>
    </row>
    <row r="199">
      <c r="A199" s="411"/>
      <c r="B199" s="412"/>
      <c r="C199" s="412"/>
      <c r="D199" s="412"/>
      <c r="E199" s="412"/>
      <c r="F199" s="412"/>
      <c r="G199" s="412"/>
      <c r="H199" s="412"/>
      <c r="I199" s="412"/>
      <c r="J199" s="412"/>
      <c r="K199" s="412"/>
      <c r="L199" s="412"/>
      <c r="M199" s="412"/>
      <c r="N199" s="412"/>
      <c r="O199" s="412"/>
      <c r="P199" s="412"/>
      <c r="Q199" s="412"/>
      <c r="R199" s="412"/>
      <c r="S199" s="412"/>
      <c r="T199" s="412"/>
      <c r="U199" s="412"/>
      <c r="V199" s="412"/>
      <c r="W199" s="412"/>
      <c r="X199" s="412"/>
      <c r="Y199" s="412"/>
    </row>
    <row r="200">
      <c r="A200" s="411"/>
      <c r="B200" s="412"/>
      <c r="C200" s="412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35"/>
      <c r="W200" s="235"/>
      <c r="X200" s="235"/>
      <c r="Y200" s="235"/>
    </row>
    <row r="201">
      <c r="A201" s="411"/>
      <c r="B201" s="412"/>
      <c r="C201" s="412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35"/>
      <c r="W201" s="235"/>
      <c r="X201" s="235"/>
      <c r="Y201" s="235"/>
    </row>
    <row r="202">
      <c r="A202" s="411"/>
      <c r="B202" s="412"/>
      <c r="C202" s="412"/>
      <c r="D202" s="412"/>
      <c r="E202" s="412"/>
      <c r="F202" s="412"/>
      <c r="G202" s="412"/>
      <c r="H202" s="412"/>
      <c r="I202" s="412"/>
      <c r="J202" s="412"/>
      <c r="K202" s="412"/>
      <c r="L202" s="412"/>
      <c r="M202" s="412"/>
      <c r="N202" s="412"/>
      <c r="O202" s="412"/>
      <c r="P202" s="412"/>
      <c r="Q202" s="412"/>
      <c r="R202" s="412"/>
      <c r="S202" s="412"/>
      <c r="T202" s="412"/>
      <c r="U202" s="412"/>
      <c r="V202" s="412"/>
      <c r="W202" s="412"/>
      <c r="X202" s="412"/>
      <c r="Y202" s="412"/>
    </row>
    <row r="203">
      <c r="A203" s="411"/>
      <c r="B203" s="412"/>
      <c r="C203" s="412"/>
      <c r="D203" s="412"/>
      <c r="E203" s="412"/>
      <c r="F203" s="412"/>
      <c r="G203" s="412"/>
      <c r="H203" s="412"/>
      <c r="I203" s="412"/>
      <c r="J203" s="412"/>
      <c r="K203" s="412"/>
      <c r="L203" s="412"/>
      <c r="M203" s="412"/>
      <c r="N203" s="412"/>
      <c r="O203" s="412"/>
      <c r="P203" s="412"/>
      <c r="Q203" s="412"/>
      <c r="R203" s="412"/>
      <c r="S203" s="412"/>
      <c r="T203" s="412"/>
      <c r="U203" s="412"/>
      <c r="V203" s="412"/>
      <c r="W203" s="412"/>
      <c r="X203" s="412"/>
      <c r="Y203" s="412"/>
    </row>
    <row r="204">
      <c r="A204" s="411"/>
      <c r="B204" s="412"/>
      <c r="C204" s="412"/>
      <c r="D204" s="412"/>
      <c r="E204" s="412"/>
      <c r="F204" s="412"/>
      <c r="G204" s="412"/>
      <c r="H204" s="412"/>
      <c r="I204" s="412"/>
      <c r="J204" s="412"/>
      <c r="K204" s="412"/>
      <c r="L204" s="412"/>
      <c r="M204" s="412"/>
      <c r="N204" s="412"/>
      <c r="O204" s="412"/>
      <c r="P204" s="412"/>
      <c r="Q204" s="412"/>
      <c r="R204" s="412"/>
      <c r="S204" s="412"/>
      <c r="T204" s="412"/>
      <c r="U204" s="412"/>
      <c r="V204" s="412"/>
      <c r="W204" s="412"/>
      <c r="X204" s="412"/>
      <c r="Y204" s="412"/>
    </row>
    <row r="205">
      <c r="A205" s="411"/>
      <c r="B205" s="412"/>
      <c r="C205" s="412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35"/>
      <c r="W205" s="235"/>
      <c r="X205" s="235"/>
      <c r="Y205" s="235"/>
    </row>
    <row r="206">
      <c r="A206" s="411"/>
      <c r="B206" s="412"/>
      <c r="C206" s="412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35"/>
      <c r="W206" s="235"/>
      <c r="X206" s="235"/>
      <c r="Y206" s="235"/>
    </row>
    <row r="207">
      <c r="A207" s="411"/>
      <c r="B207" s="412"/>
      <c r="C207" s="412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35"/>
      <c r="W207" s="235"/>
      <c r="X207" s="235"/>
      <c r="Y207" s="235"/>
    </row>
    <row r="208">
      <c r="A208" s="411"/>
      <c r="B208" s="412"/>
      <c r="C208" s="412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35"/>
      <c r="W208" s="235"/>
      <c r="X208" s="235"/>
      <c r="Y208" s="235"/>
    </row>
    <row r="209">
      <c r="A209" s="411"/>
      <c r="B209" s="412"/>
      <c r="C209" s="412"/>
      <c r="D209" s="412"/>
      <c r="E209" s="412"/>
      <c r="F209" s="412"/>
      <c r="G209" s="412"/>
      <c r="H209" s="412"/>
      <c r="I209" s="412"/>
      <c r="J209" s="412"/>
      <c r="K209" s="412"/>
      <c r="L209" s="412"/>
      <c r="M209" s="412"/>
      <c r="N209" s="412"/>
      <c r="O209" s="412"/>
      <c r="P209" s="412"/>
      <c r="Q209" s="412"/>
      <c r="R209" s="412"/>
      <c r="S209" s="412"/>
      <c r="T209" s="412"/>
      <c r="U209" s="412"/>
      <c r="V209" s="412"/>
      <c r="W209" s="412"/>
      <c r="X209" s="412"/>
      <c r="Y209" s="412"/>
    </row>
    <row r="210">
      <c r="A210" s="411"/>
      <c r="B210" s="412"/>
      <c r="C210" s="412"/>
      <c r="D210" s="412"/>
      <c r="E210" s="412"/>
      <c r="F210" s="412"/>
      <c r="G210" s="412"/>
      <c r="H210" s="412"/>
      <c r="I210" s="412"/>
      <c r="J210" s="412"/>
      <c r="K210" s="412"/>
      <c r="L210" s="412"/>
      <c r="M210" s="412"/>
      <c r="N210" s="412"/>
      <c r="O210" s="412"/>
      <c r="P210" s="412"/>
      <c r="Q210" s="412"/>
      <c r="R210" s="412"/>
      <c r="S210" s="412"/>
      <c r="T210" s="412"/>
      <c r="U210" s="412"/>
      <c r="V210" s="412"/>
      <c r="W210" s="412"/>
      <c r="X210" s="412"/>
      <c r="Y210" s="412"/>
    </row>
    <row r="211">
      <c r="A211" s="411"/>
      <c r="B211" s="412"/>
      <c r="C211" s="412"/>
      <c r="D211" s="412"/>
      <c r="E211" s="412"/>
      <c r="F211" s="412"/>
      <c r="G211" s="412"/>
      <c r="H211" s="412"/>
      <c r="I211" s="412"/>
      <c r="J211" s="412"/>
      <c r="K211" s="412"/>
      <c r="L211" s="412"/>
      <c r="M211" s="412"/>
      <c r="N211" s="412"/>
      <c r="O211" s="412"/>
      <c r="P211" s="412"/>
      <c r="Q211" s="412"/>
      <c r="R211" s="412"/>
      <c r="S211" s="412"/>
      <c r="T211" s="412"/>
      <c r="U211" s="412"/>
      <c r="V211" s="412"/>
      <c r="W211" s="412"/>
      <c r="X211" s="412"/>
      <c r="Y211" s="412"/>
    </row>
    <row r="212">
      <c r="A212" s="411"/>
      <c r="B212" s="412"/>
      <c r="C212" s="412"/>
      <c r="D212" s="416"/>
      <c r="E212" s="416"/>
      <c r="F212" s="416"/>
      <c r="G212" s="416"/>
      <c r="H212" s="416"/>
      <c r="I212" s="416"/>
      <c r="J212" s="416"/>
      <c r="K212" s="416"/>
      <c r="L212" s="416"/>
      <c r="M212" s="416"/>
      <c r="N212" s="416"/>
      <c r="O212" s="416"/>
      <c r="P212" s="416"/>
      <c r="Q212" s="416"/>
      <c r="R212" s="416"/>
      <c r="S212" s="416"/>
      <c r="T212" s="416"/>
      <c r="U212" s="416"/>
      <c r="V212" s="416"/>
      <c r="W212" s="416"/>
      <c r="X212" s="416"/>
      <c r="Y212" s="416"/>
    </row>
    <row r="213">
      <c r="A213" s="411"/>
      <c r="B213" s="412"/>
      <c r="C213" s="412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35"/>
      <c r="W213" s="235"/>
      <c r="X213" s="235"/>
      <c r="Y213" s="235"/>
    </row>
    <row r="214">
      <c r="A214" s="411"/>
      <c r="B214" s="412"/>
      <c r="C214" s="412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35"/>
      <c r="W214" s="235"/>
      <c r="X214" s="235"/>
      <c r="Y214" s="235"/>
    </row>
    <row r="215">
      <c r="A215" s="411"/>
      <c r="B215" s="412"/>
      <c r="C215" s="412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35"/>
      <c r="W215" s="235"/>
      <c r="X215" s="235"/>
      <c r="Y215" s="235"/>
    </row>
    <row r="216">
      <c r="A216" s="411"/>
      <c r="B216" s="412"/>
      <c r="C216" s="412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35"/>
      <c r="W216" s="235"/>
      <c r="X216" s="235"/>
      <c r="Y216" s="235"/>
    </row>
    <row r="217">
      <c r="A217" s="411"/>
      <c r="B217" s="412"/>
      <c r="C217" s="412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35"/>
      <c r="W217" s="235"/>
      <c r="X217" s="235"/>
      <c r="Y217" s="235"/>
    </row>
    <row r="218">
      <c r="A218" s="411"/>
      <c r="B218" s="412"/>
      <c r="C218" s="412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35"/>
      <c r="W218" s="235"/>
      <c r="X218" s="235"/>
      <c r="Y218" s="235"/>
    </row>
    <row r="219">
      <c r="A219" s="411"/>
      <c r="B219" s="412"/>
      <c r="C219" s="412"/>
      <c r="D219" s="412"/>
      <c r="E219" s="412"/>
      <c r="F219" s="412"/>
      <c r="G219" s="412"/>
      <c r="H219" s="412"/>
      <c r="I219" s="412"/>
      <c r="J219" s="412"/>
      <c r="K219" s="412"/>
      <c r="L219" s="412"/>
      <c r="M219" s="412"/>
      <c r="N219" s="412"/>
      <c r="O219" s="412"/>
      <c r="P219" s="412"/>
      <c r="Q219" s="412"/>
      <c r="R219" s="412"/>
      <c r="S219" s="412"/>
      <c r="T219" s="412"/>
      <c r="U219" s="412"/>
      <c r="V219" s="412"/>
      <c r="W219" s="412"/>
      <c r="X219" s="412"/>
      <c r="Y219" s="412"/>
    </row>
    <row r="220">
      <c r="A220" s="411"/>
      <c r="B220" s="412"/>
      <c r="C220" s="412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35"/>
      <c r="W220" s="235"/>
      <c r="X220" s="235"/>
      <c r="Y220" s="235"/>
    </row>
    <row r="221">
      <c r="A221" s="411"/>
      <c r="B221" s="412"/>
      <c r="C221" s="412"/>
      <c r="D221" s="412"/>
      <c r="E221" s="412"/>
      <c r="F221" s="412"/>
      <c r="G221" s="412"/>
      <c r="H221" s="412"/>
      <c r="I221" s="412"/>
      <c r="J221" s="412"/>
      <c r="K221" s="412"/>
      <c r="L221" s="412"/>
      <c r="M221" s="412"/>
      <c r="N221" s="412"/>
      <c r="O221" s="412"/>
      <c r="P221" s="412"/>
      <c r="Q221" s="412"/>
      <c r="R221" s="412"/>
      <c r="S221" s="412"/>
      <c r="T221" s="412"/>
      <c r="U221" s="412"/>
      <c r="V221" s="412"/>
      <c r="W221" s="412"/>
      <c r="X221" s="412"/>
      <c r="Y221" s="412"/>
    </row>
    <row r="222">
      <c r="A222" s="411"/>
      <c r="B222" s="412"/>
      <c r="C222" s="412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35"/>
      <c r="W222" s="235"/>
      <c r="X222" s="235"/>
      <c r="Y222" s="235"/>
    </row>
    <row r="223">
      <c r="A223" s="411"/>
      <c r="B223" s="412"/>
      <c r="C223" s="412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35"/>
      <c r="W223" s="235"/>
      <c r="X223" s="235"/>
      <c r="Y223" s="235"/>
    </row>
    <row r="224">
      <c r="A224" s="411"/>
      <c r="B224" s="412"/>
      <c r="C224" s="412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35"/>
      <c r="W224" s="235"/>
      <c r="X224" s="235"/>
      <c r="Y224" s="235"/>
    </row>
    <row r="225">
      <c r="A225" s="411"/>
      <c r="B225" s="412"/>
      <c r="C225" s="412"/>
      <c r="D225" s="412"/>
      <c r="E225" s="412"/>
      <c r="F225" s="412"/>
      <c r="G225" s="412"/>
      <c r="H225" s="412"/>
      <c r="I225" s="412"/>
      <c r="J225" s="412"/>
      <c r="K225" s="412"/>
      <c r="L225" s="412"/>
      <c r="M225" s="412"/>
      <c r="N225" s="412"/>
      <c r="O225" s="412"/>
      <c r="P225" s="412"/>
      <c r="Q225" s="412"/>
      <c r="R225" s="412"/>
      <c r="S225" s="412"/>
      <c r="T225" s="412"/>
      <c r="U225" s="412"/>
      <c r="V225" s="412"/>
      <c r="W225" s="412"/>
      <c r="X225" s="412"/>
      <c r="Y225" s="412"/>
    </row>
    <row r="226">
      <c r="A226" s="411"/>
      <c r="B226" s="412"/>
      <c r="C226" s="412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35"/>
      <c r="W226" s="235"/>
      <c r="X226" s="235"/>
      <c r="Y226" s="235"/>
    </row>
    <row r="227">
      <c r="A227" s="411"/>
      <c r="B227" s="412"/>
      <c r="C227" s="412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35"/>
      <c r="W227" s="235"/>
      <c r="X227" s="235"/>
      <c r="Y227" s="235"/>
    </row>
    <row r="228">
      <c r="A228" s="411"/>
      <c r="B228" s="412"/>
      <c r="C228" s="412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35"/>
      <c r="W228" s="235"/>
      <c r="X228" s="235"/>
      <c r="Y228" s="235"/>
    </row>
    <row r="229">
      <c r="A229" s="411"/>
      <c r="B229" s="412"/>
      <c r="C229" s="412"/>
      <c r="D229" s="412"/>
      <c r="E229" s="412"/>
      <c r="F229" s="412"/>
      <c r="G229" s="412"/>
      <c r="H229" s="412"/>
      <c r="I229" s="412"/>
      <c r="J229" s="412"/>
      <c r="K229" s="412"/>
      <c r="L229" s="412"/>
      <c r="M229" s="412"/>
      <c r="N229" s="412"/>
      <c r="O229" s="412"/>
      <c r="P229" s="412"/>
      <c r="Q229" s="412"/>
      <c r="R229" s="412"/>
      <c r="S229" s="412"/>
      <c r="T229" s="412"/>
      <c r="U229" s="412"/>
      <c r="V229" s="412"/>
      <c r="W229" s="412"/>
      <c r="X229" s="412"/>
      <c r="Y229" s="412"/>
    </row>
    <row r="230">
      <c r="A230" s="411"/>
      <c r="B230" s="412"/>
      <c r="C230" s="412"/>
      <c r="D230" s="416"/>
      <c r="E230" s="416"/>
      <c r="F230" s="416"/>
      <c r="G230" s="416"/>
      <c r="H230" s="416"/>
      <c r="I230" s="416"/>
      <c r="J230" s="416"/>
      <c r="K230" s="416"/>
      <c r="L230" s="416"/>
      <c r="M230" s="416"/>
      <c r="N230" s="416"/>
      <c r="O230" s="416"/>
      <c r="P230" s="416"/>
      <c r="Q230" s="416"/>
      <c r="R230" s="416"/>
      <c r="S230" s="416"/>
      <c r="T230" s="416"/>
      <c r="U230" s="416"/>
      <c r="V230" s="416"/>
      <c r="W230" s="416"/>
      <c r="X230" s="416"/>
      <c r="Y230" s="416"/>
    </row>
    <row r="231">
      <c r="A231" s="411"/>
      <c r="B231" s="412"/>
      <c r="C231" s="412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35"/>
      <c r="W231" s="235"/>
      <c r="X231" s="235"/>
      <c r="Y231" s="235"/>
    </row>
    <row r="232">
      <c r="A232" s="411"/>
      <c r="B232" s="412"/>
      <c r="C232" s="412"/>
      <c r="D232" s="412"/>
      <c r="E232" s="412"/>
      <c r="F232" s="412"/>
      <c r="G232" s="412"/>
      <c r="H232" s="412"/>
      <c r="I232" s="412"/>
      <c r="J232" s="412"/>
      <c r="K232" s="412"/>
      <c r="L232" s="412"/>
      <c r="M232" s="412"/>
      <c r="N232" s="412"/>
      <c r="O232" s="412"/>
      <c r="P232" s="412"/>
      <c r="Q232" s="412"/>
      <c r="R232" s="412"/>
      <c r="S232" s="412"/>
      <c r="T232" s="412"/>
      <c r="U232" s="412"/>
      <c r="V232" s="412"/>
      <c r="W232" s="412"/>
      <c r="X232" s="412"/>
      <c r="Y232" s="412"/>
    </row>
    <row r="233">
      <c r="A233" s="411"/>
      <c r="B233" s="412"/>
      <c r="C233" s="412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35"/>
      <c r="W233" s="235"/>
      <c r="X233" s="235"/>
      <c r="Y233" s="235"/>
    </row>
    <row r="234">
      <c r="A234" s="411"/>
      <c r="B234" s="412"/>
      <c r="C234" s="412"/>
      <c r="D234" s="412"/>
      <c r="E234" s="412"/>
      <c r="F234" s="412"/>
      <c r="G234" s="412"/>
      <c r="H234" s="412"/>
      <c r="I234" s="412"/>
      <c r="J234" s="412"/>
      <c r="K234" s="412"/>
      <c r="L234" s="412"/>
      <c r="M234" s="412"/>
      <c r="N234" s="412"/>
      <c r="O234" s="412"/>
      <c r="P234" s="412"/>
      <c r="Q234" s="412"/>
      <c r="R234" s="412"/>
      <c r="S234" s="412"/>
      <c r="T234" s="412"/>
      <c r="U234" s="412"/>
      <c r="V234" s="412"/>
      <c r="W234" s="412"/>
      <c r="X234" s="412"/>
      <c r="Y234" s="412"/>
    </row>
    <row r="235">
      <c r="A235" s="411"/>
      <c r="B235" s="412"/>
      <c r="C235" s="412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35"/>
      <c r="W235" s="235"/>
      <c r="X235" s="235"/>
      <c r="Y235" s="235"/>
    </row>
    <row r="236">
      <c r="A236" s="411"/>
      <c r="B236" s="412"/>
      <c r="C236" s="412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35"/>
      <c r="W236" s="235"/>
      <c r="X236" s="235"/>
      <c r="Y236" s="235"/>
    </row>
    <row r="237">
      <c r="A237" s="411"/>
      <c r="B237" s="412"/>
      <c r="C237" s="412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35"/>
      <c r="W237" s="235"/>
      <c r="X237" s="235"/>
      <c r="Y237" s="235"/>
    </row>
    <row r="238">
      <c r="A238" s="411"/>
      <c r="B238" s="412"/>
      <c r="C238" s="412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35"/>
      <c r="W238" s="235"/>
      <c r="X238" s="235"/>
      <c r="Y238" s="235"/>
    </row>
    <row r="239">
      <c r="A239" s="411"/>
      <c r="B239" s="412"/>
      <c r="C239" s="412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35"/>
      <c r="W239" s="235"/>
      <c r="X239" s="235"/>
      <c r="Y239" s="235"/>
    </row>
    <row r="240">
      <c r="A240" s="411"/>
      <c r="B240" s="412"/>
      <c r="C240" s="412"/>
      <c r="D240" s="412"/>
      <c r="E240" s="412"/>
      <c r="F240" s="412"/>
      <c r="G240" s="412"/>
      <c r="H240" s="412"/>
      <c r="I240" s="412"/>
      <c r="J240" s="412"/>
      <c r="K240" s="412"/>
      <c r="L240" s="412"/>
      <c r="M240" s="412"/>
      <c r="N240" s="412"/>
      <c r="O240" s="412"/>
      <c r="P240" s="412"/>
      <c r="Q240" s="412"/>
      <c r="R240" s="412"/>
      <c r="S240" s="412"/>
      <c r="T240" s="412"/>
      <c r="U240" s="412"/>
      <c r="V240" s="412"/>
      <c r="W240" s="412"/>
      <c r="X240" s="412"/>
      <c r="Y240" s="412"/>
    </row>
    <row r="241">
      <c r="A241" s="411"/>
      <c r="B241" s="412"/>
      <c r="C241" s="412"/>
      <c r="D241" s="412"/>
      <c r="E241" s="412"/>
      <c r="F241" s="412"/>
      <c r="G241" s="412"/>
      <c r="H241" s="412"/>
      <c r="I241" s="412"/>
      <c r="J241" s="412"/>
      <c r="K241" s="412"/>
      <c r="L241" s="412"/>
      <c r="M241" s="412"/>
      <c r="N241" s="412"/>
      <c r="O241" s="412"/>
      <c r="P241" s="412"/>
      <c r="Q241" s="412"/>
      <c r="R241" s="412"/>
      <c r="S241" s="412"/>
      <c r="T241" s="412"/>
      <c r="U241" s="412"/>
      <c r="V241" s="412"/>
      <c r="W241" s="412"/>
      <c r="X241" s="412"/>
      <c r="Y241" s="412"/>
    </row>
    <row r="242">
      <c r="A242" s="411"/>
      <c r="B242" s="412"/>
      <c r="C242" s="412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35"/>
      <c r="W242" s="235"/>
      <c r="X242" s="235"/>
      <c r="Y242" s="235"/>
    </row>
    <row r="243">
      <c r="A243" s="411"/>
      <c r="B243" s="412"/>
      <c r="C243" s="412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35"/>
      <c r="W243" s="235"/>
      <c r="X243" s="235"/>
      <c r="Y243" s="235"/>
    </row>
    <row r="244">
      <c r="A244" s="411"/>
      <c r="B244" s="412"/>
      <c r="C244" s="412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35"/>
      <c r="W244" s="235"/>
      <c r="X244" s="235"/>
      <c r="Y244" s="235"/>
    </row>
    <row r="245">
      <c r="A245" s="411"/>
      <c r="B245" s="412"/>
      <c r="C245" s="412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35"/>
      <c r="W245" s="235"/>
      <c r="X245" s="235"/>
      <c r="Y245" s="235"/>
    </row>
    <row r="246">
      <c r="A246" s="411"/>
      <c r="B246" s="412"/>
      <c r="C246" s="412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35"/>
      <c r="W246" s="235"/>
      <c r="X246" s="235"/>
      <c r="Y246" s="235"/>
    </row>
    <row r="247">
      <c r="A247" s="411"/>
      <c r="B247" s="412"/>
      <c r="C247" s="412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35"/>
      <c r="W247" s="235"/>
      <c r="X247" s="235"/>
      <c r="Y247" s="235"/>
    </row>
    <row r="248">
      <c r="A248" s="411"/>
      <c r="B248" s="412"/>
      <c r="C248" s="412"/>
      <c r="D248" s="412"/>
      <c r="E248" s="412"/>
      <c r="F248" s="412"/>
      <c r="G248" s="412"/>
      <c r="H248" s="412"/>
      <c r="I248" s="412"/>
      <c r="J248" s="412"/>
      <c r="K248" s="412"/>
      <c r="L248" s="412"/>
      <c r="M248" s="412"/>
      <c r="N248" s="412"/>
      <c r="O248" s="412"/>
      <c r="P248" s="412"/>
      <c r="Q248" s="412"/>
      <c r="R248" s="412"/>
      <c r="S248" s="412"/>
      <c r="T248" s="412"/>
      <c r="U248" s="412"/>
      <c r="V248" s="412"/>
      <c r="W248" s="412"/>
      <c r="X248" s="412"/>
      <c r="Y248" s="412"/>
    </row>
    <row r="249">
      <c r="A249" s="411"/>
      <c r="B249" s="412"/>
      <c r="C249" s="412"/>
      <c r="D249" s="412"/>
      <c r="E249" s="412"/>
      <c r="F249" s="412"/>
      <c r="G249" s="412"/>
      <c r="H249" s="412"/>
      <c r="I249" s="412"/>
      <c r="J249" s="412"/>
      <c r="K249" s="412"/>
      <c r="L249" s="412"/>
      <c r="M249" s="412"/>
      <c r="N249" s="412"/>
      <c r="O249" s="412"/>
      <c r="P249" s="412"/>
      <c r="Q249" s="412"/>
      <c r="R249" s="412"/>
      <c r="S249" s="412"/>
      <c r="T249" s="412"/>
      <c r="U249" s="412"/>
      <c r="V249" s="412"/>
      <c r="W249" s="412"/>
      <c r="X249" s="412"/>
      <c r="Y249" s="412"/>
    </row>
    <row r="250">
      <c r="A250" s="411"/>
      <c r="B250" s="412"/>
      <c r="C250" s="412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35"/>
      <c r="W250" s="235"/>
      <c r="X250" s="235"/>
      <c r="Y250" s="235"/>
    </row>
    <row r="251">
      <c r="A251" s="411"/>
      <c r="B251" s="412"/>
      <c r="C251" s="412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35"/>
      <c r="W251" s="235"/>
      <c r="X251" s="235"/>
      <c r="Y251" s="235"/>
    </row>
    <row r="252">
      <c r="A252" s="411"/>
      <c r="B252" s="412"/>
      <c r="C252" s="412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35"/>
      <c r="W252" s="235"/>
      <c r="X252" s="235"/>
      <c r="Y252" s="235"/>
    </row>
    <row r="253">
      <c r="A253" s="411"/>
      <c r="B253" s="412"/>
      <c r="C253" s="412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35"/>
      <c r="W253" s="235"/>
      <c r="X253" s="235"/>
      <c r="Y253" s="235"/>
    </row>
    <row r="254">
      <c r="A254" s="411"/>
      <c r="B254" s="412"/>
      <c r="C254" s="412"/>
      <c r="D254" s="412"/>
      <c r="E254" s="412"/>
      <c r="F254" s="412"/>
      <c r="G254" s="412"/>
      <c r="H254" s="412"/>
      <c r="I254" s="412"/>
      <c r="J254" s="412"/>
      <c r="K254" s="412"/>
      <c r="L254" s="412"/>
      <c r="M254" s="412"/>
      <c r="N254" s="412"/>
      <c r="O254" s="412"/>
      <c r="P254" s="412"/>
      <c r="Q254" s="412"/>
      <c r="R254" s="412"/>
      <c r="S254" s="412"/>
      <c r="T254" s="412"/>
      <c r="U254" s="412"/>
      <c r="V254" s="412"/>
      <c r="W254" s="412"/>
      <c r="X254" s="412"/>
      <c r="Y254" s="412"/>
    </row>
    <row r="255">
      <c r="A255" s="411"/>
      <c r="B255" s="412"/>
      <c r="C255" s="412"/>
      <c r="D255" s="412"/>
      <c r="E255" s="412"/>
      <c r="F255" s="412"/>
      <c r="G255" s="412"/>
      <c r="H255" s="412"/>
      <c r="I255" s="412"/>
      <c r="J255" s="412"/>
      <c r="K255" s="412"/>
      <c r="L255" s="412"/>
      <c r="M255" s="412"/>
      <c r="N255" s="412"/>
      <c r="O255" s="412"/>
      <c r="P255" s="412"/>
      <c r="Q255" s="412"/>
      <c r="R255" s="412"/>
      <c r="S255" s="412"/>
      <c r="T255" s="412"/>
      <c r="U255" s="412"/>
      <c r="V255" s="412"/>
      <c r="W255" s="412"/>
      <c r="X255" s="412"/>
      <c r="Y255" s="412"/>
    </row>
    <row r="256">
      <c r="A256" s="411"/>
      <c r="B256" s="412"/>
      <c r="C256" s="412"/>
      <c r="D256" s="412"/>
      <c r="E256" s="412"/>
      <c r="F256" s="412"/>
      <c r="G256" s="412"/>
      <c r="H256" s="412"/>
      <c r="I256" s="412"/>
      <c r="J256" s="412"/>
      <c r="K256" s="412"/>
      <c r="L256" s="412"/>
      <c r="M256" s="412"/>
      <c r="N256" s="412"/>
      <c r="O256" s="412"/>
      <c r="P256" s="412"/>
      <c r="Q256" s="412"/>
      <c r="R256" s="412"/>
      <c r="S256" s="412"/>
      <c r="T256" s="412"/>
      <c r="U256" s="412"/>
      <c r="V256" s="412"/>
      <c r="W256" s="412"/>
      <c r="X256" s="412"/>
      <c r="Y256" s="412"/>
    </row>
    <row r="257">
      <c r="A257" s="411"/>
      <c r="B257" s="412"/>
      <c r="C257" s="412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35"/>
      <c r="W257" s="235"/>
      <c r="X257" s="235"/>
      <c r="Y257" s="235"/>
    </row>
    <row r="258">
      <c r="A258" s="411"/>
      <c r="B258" s="412"/>
      <c r="C258" s="412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35"/>
      <c r="W258" s="235"/>
      <c r="X258" s="235"/>
      <c r="Y258" s="235"/>
    </row>
    <row r="259">
      <c r="A259" s="411"/>
      <c r="B259" s="412"/>
      <c r="C259" s="412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35"/>
      <c r="W259" s="235"/>
      <c r="X259" s="235"/>
      <c r="Y259" s="235"/>
    </row>
    <row r="260">
      <c r="A260" s="411"/>
      <c r="B260" s="412"/>
      <c r="C260" s="412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35"/>
      <c r="W260" s="235"/>
      <c r="X260" s="235"/>
      <c r="Y260" s="235"/>
    </row>
    <row r="261">
      <c r="A261" s="411"/>
      <c r="B261" s="412"/>
      <c r="C261" s="412"/>
      <c r="D261" s="412"/>
      <c r="E261" s="412"/>
      <c r="F261" s="412"/>
      <c r="G261" s="412"/>
      <c r="H261" s="412"/>
      <c r="I261" s="412"/>
      <c r="J261" s="412"/>
      <c r="K261" s="412"/>
      <c r="L261" s="412"/>
      <c r="M261" s="412"/>
      <c r="N261" s="412"/>
      <c r="O261" s="412"/>
      <c r="P261" s="412"/>
      <c r="Q261" s="412"/>
      <c r="R261" s="412"/>
      <c r="S261" s="412"/>
      <c r="T261" s="412"/>
      <c r="U261" s="412"/>
      <c r="V261" s="412"/>
      <c r="W261" s="412"/>
      <c r="X261" s="412"/>
      <c r="Y261" s="412"/>
    </row>
    <row r="262">
      <c r="A262" s="411"/>
      <c r="B262" s="412"/>
      <c r="C262" s="412"/>
      <c r="D262" s="412"/>
      <c r="E262" s="412"/>
      <c r="F262" s="412"/>
      <c r="G262" s="412"/>
      <c r="H262" s="412"/>
      <c r="I262" s="412"/>
      <c r="J262" s="412"/>
      <c r="K262" s="412"/>
      <c r="L262" s="412"/>
      <c r="M262" s="412"/>
      <c r="N262" s="412"/>
      <c r="O262" s="412"/>
      <c r="P262" s="412"/>
      <c r="Q262" s="412"/>
      <c r="R262" s="412"/>
      <c r="S262" s="412"/>
      <c r="T262" s="412"/>
      <c r="U262" s="412"/>
      <c r="V262" s="412"/>
      <c r="W262" s="412"/>
      <c r="X262" s="412"/>
      <c r="Y262" s="412"/>
    </row>
    <row r="263">
      <c r="A263" s="411"/>
      <c r="B263" s="412"/>
      <c r="C263" s="412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35"/>
      <c r="W263" s="235"/>
      <c r="X263" s="235"/>
      <c r="Y263" s="235"/>
    </row>
    <row r="264">
      <c r="A264" s="411"/>
      <c r="B264" s="412"/>
      <c r="C264" s="412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35"/>
      <c r="W264" s="235"/>
      <c r="X264" s="235"/>
      <c r="Y264" s="235"/>
    </row>
    <row r="265">
      <c r="A265" s="411"/>
      <c r="B265" s="412"/>
      <c r="C265" s="412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35"/>
      <c r="W265" s="235"/>
      <c r="X265" s="235"/>
      <c r="Y265" s="235"/>
    </row>
    <row r="266">
      <c r="A266" s="411"/>
      <c r="B266" s="412"/>
      <c r="C266" s="412"/>
      <c r="D266" s="412"/>
      <c r="E266" s="412"/>
      <c r="F266" s="412"/>
      <c r="G266" s="412"/>
      <c r="H266" s="412"/>
      <c r="I266" s="412"/>
      <c r="J266" s="412"/>
      <c r="K266" s="412"/>
      <c r="L266" s="412"/>
      <c r="M266" s="412"/>
      <c r="N266" s="412"/>
      <c r="O266" s="412"/>
      <c r="P266" s="412"/>
      <c r="Q266" s="412"/>
      <c r="R266" s="412"/>
      <c r="S266" s="412"/>
      <c r="T266" s="412"/>
      <c r="U266" s="412"/>
      <c r="V266" s="412"/>
      <c r="W266" s="412"/>
      <c r="X266" s="412"/>
      <c r="Y266" s="412"/>
    </row>
    <row r="267">
      <c r="A267" s="411"/>
      <c r="B267" s="412"/>
      <c r="C267" s="412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35"/>
      <c r="W267" s="235"/>
      <c r="X267" s="235"/>
      <c r="Y267" s="235"/>
    </row>
    <row r="268">
      <c r="A268" s="411"/>
      <c r="B268" s="412"/>
      <c r="C268" s="412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35"/>
      <c r="W268" s="235"/>
      <c r="X268" s="235"/>
      <c r="Y268" s="235"/>
    </row>
    <row r="269">
      <c r="A269" s="411"/>
      <c r="B269" s="412"/>
      <c r="C269" s="412"/>
      <c r="D269" s="416"/>
      <c r="E269" s="416"/>
      <c r="F269" s="416"/>
      <c r="G269" s="416"/>
      <c r="H269" s="416"/>
      <c r="I269" s="416"/>
      <c r="J269" s="416"/>
      <c r="K269" s="416"/>
      <c r="L269" s="416"/>
      <c r="M269" s="416"/>
      <c r="N269" s="416"/>
      <c r="O269" s="416"/>
      <c r="P269" s="416"/>
      <c r="Q269" s="416"/>
      <c r="R269" s="416"/>
      <c r="S269" s="416"/>
      <c r="T269" s="416"/>
      <c r="U269" s="416"/>
      <c r="V269" s="416"/>
      <c r="W269" s="416"/>
      <c r="X269" s="416"/>
      <c r="Y269" s="416"/>
    </row>
    <row r="270">
      <c r="A270" s="411"/>
      <c r="B270" s="412"/>
      <c r="C270" s="412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35"/>
      <c r="W270" s="235"/>
      <c r="X270" s="235"/>
      <c r="Y270" s="235"/>
    </row>
    <row r="271">
      <c r="A271" s="411"/>
      <c r="B271" s="412"/>
      <c r="C271" s="412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35"/>
      <c r="W271" s="235"/>
      <c r="X271" s="235"/>
      <c r="Y271" s="235"/>
    </row>
    <row r="272">
      <c r="A272" s="411"/>
      <c r="B272" s="412"/>
      <c r="C272" s="412"/>
      <c r="D272" s="412"/>
      <c r="E272" s="412"/>
      <c r="F272" s="412"/>
      <c r="G272" s="412"/>
      <c r="H272" s="412"/>
      <c r="I272" s="412"/>
      <c r="J272" s="412"/>
      <c r="K272" s="412"/>
      <c r="L272" s="412"/>
      <c r="M272" s="412"/>
      <c r="N272" s="412"/>
      <c r="O272" s="412"/>
      <c r="P272" s="412"/>
      <c r="Q272" s="412"/>
      <c r="R272" s="412"/>
      <c r="S272" s="412"/>
      <c r="T272" s="412"/>
      <c r="U272" s="412"/>
      <c r="V272" s="412"/>
      <c r="W272" s="412"/>
      <c r="X272" s="412"/>
      <c r="Y272" s="412"/>
    </row>
    <row r="273">
      <c r="A273" s="411"/>
      <c r="B273" s="412"/>
      <c r="C273" s="412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35"/>
      <c r="W273" s="235"/>
      <c r="X273" s="235"/>
      <c r="Y273" s="235"/>
    </row>
    <row r="274">
      <c r="A274" s="411"/>
      <c r="B274" s="412"/>
      <c r="C274" s="412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35"/>
      <c r="W274" s="235"/>
      <c r="X274" s="235"/>
      <c r="Y274" s="235"/>
    </row>
    <row r="275">
      <c r="A275" s="411"/>
      <c r="B275" s="412"/>
      <c r="C275" s="412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35"/>
      <c r="W275" s="235"/>
      <c r="X275" s="235"/>
      <c r="Y275" s="235"/>
    </row>
    <row r="276">
      <c r="A276" s="411"/>
      <c r="B276" s="412"/>
      <c r="C276" s="412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35"/>
      <c r="W276" s="235"/>
      <c r="X276" s="235"/>
      <c r="Y276" s="235"/>
    </row>
    <row r="277">
      <c r="A277" s="411"/>
      <c r="B277" s="412"/>
      <c r="C277" s="412"/>
      <c r="D277" s="412"/>
      <c r="E277" s="412"/>
      <c r="F277" s="412"/>
      <c r="G277" s="412"/>
      <c r="H277" s="412"/>
      <c r="I277" s="412"/>
      <c r="J277" s="412"/>
      <c r="K277" s="412"/>
      <c r="L277" s="412"/>
      <c r="M277" s="412"/>
      <c r="N277" s="412"/>
      <c r="O277" s="412"/>
      <c r="P277" s="412"/>
      <c r="Q277" s="412"/>
      <c r="R277" s="412"/>
      <c r="S277" s="412"/>
      <c r="T277" s="412"/>
      <c r="U277" s="412"/>
      <c r="V277" s="412"/>
      <c r="W277" s="412"/>
      <c r="X277" s="412"/>
      <c r="Y277" s="412"/>
    </row>
    <row r="278">
      <c r="A278" s="411"/>
      <c r="B278" s="412"/>
      <c r="C278" s="412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35"/>
      <c r="W278" s="235"/>
      <c r="X278" s="235"/>
      <c r="Y278" s="235"/>
    </row>
    <row r="279">
      <c r="A279" s="411"/>
      <c r="B279" s="412"/>
      <c r="C279" s="412"/>
      <c r="D279" s="412"/>
      <c r="E279" s="412"/>
      <c r="F279" s="412"/>
      <c r="G279" s="412"/>
      <c r="H279" s="412"/>
      <c r="I279" s="412"/>
      <c r="J279" s="412"/>
      <c r="K279" s="412"/>
      <c r="L279" s="412"/>
      <c r="M279" s="412"/>
      <c r="N279" s="412"/>
      <c r="O279" s="412"/>
      <c r="P279" s="412"/>
      <c r="Q279" s="412"/>
      <c r="R279" s="412"/>
      <c r="S279" s="412"/>
      <c r="T279" s="412"/>
      <c r="U279" s="412"/>
      <c r="V279" s="412"/>
      <c r="W279" s="412"/>
      <c r="X279" s="412"/>
      <c r="Y279" s="412"/>
    </row>
    <row r="280">
      <c r="A280" s="411"/>
      <c r="B280" s="412"/>
      <c r="C280" s="412"/>
      <c r="D280" s="412"/>
      <c r="E280" s="412"/>
      <c r="F280" s="412"/>
      <c r="G280" s="412"/>
      <c r="H280" s="412"/>
      <c r="I280" s="412"/>
      <c r="J280" s="412"/>
      <c r="K280" s="412"/>
      <c r="L280" s="412"/>
      <c r="M280" s="412"/>
      <c r="N280" s="412"/>
      <c r="O280" s="412"/>
      <c r="P280" s="412"/>
      <c r="Q280" s="412"/>
      <c r="R280" s="412"/>
      <c r="S280" s="412"/>
      <c r="T280" s="412"/>
      <c r="U280" s="412"/>
      <c r="V280" s="412"/>
      <c r="W280" s="412"/>
      <c r="X280" s="412"/>
      <c r="Y280" s="412"/>
    </row>
    <row r="281">
      <c r="A281" s="411"/>
      <c r="B281" s="412"/>
      <c r="C281" s="412"/>
      <c r="D281" s="412"/>
      <c r="E281" s="412"/>
      <c r="F281" s="412"/>
      <c r="G281" s="412"/>
      <c r="H281" s="412"/>
      <c r="I281" s="412"/>
      <c r="J281" s="412"/>
      <c r="K281" s="412"/>
      <c r="L281" s="412"/>
      <c r="M281" s="412"/>
      <c r="N281" s="412"/>
      <c r="O281" s="412"/>
      <c r="P281" s="412"/>
      <c r="Q281" s="412"/>
      <c r="R281" s="412"/>
      <c r="S281" s="412"/>
      <c r="T281" s="412"/>
      <c r="U281" s="412"/>
      <c r="V281" s="412"/>
      <c r="W281" s="412"/>
      <c r="X281" s="412"/>
      <c r="Y281" s="412"/>
    </row>
    <row r="282">
      <c r="A282" s="411"/>
      <c r="B282" s="412"/>
      <c r="C282" s="412"/>
      <c r="D282" s="412"/>
      <c r="E282" s="412"/>
      <c r="F282" s="412"/>
      <c r="G282" s="412"/>
      <c r="H282" s="412"/>
      <c r="I282" s="412"/>
      <c r="J282" s="412"/>
      <c r="K282" s="412"/>
      <c r="L282" s="412"/>
      <c r="M282" s="412"/>
      <c r="N282" s="412"/>
      <c r="O282" s="412"/>
      <c r="P282" s="412"/>
      <c r="Q282" s="412"/>
      <c r="R282" s="412"/>
      <c r="S282" s="412"/>
      <c r="T282" s="412"/>
      <c r="U282" s="412"/>
      <c r="V282" s="412"/>
      <c r="W282" s="412"/>
      <c r="X282" s="412"/>
      <c r="Y282" s="412"/>
    </row>
    <row r="283">
      <c r="A283" s="411"/>
      <c r="B283" s="412"/>
      <c r="C283" s="412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35"/>
      <c r="W283" s="235"/>
      <c r="X283" s="235"/>
      <c r="Y283" s="235"/>
    </row>
    <row r="284">
      <c r="A284" s="411"/>
      <c r="B284" s="412"/>
      <c r="C284" s="412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35"/>
      <c r="W284" s="235"/>
      <c r="X284" s="235"/>
      <c r="Y284" s="235"/>
    </row>
    <row r="285">
      <c r="A285" s="411"/>
      <c r="B285" s="412"/>
      <c r="C285" s="412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35"/>
      <c r="W285" s="235"/>
      <c r="X285" s="235"/>
      <c r="Y285" s="235"/>
    </row>
    <row r="286">
      <c r="A286" s="411"/>
      <c r="B286" s="412"/>
      <c r="C286" s="412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35"/>
      <c r="W286" s="235"/>
      <c r="X286" s="235"/>
      <c r="Y286" s="235"/>
    </row>
    <row r="287">
      <c r="A287" s="411"/>
      <c r="B287" s="412"/>
      <c r="C287" s="412"/>
      <c r="D287" s="416"/>
      <c r="E287" s="416"/>
      <c r="F287" s="416"/>
      <c r="G287" s="416"/>
      <c r="H287" s="416"/>
      <c r="I287" s="416"/>
      <c r="J287" s="416"/>
      <c r="K287" s="416"/>
      <c r="L287" s="416"/>
      <c r="M287" s="416"/>
      <c r="N287" s="416"/>
      <c r="O287" s="416"/>
      <c r="P287" s="416"/>
      <c r="Q287" s="416"/>
      <c r="R287" s="416"/>
      <c r="S287" s="416"/>
      <c r="T287" s="416"/>
      <c r="U287" s="416"/>
      <c r="V287" s="416"/>
      <c r="W287" s="416"/>
      <c r="X287" s="416"/>
      <c r="Y287" s="416"/>
    </row>
    <row r="288">
      <c r="A288" s="411"/>
      <c r="B288" s="412"/>
      <c r="C288" s="412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35"/>
      <c r="W288" s="235"/>
      <c r="X288" s="235"/>
      <c r="Y288" s="235"/>
    </row>
    <row r="289">
      <c r="A289" s="411"/>
      <c r="B289" s="412"/>
      <c r="C289" s="412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35"/>
      <c r="W289" s="235"/>
      <c r="X289" s="235"/>
      <c r="Y289" s="235"/>
    </row>
    <row r="290">
      <c r="A290" s="411"/>
      <c r="B290" s="412"/>
      <c r="C290" s="412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35"/>
      <c r="W290" s="235"/>
      <c r="X290" s="235"/>
      <c r="Y290" s="235"/>
    </row>
    <row r="291">
      <c r="A291" s="411"/>
      <c r="B291" s="412"/>
      <c r="C291" s="412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35"/>
      <c r="W291" s="235"/>
      <c r="X291" s="235"/>
      <c r="Y291" s="235"/>
    </row>
    <row r="292">
      <c r="A292" s="411"/>
      <c r="B292" s="412"/>
      <c r="C292" s="412"/>
      <c r="D292" s="412"/>
      <c r="E292" s="412"/>
      <c r="F292" s="412"/>
      <c r="G292" s="412"/>
      <c r="H292" s="412"/>
      <c r="I292" s="412"/>
      <c r="J292" s="412"/>
      <c r="K292" s="412"/>
      <c r="L292" s="412"/>
      <c r="M292" s="412"/>
      <c r="N292" s="412"/>
      <c r="O292" s="412"/>
      <c r="P292" s="412"/>
      <c r="Q292" s="412"/>
      <c r="R292" s="412"/>
      <c r="S292" s="412"/>
      <c r="T292" s="412"/>
      <c r="U292" s="412"/>
      <c r="V292" s="412"/>
      <c r="W292" s="412"/>
      <c r="X292" s="412"/>
      <c r="Y292" s="412"/>
    </row>
    <row r="293">
      <c r="A293" s="411"/>
      <c r="B293" s="412"/>
      <c r="C293" s="412"/>
      <c r="D293" s="412"/>
      <c r="E293" s="412"/>
      <c r="F293" s="412"/>
      <c r="G293" s="412"/>
      <c r="H293" s="412"/>
      <c r="I293" s="412"/>
      <c r="J293" s="412"/>
      <c r="K293" s="412"/>
      <c r="L293" s="412"/>
      <c r="M293" s="412"/>
      <c r="N293" s="412"/>
      <c r="O293" s="412"/>
      <c r="P293" s="412"/>
      <c r="Q293" s="412"/>
      <c r="R293" s="412"/>
      <c r="S293" s="412"/>
      <c r="T293" s="412"/>
      <c r="U293" s="412"/>
      <c r="V293" s="412"/>
      <c r="W293" s="412"/>
      <c r="X293" s="412"/>
      <c r="Y293" s="412"/>
    </row>
    <row r="294">
      <c r="A294" s="411"/>
      <c r="B294" s="412"/>
      <c r="C294" s="412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35"/>
      <c r="W294" s="235"/>
      <c r="X294" s="235"/>
      <c r="Y294" s="235"/>
    </row>
    <row r="295">
      <c r="A295" s="411"/>
      <c r="B295" s="412"/>
      <c r="C295" s="412"/>
      <c r="D295" s="412"/>
      <c r="E295" s="412"/>
      <c r="F295" s="412"/>
      <c r="G295" s="412"/>
      <c r="H295" s="412"/>
      <c r="I295" s="412"/>
      <c r="J295" s="412"/>
      <c r="K295" s="412"/>
      <c r="L295" s="412"/>
      <c r="M295" s="412"/>
      <c r="N295" s="412"/>
      <c r="O295" s="412"/>
      <c r="P295" s="412"/>
      <c r="Q295" s="412"/>
      <c r="R295" s="412"/>
      <c r="S295" s="412"/>
      <c r="T295" s="412"/>
      <c r="U295" s="412"/>
      <c r="V295" s="412"/>
      <c r="W295" s="412"/>
      <c r="X295" s="412"/>
      <c r="Y295" s="412"/>
    </row>
    <row r="296">
      <c r="A296" s="411"/>
      <c r="B296" s="412"/>
      <c r="C296" s="412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35"/>
      <c r="W296" s="235"/>
      <c r="X296" s="235"/>
      <c r="Y296" s="235"/>
    </row>
    <row r="297">
      <c r="A297" s="411"/>
      <c r="B297" s="412"/>
      <c r="C297" s="412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35"/>
      <c r="W297" s="235"/>
      <c r="X297" s="235"/>
      <c r="Y297" s="235"/>
    </row>
    <row r="298">
      <c r="A298" s="411"/>
      <c r="B298" s="412"/>
      <c r="C298" s="412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35"/>
      <c r="W298" s="235"/>
      <c r="X298" s="235"/>
      <c r="Y298" s="235"/>
    </row>
    <row r="299">
      <c r="A299" s="411"/>
      <c r="B299" s="412"/>
      <c r="C299" s="412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35"/>
      <c r="W299" s="235"/>
      <c r="X299" s="235"/>
      <c r="Y299" s="235"/>
    </row>
    <row r="300">
      <c r="A300" s="411"/>
      <c r="B300" s="412"/>
      <c r="C300" s="412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35"/>
      <c r="W300" s="235"/>
      <c r="X300" s="235"/>
      <c r="Y300" s="235"/>
    </row>
    <row r="301">
      <c r="A301" s="411"/>
      <c r="B301" s="412"/>
      <c r="C301" s="412"/>
      <c r="D301" s="412"/>
      <c r="E301" s="412"/>
      <c r="F301" s="412"/>
      <c r="G301" s="412"/>
      <c r="H301" s="412"/>
      <c r="I301" s="412"/>
      <c r="J301" s="412"/>
      <c r="K301" s="412"/>
      <c r="L301" s="412"/>
      <c r="M301" s="412"/>
      <c r="N301" s="412"/>
      <c r="O301" s="412"/>
      <c r="P301" s="412"/>
      <c r="Q301" s="412"/>
      <c r="R301" s="412"/>
      <c r="S301" s="412"/>
      <c r="T301" s="412"/>
      <c r="U301" s="412"/>
      <c r="V301" s="412"/>
      <c r="W301" s="412"/>
      <c r="X301" s="412"/>
      <c r="Y301" s="412"/>
    </row>
    <row r="302">
      <c r="A302" s="411"/>
      <c r="B302" s="412"/>
      <c r="C302" s="412"/>
      <c r="D302" s="412"/>
      <c r="E302" s="412"/>
      <c r="F302" s="412"/>
      <c r="G302" s="412"/>
      <c r="H302" s="412"/>
      <c r="I302" s="412"/>
      <c r="J302" s="412"/>
      <c r="K302" s="412"/>
      <c r="L302" s="412"/>
      <c r="M302" s="412"/>
      <c r="N302" s="412"/>
      <c r="O302" s="412"/>
      <c r="P302" s="412"/>
      <c r="Q302" s="412"/>
      <c r="R302" s="412"/>
      <c r="S302" s="412"/>
      <c r="T302" s="412"/>
      <c r="U302" s="412"/>
      <c r="V302" s="412"/>
      <c r="W302" s="412"/>
      <c r="X302" s="412"/>
      <c r="Y302" s="412"/>
    </row>
    <row r="303">
      <c r="A303" s="411"/>
      <c r="B303" s="412"/>
      <c r="C303" s="412"/>
      <c r="D303" s="412"/>
      <c r="E303" s="412"/>
      <c r="F303" s="412"/>
      <c r="G303" s="412"/>
      <c r="H303" s="412"/>
      <c r="I303" s="412"/>
      <c r="J303" s="412"/>
      <c r="K303" s="412"/>
      <c r="L303" s="412"/>
      <c r="M303" s="412"/>
      <c r="N303" s="412"/>
      <c r="O303" s="412"/>
      <c r="P303" s="412"/>
      <c r="Q303" s="412"/>
      <c r="R303" s="412"/>
      <c r="S303" s="412"/>
      <c r="T303" s="412"/>
      <c r="U303" s="412"/>
      <c r="V303" s="412"/>
      <c r="W303" s="412"/>
      <c r="X303" s="412"/>
      <c r="Y303" s="412"/>
    </row>
    <row r="304">
      <c r="A304" s="411"/>
      <c r="B304" s="412"/>
      <c r="C304" s="412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35"/>
      <c r="W304" s="235"/>
      <c r="X304" s="235"/>
      <c r="Y304" s="235"/>
    </row>
    <row r="305">
      <c r="A305" s="411"/>
      <c r="B305" s="412"/>
      <c r="C305" s="412"/>
      <c r="D305" s="412"/>
      <c r="E305" s="412"/>
      <c r="F305" s="412"/>
      <c r="G305" s="412"/>
      <c r="H305" s="412"/>
      <c r="I305" s="412"/>
      <c r="J305" s="412"/>
      <c r="K305" s="412"/>
      <c r="L305" s="412"/>
      <c r="M305" s="412"/>
      <c r="N305" s="412"/>
      <c r="O305" s="412"/>
      <c r="P305" s="412"/>
      <c r="Q305" s="412"/>
      <c r="R305" s="412"/>
      <c r="S305" s="412"/>
      <c r="T305" s="412"/>
      <c r="U305" s="412"/>
      <c r="V305" s="412"/>
      <c r="W305" s="412"/>
      <c r="X305" s="412"/>
      <c r="Y305" s="412"/>
    </row>
    <row r="306">
      <c r="A306" s="411"/>
      <c r="B306" s="412"/>
      <c r="C306" s="412"/>
      <c r="D306" s="412"/>
      <c r="E306" s="412"/>
      <c r="F306" s="412"/>
      <c r="G306" s="412"/>
      <c r="H306" s="412"/>
      <c r="I306" s="412"/>
      <c r="J306" s="412"/>
      <c r="K306" s="412"/>
      <c r="L306" s="412"/>
      <c r="M306" s="412"/>
      <c r="N306" s="412"/>
      <c r="O306" s="412"/>
      <c r="P306" s="412"/>
      <c r="Q306" s="412"/>
      <c r="R306" s="412"/>
      <c r="S306" s="412"/>
      <c r="T306" s="412"/>
      <c r="U306" s="412"/>
      <c r="V306" s="412"/>
      <c r="W306" s="412"/>
      <c r="X306" s="412"/>
      <c r="Y306" s="412"/>
    </row>
    <row r="307">
      <c r="A307" s="411"/>
      <c r="B307" s="412"/>
      <c r="C307" s="412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35"/>
      <c r="W307" s="235"/>
      <c r="X307" s="235"/>
      <c r="Y307" s="235"/>
    </row>
    <row r="308">
      <c r="A308" s="411"/>
      <c r="B308" s="412"/>
      <c r="C308" s="412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35"/>
      <c r="W308" s="235"/>
      <c r="X308" s="235"/>
      <c r="Y308" s="235"/>
    </row>
    <row r="309">
      <c r="A309" s="411"/>
      <c r="B309" s="412"/>
      <c r="C309" s="412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35"/>
      <c r="W309" s="235"/>
      <c r="X309" s="235"/>
      <c r="Y309" s="235"/>
    </row>
    <row r="310">
      <c r="A310" s="411"/>
      <c r="B310" s="412"/>
      <c r="C310" s="412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35"/>
      <c r="W310" s="235"/>
      <c r="X310" s="235"/>
      <c r="Y310" s="235"/>
    </row>
    <row r="311">
      <c r="A311" s="411"/>
      <c r="B311" s="412"/>
      <c r="C311" s="412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35"/>
      <c r="W311" s="235"/>
      <c r="X311" s="235"/>
      <c r="Y311" s="235"/>
    </row>
    <row r="312">
      <c r="A312" s="411"/>
      <c r="B312" s="412"/>
      <c r="C312" s="412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35"/>
      <c r="W312" s="235"/>
      <c r="X312" s="235"/>
      <c r="Y312" s="235"/>
    </row>
    <row r="313">
      <c r="A313" s="411"/>
      <c r="B313" s="412"/>
      <c r="C313" s="412"/>
      <c r="D313" s="412"/>
      <c r="E313" s="412"/>
      <c r="F313" s="412"/>
      <c r="G313" s="412"/>
      <c r="H313" s="412"/>
      <c r="I313" s="412"/>
      <c r="J313" s="412"/>
      <c r="K313" s="412"/>
      <c r="L313" s="412"/>
      <c r="M313" s="412"/>
      <c r="N313" s="412"/>
      <c r="O313" s="412"/>
      <c r="P313" s="412"/>
      <c r="Q313" s="412"/>
      <c r="R313" s="412"/>
      <c r="S313" s="412"/>
      <c r="T313" s="412"/>
      <c r="U313" s="412"/>
      <c r="V313" s="412"/>
      <c r="W313" s="412"/>
      <c r="X313" s="412"/>
      <c r="Y313" s="412"/>
    </row>
    <row r="314">
      <c r="A314" s="411"/>
      <c r="B314" s="412"/>
      <c r="C314" s="412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35"/>
      <c r="W314" s="235"/>
      <c r="X314" s="235"/>
      <c r="Y314" s="235"/>
    </row>
    <row r="315">
      <c r="A315" s="411"/>
      <c r="B315" s="412"/>
      <c r="C315" s="412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35"/>
      <c r="W315" s="235"/>
      <c r="X315" s="235"/>
      <c r="Y315" s="235"/>
    </row>
    <row r="316">
      <c r="A316" s="411"/>
      <c r="B316" s="412"/>
      <c r="C316" s="412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35"/>
      <c r="W316" s="235"/>
      <c r="X316" s="235"/>
      <c r="Y316" s="235"/>
    </row>
    <row r="317">
      <c r="A317" s="411"/>
      <c r="B317" s="412"/>
      <c r="C317" s="412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35"/>
      <c r="W317" s="235"/>
      <c r="X317" s="235"/>
      <c r="Y317" s="235"/>
    </row>
    <row r="318">
      <c r="A318" s="411"/>
      <c r="B318" s="412"/>
      <c r="C318" s="412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35"/>
      <c r="W318" s="235"/>
      <c r="X318" s="235"/>
      <c r="Y318" s="235"/>
    </row>
    <row r="319">
      <c r="A319" s="411"/>
      <c r="B319" s="412"/>
      <c r="C319" s="412"/>
      <c r="D319" s="412"/>
      <c r="E319" s="412"/>
      <c r="F319" s="412"/>
      <c r="G319" s="412"/>
      <c r="H319" s="412"/>
      <c r="I319" s="412"/>
      <c r="J319" s="412"/>
      <c r="K319" s="412"/>
      <c r="L319" s="412"/>
      <c r="M319" s="412"/>
      <c r="N319" s="412"/>
      <c r="O319" s="412"/>
      <c r="P319" s="412"/>
      <c r="Q319" s="412"/>
      <c r="R319" s="412"/>
      <c r="S319" s="412"/>
      <c r="T319" s="412"/>
      <c r="U319" s="412"/>
      <c r="V319" s="412"/>
      <c r="W319" s="412"/>
      <c r="X319" s="412"/>
      <c r="Y319" s="412"/>
    </row>
    <row r="320">
      <c r="A320" s="411"/>
      <c r="B320" s="412"/>
      <c r="C320" s="412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35"/>
      <c r="W320" s="235"/>
      <c r="X320" s="235"/>
      <c r="Y320" s="235"/>
    </row>
    <row r="321">
      <c r="A321" s="411"/>
      <c r="B321" s="412"/>
      <c r="C321" s="412"/>
      <c r="D321" s="412"/>
      <c r="E321" s="412"/>
      <c r="F321" s="412"/>
      <c r="G321" s="412"/>
      <c r="H321" s="412"/>
      <c r="I321" s="412"/>
      <c r="J321" s="412"/>
      <c r="K321" s="412"/>
      <c r="L321" s="412"/>
      <c r="M321" s="412"/>
      <c r="N321" s="412"/>
      <c r="O321" s="412"/>
      <c r="P321" s="412"/>
      <c r="Q321" s="412"/>
      <c r="R321" s="412"/>
      <c r="S321" s="412"/>
      <c r="T321" s="412"/>
      <c r="U321" s="412"/>
      <c r="V321" s="412"/>
      <c r="W321" s="412"/>
      <c r="X321" s="412"/>
      <c r="Y321" s="412"/>
    </row>
    <row r="322">
      <c r="A322" s="411"/>
      <c r="B322" s="412"/>
      <c r="C322" s="412"/>
      <c r="D322" s="412"/>
      <c r="E322" s="412"/>
      <c r="F322" s="412"/>
      <c r="G322" s="412"/>
      <c r="H322" s="412"/>
      <c r="I322" s="412"/>
      <c r="J322" s="412"/>
      <c r="K322" s="412"/>
      <c r="L322" s="412"/>
      <c r="M322" s="412"/>
      <c r="N322" s="412"/>
      <c r="O322" s="412"/>
      <c r="P322" s="412"/>
      <c r="Q322" s="412"/>
      <c r="R322" s="412"/>
      <c r="S322" s="412"/>
      <c r="T322" s="412"/>
      <c r="U322" s="412"/>
      <c r="V322" s="412"/>
      <c r="W322" s="412"/>
      <c r="X322" s="412"/>
      <c r="Y322" s="412"/>
    </row>
    <row r="323">
      <c r="A323" s="411"/>
      <c r="B323" s="412"/>
      <c r="C323" s="412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35"/>
      <c r="W323" s="235"/>
      <c r="X323" s="235"/>
      <c r="Y323" s="235"/>
    </row>
    <row r="324">
      <c r="A324" s="411"/>
      <c r="B324" s="412"/>
      <c r="C324" s="412"/>
      <c r="D324" s="412"/>
      <c r="E324" s="412"/>
      <c r="F324" s="412"/>
      <c r="G324" s="412"/>
      <c r="H324" s="412"/>
      <c r="I324" s="412"/>
      <c r="J324" s="412"/>
      <c r="K324" s="412"/>
      <c r="L324" s="412"/>
      <c r="M324" s="412"/>
      <c r="N324" s="412"/>
      <c r="O324" s="412"/>
      <c r="P324" s="412"/>
      <c r="Q324" s="412"/>
      <c r="R324" s="412"/>
      <c r="S324" s="412"/>
      <c r="T324" s="412"/>
      <c r="U324" s="412"/>
      <c r="V324" s="412"/>
      <c r="W324" s="412"/>
      <c r="X324" s="412"/>
      <c r="Y324" s="412"/>
    </row>
    <row r="325">
      <c r="A325" s="411"/>
      <c r="B325" s="412"/>
      <c r="C325" s="412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35"/>
      <c r="W325" s="235"/>
      <c r="X325" s="235"/>
      <c r="Y325" s="235"/>
    </row>
    <row r="326">
      <c r="A326" s="411"/>
      <c r="B326" s="412"/>
      <c r="C326" s="412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35"/>
      <c r="W326" s="235"/>
      <c r="X326" s="235"/>
      <c r="Y326" s="235"/>
    </row>
    <row r="327">
      <c r="A327" s="411"/>
      <c r="B327" s="412"/>
      <c r="C327" s="412"/>
      <c r="D327" s="412"/>
      <c r="E327" s="412"/>
      <c r="F327" s="412"/>
      <c r="G327" s="412"/>
      <c r="H327" s="412"/>
      <c r="I327" s="412"/>
      <c r="J327" s="412"/>
      <c r="K327" s="412"/>
      <c r="L327" s="412"/>
      <c r="M327" s="412"/>
      <c r="N327" s="412"/>
      <c r="O327" s="412"/>
      <c r="P327" s="412"/>
      <c r="Q327" s="412"/>
      <c r="R327" s="412"/>
      <c r="S327" s="412"/>
      <c r="T327" s="412"/>
      <c r="U327" s="412"/>
      <c r="V327" s="412"/>
      <c r="W327" s="412"/>
      <c r="X327" s="412"/>
      <c r="Y327" s="412"/>
    </row>
    <row r="328">
      <c r="A328" s="411"/>
      <c r="B328" s="412"/>
      <c r="C328" s="412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35"/>
      <c r="W328" s="235"/>
      <c r="X328" s="235"/>
      <c r="Y328" s="235"/>
    </row>
    <row r="329">
      <c r="A329" s="411"/>
      <c r="B329" s="412"/>
      <c r="C329" s="412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35"/>
      <c r="W329" s="235"/>
      <c r="X329" s="235"/>
      <c r="Y329" s="235"/>
    </row>
    <row r="330">
      <c r="A330" s="411"/>
      <c r="B330" s="412"/>
      <c r="C330" s="412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35"/>
      <c r="W330" s="235"/>
      <c r="X330" s="235"/>
      <c r="Y330" s="235"/>
    </row>
    <row r="331">
      <c r="A331" s="411"/>
      <c r="B331" s="412"/>
      <c r="C331" s="412"/>
      <c r="D331" s="412"/>
      <c r="E331" s="412"/>
      <c r="F331" s="412"/>
      <c r="G331" s="412"/>
      <c r="H331" s="412"/>
      <c r="I331" s="412"/>
      <c r="J331" s="412"/>
      <c r="K331" s="412"/>
      <c r="L331" s="412"/>
      <c r="M331" s="412"/>
      <c r="N331" s="412"/>
      <c r="O331" s="412"/>
      <c r="P331" s="412"/>
      <c r="Q331" s="412"/>
      <c r="R331" s="412"/>
      <c r="S331" s="412"/>
      <c r="T331" s="412"/>
      <c r="U331" s="412"/>
      <c r="V331" s="412"/>
      <c r="W331" s="412"/>
      <c r="X331" s="412"/>
      <c r="Y331" s="412"/>
    </row>
    <row r="332">
      <c r="A332" s="411"/>
      <c r="B332" s="412"/>
      <c r="C332" s="412"/>
      <c r="D332" s="412"/>
      <c r="E332" s="412"/>
      <c r="F332" s="412"/>
      <c r="G332" s="412"/>
      <c r="H332" s="412"/>
      <c r="I332" s="412"/>
      <c r="J332" s="412"/>
      <c r="K332" s="412"/>
      <c r="L332" s="412"/>
      <c r="M332" s="412"/>
      <c r="N332" s="412"/>
      <c r="O332" s="412"/>
      <c r="P332" s="412"/>
      <c r="Q332" s="412"/>
      <c r="R332" s="412"/>
      <c r="S332" s="412"/>
      <c r="T332" s="412"/>
      <c r="U332" s="412"/>
      <c r="V332" s="412"/>
      <c r="W332" s="412"/>
      <c r="X332" s="412"/>
      <c r="Y332" s="412"/>
    </row>
    <row r="333">
      <c r="A333" s="411"/>
      <c r="B333" s="412"/>
      <c r="C333" s="412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35"/>
      <c r="W333" s="235"/>
      <c r="X333" s="235"/>
      <c r="Y333" s="235"/>
    </row>
    <row r="334">
      <c r="A334" s="411"/>
      <c r="B334" s="412"/>
      <c r="C334" s="412"/>
      <c r="D334" s="412"/>
      <c r="E334" s="412"/>
      <c r="F334" s="412"/>
      <c r="G334" s="412"/>
      <c r="H334" s="412"/>
      <c r="I334" s="412"/>
      <c r="J334" s="412"/>
      <c r="K334" s="412"/>
      <c r="L334" s="412"/>
      <c r="M334" s="412"/>
      <c r="N334" s="412"/>
      <c r="O334" s="412"/>
      <c r="P334" s="412"/>
      <c r="Q334" s="412"/>
      <c r="R334" s="412"/>
      <c r="S334" s="412"/>
      <c r="T334" s="412"/>
      <c r="U334" s="412"/>
      <c r="V334" s="412"/>
      <c r="W334" s="412"/>
      <c r="X334" s="412"/>
      <c r="Y334" s="412"/>
    </row>
    <row r="335">
      <c r="A335" s="411"/>
      <c r="B335" s="412"/>
      <c r="C335" s="412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35"/>
      <c r="W335" s="235"/>
      <c r="X335" s="235"/>
      <c r="Y335" s="235"/>
    </row>
    <row r="336">
      <c r="A336" s="411"/>
      <c r="B336" s="412"/>
      <c r="C336" s="412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35"/>
      <c r="W336" s="235"/>
      <c r="X336" s="235"/>
      <c r="Y336" s="235"/>
    </row>
    <row r="337">
      <c r="A337" s="411"/>
      <c r="B337" s="412"/>
      <c r="C337" s="412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35"/>
      <c r="W337" s="235"/>
      <c r="X337" s="235"/>
      <c r="Y337" s="235"/>
    </row>
    <row r="338">
      <c r="A338" s="411"/>
      <c r="B338" s="412"/>
      <c r="C338" s="412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35"/>
      <c r="W338" s="235"/>
      <c r="X338" s="235"/>
      <c r="Y338" s="235"/>
    </row>
    <row r="339">
      <c r="A339" s="411"/>
      <c r="B339" s="412"/>
      <c r="C339" s="412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35"/>
      <c r="W339" s="235"/>
      <c r="X339" s="235"/>
      <c r="Y339" s="235"/>
    </row>
    <row r="340">
      <c r="A340" s="411"/>
      <c r="B340" s="412"/>
      <c r="C340" s="412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35"/>
      <c r="W340" s="235"/>
      <c r="X340" s="235"/>
      <c r="Y340" s="235"/>
    </row>
    <row r="341">
      <c r="A341" s="411"/>
      <c r="B341" s="412"/>
      <c r="C341" s="412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35"/>
      <c r="W341" s="235"/>
      <c r="X341" s="235"/>
      <c r="Y341" s="235"/>
    </row>
    <row r="342">
      <c r="A342" s="411"/>
      <c r="B342" s="412"/>
      <c r="C342" s="412"/>
      <c r="D342" s="416"/>
      <c r="E342" s="416"/>
      <c r="F342" s="416"/>
      <c r="G342" s="416"/>
      <c r="H342" s="416"/>
      <c r="I342" s="416"/>
      <c r="J342" s="416"/>
      <c r="K342" s="416"/>
      <c r="L342" s="416"/>
      <c r="M342" s="416"/>
      <c r="N342" s="416"/>
      <c r="O342" s="416"/>
      <c r="P342" s="416"/>
      <c r="Q342" s="416"/>
      <c r="R342" s="416"/>
      <c r="S342" s="416"/>
      <c r="T342" s="416"/>
      <c r="U342" s="416"/>
      <c r="V342" s="416"/>
      <c r="W342" s="416"/>
      <c r="X342" s="416"/>
      <c r="Y342" s="416"/>
    </row>
    <row r="343">
      <c r="A343" s="411"/>
      <c r="B343" s="412"/>
      <c r="C343" s="412"/>
      <c r="D343" s="412"/>
      <c r="E343" s="412"/>
      <c r="F343" s="412"/>
      <c r="G343" s="412"/>
      <c r="H343" s="412"/>
      <c r="I343" s="412"/>
      <c r="J343" s="412"/>
      <c r="K343" s="412"/>
      <c r="L343" s="412"/>
      <c r="M343" s="412"/>
      <c r="N343" s="412"/>
      <c r="O343" s="412"/>
      <c r="P343" s="412"/>
      <c r="Q343" s="412"/>
      <c r="R343" s="412"/>
      <c r="S343" s="412"/>
      <c r="T343" s="412"/>
      <c r="U343" s="412"/>
      <c r="V343" s="412"/>
      <c r="W343" s="412"/>
      <c r="X343" s="412"/>
      <c r="Y343" s="412"/>
    </row>
    <row r="344">
      <c r="A344" s="411"/>
      <c r="B344" s="412"/>
      <c r="C344" s="412"/>
      <c r="D344" s="412"/>
      <c r="E344" s="412"/>
      <c r="F344" s="412"/>
      <c r="G344" s="412"/>
      <c r="H344" s="412"/>
      <c r="I344" s="412"/>
      <c r="J344" s="412"/>
      <c r="K344" s="412"/>
      <c r="L344" s="412"/>
      <c r="M344" s="412"/>
      <c r="N344" s="412"/>
      <c r="O344" s="412"/>
      <c r="P344" s="412"/>
      <c r="Q344" s="412"/>
      <c r="R344" s="412"/>
      <c r="S344" s="412"/>
      <c r="T344" s="412"/>
      <c r="U344" s="412"/>
      <c r="V344" s="412"/>
      <c r="W344" s="412"/>
      <c r="X344" s="412"/>
      <c r="Y344" s="412"/>
    </row>
    <row r="345">
      <c r="A345" s="411"/>
      <c r="B345" s="412"/>
      <c r="C345" s="412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35"/>
      <c r="W345" s="235"/>
      <c r="X345" s="235"/>
      <c r="Y345" s="235"/>
    </row>
    <row r="346">
      <c r="A346" s="411"/>
      <c r="B346" s="412"/>
      <c r="C346" s="412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35"/>
      <c r="W346" s="235"/>
      <c r="X346" s="235"/>
      <c r="Y346" s="235"/>
    </row>
    <row r="347">
      <c r="A347" s="411"/>
      <c r="B347" s="412"/>
      <c r="C347" s="412"/>
      <c r="D347" s="412"/>
      <c r="E347" s="412"/>
      <c r="F347" s="412"/>
      <c r="G347" s="412"/>
      <c r="H347" s="412"/>
      <c r="I347" s="412"/>
      <c r="J347" s="412"/>
      <c r="K347" s="412"/>
      <c r="L347" s="412"/>
      <c r="M347" s="412"/>
      <c r="N347" s="412"/>
      <c r="O347" s="412"/>
      <c r="P347" s="412"/>
      <c r="Q347" s="412"/>
      <c r="R347" s="412"/>
      <c r="S347" s="412"/>
      <c r="T347" s="412"/>
      <c r="U347" s="412"/>
      <c r="V347" s="412"/>
      <c r="W347" s="412"/>
      <c r="X347" s="412"/>
      <c r="Y347" s="412"/>
    </row>
    <row r="348">
      <c r="A348" s="411"/>
      <c r="B348" s="412"/>
      <c r="C348" s="412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35"/>
      <c r="W348" s="235"/>
      <c r="X348" s="235"/>
      <c r="Y348" s="235"/>
    </row>
    <row r="349">
      <c r="A349" s="411"/>
      <c r="B349" s="412"/>
      <c r="C349" s="412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35"/>
      <c r="W349" s="235"/>
      <c r="X349" s="235"/>
      <c r="Y349" s="235"/>
    </row>
    <row r="350">
      <c r="A350" s="411"/>
      <c r="B350" s="412"/>
      <c r="C350" s="412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35"/>
      <c r="W350" s="235"/>
      <c r="X350" s="235"/>
      <c r="Y350" s="235"/>
    </row>
    <row r="351">
      <c r="A351" s="411"/>
      <c r="B351" s="412"/>
      <c r="C351" s="412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35"/>
      <c r="W351" s="235"/>
      <c r="X351" s="235"/>
      <c r="Y351" s="235"/>
    </row>
    <row r="352">
      <c r="A352" s="411"/>
      <c r="B352" s="412"/>
      <c r="C352" s="412"/>
      <c r="D352" s="412"/>
      <c r="E352" s="412"/>
      <c r="F352" s="412"/>
      <c r="G352" s="412"/>
      <c r="H352" s="412"/>
      <c r="I352" s="412"/>
      <c r="J352" s="412"/>
      <c r="K352" s="412"/>
      <c r="L352" s="412"/>
      <c r="M352" s="412"/>
      <c r="N352" s="412"/>
      <c r="O352" s="412"/>
      <c r="P352" s="412"/>
      <c r="Q352" s="412"/>
      <c r="R352" s="412"/>
      <c r="S352" s="412"/>
      <c r="T352" s="412"/>
      <c r="U352" s="412"/>
      <c r="V352" s="412"/>
      <c r="W352" s="412"/>
      <c r="X352" s="412"/>
      <c r="Y352" s="412"/>
    </row>
    <row r="353">
      <c r="A353" s="411"/>
      <c r="B353" s="412"/>
      <c r="C353" s="412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35"/>
      <c r="W353" s="235"/>
      <c r="X353" s="235"/>
      <c r="Y353" s="235"/>
    </row>
    <row r="354">
      <c r="A354" s="411"/>
      <c r="B354" s="412"/>
      <c r="C354" s="412"/>
      <c r="D354" s="412"/>
      <c r="E354" s="412"/>
      <c r="F354" s="412"/>
      <c r="G354" s="412"/>
      <c r="H354" s="412"/>
      <c r="I354" s="412"/>
      <c r="J354" s="412"/>
      <c r="K354" s="412"/>
      <c r="L354" s="412"/>
      <c r="M354" s="412"/>
      <c r="N354" s="412"/>
      <c r="O354" s="412"/>
      <c r="P354" s="412"/>
      <c r="Q354" s="412"/>
      <c r="R354" s="412"/>
      <c r="S354" s="412"/>
      <c r="T354" s="412"/>
      <c r="U354" s="412"/>
      <c r="V354" s="412"/>
      <c r="W354" s="412"/>
      <c r="X354" s="412"/>
      <c r="Y354" s="412"/>
    </row>
    <row r="355">
      <c r="A355" s="411"/>
      <c r="B355" s="412"/>
      <c r="C355" s="412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35"/>
      <c r="W355" s="235"/>
      <c r="X355" s="235"/>
      <c r="Y355" s="235"/>
    </row>
    <row r="356">
      <c r="A356" s="411"/>
      <c r="B356" s="412"/>
      <c r="C356" s="412"/>
      <c r="D356" s="412"/>
      <c r="E356" s="412"/>
      <c r="F356" s="412"/>
      <c r="G356" s="412"/>
      <c r="H356" s="412"/>
      <c r="I356" s="412"/>
      <c r="J356" s="412"/>
      <c r="K356" s="412"/>
      <c r="L356" s="412"/>
      <c r="M356" s="412"/>
      <c r="N356" s="412"/>
      <c r="O356" s="412"/>
      <c r="P356" s="412"/>
      <c r="Q356" s="412"/>
      <c r="R356" s="412"/>
      <c r="S356" s="412"/>
      <c r="T356" s="412"/>
      <c r="U356" s="412"/>
      <c r="V356" s="412"/>
      <c r="W356" s="412"/>
      <c r="X356" s="412"/>
      <c r="Y356" s="412"/>
    </row>
    <row r="357">
      <c r="A357" s="411"/>
      <c r="B357" s="412"/>
      <c r="C357" s="412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35"/>
      <c r="W357" s="235"/>
      <c r="X357" s="235"/>
      <c r="Y357" s="235"/>
    </row>
    <row r="358">
      <c r="A358" s="411"/>
      <c r="B358" s="412"/>
      <c r="C358" s="412"/>
      <c r="D358" s="412"/>
      <c r="E358" s="412"/>
      <c r="F358" s="412"/>
      <c r="G358" s="412"/>
      <c r="H358" s="412"/>
      <c r="I358" s="412"/>
      <c r="J358" s="412"/>
      <c r="K358" s="412"/>
      <c r="L358" s="412"/>
      <c r="M358" s="412"/>
      <c r="N358" s="412"/>
      <c r="O358" s="412"/>
      <c r="P358" s="412"/>
      <c r="Q358" s="412"/>
      <c r="R358" s="412"/>
      <c r="S358" s="412"/>
      <c r="T358" s="412"/>
      <c r="U358" s="412"/>
      <c r="V358" s="412"/>
      <c r="W358" s="412"/>
      <c r="X358" s="412"/>
      <c r="Y358" s="412"/>
    </row>
    <row r="359">
      <c r="A359" s="411"/>
      <c r="B359" s="412"/>
      <c r="C359" s="412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35"/>
      <c r="W359" s="235"/>
      <c r="X359" s="235"/>
      <c r="Y359" s="235"/>
    </row>
    <row r="360">
      <c r="A360" s="411"/>
      <c r="B360" s="412"/>
      <c r="C360" s="412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35"/>
      <c r="W360" s="235"/>
      <c r="X360" s="235"/>
      <c r="Y360" s="235"/>
    </row>
    <row r="361">
      <c r="A361" s="411"/>
      <c r="B361" s="412"/>
      <c r="C361" s="412"/>
      <c r="D361" s="416"/>
      <c r="E361" s="416"/>
      <c r="F361" s="416"/>
      <c r="G361" s="416"/>
      <c r="H361" s="416"/>
      <c r="I361" s="416"/>
      <c r="J361" s="416"/>
      <c r="K361" s="416"/>
      <c r="L361" s="416"/>
      <c r="M361" s="416"/>
      <c r="N361" s="416"/>
      <c r="O361" s="416"/>
      <c r="P361" s="416"/>
      <c r="Q361" s="416"/>
      <c r="R361" s="416"/>
      <c r="S361" s="416"/>
      <c r="T361" s="416"/>
      <c r="U361" s="416"/>
      <c r="V361" s="416"/>
      <c r="W361" s="416"/>
      <c r="X361" s="416"/>
      <c r="Y361" s="416"/>
    </row>
    <row r="362">
      <c r="A362" s="411"/>
      <c r="B362" s="412"/>
      <c r="C362" s="412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35"/>
      <c r="W362" s="235"/>
      <c r="X362" s="235"/>
      <c r="Y362" s="235"/>
    </row>
    <row r="363">
      <c r="A363" s="411"/>
      <c r="B363" s="412"/>
      <c r="C363" s="412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35"/>
      <c r="W363" s="235"/>
      <c r="X363" s="235"/>
      <c r="Y363" s="235"/>
    </row>
    <row r="364">
      <c r="A364" s="411"/>
      <c r="B364" s="412"/>
      <c r="C364" s="412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35"/>
      <c r="W364" s="235"/>
      <c r="X364" s="235"/>
      <c r="Y364" s="235"/>
    </row>
    <row r="365">
      <c r="A365" s="411"/>
      <c r="B365" s="412"/>
      <c r="C365" s="412"/>
      <c r="D365" s="412"/>
      <c r="E365" s="412"/>
      <c r="F365" s="412"/>
      <c r="G365" s="412"/>
      <c r="H365" s="412"/>
      <c r="I365" s="412"/>
      <c r="J365" s="412"/>
      <c r="K365" s="412"/>
      <c r="L365" s="412"/>
      <c r="M365" s="412"/>
      <c r="N365" s="412"/>
      <c r="O365" s="412"/>
      <c r="P365" s="412"/>
      <c r="Q365" s="412"/>
      <c r="R365" s="412"/>
      <c r="S365" s="412"/>
      <c r="T365" s="412"/>
      <c r="U365" s="412"/>
      <c r="V365" s="412"/>
      <c r="W365" s="412"/>
      <c r="X365" s="412"/>
      <c r="Y365" s="412"/>
    </row>
    <row r="366">
      <c r="A366" s="411"/>
      <c r="B366" s="412"/>
      <c r="C366" s="412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35"/>
      <c r="W366" s="235"/>
      <c r="X366" s="235"/>
      <c r="Y366" s="235"/>
    </row>
    <row r="367" ht="16.5" customHeight="1">
      <c r="A367" s="411"/>
      <c r="B367" s="412"/>
      <c r="C367" s="412"/>
      <c r="D367" s="412"/>
      <c r="E367" s="412"/>
      <c r="F367" s="412"/>
      <c r="G367" s="412"/>
      <c r="H367" s="412"/>
      <c r="I367" s="412"/>
      <c r="J367" s="412"/>
      <c r="K367" s="412"/>
      <c r="L367" s="412"/>
      <c r="M367" s="412"/>
      <c r="N367" s="412"/>
      <c r="O367" s="412"/>
      <c r="P367" s="412"/>
      <c r="Q367" s="412"/>
      <c r="R367" s="412"/>
      <c r="S367" s="412"/>
      <c r="T367" s="412"/>
      <c r="U367" s="412"/>
      <c r="V367" s="412"/>
      <c r="W367" s="412"/>
      <c r="X367" s="412"/>
      <c r="Y367" s="412"/>
    </row>
    <row r="368">
      <c r="A368" s="411"/>
      <c r="B368" s="412"/>
      <c r="C368" s="412"/>
      <c r="D368" s="412"/>
      <c r="E368" s="412"/>
      <c r="F368" s="412"/>
      <c r="G368" s="412"/>
      <c r="H368" s="412"/>
      <c r="I368" s="412"/>
      <c r="J368" s="412"/>
      <c r="K368" s="412"/>
      <c r="L368" s="412"/>
      <c r="M368" s="412"/>
      <c r="N368" s="412"/>
      <c r="O368" s="412"/>
      <c r="P368" s="412"/>
      <c r="Q368" s="412"/>
      <c r="R368" s="412"/>
      <c r="S368" s="412"/>
      <c r="T368" s="412"/>
      <c r="U368" s="412"/>
      <c r="V368" s="412"/>
      <c r="W368" s="412"/>
      <c r="X368" s="412"/>
      <c r="Y368" s="412"/>
    </row>
    <row r="369">
      <c r="A369" s="411"/>
      <c r="B369" s="412"/>
      <c r="C369" s="412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35"/>
      <c r="W369" s="235"/>
      <c r="X369" s="235"/>
      <c r="Y369" s="235"/>
    </row>
    <row r="370">
      <c r="A370" s="411"/>
      <c r="B370" s="412"/>
      <c r="C370" s="412"/>
      <c r="D370" s="412"/>
      <c r="E370" s="412"/>
      <c r="F370" s="412"/>
      <c r="G370" s="412"/>
      <c r="H370" s="412"/>
      <c r="I370" s="412"/>
      <c r="J370" s="412"/>
      <c r="K370" s="412"/>
      <c r="L370" s="412"/>
      <c r="M370" s="412"/>
      <c r="N370" s="412"/>
      <c r="O370" s="412"/>
      <c r="P370" s="412"/>
      <c r="Q370" s="412"/>
      <c r="R370" s="412"/>
      <c r="S370" s="412"/>
      <c r="T370" s="412"/>
      <c r="U370" s="412"/>
      <c r="V370" s="412"/>
      <c r="W370" s="412"/>
      <c r="X370" s="412"/>
      <c r="Y370" s="412"/>
    </row>
    <row r="371">
      <c r="A371" s="411"/>
      <c r="B371" s="412"/>
      <c r="C371" s="412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35"/>
      <c r="W371" s="235"/>
      <c r="X371" s="235"/>
      <c r="Y371" s="235"/>
    </row>
    <row r="372">
      <c r="A372" s="411"/>
      <c r="B372" s="412"/>
      <c r="C372" s="412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35"/>
      <c r="W372" s="235"/>
      <c r="X372" s="235"/>
      <c r="Y372" s="235"/>
    </row>
    <row r="373">
      <c r="A373" s="411"/>
      <c r="B373" s="412"/>
      <c r="C373" s="412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35"/>
      <c r="W373" s="235"/>
      <c r="X373" s="235"/>
      <c r="Y373" s="235"/>
    </row>
    <row r="374">
      <c r="A374" s="411"/>
      <c r="B374" s="412"/>
      <c r="C374" s="412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35"/>
      <c r="W374" s="235"/>
      <c r="X374" s="235"/>
      <c r="Y374" s="235"/>
    </row>
    <row r="375">
      <c r="A375" s="411"/>
      <c r="B375" s="412"/>
      <c r="C375" s="412"/>
      <c r="D375" s="412"/>
      <c r="E375" s="412"/>
      <c r="F375" s="412"/>
      <c r="G375" s="412"/>
      <c r="H375" s="412"/>
      <c r="I375" s="412"/>
      <c r="J375" s="412"/>
      <c r="K375" s="412"/>
      <c r="L375" s="412"/>
      <c r="M375" s="412"/>
      <c r="N375" s="412"/>
      <c r="O375" s="412"/>
      <c r="P375" s="412"/>
      <c r="Q375" s="412"/>
      <c r="R375" s="412"/>
      <c r="S375" s="412"/>
      <c r="T375" s="412"/>
      <c r="U375" s="412"/>
      <c r="V375" s="412"/>
      <c r="W375" s="412"/>
      <c r="X375" s="412"/>
      <c r="Y375" s="412"/>
    </row>
    <row r="376">
      <c r="A376" s="411"/>
      <c r="B376" s="412"/>
      <c r="C376" s="412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35"/>
      <c r="W376" s="235"/>
      <c r="X376" s="235"/>
      <c r="Y376" s="235"/>
    </row>
    <row r="377">
      <c r="A377" s="411"/>
      <c r="B377" s="412"/>
      <c r="C377" s="412"/>
      <c r="D377" s="412"/>
      <c r="E377" s="412"/>
      <c r="F377" s="412"/>
      <c r="G377" s="412"/>
      <c r="H377" s="412"/>
      <c r="I377" s="412"/>
      <c r="J377" s="412"/>
      <c r="K377" s="412"/>
      <c r="L377" s="412"/>
      <c r="M377" s="412"/>
      <c r="N377" s="412"/>
      <c r="O377" s="412"/>
      <c r="P377" s="412"/>
      <c r="Q377" s="412"/>
      <c r="R377" s="412"/>
      <c r="S377" s="412"/>
      <c r="T377" s="412"/>
      <c r="U377" s="412"/>
      <c r="V377" s="412"/>
      <c r="W377" s="412"/>
      <c r="X377" s="412"/>
      <c r="Y377" s="412"/>
    </row>
    <row r="378">
      <c r="A378" s="411"/>
      <c r="B378" s="412"/>
      <c r="C378" s="412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35"/>
      <c r="W378" s="235"/>
      <c r="X378" s="235"/>
      <c r="Y378" s="235"/>
    </row>
    <row r="379">
      <c r="A379" s="411"/>
      <c r="B379" s="412"/>
      <c r="C379" s="412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35"/>
      <c r="W379" s="235"/>
      <c r="X379" s="235"/>
      <c r="Y379" s="235"/>
    </row>
    <row r="380">
      <c r="A380" s="411"/>
      <c r="B380" s="412"/>
      <c r="C380" s="412"/>
      <c r="D380" s="412"/>
      <c r="E380" s="412"/>
      <c r="F380" s="412"/>
      <c r="G380" s="412"/>
      <c r="H380" s="412"/>
      <c r="I380" s="412"/>
      <c r="J380" s="412"/>
      <c r="K380" s="412"/>
      <c r="L380" s="412"/>
      <c r="M380" s="412"/>
      <c r="N380" s="412"/>
      <c r="O380" s="412"/>
      <c r="P380" s="412"/>
      <c r="Q380" s="412"/>
      <c r="R380" s="412"/>
      <c r="S380" s="412"/>
      <c r="T380" s="412"/>
      <c r="U380" s="412"/>
      <c r="V380" s="412"/>
      <c r="W380" s="412"/>
      <c r="X380" s="412"/>
      <c r="Y380" s="412"/>
    </row>
    <row r="381">
      <c r="A381" s="411"/>
      <c r="B381" s="412"/>
      <c r="C381" s="412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35"/>
      <c r="W381" s="235"/>
      <c r="X381" s="235"/>
      <c r="Y381" s="235"/>
    </row>
    <row r="382">
      <c r="A382" s="411"/>
      <c r="B382" s="412"/>
      <c r="C382" s="412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35"/>
      <c r="W382" s="235"/>
      <c r="X382" s="235"/>
      <c r="Y382" s="235"/>
    </row>
    <row r="383">
      <c r="A383" s="411"/>
      <c r="B383" s="412"/>
      <c r="C383" s="412"/>
      <c r="D383" s="412"/>
      <c r="E383" s="412"/>
      <c r="F383" s="412"/>
      <c r="G383" s="412"/>
      <c r="H383" s="412"/>
      <c r="I383" s="412"/>
      <c r="J383" s="412"/>
      <c r="K383" s="412"/>
      <c r="L383" s="412"/>
      <c r="M383" s="412"/>
      <c r="N383" s="412"/>
      <c r="O383" s="412"/>
      <c r="P383" s="412"/>
      <c r="Q383" s="412"/>
      <c r="R383" s="412"/>
      <c r="S383" s="412"/>
      <c r="T383" s="412"/>
      <c r="U383" s="412"/>
      <c r="V383" s="412"/>
      <c r="W383" s="412"/>
      <c r="X383" s="412"/>
      <c r="Y383" s="412"/>
    </row>
    <row r="384">
      <c r="A384" s="411"/>
      <c r="B384" s="412"/>
      <c r="C384" s="412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35"/>
      <c r="W384" s="235"/>
      <c r="X384" s="235"/>
      <c r="Y384" s="235"/>
    </row>
    <row r="385">
      <c r="A385" s="411"/>
      <c r="B385" s="412"/>
      <c r="C385" s="412"/>
      <c r="D385" s="412"/>
      <c r="E385" s="412"/>
      <c r="F385" s="412"/>
      <c r="G385" s="412"/>
      <c r="H385" s="412"/>
      <c r="I385" s="412"/>
      <c r="J385" s="412"/>
      <c r="K385" s="412"/>
      <c r="L385" s="412"/>
      <c r="M385" s="412"/>
      <c r="N385" s="412"/>
      <c r="O385" s="412"/>
      <c r="P385" s="412"/>
      <c r="Q385" s="412"/>
      <c r="R385" s="412"/>
      <c r="S385" s="412"/>
      <c r="T385" s="412"/>
      <c r="U385" s="412"/>
      <c r="V385" s="412"/>
      <c r="W385" s="412"/>
      <c r="X385" s="412"/>
      <c r="Y385" s="412"/>
    </row>
    <row r="386">
      <c r="A386" s="411"/>
      <c r="B386" s="412"/>
      <c r="C386" s="412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35"/>
      <c r="W386" s="235"/>
      <c r="X386" s="235"/>
      <c r="Y386" s="235"/>
    </row>
    <row r="387">
      <c r="A387" s="411"/>
      <c r="B387" s="412"/>
      <c r="C387" s="412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35"/>
      <c r="W387" s="235"/>
      <c r="X387" s="235"/>
      <c r="Y387" s="235"/>
    </row>
    <row r="388">
      <c r="A388" s="411"/>
      <c r="B388" s="412"/>
      <c r="C388" s="412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35"/>
      <c r="W388" s="235"/>
      <c r="X388" s="235"/>
      <c r="Y388" s="235"/>
    </row>
    <row r="389">
      <c r="A389" s="411"/>
      <c r="B389" s="412"/>
      <c r="C389" s="412"/>
      <c r="D389" s="412"/>
      <c r="E389" s="412"/>
      <c r="F389" s="412"/>
      <c r="G389" s="412"/>
      <c r="H389" s="412"/>
      <c r="I389" s="412"/>
      <c r="J389" s="412"/>
      <c r="K389" s="412"/>
      <c r="L389" s="412"/>
      <c r="M389" s="412"/>
      <c r="N389" s="412"/>
      <c r="O389" s="412"/>
      <c r="P389" s="412"/>
      <c r="Q389" s="412"/>
      <c r="R389" s="412"/>
      <c r="S389" s="412"/>
      <c r="T389" s="412"/>
      <c r="U389" s="412"/>
      <c r="V389" s="412"/>
      <c r="W389" s="412"/>
      <c r="X389" s="412"/>
      <c r="Y389" s="412"/>
    </row>
    <row r="390">
      <c r="A390" s="411"/>
      <c r="B390" s="412"/>
      <c r="C390" s="412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35"/>
      <c r="W390" s="235"/>
      <c r="X390" s="235"/>
      <c r="Y390" s="235"/>
    </row>
    <row r="391">
      <c r="A391" s="411"/>
      <c r="B391" s="412"/>
      <c r="C391" s="412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35"/>
      <c r="W391" s="235"/>
      <c r="X391" s="235"/>
      <c r="Y391" s="235"/>
    </row>
    <row r="392">
      <c r="A392" s="411"/>
      <c r="B392" s="412"/>
      <c r="C392" s="412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35"/>
      <c r="W392" s="235"/>
      <c r="X392" s="235"/>
      <c r="Y392" s="235"/>
    </row>
    <row r="393">
      <c r="A393" s="411"/>
      <c r="B393" s="412"/>
      <c r="C393" s="412"/>
      <c r="D393" s="412"/>
      <c r="E393" s="412"/>
      <c r="F393" s="412"/>
      <c r="G393" s="412"/>
      <c r="H393" s="412"/>
      <c r="I393" s="412"/>
      <c r="J393" s="412"/>
      <c r="K393" s="412"/>
      <c r="L393" s="412"/>
      <c r="M393" s="412"/>
      <c r="N393" s="412"/>
      <c r="O393" s="412"/>
      <c r="P393" s="412"/>
      <c r="Q393" s="412"/>
      <c r="R393" s="412"/>
      <c r="S393" s="412"/>
      <c r="T393" s="412"/>
      <c r="U393" s="412"/>
      <c r="V393" s="412"/>
      <c r="W393" s="412"/>
      <c r="X393" s="412"/>
      <c r="Y393" s="412"/>
    </row>
    <row r="394">
      <c r="A394" s="411"/>
      <c r="B394" s="412"/>
      <c r="C394" s="412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35"/>
      <c r="W394" s="235"/>
      <c r="X394" s="235"/>
      <c r="Y394" s="235"/>
    </row>
    <row r="395">
      <c r="A395" s="411"/>
      <c r="B395" s="412"/>
      <c r="C395" s="412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35"/>
      <c r="W395" s="235"/>
      <c r="X395" s="235"/>
      <c r="Y395" s="235"/>
    </row>
    <row r="396">
      <c r="A396" s="411"/>
      <c r="B396" s="412"/>
      <c r="C396" s="412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35"/>
      <c r="W396" s="235"/>
      <c r="X396" s="235"/>
      <c r="Y396" s="235"/>
    </row>
    <row r="397">
      <c r="A397" s="411"/>
      <c r="B397" s="412"/>
      <c r="C397" s="412"/>
      <c r="D397" s="412"/>
      <c r="E397" s="412"/>
      <c r="F397" s="412"/>
      <c r="G397" s="412"/>
      <c r="H397" s="412"/>
      <c r="I397" s="412"/>
      <c r="J397" s="412"/>
      <c r="K397" s="412"/>
      <c r="L397" s="412"/>
      <c r="M397" s="412"/>
      <c r="N397" s="412"/>
      <c r="O397" s="412"/>
      <c r="P397" s="412"/>
      <c r="Q397" s="412"/>
      <c r="R397" s="412"/>
      <c r="S397" s="412"/>
      <c r="T397" s="412"/>
      <c r="U397" s="412"/>
      <c r="V397" s="412"/>
      <c r="W397" s="412"/>
      <c r="X397" s="412"/>
      <c r="Y397" s="412"/>
    </row>
    <row r="398">
      <c r="A398" s="411"/>
      <c r="B398" s="412"/>
      <c r="C398" s="412"/>
      <c r="D398" s="416"/>
      <c r="E398" s="416"/>
      <c r="F398" s="416"/>
      <c r="G398" s="416"/>
      <c r="H398" s="416"/>
      <c r="I398" s="416"/>
      <c r="J398" s="416"/>
      <c r="K398" s="416"/>
      <c r="L398" s="416"/>
      <c r="M398" s="416"/>
      <c r="N398" s="416"/>
      <c r="O398" s="416"/>
      <c r="P398" s="416"/>
      <c r="Q398" s="416"/>
      <c r="R398" s="416"/>
      <c r="S398" s="416"/>
      <c r="T398" s="416"/>
      <c r="U398" s="416"/>
      <c r="V398" s="416"/>
      <c r="W398" s="416"/>
      <c r="X398" s="416"/>
      <c r="Y398" s="416"/>
    </row>
    <row r="399">
      <c r="A399" s="411"/>
      <c r="B399" s="412"/>
      <c r="C399" s="412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35"/>
      <c r="W399" s="235"/>
      <c r="X399" s="235"/>
      <c r="Y399" s="235"/>
    </row>
    <row r="400">
      <c r="A400" s="411"/>
      <c r="B400" s="412"/>
      <c r="C400" s="412"/>
      <c r="D400" s="412"/>
      <c r="E400" s="412"/>
      <c r="F400" s="412"/>
      <c r="G400" s="412"/>
      <c r="H400" s="412"/>
      <c r="I400" s="412"/>
      <c r="J400" s="412"/>
      <c r="K400" s="412"/>
      <c r="L400" s="412"/>
      <c r="M400" s="412"/>
      <c r="N400" s="412"/>
      <c r="O400" s="412"/>
      <c r="P400" s="412"/>
      <c r="Q400" s="412"/>
      <c r="R400" s="412"/>
      <c r="S400" s="412"/>
      <c r="T400" s="412"/>
      <c r="U400" s="412"/>
      <c r="V400" s="412"/>
      <c r="W400" s="412"/>
      <c r="X400" s="412"/>
      <c r="Y400" s="412"/>
    </row>
    <row r="401">
      <c r="A401" s="411"/>
      <c r="B401" s="412"/>
      <c r="C401" s="412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35"/>
      <c r="W401" s="235"/>
      <c r="X401" s="235"/>
      <c r="Y401" s="235"/>
    </row>
    <row r="402">
      <c r="A402" s="411"/>
      <c r="B402" s="412"/>
      <c r="C402" s="412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35"/>
      <c r="W402" s="235"/>
      <c r="X402" s="235"/>
      <c r="Y402" s="235"/>
    </row>
    <row r="403">
      <c r="A403" s="411"/>
      <c r="B403" s="412"/>
      <c r="C403" s="412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35"/>
      <c r="W403" s="235"/>
      <c r="X403" s="235"/>
      <c r="Y403" s="235"/>
    </row>
    <row r="404">
      <c r="A404" s="411"/>
      <c r="B404" s="412"/>
      <c r="C404" s="412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35"/>
      <c r="W404" s="235"/>
      <c r="X404" s="235"/>
      <c r="Y404" s="235"/>
    </row>
    <row r="405">
      <c r="A405" s="411"/>
      <c r="B405" s="412"/>
      <c r="C405" s="412"/>
      <c r="D405" s="412"/>
      <c r="E405" s="412"/>
      <c r="F405" s="412"/>
      <c r="G405" s="412"/>
      <c r="H405" s="412"/>
      <c r="I405" s="412"/>
      <c r="J405" s="412"/>
      <c r="K405" s="412"/>
      <c r="L405" s="412"/>
      <c r="M405" s="412"/>
      <c r="N405" s="412"/>
      <c r="O405" s="412"/>
      <c r="P405" s="412"/>
      <c r="Q405" s="412"/>
      <c r="R405" s="412"/>
      <c r="S405" s="412"/>
      <c r="T405" s="412"/>
      <c r="U405" s="412"/>
      <c r="V405" s="412"/>
      <c r="W405" s="412"/>
      <c r="X405" s="412"/>
      <c r="Y405" s="412"/>
    </row>
    <row r="406">
      <c r="A406" s="411"/>
      <c r="B406" s="412"/>
      <c r="C406" s="412"/>
      <c r="D406" s="412"/>
      <c r="E406" s="412"/>
      <c r="F406" s="412"/>
      <c r="G406" s="412"/>
      <c r="H406" s="412"/>
      <c r="I406" s="412"/>
      <c r="J406" s="412"/>
      <c r="K406" s="412"/>
      <c r="L406" s="412"/>
      <c r="M406" s="412"/>
      <c r="N406" s="412"/>
      <c r="O406" s="412"/>
      <c r="P406" s="412"/>
      <c r="Q406" s="412"/>
      <c r="R406" s="412"/>
      <c r="S406" s="412"/>
      <c r="T406" s="412"/>
      <c r="U406" s="412"/>
      <c r="V406" s="412"/>
      <c r="W406" s="412"/>
      <c r="X406" s="412"/>
      <c r="Y406" s="412"/>
    </row>
    <row r="407">
      <c r="A407" s="411"/>
      <c r="B407" s="412"/>
      <c r="C407" s="412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35"/>
      <c r="W407" s="235"/>
      <c r="X407" s="235"/>
      <c r="Y407" s="235"/>
    </row>
    <row r="408">
      <c r="A408" s="411"/>
      <c r="B408" s="412"/>
      <c r="C408" s="412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35"/>
      <c r="W408" s="235"/>
      <c r="X408" s="235"/>
      <c r="Y408" s="235"/>
    </row>
    <row r="409">
      <c r="A409" s="411"/>
      <c r="B409" s="412"/>
      <c r="C409" s="412"/>
      <c r="D409" s="412"/>
      <c r="E409" s="412"/>
      <c r="F409" s="412"/>
      <c r="G409" s="412"/>
      <c r="H409" s="412"/>
      <c r="I409" s="412"/>
      <c r="J409" s="412"/>
      <c r="K409" s="412"/>
      <c r="L409" s="412"/>
      <c r="M409" s="412"/>
      <c r="N409" s="412"/>
      <c r="O409" s="412"/>
      <c r="P409" s="412"/>
      <c r="Q409" s="412"/>
      <c r="R409" s="412"/>
      <c r="S409" s="412"/>
      <c r="T409" s="412"/>
      <c r="U409" s="412"/>
      <c r="V409" s="412"/>
      <c r="W409" s="412"/>
      <c r="X409" s="412"/>
      <c r="Y409" s="412"/>
    </row>
    <row r="410">
      <c r="A410" s="411"/>
      <c r="B410" s="412"/>
      <c r="C410" s="412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35"/>
      <c r="W410" s="235"/>
      <c r="X410" s="235"/>
      <c r="Y410" s="235"/>
    </row>
    <row r="411">
      <c r="A411" s="411"/>
      <c r="B411" s="412"/>
      <c r="C411" s="412"/>
      <c r="D411" s="412"/>
      <c r="E411" s="412"/>
      <c r="F411" s="412"/>
      <c r="G411" s="412"/>
      <c r="H411" s="412"/>
      <c r="I411" s="412"/>
      <c r="J411" s="412"/>
      <c r="K411" s="412"/>
      <c r="L411" s="412"/>
      <c r="M411" s="412"/>
      <c r="N411" s="412"/>
      <c r="O411" s="412"/>
      <c r="P411" s="412"/>
      <c r="Q411" s="412"/>
      <c r="R411" s="412"/>
      <c r="S411" s="412"/>
      <c r="T411" s="412"/>
      <c r="U411" s="412"/>
      <c r="V411" s="412"/>
      <c r="W411" s="412"/>
      <c r="X411" s="412"/>
      <c r="Y411" s="412"/>
    </row>
    <row r="412">
      <c r="A412" s="411"/>
      <c r="B412" s="412"/>
      <c r="C412" s="412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35"/>
      <c r="W412" s="235"/>
      <c r="X412" s="235"/>
      <c r="Y412" s="235"/>
    </row>
    <row r="413">
      <c r="A413" s="411"/>
      <c r="B413" s="412"/>
      <c r="C413" s="412"/>
      <c r="D413" s="412"/>
      <c r="E413" s="412"/>
      <c r="F413" s="412"/>
      <c r="G413" s="412"/>
      <c r="H413" s="412"/>
      <c r="I413" s="412"/>
      <c r="J413" s="412"/>
      <c r="K413" s="412"/>
      <c r="L413" s="412"/>
      <c r="M413" s="412"/>
      <c r="N413" s="412"/>
      <c r="O413" s="412"/>
      <c r="P413" s="412"/>
      <c r="Q413" s="412"/>
      <c r="R413" s="412"/>
      <c r="S413" s="412"/>
      <c r="T413" s="412"/>
      <c r="U413" s="412"/>
      <c r="V413" s="412"/>
      <c r="W413" s="412"/>
      <c r="X413" s="412"/>
      <c r="Y413" s="412"/>
    </row>
    <row r="414">
      <c r="A414" s="411"/>
      <c r="B414" s="412"/>
      <c r="C414" s="412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35"/>
      <c r="W414" s="235"/>
      <c r="X414" s="235"/>
      <c r="Y414" s="235"/>
    </row>
    <row r="415">
      <c r="A415" s="411"/>
      <c r="B415" s="412"/>
      <c r="C415" s="412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35"/>
      <c r="W415" s="235"/>
      <c r="X415" s="235"/>
      <c r="Y415" s="235"/>
    </row>
    <row r="416">
      <c r="A416" s="411"/>
      <c r="B416" s="412"/>
      <c r="C416" s="412"/>
      <c r="D416" s="416"/>
      <c r="E416" s="416"/>
      <c r="F416" s="416"/>
      <c r="G416" s="416"/>
      <c r="H416" s="416"/>
      <c r="I416" s="416"/>
      <c r="J416" s="416"/>
      <c r="K416" s="416"/>
      <c r="L416" s="416"/>
      <c r="M416" s="416"/>
      <c r="N416" s="416"/>
      <c r="O416" s="416"/>
      <c r="P416" s="416"/>
      <c r="Q416" s="416"/>
      <c r="R416" s="416"/>
      <c r="S416" s="416"/>
      <c r="T416" s="416"/>
      <c r="U416" s="416"/>
      <c r="V416" s="416"/>
      <c r="W416" s="416"/>
      <c r="X416" s="416"/>
      <c r="Y416" s="416"/>
    </row>
    <row r="417">
      <c r="A417" s="411"/>
      <c r="B417" s="412"/>
      <c r="C417" s="412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35"/>
      <c r="W417" s="235"/>
      <c r="X417" s="235"/>
      <c r="Y417" s="235"/>
    </row>
    <row r="418">
      <c r="A418" s="411"/>
      <c r="B418" s="412"/>
      <c r="C418" s="412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35"/>
      <c r="W418" s="235"/>
      <c r="X418" s="235"/>
      <c r="Y418" s="235"/>
    </row>
    <row r="419">
      <c r="A419" s="411"/>
      <c r="B419" s="412"/>
      <c r="C419" s="412"/>
      <c r="D419" s="412"/>
      <c r="E419" s="412"/>
      <c r="F419" s="412"/>
      <c r="G419" s="412"/>
      <c r="H419" s="412"/>
      <c r="I419" s="412"/>
      <c r="J419" s="412"/>
      <c r="K419" s="412"/>
      <c r="L419" s="412"/>
      <c r="M419" s="412"/>
      <c r="N419" s="412"/>
      <c r="O419" s="412"/>
      <c r="P419" s="412"/>
      <c r="Q419" s="412"/>
      <c r="R419" s="412"/>
      <c r="S419" s="412"/>
      <c r="T419" s="412"/>
      <c r="U419" s="412"/>
      <c r="V419" s="412"/>
      <c r="W419" s="412"/>
      <c r="X419" s="412"/>
      <c r="Y419" s="412"/>
    </row>
    <row r="420">
      <c r="A420" s="411"/>
      <c r="B420" s="412"/>
      <c r="C420" s="412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35"/>
      <c r="W420" s="235"/>
      <c r="X420" s="235"/>
      <c r="Y420" s="235"/>
    </row>
    <row r="421">
      <c r="A421" s="411"/>
      <c r="B421" s="412"/>
      <c r="C421" s="412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35"/>
      <c r="W421" s="235"/>
      <c r="X421" s="235"/>
      <c r="Y421" s="235"/>
    </row>
    <row r="422">
      <c r="A422" s="411"/>
      <c r="B422" s="412"/>
      <c r="C422" s="412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35"/>
      <c r="W422" s="235"/>
      <c r="X422" s="235"/>
      <c r="Y422" s="235"/>
    </row>
    <row r="423">
      <c r="A423" s="411"/>
      <c r="B423" s="412"/>
      <c r="C423" s="412"/>
      <c r="D423" s="412"/>
      <c r="E423" s="412"/>
      <c r="F423" s="412"/>
      <c r="G423" s="412"/>
      <c r="H423" s="412"/>
      <c r="I423" s="412"/>
      <c r="J423" s="412"/>
      <c r="K423" s="412"/>
      <c r="L423" s="412"/>
      <c r="M423" s="412"/>
      <c r="N423" s="412"/>
      <c r="O423" s="412"/>
      <c r="P423" s="412"/>
      <c r="Q423" s="412"/>
      <c r="R423" s="412"/>
      <c r="S423" s="412"/>
      <c r="T423" s="412"/>
      <c r="U423" s="412"/>
      <c r="V423" s="412"/>
      <c r="W423" s="412"/>
      <c r="X423" s="412"/>
      <c r="Y423" s="412"/>
    </row>
    <row r="424">
      <c r="A424" s="411"/>
      <c r="B424" s="412"/>
      <c r="C424" s="412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35"/>
      <c r="W424" s="235"/>
      <c r="X424" s="235"/>
      <c r="Y424" s="235"/>
    </row>
    <row r="425">
      <c r="A425" s="411"/>
      <c r="B425" s="412"/>
      <c r="C425" s="412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35"/>
      <c r="W425" s="235"/>
      <c r="X425" s="235"/>
      <c r="Y425" s="235"/>
    </row>
    <row r="426">
      <c r="A426" s="411"/>
      <c r="B426" s="412"/>
      <c r="C426" s="412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35"/>
      <c r="W426" s="235"/>
      <c r="X426" s="235"/>
      <c r="Y426" s="235"/>
    </row>
    <row r="427">
      <c r="A427" s="411"/>
      <c r="B427" s="412"/>
      <c r="C427" s="412"/>
      <c r="D427" s="412"/>
      <c r="E427" s="412"/>
      <c r="F427" s="412"/>
      <c r="G427" s="412"/>
      <c r="H427" s="412"/>
      <c r="I427" s="412"/>
      <c r="J427" s="412"/>
      <c r="K427" s="412"/>
      <c r="L427" s="412"/>
      <c r="M427" s="412"/>
      <c r="N427" s="412"/>
      <c r="O427" s="412"/>
      <c r="P427" s="412"/>
      <c r="Q427" s="412"/>
      <c r="R427" s="412"/>
      <c r="S427" s="412"/>
      <c r="T427" s="412"/>
      <c r="U427" s="412"/>
      <c r="V427" s="412"/>
      <c r="W427" s="412"/>
      <c r="X427" s="412"/>
      <c r="Y427" s="412"/>
    </row>
    <row r="428">
      <c r="A428" s="411"/>
      <c r="B428" s="412"/>
      <c r="C428" s="412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35"/>
      <c r="W428" s="235"/>
      <c r="X428" s="235"/>
      <c r="Y428" s="235"/>
    </row>
    <row r="429">
      <c r="A429" s="411"/>
      <c r="B429" s="412"/>
      <c r="C429" s="412"/>
      <c r="D429" s="412"/>
      <c r="E429" s="412"/>
      <c r="F429" s="412"/>
      <c r="G429" s="412"/>
      <c r="H429" s="412"/>
      <c r="I429" s="412"/>
      <c r="J429" s="412"/>
      <c r="K429" s="412"/>
      <c r="L429" s="412"/>
      <c r="M429" s="412"/>
      <c r="N429" s="412"/>
      <c r="O429" s="412"/>
      <c r="P429" s="412"/>
      <c r="Q429" s="412"/>
      <c r="R429" s="412"/>
      <c r="S429" s="412"/>
      <c r="T429" s="412"/>
      <c r="U429" s="412"/>
      <c r="V429" s="412"/>
      <c r="W429" s="412"/>
      <c r="X429" s="412"/>
      <c r="Y429" s="412"/>
    </row>
    <row r="430">
      <c r="A430" s="411"/>
      <c r="B430" s="412"/>
      <c r="C430" s="412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35"/>
      <c r="W430" s="235"/>
      <c r="X430" s="235"/>
      <c r="Y430" s="235"/>
    </row>
    <row r="431">
      <c r="A431" s="411"/>
      <c r="B431" s="412"/>
      <c r="C431" s="412"/>
      <c r="D431" s="412"/>
      <c r="E431" s="412"/>
      <c r="F431" s="412"/>
      <c r="G431" s="412"/>
      <c r="H431" s="412"/>
      <c r="I431" s="412"/>
      <c r="J431" s="412"/>
      <c r="K431" s="412"/>
      <c r="L431" s="412"/>
      <c r="M431" s="412"/>
      <c r="N431" s="412"/>
      <c r="O431" s="412"/>
      <c r="P431" s="412"/>
      <c r="Q431" s="412"/>
      <c r="R431" s="412"/>
      <c r="S431" s="412"/>
      <c r="T431" s="412"/>
      <c r="U431" s="412"/>
      <c r="V431" s="412"/>
      <c r="W431" s="412"/>
      <c r="X431" s="412"/>
      <c r="Y431" s="412"/>
    </row>
    <row r="432">
      <c r="A432" s="411"/>
      <c r="B432" s="412"/>
      <c r="C432" s="412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35"/>
      <c r="W432" s="235"/>
      <c r="X432" s="235"/>
      <c r="Y432" s="235"/>
    </row>
    <row r="433">
      <c r="A433" s="411"/>
      <c r="B433" s="412"/>
      <c r="C433" s="412"/>
      <c r="D433" s="412"/>
      <c r="E433" s="412"/>
      <c r="F433" s="412"/>
      <c r="G433" s="412"/>
      <c r="H433" s="412"/>
      <c r="I433" s="412"/>
      <c r="J433" s="412"/>
      <c r="K433" s="412"/>
      <c r="L433" s="412"/>
      <c r="M433" s="412"/>
      <c r="N433" s="412"/>
      <c r="O433" s="412"/>
      <c r="P433" s="412"/>
      <c r="Q433" s="412"/>
      <c r="R433" s="412"/>
      <c r="S433" s="412"/>
      <c r="T433" s="412"/>
      <c r="U433" s="412"/>
      <c r="V433" s="412"/>
      <c r="W433" s="412"/>
      <c r="X433" s="412"/>
      <c r="Y433" s="412"/>
    </row>
    <row r="434">
      <c r="A434" s="411"/>
      <c r="B434" s="412"/>
      <c r="C434" s="412"/>
      <c r="D434" s="412"/>
      <c r="E434" s="412"/>
      <c r="F434" s="412"/>
      <c r="G434" s="412"/>
      <c r="H434" s="412"/>
      <c r="I434" s="412"/>
      <c r="J434" s="412"/>
      <c r="K434" s="412"/>
      <c r="L434" s="412"/>
      <c r="M434" s="412"/>
      <c r="N434" s="412"/>
      <c r="O434" s="412"/>
      <c r="P434" s="412"/>
      <c r="Q434" s="412"/>
      <c r="R434" s="412"/>
      <c r="S434" s="412"/>
      <c r="T434" s="412"/>
      <c r="U434" s="412"/>
      <c r="V434" s="412"/>
      <c r="W434" s="412"/>
      <c r="X434" s="412"/>
      <c r="Y434" s="412"/>
    </row>
    <row r="435">
      <c r="A435" s="411"/>
      <c r="B435" s="412"/>
      <c r="C435" s="412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35"/>
      <c r="W435" s="235"/>
      <c r="X435" s="235"/>
      <c r="Y435" s="235"/>
    </row>
    <row r="436">
      <c r="A436" s="411"/>
      <c r="B436" s="412"/>
      <c r="C436" s="412"/>
      <c r="D436" s="416"/>
      <c r="E436" s="416"/>
      <c r="F436" s="416"/>
      <c r="G436" s="416"/>
      <c r="H436" s="416"/>
      <c r="I436" s="416"/>
      <c r="J436" s="416"/>
      <c r="K436" s="416"/>
      <c r="L436" s="416"/>
      <c r="M436" s="416"/>
      <c r="N436" s="416"/>
      <c r="O436" s="416"/>
      <c r="P436" s="416"/>
      <c r="Q436" s="416"/>
      <c r="R436" s="416"/>
      <c r="S436" s="416"/>
      <c r="T436" s="416"/>
      <c r="U436" s="416"/>
      <c r="V436" s="416"/>
      <c r="W436" s="416"/>
      <c r="X436" s="416"/>
      <c r="Y436" s="416"/>
    </row>
    <row r="437">
      <c r="A437" s="411"/>
      <c r="B437" s="412"/>
      <c r="C437" s="412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35"/>
      <c r="W437" s="235"/>
      <c r="X437" s="235"/>
      <c r="Y437" s="235"/>
    </row>
    <row r="438">
      <c r="A438" s="411"/>
      <c r="B438" s="412"/>
      <c r="C438" s="412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35"/>
      <c r="W438" s="235"/>
      <c r="X438" s="235"/>
      <c r="Y438" s="235"/>
    </row>
    <row r="439">
      <c r="A439" s="411"/>
      <c r="B439" s="412"/>
      <c r="C439" s="412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35"/>
      <c r="W439" s="235"/>
      <c r="X439" s="235"/>
      <c r="Y439" s="235"/>
    </row>
    <row r="440">
      <c r="A440" s="411"/>
      <c r="B440" s="412"/>
      <c r="C440" s="412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35"/>
      <c r="W440" s="235"/>
      <c r="X440" s="235"/>
      <c r="Y440" s="235"/>
    </row>
    <row r="441">
      <c r="A441" s="411"/>
      <c r="B441" s="412"/>
      <c r="C441" s="412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35"/>
      <c r="W441" s="235"/>
      <c r="X441" s="235"/>
      <c r="Y441" s="235"/>
    </row>
    <row r="442">
      <c r="A442" s="411"/>
      <c r="B442" s="412"/>
      <c r="C442" s="412"/>
      <c r="D442" s="412"/>
      <c r="E442" s="412"/>
      <c r="F442" s="412"/>
      <c r="G442" s="412"/>
      <c r="H442" s="412"/>
      <c r="I442" s="412"/>
      <c r="J442" s="412"/>
      <c r="K442" s="412"/>
      <c r="L442" s="412"/>
      <c r="M442" s="412"/>
      <c r="N442" s="412"/>
      <c r="O442" s="412"/>
      <c r="P442" s="412"/>
      <c r="Q442" s="412"/>
      <c r="R442" s="412"/>
      <c r="S442" s="412"/>
      <c r="T442" s="412"/>
      <c r="U442" s="412"/>
      <c r="V442" s="412"/>
      <c r="W442" s="412"/>
      <c r="X442" s="412"/>
      <c r="Y442" s="412"/>
    </row>
    <row r="443">
      <c r="A443" s="411"/>
      <c r="B443" s="412"/>
      <c r="C443" s="412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35"/>
      <c r="W443" s="235"/>
      <c r="X443" s="235"/>
      <c r="Y443" s="235"/>
    </row>
    <row r="444">
      <c r="A444" s="411"/>
      <c r="B444" s="412"/>
      <c r="C444" s="412"/>
      <c r="D444" s="412"/>
      <c r="E444" s="412"/>
      <c r="F444" s="412"/>
      <c r="G444" s="412"/>
      <c r="H444" s="412"/>
      <c r="I444" s="412"/>
      <c r="J444" s="412"/>
      <c r="K444" s="412"/>
      <c r="L444" s="412"/>
      <c r="M444" s="412"/>
      <c r="N444" s="412"/>
      <c r="O444" s="412"/>
      <c r="P444" s="412"/>
      <c r="Q444" s="412"/>
      <c r="R444" s="412"/>
      <c r="S444" s="412"/>
      <c r="T444" s="412"/>
      <c r="U444" s="412"/>
      <c r="V444" s="412"/>
      <c r="W444" s="412"/>
      <c r="X444" s="412"/>
      <c r="Y444" s="412"/>
    </row>
    <row r="445">
      <c r="A445" s="411"/>
      <c r="B445" s="412"/>
      <c r="C445" s="412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35"/>
      <c r="W445" s="235"/>
      <c r="X445" s="235"/>
      <c r="Y445" s="235"/>
    </row>
    <row r="446">
      <c r="A446" s="411"/>
      <c r="B446" s="412"/>
      <c r="C446" s="412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35"/>
      <c r="W446" s="235"/>
      <c r="X446" s="235"/>
      <c r="Y446" s="235"/>
    </row>
    <row r="447">
      <c r="A447" s="411"/>
      <c r="B447" s="412"/>
      <c r="C447" s="412"/>
      <c r="D447" s="412"/>
      <c r="E447" s="412"/>
      <c r="F447" s="412"/>
      <c r="G447" s="412"/>
      <c r="H447" s="412"/>
      <c r="I447" s="412"/>
      <c r="J447" s="412"/>
      <c r="K447" s="412"/>
      <c r="L447" s="412"/>
      <c r="M447" s="412"/>
      <c r="N447" s="412"/>
      <c r="O447" s="412"/>
      <c r="P447" s="412"/>
      <c r="Q447" s="412"/>
      <c r="R447" s="412"/>
      <c r="S447" s="412"/>
      <c r="T447" s="412"/>
      <c r="U447" s="412"/>
      <c r="V447" s="412"/>
      <c r="W447" s="412"/>
      <c r="X447" s="412"/>
      <c r="Y447" s="412"/>
    </row>
    <row r="448">
      <c r="A448" s="411"/>
      <c r="B448" s="412"/>
      <c r="C448" s="412"/>
      <c r="D448" s="412"/>
      <c r="E448" s="412"/>
      <c r="F448" s="412"/>
      <c r="G448" s="412"/>
      <c r="H448" s="412"/>
      <c r="I448" s="412"/>
      <c r="J448" s="412"/>
      <c r="K448" s="412"/>
      <c r="L448" s="412"/>
      <c r="M448" s="412"/>
      <c r="N448" s="412"/>
      <c r="O448" s="412"/>
      <c r="P448" s="412"/>
      <c r="Q448" s="412"/>
      <c r="R448" s="412"/>
      <c r="S448" s="412"/>
      <c r="T448" s="412"/>
      <c r="U448" s="412"/>
      <c r="V448" s="412"/>
      <c r="W448" s="412"/>
      <c r="X448" s="412"/>
      <c r="Y448" s="412"/>
    </row>
    <row r="449">
      <c r="A449" s="411"/>
      <c r="B449" s="412"/>
      <c r="C449" s="412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35"/>
      <c r="W449" s="235"/>
      <c r="X449" s="235"/>
      <c r="Y449" s="235"/>
    </row>
    <row r="450">
      <c r="A450" s="411"/>
      <c r="B450" s="412"/>
      <c r="C450" s="412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35"/>
      <c r="W450" s="235"/>
      <c r="X450" s="235"/>
      <c r="Y450" s="235"/>
    </row>
    <row r="451">
      <c r="A451" s="411"/>
      <c r="B451" s="412"/>
      <c r="C451" s="412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35"/>
      <c r="W451" s="235"/>
      <c r="X451" s="235"/>
      <c r="Y451" s="235"/>
    </row>
    <row r="452">
      <c r="A452" s="411"/>
      <c r="B452" s="412"/>
      <c r="C452" s="412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35"/>
      <c r="W452" s="235"/>
      <c r="X452" s="235"/>
      <c r="Y452" s="235"/>
    </row>
    <row r="453">
      <c r="A453" s="411"/>
      <c r="B453" s="412"/>
      <c r="C453" s="412"/>
      <c r="D453" s="412"/>
      <c r="E453" s="412"/>
      <c r="F453" s="412"/>
      <c r="G453" s="412"/>
      <c r="H453" s="412"/>
      <c r="I453" s="412"/>
      <c r="J453" s="412"/>
      <c r="K453" s="412"/>
      <c r="L453" s="412"/>
      <c r="M453" s="412"/>
      <c r="N453" s="412"/>
      <c r="O453" s="412"/>
      <c r="P453" s="412"/>
      <c r="Q453" s="412"/>
      <c r="R453" s="412"/>
      <c r="S453" s="412"/>
      <c r="T453" s="412"/>
      <c r="U453" s="412"/>
      <c r="V453" s="412"/>
      <c r="W453" s="412"/>
      <c r="X453" s="412"/>
      <c r="Y453" s="412"/>
    </row>
    <row r="454">
      <c r="A454" s="411"/>
      <c r="B454" s="412"/>
      <c r="C454" s="412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35"/>
      <c r="W454" s="235"/>
      <c r="X454" s="235"/>
      <c r="Y454" s="235"/>
    </row>
    <row r="455">
      <c r="A455" s="411"/>
      <c r="B455" s="412"/>
      <c r="C455" s="412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35"/>
      <c r="W455" s="235"/>
      <c r="X455" s="235"/>
      <c r="Y455" s="235"/>
    </row>
    <row r="456">
      <c r="A456" s="411"/>
      <c r="B456" s="412"/>
      <c r="C456" s="412"/>
      <c r="D456" s="412"/>
      <c r="E456" s="412"/>
      <c r="F456" s="412"/>
      <c r="G456" s="412"/>
      <c r="H456" s="412"/>
      <c r="I456" s="412"/>
      <c r="J456" s="412"/>
      <c r="K456" s="412"/>
      <c r="L456" s="412"/>
      <c r="M456" s="412"/>
      <c r="N456" s="412"/>
      <c r="O456" s="412"/>
      <c r="P456" s="412"/>
      <c r="Q456" s="412"/>
      <c r="R456" s="412"/>
      <c r="S456" s="412"/>
      <c r="T456" s="412"/>
      <c r="U456" s="412"/>
      <c r="V456" s="412"/>
      <c r="W456" s="412"/>
      <c r="X456" s="412"/>
      <c r="Y456" s="412"/>
    </row>
    <row r="457">
      <c r="A457" s="411"/>
      <c r="B457" s="412"/>
      <c r="C457" s="412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35"/>
      <c r="W457" s="235"/>
      <c r="X457" s="235"/>
      <c r="Y457" s="235"/>
    </row>
    <row r="458">
      <c r="A458" s="411"/>
      <c r="B458" s="412"/>
      <c r="C458" s="412"/>
      <c r="D458" s="412"/>
      <c r="E458" s="412"/>
      <c r="F458" s="412"/>
      <c r="G458" s="412"/>
      <c r="H458" s="412"/>
      <c r="I458" s="412"/>
      <c r="J458" s="412"/>
      <c r="K458" s="412"/>
      <c r="L458" s="412"/>
      <c r="M458" s="412"/>
      <c r="N458" s="412"/>
      <c r="O458" s="412"/>
      <c r="P458" s="412"/>
      <c r="Q458" s="412"/>
      <c r="R458" s="412"/>
      <c r="S458" s="412"/>
      <c r="T458" s="412"/>
      <c r="U458" s="412"/>
      <c r="V458" s="412"/>
      <c r="W458" s="412"/>
      <c r="X458" s="412"/>
      <c r="Y458" s="412"/>
    </row>
    <row r="459">
      <c r="A459" s="411"/>
      <c r="B459" s="412"/>
      <c r="C459" s="412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35"/>
      <c r="W459" s="235"/>
      <c r="X459" s="235"/>
      <c r="Y459" s="235"/>
    </row>
    <row r="460">
      <c r="A460" s="411"/>
      <c r="B460" s="412"/>
      <c r="C460" s="412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35"/>
      <c r="W460" s="235"/>
      <c r="X460" s="235"/>
      <c r="Y460" s="235"/>
    </row>
    <row r="461">
      <c r="A461" s="411"/>
      <c r="B461" s="412"/>
      <c r="C461" s="412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35"/>
      <c r="W461" s="235"/>
      <c r="X461" s="235"/>
      <c r="Y461" s="235"/>
    </row>
    <row r="462">
      <c r="A462" s="411"/>
      <c r="B462" s="412"/>
      <c r="C462" s="412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35"/>
      <c r="W462" s="235"/>
      <c r="X462" s="235"/>
      <c r="Y462" s="235"/>
    </row>
    <row r="463">
      <c r="A463" s="411"/>
      <c r="B463" s="412"/>
      <c r="C463" s="412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35"/>
      <c r="W463" s="235"/>
      <c r="X463" s="235"/>
      <c r="Y463" s="235"/>
    </row>
    <row r="464">
      <c r="A464" s="411"/>
      <c r="B464" s="412"/>
      <c r="C464" s="412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35"/>
      <c r="W464" s="235"/>
      <c r="X464" s="235"/>
      <c r="Y464" s="235"/>
    </row>
    <row r="465">
      <c r="A465" s="411"/>
      <c r="B465" s="412"/>
      <c r="C465" s="412"/>
      <c r="D465" s="412"/>
      <c r="E465" s="412"/>
      <c r="F465" s="412"/>
      <c r="G465" s="412"/>
      <c r="H465" s="412"/>
      <c r="I465" s="412"/>
      <c r="J465" s="412"/>
      <c r="K465" s="412"/>
      <c r="L465" s="412"/>
      <c r="M465" s="412"/>
      <c r="N465" s="412"/>
      <c r="O465" s="412"/>
      <c r="P465" s="412"/>
      <c r="Q465" s="412"/>
      <c r="R465" s="412"/>
      <c r="S465" s="412"/>
      <c r="T465" s="412"/>
      <c r="U465" s="412"/>
      <c r="V465" s="412"/>
      <c r="W465" s="412"/>
      <c r="X465" s="412"/>
      <c r="Y465" s="412"/>
    </row>
    <row r="466">
      <c r="A466" s="411"/>
      <c r="B466" s="412"/>
      <c r="C466" s="412"/>
      <c r="D466" s="412"/>
      <c r="E466" s="412"/>
      <c r="F466" s="412"/>
      <c r="G466" s="412"/>
      <c r="H466" s="412"/>
      <c r="I466" s="412"/>
      <c r="J466" s="412"/>
      <c r="K466" s="412"/>
      <c r="L466" s="412"/>
      <c r="M466" s="412"/>
      <c r="N466" s="412"/>
      <c r="O466" s="412"/>
      <c r="P466" s="412"/>
      <c r="Q466" s="412"/>
      <c r="R466" s="412"/>
      <c r="S466" s="412"/>
      <c r="T466" s="412"/>
      <c r="U466" s="412"/>
      <c r="V466" s="412"/>
      <c r="W466" s="412"/>
      <c r="X466" s="412"/>
      <c r="Y466" s="412"/>
    </row>
    <row r="467">
      <c r="A467" s="411"/>
      <c r="B467" s="412"/>
      <c r="C467" s="412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35"/>
      <c r="W467" s="235"/>
      <c r="X467" s="235"/>
      <c r="Y467" s="235"/>
    </row>
    <row r="468">
      <c r="A468" s="411"/>
      <c r="B468" s="412"/>
      <c r="C468" s="412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35"/>
      <c r="W468" s="235"/>
      <c r="X468" s="235"/>
      <c r="Y468" s="235"/>
    </row>
    <row r="469">
      <c r="A469" s="411"/>
      <c r="B469" s="412"/>
      <c r="C469" s="412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35"/>
      <c r="W469" s="235"/>
      <c r="X469" s="235"/>
      <c r="Y469" s="235"/>
    </row>
    <row r="470">
      <c r="A470" s="411"/>
      <c r="B470" s="412"/>
      <c r="C470" s="412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35"/>
      <c r="W470" s="235"/>
      <c r="X470" s="235"/>
      <c r="Y470" s="235"/>
    </row>
    <row r="471">
      <c r="A471" s="411"/>
      <c r="B471" s="412"/>
      <c r="C471" s="412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35"/>
      <c r="W471" s="235"/>
      <c r="X471" s="235"/>
      <c r="Y471" s="235"/>
    </row>
    <row r="472">
      <c r="A472" s="411"/>
      <c r="B472" s="412"/>
      <c r="C472" s="412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35"/>
      <c r="W472" s="235"/>
      <c r="X472" s="235"/>
      <c r="Y472" s="235"/>
    </row>
    <row r="473">
      <c r="A473" s="411"/>
      <c r="B473" s="412"/>
      <c r="C473" s="412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35"/>
      <c r="W473" s="235"/>
      <c r="X473" s="235"/>
      <c r="Y473" s="235"/>
    </row>
    <row r="474">
      <c r="A474" s="411"/>
      <c r="B474" s="412"/>
      <c r="C474" s="412"/>
      <c r="D474" s="412"/>
      <c r="E474" s="412"/>
      <c r="F474" s="412"/>
      <c r="G474" s="412"/>
      <c r="H474" s="412"/>
      <c r="I474" s="412"/>
      <c r="J474" s="412"/>
      <c r="K474" s="412"/>
      <c r="L474" s="412"/>
      <c r="M474" s="412"/>
      <c r="N474" s="412"/>
      <c r="O474" s="412"/>
      <c r="P474" s="412"/>
      <c r="Q474" s="412"/>
      <c r="R474" s="412"/>
      <c r="S474" s="412"/>
      <c r="T474" s="412"/>
      <c r="U474" s="412"/>
      <c r="V474" s="412"/>
      <c r="W474" s="412"/>
      <c r="X474" s="412"/>
      <c r="Y474" s="412"/>
    </row>
    <row r="475">
      <c r="A475" s="411"/>
      <c r="B475" s="412"/>
      <c r="C475" s="412"/>
      <c r="D475" s="412"/>
      <c r="E475" s="412"/>
      <c r="F475" s="412"/>
      <c r="G475" s="412"/>
      <c r="H475" s="412"/>
      <c r="I475" s="412"/>
      <c r="J475" s="412"/>
      <c r="K475" s="412"/>
      <c r="L475" s="412"/>
      <c r="M475" s="412"/>
      <c r="N475" s="412"/>
      <c r="O475" s="412"/>
      <c r="P475" s="412"/>
      <c r="Q475" s="412"/>
      <c r="R475" s="412"/>
      <c r="S475" s="412"/>
      <c r="T475" s="412"/>
      <c r="U475" s="412"/>
      <c r="V475" s="412"/>
      <c r="W475" s="412"/>
      <c r="X475" s="412"/>
      <c r="Y475" s="412"/>
    </row>
    <row r="476">
      <c r="A476" s="411"/>
      <c r="B476" s="412"/>
      <c r="C476" s="412"/>
      <c r="D476" s="416"/>
      <c r="E476" s="416"/>
      <c r="F476" s="416"/>
      <c r="G476" s="416"/>
      <c r="H476" s="416"/>
      <c r="I476" s="416"/>
      <c r="J476" s="416"/>
      <c r="K476" s="416"/>
      <c r="L476" s="416"/>
      <c r="M476" s="416"/>
      <c r="N476" s="416"/>
      <c r="O476" s="416"/>
      <c r="P476" s="416"/>
      <c r="Q476" s="416"/>
      <c r="R476" s="416"/>
      <c r="S476" s="416"/>
      <c r="T476" s="416"/>
      <c r="U476" s="416"/>
      <c r="V476" s="416"/>
      <c r="W476" s="416"/>
      <c r="X476" s="416"/>
      <c r="Y476" s="416"/>
    </row>
    <row r="477">
      <c r="A477" s="411"/>
      <c r="B477" s="412"/>
      <c r="C477" s="412"/>
      <c r="D477" s="412"/>
      <c r="E477" s="412"/>
      <c r="F477" s="412"/>
      <c r="G477" s="412"/>
      <c r="H477" s="412"/>
      <c r="I477" s="412"/>
      <c r="J477" s="412"/>
      <c r="K477" s="412"/>
      <c r="L477" s="412"/>
      <c r="M477" s="412"/>
      <c r="N477" s="412"/>
      <c r="O477" s="412"/>
      <c r="P477" s="412"/>
      <c r="Q477" s="412"/>
      <c r="R477" s="412"/>
      <c r="S477" s="412"/>
      <c r="T477" s="412"/>
      <c r="U477" s="412"/>
      <c r="V477" s="412"/>
      <c r="W477" s="412"/>
      <c r="X477" s="412"/>
      <c r="Y477" s="412"/>
    </row>
    <row r="478">
      <c r="A478" s="411"/>
      <c r="B478" s="412"/>
      <c r="C478" s="412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35"/>
      <c r="W478" s="235"/>
      <c r="X478" s="235"/>
      <c r="Y478" s="235"/>
    </row>
    <row r="479">
      <c r="A479" s="411"/>
      <c r="B479" s="412"/>
      <c r="C479" s="412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35"/>
      <c r="W479" s="235"/>
      <c r="X479" s="235"/>
      <c r="Y479" s="235"/>
    </row>
    <row r="480">
      <c r="A480" s="411"/>
      <c r="B480" s="412"/>
      <c r="C480" s="412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35"/>
      <c r="W480" s="235"/>
      <c r="X480" s="235"/>
      <c r="Y480" s="235"/>
    </row>
    <row r="481">
      <c r="A481" s="411"/>
      <c r="B481" s="412"/>
      <c r="C481" s="412"/>
      <c r="D481" s="412"/>
      <c r="E481" s="412"/>
      <c r="F481" s="412"/>
      <c r="G481" s="412"/>
      <c r="H481" s="412"/>
      <c r="I481" s="412"/>
      <c r="J481" s="412"/>
      <c r="K481" s="412"/>
      <c r="L481" s="412"/>
      <c r="M481" s="412"/>
      <c r="N481" s="412"/>
      <c r="O481" s="412"/>
      <c r="P481" s="412"/>
      <c r="Q481" s="412"/>
      <c r="R481" s="412"/>
      <c r="S481" s="412"/>
      <c r="T481" s="412"/>
      <c r="U481" s="412"/>
      <c r="V481" s="412"/>
      <c r="W481" s="412"/>
      <c r="X481" s="412"/>
      <c r="Y481" s="412"/>
    </row>
    <row r="482">
      <c r="A482" s="411"/>
      <c r="B482" s="412"/>
      <c r="C482" s="412"/>
      <c r="D482" s="412"/>
      <c r="E482" s="412"/>
      <c r="F482" s="412"/>
      <c r="G482" s="412"/>
      <c r="H482" s="412"/>
      <c r="I482" s="412"/>
      <c r="J482" s="412"/>
      <c r="K482" s="412"/>
      <c r="L482" s="412"/>
      <c r="M482" s="412"/>
      <c r="N482" s="412"/>
      <c r="O482" s="412"/>
      <c r="P482" s="412"/>
      <c r="Q482" s="412"/>
      <c r="R482" s="412"/>
      <c r="S482" s="412"/>
      <c r="T482" s="412"/>
      <c r="U482" s="412"/>
      <c r="V482" s="412"/>
      <c r="W482" s="412"/>
      <c r="X482" s="412"/>
      <c r="Y482" s="412"/>
    </row>
    <row r="483">
      <c r="A483" s="411"/>
      <c r="B483" s="412"/>
      <c r="C483" s="412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35"/>
      <c r="W483" s="235"/>
      <c r="X483" s="235"/>
      <c r="Y483" s="235"/>
    </row>
    <row r="484">
      <c r="A484" s="411"/>
      <c r="B484" s="412"/>
      <c r="C484" s="412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35"/>
      <c r="W484" s="235"/>
      <c r="X484" s="235"/>
      <c r="Y484" s="235"/>
    </row>
    <row r="485">
      <c r="A485" s="411"/>
      <c r="B485" s="412"/>
      <c r="C485" s="412"/>
      <c r="D485" s="412"/>
      <c r="E485" s="412"/>
      <c r="F485" s="412"/>
      <c r="G485" s="412"/>
      <c r="H485" s="412"/>
      <c r="I485" s="412"/>
      <c r="J485" s="412"/>
      <c r="K485" s="412"/>
      <c r="L485" s="412"/>
      <c r="M485" s="412"/>
      <c r="N485" s="412"/>
      <c r="O485" s="412"/>
      <c r="P485" s="412"/>
      <c r="Q485" s="412"/>
      <c r="R485" s="412"/>
      <c r="S485" s="412"/>
      <c r="T485" s="412"/>
      <c r="U485" s="412"/>
      <c r="V485" s="412"/>
      <c r="W485" s="412"/>
      <c r="X485" s="412"/>
      <c r="Y485" s="412"/>
    </row>
    <row r="486">
      <c r="A486" s="411"/>
      <c r="B486" s="412"/>
      <c r="C486" s="412"/>
      <c r="D486" s="412"/>
      <c r="E486" s="412"/>
      <c r="F486" s="412"/>
      <c r="G486" s="412"/>
      <c r="H486" s="412"/>
      <c r="I486" s="412"/>
      <c r="J486" s="412"/>
      <c r="K486" s="412"/>
      <c r="L486" s="412"/>
      <c r="M486" s="412"/>
      <c r="N486" s="412"/>
      <c r="O486" s="412"/>
      <c r="P486" s="412"/>
      <c r="Q486" s="412"/>
      <c r="R486" s="412"/>
      <c r="S486" s="412"/>
      <c r="T486" s="412"/>
      <c r="U486" s="412"/>
      <c r="V486" s="412"/>
      <c r="W486" s="412"/>
      <c r="X486" s="412"/>
      <c r="Y486" s="412"/>
    </row>
    <row r="487">
      <c r="A487" s="411"/>
      <c r="B487" s="412"/>
      <c r="C487" s="412"/>
      <c r="D487" s="412"/>
      <c r="E487" s="412"/>
      <c r="F487" s="412"/>
      <c r="G487" s="412"/>
      <c r="H487" s="412"/>
      <c r="I487" s="412"/>
      <c r="J487" s="412"/>
      <c r="K487" s="412"/>
      <c r="L487" s="412"/>
      <c r="M487" s="412"/>
      <c r="N487" s="412"/>
      <c r="O487" s="412"/>
      <c r="P487" s="412"/>
      <c r="Q487" s="412"/>
      <c r="R487" s="412"/>
      <c r="S487" s="412"/>
      <c r="T487" s="412"/>
      <c r="U487" s="412"/>
      <c r="V487" s="412"/>
      <c r="W487" s="412"/>
      <c r="X487" s="412"/>
      <c r="Y487" s="412"/>
    </row>
    <row r="488">
      <c r="A488" s="411"/>
      <c r="B488" s="412"/>
      <c r="C488" s="412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35"/>
      <c r="W488" s="235"/>
      <c r="X488" s="235"/>
      <c r="Y488" s="235"/>
    </row>
    <row r="489">
      <c r="A489" s="411"/>
      <c r="B489" s="412"/>
      <c r="C489" s="412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35"/>
      <c r="W489" s="235"/>
      <c r="X489" s="235"/>
      <c r="Y489" s="235"/>
    </row>
    <row r="490">
      <c r="A490" s="411"/>
      <c r="B490" s="412"/>
      <c r="C490" s="412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35"/>
      <c r="W490" s="235"/>
      <c r="X490" s="235"/>
      <c r="Y490" s="235"/>
    </row>
    <row r="491">
      <c r="A491" s="411"/>
      <c r="B491" s="412"/>
      <c r="C491" s="412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35"/>
      <c r="W491" s="235"/>
      <c r="X491" s="235"/>
      <c r="Y491" s="235"/>
    </row>
    <row r="492">
      <c r="A492" s="411"/>
      <c r="B492" s="412"/>
      <c r="C492" s="412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35"/>
      <c r="W492" s="235"/>
      <c r="X492" s="235"/>
      <c r="Y492" s="235"/>
    </row>
    <row r="493">
      <c r="A493" s="411"/>
      <c r="B493" s="412"/>
      <c r="C493" s="412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35"/>
      <c r="W493" s="235"/>
      <c r="X493" s="235"/>
      <c r="Y493" s="235"/>
    </row>
    <row r="494">
      <c r="A494" s="411"/>
      <c r="B494" s="412"/>
      <c r="C494" s="412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35"/>
      <c r="W494" s="235"/>
      <c r="X494" s="235"/>
      <c r="Y494" s="235"/>
    </row>
    <row r="495">
      <c r="A495" s="411"/>
      <c r="B495" s="412"/>
      <c r="C495" s="412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35"/>
      <c r="W495" s="235"/>
      <c r="X495" s="235"/>
      <c r="Y495" s="235"/>
    </row>
    <row r="496">
      <c r="A496" s="411"/>
      <c r="B496" s="412"/>
      <c r="C496" s="412"/>
      <c r="D496" s="416"/>
      <c r="E496" s="416"/>
      <c r="F496" s="416"/>
      <c r="G496" s="416"/>
      <c r="H496" s="416"/>
      <c r="I496" s="416"/>
      <c r="J496" s="416"/>
      <c r="K496" s="416"/>
      <c r="L496" s="416"/>
      <c r="M496" s="416"/>
      <c r="N496" s="416"/>
      <c r="O496" s="416"/>
      <c r="P496" s="416"/>
      <c r="Q496" s="416"/>
      <c r="R496" s="416"/>
      <c r="S496" s="416"/>
      <c r="T496" s="416"/>
      <c r="U496" s="416"/>
      <c r="V496" s="416"/>
      <c r="W496" s="416"/>
      <c r="X496" s="416"/>
      <c r="Y496" s="416"/>
    </row>
    <row r="497">
      <c r="A497" s="411"/>
      <c r="B497" s="412"/>
      <c r="C497" s="412"/>
      <c r="D497" s="412"/>
      <c r="E497" s="412"/>
      <c r="F497" s="412"/>
      <c r="G497" s="412"/>
      <c r="H497" s="412"/>
      <c r="I497" s="412"/>
      <c r="J497" s="412"/>
      <c r="K497" s="412"/>
      <c r="L497" s="412"/>
      <c r="M497" s="412"/>
      <c r="N497" s="412"/>
      <c r="O497" s="412"/>
      <c r="P497" s="412"/>
      <c r="Q497" s="412"/>
      <c r="R497" s="412"/>
      <c r="S497" s="412"/>
      <c r="T497" s="412"/>
      <c r="U497" s="412"/>
      <c r="V497" s="412"/>
      <c r="W497" s="412"/>
      <c r="X497" s="412"/>
      <c r="Y497" s="412"/>
    </row>
    <row r="498">
      <c r="A498" s="411"/>
      <c r="B498" s="412"/>
      <c r="C498" s="412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35"/>
      <c r="W498" s="235"/>
      <c r="X498" s="235"/>
      <c r="Y498" s="235"/>
    </row>
    <row r="499">
      <c r="A499" s="411"/>
      <c r="B499" s="412"/>
      <c r="C499" s="412"/>
      <c r="D499" s="412"/>
      <c r="E499" s="412"/>
      <c r="F499" s="412"/>
      <c r="G499" s="412"/>
      <c r="H499" s="412"/>
      <c r="I499" s="412"/>
      <c r="J499" s="412"/>
      <c r="K499" s="412"/>
      <c r="L499" s="412"/>
      <c r="M499" s="412"/>
      <c r="N499" s="412"/>
      <c r="O499" s="412"/>
      <c r="P499" s="412"/>
      <c r="Q499" s="412"/>
      <c r="R499" s="412"/>
      <c r="S499" s="412"/>
      <c r="T499" s="412"/>
      <c r="U499" s="412"/>
      <c r="V499" s="412"/>
      <c r="W499" s="412"/>
      <c r="X499" s="412"/>
      <c r="Y499" s="412"/>
    </row>
    <row r="500">
      <c r="A500" s="411"/>
      <c r="B500" s="412"/>
      <c r="C500" s="412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35"/>
      <c r="W500" s="235"/>
      <c r="X500" s="235"/>
      <c r="Y500" s="235"/>
    </row>
    <row r="501">
      <c r="A501" s="411"/>
      <c r="B501" s="412"/>
      <c r="C501" s="412"/>
      <c r="D501" s="412"/>
      <c r="E501" s="412"/>
      <c r="F501" s="412"/>
      <c r="G501" s="412"/>
      <c r="H501" s="412"/>
      <c r="I501" s="412"/>
      <c r="J501" s="412"/>
      <c r="K501" s="412"/>
      <c r="L501" s="412"/>
      <c r="M501" s="412"/>
      <c r="N501" s="412"/>
      <c r="O501" s="412"/>
      <c r="P501" s="412"/>
      <c r="Q501" s="412"/>
      <c r="R501" s="412"/>
      <c r="S501" s="412"/>
      <c r="T501" s="412"/>
      <c r="U501" s="412"/>
      <c r="V501" s="412"/>
      <c r="W501" s="412"/>
      <c r="X501" s="412"/>
      <c r="Y501" s="412"/>
    </row>
    <row r="502">
      <c r="A502" s="411"/>
      <c r="B502" s="412"/>
      <c r="C502" s="412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35"/>
      <c r="W502" s="235"/>
      <c r="X502" s="235"/>
      <c r="Y502" s="235"/>
    </row>
    <row r="503">
      <c r="A503" s="411"/>
      <c r="B503" s="412"/>
      <c r="C503" s="412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35"/>
      <c r="W503" s="235"/>
      <c r="X503" s="235"/>
      <c r="Y503" s="235"/>
    </row>
    <row r="504">
      <c r="A504" s="411"/>
      <c r="B504" s="412"/>
      <c r="C504" s="412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35"/>
      <c r="W504" s="235"/>
      <c r="X504" s="235"/>
      <c r="Y504" s="235"/>
    </row>
    <row r="505">
      <c r="A505" s="411"/>
      <c r="B505" s="412"/>
      <c r="C505" s="412"/>
      <c r="D505" s="412"/>
      <c r="E505" s="412"/>
      <c r="F505" s="412"/>
      <c r="G505" s="412"/>
      <c r="H505" s="412"/>
      <c r="I505" s="412"/>
      <c r="J505" s="412"/>
      <c r="K505" s="412"/>
      <c r="L505" s="412"/>
      <c r="M505" s="412"/>
      <c r="N505" s="412"/>
      <c r="O505" s="412"/>
      <c r="P505" s="412"/>
      <c r="Q505" s="412"/>
      <c r="R505" s="412"/>
      <c r="S505" s="412"/>
      <c r="T505" s="412"/>
      <c r="U505" s="412"/>
      <c r="V505" s="412"/>
      <c r="W505" s="412"/>
      <c r="X505" s="412"/>
      <c r="Y505" s="412"/>
    </row>
    <row r="506">
      <c r="A506" s="411"/>
      <c r="B506" s="412"/>
      <c r="C506" s="412"/>
      <c r="D506" s="412"/>
      <c r="E506" s="412"/>
      <c r="F506" s="412"/>
      <c r="G506" s="412"/>
      <c r="H506" s="412"/>
      <c r="I506" s="412"/>
      <c r="J506" s="412"/>
      <c r="K506" s="412"/>
      <c r="L506" s="412"/>
      <c r="M506" s="412"/>
      <c r="N506" s="412"/>
      <c r="O506" s="412"/>
      <c r="P506" s="412"/>
      <c r="Q506" s="412"/>
      <c r="R506" s="412"/>
      <c r="S506" s="412"/>
      <c r="T506" s="412"/>
      <c r="U506" s="412"/>
      <c r="V506" s="412"/>
      <c r="W506" s="412"/>
      <c r="X506" s="412"/>
      <c r="Y506" s="412"/>
    </row>
    <row r="507">
      <c r="A507" s="411"/>
      <c r="B507" s="412"/>
      <c r="C507" s="412"/>
      <c r="D507" s="412"/>
      <c r="E507" s="412"/>
      <c r="F507" s="412"/>
      <c r="G507" s="412"/>
      <c r="H507" s="412"/>
      <c r="I507" s="412"/>
      <c r="J507" s="412"/>
      <c r="K507" s="412"/>
      <c r="L507" s="412"/>
      <c r="M507" s="412"/>
      <c r="N507" s="412"/>
      <c r="O507" s="412"/>
      <c r="P507" s="412"/>
      <c r="Q507" s="412"/>
      <c r="R507" s="412"/>
      <c r="S507" s="412"/>
      <c r="T507" s="412"/>
      <c r="U507" s="412"/>
      <c r="V507" s="412"/>
      <c r="W507" s="412"/>
      <c r="X507" s="412"/>
      <c r="Y507" s="412"/>
    </row>
    <row r="508">
      <c r="A508" s="411"/>
      <c r="B508" s="412"/>
      <c r="C508" s="412"/>
      <c r="D508" s="412"/>
      <c r="E508" s="412"/>
      <c r="F508" s="412"/>
      <c r="G508" s="412"/>
      <c r="H508" s="412"/>
      <c r="I508" s="412"/>
      <c r="J508" s="412"/>
      <c r="K508" s="412"/>
      <c r="L508" s="412"/>
      <c r="M508" s="412"/>
      <c r="N508" s="412"/>
      <c r="O508" s="412"/>
      <c r="P508" s="412"/>
      <c r="Q508" s="412"/>
      <c r="R508" s="412"/>
      <c r="S508" s="412"/>
      <c r="T508" s="412"/>
      <c r="U508" s="412"/>
      <c r="V508" s="412"/>
      <c r="W508" s="412"/>
      <c r="X508" s="412"/>
      <c r="Y508" s="412"/>
    </row>
    <row r="509">
      <c r="A509" s="411"/>
      <c r="B509" s="412"/>
      <c r="C509" s="412"/>
      <c r="D509" s="412"/>
      <c r="E509" s="412"/>
      <c r="F509" s="412"/>
      <c r="G509" s="412"/>
      <c r="H509" s="412"/>
      <c r="I509" s="412"/>
      <c r="J509" s="412"/>
      <c r="K509" s="412"/>
      <c r="L509" s="412"/>
      <c r="M509" s="412"/>
      <c r="N509" s="412"/>
      <c r="O509" s="412"/>
      <c r="P509" s="412"/>
      <c r="Q509" s="412"/>
      <c r="R509" s="412"/>
      <c r="S509" s="412"/>
      <c r="T509" s="412"/>
      <c r="U509" s="412"/>
      <c r="V509" s="412"/>
      <c r="W509" s="412"/>
      <c r="X509" s="412"/>
      <c r="Y509" s="412"/>
    </row>
    <row r="510">
      <c r="A510" s="411"/>
      <c r="B510" s="236"/>
      <c r="C510" s="236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</row>
    <row r="511">
      <c r="A511" s="411"/>
      <c r="B511" s="236"/>
      <c r="C511" s="236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</row>
    <row r="512">
      <c r="A512" s="411"/>
      <c r="B512" s="236"/>
      <c r="C512" s="236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</row>
    <row r="513">
      <c r="A513" s="411"/>
      <c r="B513" s="236"/>
      <c r="C513" s="236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</row>
    <row r="514">
      <c r="A514" s="411"/>
      <c r="B514" s="236"/>
      <c r="C514" s="236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</row>
    <row r="515">
      <c r="A515" s="411"/>
      <c r="B515" s="236"/>
      <c r="C515" s="236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</row>
    <row r="516">
      <c r="A516" s="411"/>
      <c r="B516" s="236"/>
      <c r="C516" s="236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</row>
    <row r="517">
      <c r="A517" s="411"/>
      <c r="B517" s="236"/>
      <c r="C517" s="236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</row>
    <row r="518">
      <c r="A518" s="411"/>
      <c r="B518" s="236"/>
      <c r="C518" s="236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</row>
    <row r="519">
      <c r="A519" s="411"/>
      <c r="B519" s="412"/>
      <c r="C519" s="412"/>
      <c r="D519" s="412"/>
      <c r="E519" s="412"/>
      <c r="F519" s="412"/>
      <c r="G519" s="412"/>
      <c r="H519" s="412"/>
      <c r="I519" s="412"/>
      <c r="J519" s="412"/>
      <c r="K519" s="412"/>
      <c r="L519" s="412"/>
      <c r="M519" s="412"/>
      <c r="N519" s="412"/>
      <c r="O519" s="412"/>
      <c r="P519" s="412"/>
      <c r="Q519" s="412"/>
      <c r="R519" s="412"/>
      <c r="S519" s="412"/>
      <c r="T519" s="412"/>
      <c r="U519" s="412"/>
      <c r="V519" s="412"/>
      <c r="W519" s="412"/>
      <c r="X519" s="412"/>
      <c r="Y519" s="412"/>
    </row>
    <row r="520">
      <c r="A520" s="411"/>
      <c r="B520" s="236"/>
      <c r="C520" s="236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</row>
    <row r="521">
      <c r="A521" s="411"/>
      <c r="B521" s="236"/>
      <c r="C521" s="236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</row>
    <row r="522">
      <c r="A522" s="411"/>
      <c r="B522" s="236"/>
      <c r="C522" s="236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</row>
    <row r="523">
      <c r="A523" s="411"/>
      <c r="B523" s="412"/>
      <c r="C523" s="412"/>
      <c r="D523" s="412"/>
      <c r="E523" s="412"/>
      <c r="F523" s="412"/>
      <c r="G523" s="412"/>
      <c r="H523" s="412"/>
      <c r="I523" s="412"/>
      <c r="J523" s="412"/>
      <c r="K523" s="412"/>
      <c r="L523" s="412"/>
      <c r="M523" s="412"/>
      <c r="N523" s="412"/>
      <c r="O523" s="412"/>
      <c r="P523" s="412"/>
      <c r="Q523" s="412"/>
      <c r="R523" s="412"/>
      <c r="S523" s="412"/>
      <c r="T523" s="412"/>
      <c r="U523" s="412"/>
      <c r="V523" s="412"/>
      <c r="W523" s="412"/>
      <c r="X523" s="412"/>
      <c r="Y523" s="412"/>
    </row>
    <row r="524">
      <c r="A524" s="411"/>
      <c r="B524" s="236"/>
      <c r="C524" s="236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</row>
    <row r="525">
      <c r="A525" s="411"/>
      <c r="B525" s="236"/>
      <c r="C525" s="236"/>
      <c r="D525" s="236"/>
      <c r="E525" s="236"/>
      <c r="F525" s="236"/>
      <c r="G525" s="236"/>
      <c r="H525" s="236"/>
      <c r="I525" s="236"/>
      <c r="J525" s="236"/>
      <c r="K525" s="236"/>
      <c r="L525" s="236"/>
      <c r="M525" s="236"/>
      <c r="N525" s="236"/>
      <c r="O525" s="236"/>
      <c r="P525" s="236"/>
      <c r="Q525" s="236"/>
      <c r="R525" s="236"/>
      <c r="S525" s="236"/>
      <c r="T525" s="236"/>
      <c r="U525" s="236"/>
      <c r="V525" s="236"/>
      <c r="W525" s="236"/>
      <c r="X525" s="236"/>
      <c r="Y525" s="236"/>
    </row>
    <row r="526">
      <c r="A526" s="411"/>
      <c r="B526" s="236"/>
      <c r="C526" s="236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</row>
    <row r="527">
      <c r="A527" s="411"/>
      <c r="B527" s="236"/>
      <c r="C527" s="236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</row>
    <row r="528">
      <c r="A528" s="411"/>
      <c r="B528" s="412"/>
      <c r="C528" s="412"/>
      <c r="D528" s="412"/>
      <c r="E528" s="412"/>
      <c r="F528" s="412"/>
      <c r="G528" s="412"/>
      <c r="H528" s="412"/>
      <c r="I528" s="412"/>
      <c r="J528" s="412"/>
      <c r="K528" s="412"/>
      <c r="L528" s="412"/>
      <c r="M528" s="412"/>
      <c r="N528" s="412"/>
      <c r="O528" s="412"/>
      <c r="P528" s="412"/>
      <c r="Q528" s="412"/>
      <c r="R528" s="412"/>
      <c r="S528" s="412"/>
      <c r="T528" s="412"/>
      <c r="U528" s="412"/>
      <c r="V528" s="412"/>
      <c r="W528" s="412"/>
      <c r="X528" s="412"/>
      <c r="Y528" s="412"/>
    </row>
    <row r="529">
      <c r="A529" s="411"/>
      <c r="B529" s="236"/>
      <c r="C529" s="236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</row>
    <row r="530">
      <c r="A530" s="411"/>
      <c r="B530" s="236"/>
      <c r="C530" s="236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</row>
    <row r="531">
      <c r="A531" s="411"/>
      <c r="B531" s="412"/>
      <c r="C531" s="412"/>
      <c r="D531" s="412"/>
      <c r="E531" s="412"/>
      <c r="F531" s="412"/>
      <c r="G531" s="412"/>
      <c r="H531" s="412"/>
      <c r="I531" s="412"/>
      <c r="J531" s="412"/>
      <c r="K531" s="412"/>
      <c r="L531" s="412"/>
      <c r="M531" s="412"/>
      <c r="N531" s="412"/>
      <c r="O531" s="412"/>
      <c r="P531" s="412"/>
      <c r="Q531" s="412"/>
      <c r="R531" s="412"/>
      <c r="S531" s="412"/>
      <c r="T531" s="412"/>
      <c r="U531" s="412"/>
      <c r="V531" s="412"/>
      <c r="W531" s="412"/>
      <c r="X531" s="412"/>
      <c r="Y531" s="412"/>
    </row>
    <row r="532">
      <c r="A532" s="411"/>
      <c r="B532" s="236"/>
      <c r="C532" s="236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</row>
    <row r="533">
      <c r="A533" s="411"/>
      <c r="B533" s="236"/>
      <c r="C533" s="236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</row>
    <row r="534">
      <c r="A534" s="411"/>
      <c r="B534" s="236"/>
      <c r="C534" s="236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</row>
    <row r="535">
      <c r="A535" s="411"/>
      <c r="B535" s="236"/>
      <c r="C535" s="236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</row>
    <row r="536">
      <c r="A536" s="411"/>
      <c r="B536" s="236"/>
      <c r="C536" s="236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</row>
    <row r="537">
      <c r="A537" s="411"/>
      <c r="B537" s="236"/>
      <c r="C537" s="236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</row>
    <row r="538">
      <c r="A538" s="411"/>
      <c r="B538" s="236"/>
      <c r="C538" s="236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</row>
    <row r="539">
      <c r="A539" s="411"/>
      <c r="B539" s="412"/>
      <c r="C539" s="412"/>
      <c r="D539" s="412"/>
      <c r="E539" s="412"/>
      <c r="F539" s="412"/>
      <c r="G539" s="412"/>
      <c r="H539" s="412"/>
      <c r="I539" s="412"/>
      <c r="J539" s="412"/>
      <c r="K539" s="412"/>
      <c r="L539" s="412"/>
      <c r="M539" s="412"/>
      <c r="N539" s="412"/>
      <c r="O539" s="412"/>
      <c r="P539" s="412"/>
      <c r="Q539" s="412"/>
      <c r="R539" s="412"/>
      <c r="S539" s="412"/>
      <c r="T539" s="412"/>
      <c r="U539" s="412"/>
      <c r="V539" s="412"/>
      <c r="W539" s="412"/>
      <c r="X539" s="412"/>
      <c r="Y539" s="412"/>
    </row>
    <row r="540">
      <c r="A540" s="411"/>
      <c r="B540" s="236"/>
      <c r="C540" s="236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</row>
    <row r="541">
      <c r="A541" s="411"/>
      <c r="B541" s="236"/>
      <c r="C541" s="236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</row>
    <row r="542">
      <c r="A542" s="411"/>
      <c r="B542" s="236"/>
      <c r="C542" s="236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</row>
    <row r="543">
      <c r="A543" s="411"/>
      <c r="B543" s="236"/>
      <c r="C543" s="236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</row>
    <row r="544">
      <c r="A544" s="411"/>
      <c r="B544" s="236"/>
      <c r="C544" s="236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</row>
    <row r="545">
      <c r="A545" s="411"/>
      <c r="B545" s="236"/>
      <c r="C545" s="236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</row>
    <row r="546">
      <c r="A546" s="411"/>
      <c r="B546" s="236"/>
      <c r="C546" s="236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</row>
    <row r="547">
      <c r="A547" s="411"/>
      <c r="B547" s="236"/>
      <c r="C547" s="236"/>
      <c r="D547" s="236"/>
      <c r="E547" s="236"/>
      <c r="F547" s="236"/>
      <c r="G547" s="236"/>
      <c r="H547" s="236"/>
      <c r="I547" s="236"/>
      <c r="J547" s="236"/>
      <c r="K547" s="236"/>
      <c r="L547" s="236"/>
      <c r="M547" s="236"/>
      <c r="N547" s="236"/>
      <c r="O547" s="236"/>
      <c r="P547" s="236"/>
      <c r="Q547" s="236"/>
      <c r="R547" s="236"/>
      <c r="S547" s="236"/>
      <c r="T547" s="236"/>
      <c r="U547" s="236"/>
      <c r="V547" s="236"/>
      <c r="W547" s="236"/>
      <c r="X547" s="236"/>
      <c r="Y547" s="236"/>
    </row>
    <row r="548">
      <c r="A548" s="411"/>
      <c r="B548" s="236"/>
      <c r="C548" s="236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</row>
    <row r="549">
      <c r="A549" s="411"/>
      <c r="B549" s="236"/>
      <c r="C549" s="236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</row>
    <row r="550">
      <c r="A550" s="411"/>
      <c r="B550" s="412"/>
      <c r="C550" s="412"/>
      <c r="D550" s="412"/>
      <c r="E550" s="412"/>
      <c r="F550" s="412"/>
      <c r="G550" s="412"/>
      <c r="H550" s="412"/>
      <c r="I550" s="412"/>
      <c r="J550" s="412"/>
      <c r="K550" s="412"/>
      <c r="L550" s="412"/>
      <c r="M550" s="412"/>
      <c r="N550" s="412"/>
      <c r="O550" s="412"/>
      <c r="P550" s="412"/>
      <c r="Q550" s="412"/>
      <c r="R550" s="412"/>
      <c r="S550" s="412"/>
      <c r="T550" s="412"/>
      <c r="U550" s="412"/>
      <c r="V550" s="412"/>
      <c r="W550" s="412"/>
      <c r="X550" s="412"/>
      <c r="Y550" s="412"/>
    </row>
    <row r="551">
      <c r="A551" s="411"/>
      <c r="B551" s="236"/>
      <c r="C551" s="236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</row>
    <row r="552">
      <c r="A552" s="411"/>
      <c r="B552" s="236"/>
      <c r="C552" s="236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</row>
    <row r="553">
      <c r="A553" s="411"/>
      <c r="B553" s="236"/>
      <c r="C553" s="236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</row>
    <row r="554">
      <c r="A554" s="411"/>
      <c r="B554" s="412"/>
      <c r="C554" s="412"/>
      <c r="D554" s="412"/>
      <c r="E554" s="412"/>
      <c r="F554" s="412"/>
      <c r="G554" s="412"/>
      <c r="H554" s="412"/>
      <c r="I554" s="412"/>
      <c r="J554" s="412"/>
      <c r="K554" s="412"/>
      <c r="L554" s="412"/>
      <c r="M554" s="412"/>
      <c r="N554" s="412"/>
      <c r="O554" s="412"/>
      <c r="P554" s="412"/>
      <c r="Q554" s="412"/>
      <c r="R554" s="412"/>
      <c r="S554" s="412"/>
      <c r="T554" s="412"/>
      <c r="U554" s="412"/>
      <c r="V554" s="412"/>
      <c r="W554" s="412"/>
      <c r="X554" s="412"/>
      <c r="Y554" s="412"/>
    </row>
    <row r="555">
      <c r="A555" s="411"/>
      <c r="B555" s="236"/>
      <c r="C555" s="236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</row>
    <row r="556">
      <c r="A556" s="411"/>
      <c r="B556" s="412"/>
      <c r="C556" s="412"/>
      <c r="D556" s="412"/>
      <c r="E556" s="412"/>
      <c r="F556" s="412"/>
      <c r="G556" s="412"/>
      <c r="H556" s="412"/>
      <c r="I556" s="412"/>
      <c r="J556" s="412"/>
      <c r="K556" s="412"/>
      <c r="L556" s="412"/>
      <c r="M556" s="412"/>
      <c r="N556" s="412"/>
      <c r="O556" s="412"/>
      <c r="P556" s="412"/>
      <c r="Q556" s="412"/>
      <c r="R556" s="412"/>
      <c r="S556" s="412"/>
      <c r="T556" s="412"/>
      <c r="U556" s="412"/>
      <c r="V556" s="412"/>
      <c r="W556" s="412"/>
      <c r="X556" s="412"/>
      <c r="Y556" s="412"/>
    </row>
    <row r="557">
      <c r="A557" s="411"/>
      <c r="B557" s="412"/>
      <c r="C557" s="412"/>
      <c r="D557" s="412"/>
      <c r="E557" s="412"/>
      <c r="F557" s="412"/>
      <c r="G557" s="412"/>
      <c r="H557" s="412"/>
      <c r="I557" s="412"/>
      <c r="J557" s="412"/>
      <c r="K557" s="412"/>
      <c r="L557" s="412"/>
      <c r="M557" s="412"/>
      <c r="N557" s="412"/>
      <c r="O557" s="412"/>
      <c r="P557" s="412"/>
      <c r="Q557" s="412"/>
      <c r="R557" s="412"/>
      <c r="S557" s="412"/>
      <c r="T557" s="412"/>
      <c r="U557" s="412"/>
      <c r="V557" s="412"/>
      <c r="W557" s="412"/>
      <c r="X557" s="412"/>
      <c r="Y557" s="412"/>
    </row>
    <row r="558">
      <c r="A558" s="411"/>
      <c r="B558" s="236"/>
      <c r="C558" s="236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</row>
    <row r="559">
      <c r="A559" s="411"/>
      <c r="B559" s="236"/>
      <c r="C559" s="236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</row>
    <row r="560">
      <c r="A560" s="411"/>
      <c r="B560" s="412"/>
      <c r="C560" s="412"/>
      <c r="D560" s="412"/>
      <c r="E560" s="412"/>
      <c r="F560" s="412"/>
      <c r="G560" s="412"/>
      <c r="H560" s="412"/>
      <c r="I560" s="412"/>
      <c r="J560" s="412"/>
      <c r="K560" s="412"/>
      <c r="L560" s="412"/>
      <c r="M560" s="412"/>
      <c r="N560" s="412"/>
      <c r="O560" s="412"/>
      <c r="P560" s="412"/>
      <c r="Q560" s="412"/>
      <c r="R560" s="412"/>
      <c r="S560" s="412"/>
      <c r="T560" s="412"/>
      <c r="U560" s="412"/>
      <c r="V560" s="412"/>
      <c r="W560" s="412"/>
      <c r="X560" s="412"/>
      <c r="Y560" s="412"/>
    </row>
    <row r="561">
      <c r="A561" s="411"/>
      <c r="B561" s="236"/>
      <c r="C561" s="236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</row>
    <row r="562">
      <c r="A562" s="411"/>
      <c r="B562" s="236"/>
      <c r="C562" s="236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</row>
    <row r="563">
      <c r="A563" s="411"/>
      <c r="B563" s="236"/>
      <c r="C563" s="236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</row>
    <row r="564">
      <c r="A564" s="411"/>
      <c r="B564" s="236"/>
      <c r="C564" s="236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</row>
    <row r="565">
      <c r="A565" s="411"/>
      <c r="B565" s="236"/>
      <c r="C565" s="236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</row>
    <row r="566">
      <c r="A566" s="411"/>
      <c r="B566" s="236"/>
      <c r="C566" s="236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</row>
    <row r="567">
      <c r="A567" s="411"/>
      <c r="B567" s="236"/>
      <c r="C567" s="236"/>
      <c r="D567" s="236"/>
      <c r="E567" s="236"/>
      <c r="F567" s="236"/>
      <c r="G567" s="236"/>
      <c r="H567" s="236"/>
      <c r="I567" s="236"/>
      <c r="J567" s="236"/>
      <c r="K567" s="236"/>
      <c r="L567" s="236"/>
      <c r="M567" s="236"/>
      <c r="N567" s="236"/>
      <c r="O567" s="236"/>
      <c r="P567" s="236"/>
      <c r="Q567" s="236"/>
      <c r="R567" s="236"/>
      <c r="S567" s="236"/>
      <c r="T567" s="236"/>
      <c r="U567" s="236"/>
      <c r="V567" s="236"/>
      <c r="W567" s="236"/>
      <c r="X567" s="236"/>
      <c r="Y567" s="236"/>
    </row>
    <row r="568">
      <c r="A568" s="411"/>
      <c r="B568" s="236"/>
      <c r="C568" s="236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</row>
    <row r="569">
      <c r="A569" s="411"/>
      <c r="B569" s="236"/>
      <c r="C569" s="236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</row>
    <row r="570">
      <c r="A570" s="411"/>
      <c r="B570" s="236"/>
      <c r="C570" s="236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</row>
    <row r="571">
      <c r="A571" s="411"/>
      <c r="B571" s="236"/>
      <c r="C571" s="236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</row>
    <row r="572">
      <c r="A572" s="411"/>
      <c r="B572" s="236"/>
      <c r="C572" s="236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</row>
    <row r="573">
      <c r="A573" s="411"/>
      <c r="B573" s="412"/>
      <c r="C573" s="412"/>
      <c r="D573" s="412"/>
      <c r="E573" s="412"/>
      <c r="F573" s="412"/>
      <c r="G573" s="412"/>
      <c r="H573" s="412"/>
      <c r="I573" s="412"/>
      <c r="J573" s="412"/>
      <c r="K573" s="412"/>
      <c r="L573" s="412"/>
      <c r="M573" s="412"/>
      <c r="N573" s="412"/>
      <c r="O573" s="412"/>
      <c r="P573" s="412"/>
      <c r="Q573" s="412"/>
      <c r="R573" s="412"/>
      <c r="S573" s="412"/>
      <c r="T573" s="412"/>
      <c r="U573" s="412"/>
      <c r="V573" s="412"/>
      <c r="W573" s="412"/>
      <c r="X573" s="412"/>
      <c r="Y573" s="412"/>
    </row>
    <row r="574">
      <c r="A574" s="411"/>
      <c r="B574" s="236"/>
      <c r="C574" s="236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</row>
    <row r="575">
      <c r="A575" s="411"/>
      <c r="B575" s="412"/>
      <c r="C575" s="412"/>
      <c r="D575" s="412"/>
      <c r="E575" s="412"/>
      <c r="F575" s="412"/>
      <c r="G575" s="412"/>
      <c r="H575" s="412"/>
      <c r="I575" s="412"/>
      <c r="J575" s="412"/>
      <c r="K575" s="412"/>
      <c r="L575" s="412"/>
      <c r="M575" s="412"/>
      <c r="N575" s="412"/>
      <c r="O575" s="412"/>
      <c r="P575" s="412"/>
      <c r="Q575" s="412"/>
      <c r="R575" s="412"/>
      <c r="S575" s="412"/>
      <c r="T575" s="412"/>
      <c r="U575" s="412"/>
      <c r="V575" s="412"/>
      <c r="W575" s="412"/>
      <c r="X575" s="412"/>
      <c r="Y575" s="412"/>
    </row>
    <row r="576">
      <c r="A576" s="411"/>
      <c r="B576" s="236"/>
      <c r="C576" s="236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</row>
    <row r="577">
      <c r="A577" s="411"/>
      <c r="B577" s="412"/>
      <c r="C577" s="412"/>
      <c r="D577" s="412"/>
      <c r="E577" s="412"/>
      <c r="F577" s="412"/>
      <c r="G577" s="412"/>
      <c r="H577" s="412"/>
      <c r="I577" s="412"/>
      <c r="J577" s="412"/>
      <c r="K577" s="412"/>
      <c r="L577" s="412"/>
      <c r="M577" s="412"/>
      <c r="N577" s="412"/>
      <c r="O577" s="412"/>
      <c r="P577" s="412"/>
      <c r="Q577" s="412"/>
      <c r="R577" s="412"/>
      <c r="S577" s="412"/>
      <c r="T577" s="412"/>
      <c r="U577" s="412"/>
      <c r="V577" s="412"/>
      <c r="W577" s="412"/>
      <c r="X577" s="412"/>
      <c r="Y577" s="412"/>
    </row>
    <row r="578">
      <c r="A578" s="411"/>
      <c r="B578" s="412"/>
      <c r="C578" s="412"/>
      <c r="D578" s="412"/>
      <c r="E578" s="412"/>
      <c r="F578" s="412"/>
      <c r="G578" s="412"/>
      <c r="H578" s="412"/>
      <c r="I578" s="412"/>
      <c r="J578" s="412"/>
      <c r="K578" s="412"/>
      <c r="L578" s="412"/>
      <c r="M578" s="412"/>
      <c r="N578" s="412"/>
      <c r="O578" s="412"/>
      <c r="P578" s="412"/>
      <c r="Q578" s="412"/>
      <c r="R578" s="412"/>
      <c r="S578" s="412"/>
      <c r="T578" s="412"/>
      <c r="U578" s="412"/>
      <c r="V578" s="412"/>
      <c r="W578" s="412"/>
      <c r="X578" s="412"/>
      <c r="Y578" s="412"/>
    </row>
    <row r="579">
      <c r="A579" s="411"/>
      <c r="B579" s="236"/>
      <c r="C579" s="236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</row>
    <row r="580">
      <c r="A580" s="411"/>
      <c r="B580" s="412"/>
      <c r="C580" s="412"/>
      <c r="D580" s="412"/>
      <c r="E580" s="412"/>
      <c r="F580" s="412"/>
      <c r="G580" s="412"/>
      <c r="H580" s="412"/>
      <c r="I580" s="412"/>
      <c r="J580" s="412"/>
      <c r="K580" s="412"/>
      <c r="L580" s="412"/>
      <c r="M580" s="412"/>
      <c r="N580" s="412"/>
      <c r="O580" s="412"/>
      <c r="P580" s="412"/>
      <c r="Q580" s="412"/>
      <c r="R580" s="412"/>
      <c r="S580" s="412"/>
      <c r="T580" s="412"/>
      <c r="U580" s="412"/>
      <c r="V580" s="412"/>
      <c r="W580" s="412"/>
      <c r="X580" s="412"/>
      <c r="Y580" s="412"/>
    </row>
    <row r="581">
      <c r="A581" s="411"/>
      <c r="B581" s="236"/>
      <c r="C581" s="236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</row>
    <row r="582">
      <c r="A582" s="411"/>
      <c r="B582" s="236"/>
      <c r="C582" s="236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</row>
    <row r="583">
      <c r="A583" s="411"/>
      <c r="B583" s="236"/>
      <c r="C583" s="236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</row>
    <row r="584">
      <c r="A584" s="411"/>
      <c r="B584" s="236"/>
      <c r="C584" s="236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</row>
    <row r="585">
      <c r="A585" s="411"/>
      <c r="B585" s="412"/>
      <c r="C585" s="412"/>
      <c r="D585" s="412"/>
      <c r="E585" s="412"/>
      <c r="F585" s="412"/>
      <c r="G585" s="412"/>
      <c r="H585" s="412"/>
      <c r="I585" s="412"/>
      <c r="J585" s="412"/>
      <c r="K585" s="412"/>
      <c r="L585" s="412"/>
      <c r="M585" s="412"/>
      <c r="N585" s="412"/>
      <c r="O585" s="412"/>
      <c r="P585" s="412"/>
      <c r="Q585" s="412"/>
      <c r="R585" s="412"/>
      <c r="S585" s="412"/>
      <c r="T585" s="412"/>
      <c r="U585" s="412"/>
      <c r="V585" s="412"/>
      <c r="W585" s="412"/>
      <c r="X585" s="412"/>
      <c r="Y585" s="412"/>
    </row>
    <row r="586">
      <c r="A586" s="411"/>
      <c r="B586" s="236"/>
      <c r="C586" s="236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</row>
    <row r="587">
      <c r="A587" s="411"/>
      <c r="B587" s="236"/>
      <c r="C587" s="236"/>
      <c r="D587" s="236"/>
      <c r="E587" s="236"/>
      <c r="F587" s="236"/>
      <c r="G587" s="236"/>
      <c r="H587" s="236"/>
      <c r="I587" s="236"/>
      <c r="J587" s="236"/>
      <c r="K587" s="236"/>
      <c r="L587" s="236"/>
      <c r="M587" s="236"/>
      <c r="N587" s="236"/>
      <c r="O587" s="236"/>
      <c r="P587" s="236"/>
      <c r="Q587" s="236"/>
      <c r="R587" s="236"/>
      <c r="S587" s="236"/>
      <c r="T587" s="236"/>
      <c r="U587" s="236"/>
      <c r="V587" s="236"/>
      <c r="W587" s="236"/>
      <c r="X587" s="236"/>
      <c r="Y587" s="236"/>
    </row>
    <row r="588">
      <c r="A588" s="411"/>
      <c r="B588" s="236"/>
      <c r="C588" s="236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</row>
    <row r="589">
      <c r="A589" s="411"/>
      <c r="B589" s="236"/>
      <c r="C589" s="236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</row>
    <row r="590">
      <c r="A590" s="411"/>
      <c r="B590" s="236"/>
      <c r="C590" s="236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</row>
    <row r="591">
      <c r="A591" s="411"/>
      <c r="B591" s="236"/>
      <c r="C591" s="236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</row>
    <row r="592">
      <c r="A592" s="411"/>
      <c r="B592" s="236"/>
      <c r="C592" s="236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</row>
    <row r="593">
      <c r="A593" s="411"/>
      <c r="B593" s="236"/>
      <c r="C593" s="236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</row>
    <row r="594">
      <c r="A594" s="411"/>
      <c r="B594" s="236"/>
      <c r="C594" s="236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</row>
    <row r="595">
      <c r="A595" s="411"/>
      <c r="B595" s="412"/>
      <c r="C595" s="412"/>
      <c r="D595" s="412"/>
      <c r="E595" s="412"/>
      <c r="F595" s="412"/>
      <c r="G595" s="412"/>
      <c r="H595" s="412"/>
      <c r="I595" s="412"/>
      <c r="J595" s="412"/>
      <c r="K595" s="412"/>
      <c r="L595" s="412"/>
      <c r="M595" s="412"/>
      <c r="N595" s="412"/>
      <c r="O595" s="412"/>
      <c r="P595" s="412"/>
      <c r="Q595" s="412"/>
      <c r="R595" s="412"/>
      <c r="S595" s="412"/>
      <c r="T595" s="412"/>
      <c r="U595" s="412"/>
      <c r="V595" s="412"/>
      <c r="W595" s="412"/>
      <c r="X595" s="412"/>
      <c r="Y595" s="412"/>
    </row>
    <row r="596">
      <c r="A596" s="411"/>
      <c r="B596" s="236"/>
      <c r="C596" s="236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</row>
    <row r="597">
      <c r="A597" s="411"/>
      <c r="B597" s="236"/>
      <c r="C597" s="236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</row>
    <row r="598">
      <c r="A598" s="411"/>
      <c r="B598" s="236"/>
      <c r="C598" s="236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</row>
    <row r="599">
      <c r="A599" s="411"/>
      <c r="B599" s="412"/>
      <c r="C599" s="412"/>
      <c r="D599" s="412"/>
      <c r="E599" s="412"/>
      <c r="F599" s="412"/>
      <c r="G599" s="412"/>
      <c r="H599" s="412"/>
      <c r="I599" s="412"/>
      <c r="J599" s="412"/>
      <c r="K599" s="412"/>
      <c r="L599" s="412"/>
      <c r="M599" s="412"/>
      <c r="N599" s="412"/>
      <c r="O599" s="412"/>
      <c r="P599" s="412"/>
      <c r="Q599" s="412"/>
      <c r="R599" s="412"/>
      <c r="S599" s="412"/>
      <c r="T599" s="412"/>
      <c r="U599" s="412"/>
      <c r="V599" s="412"/>
      <c r="W599" s="412"/>
      <c r="X599" s="412"/>
      <c r="Y599" s="412"/>
    </row>
    <row r="600">
      <c r="A600" s="411"/>
      <c r="B600" s="236"/>
      <c r="C600" s="236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</row>
    <row r="601">
      <c r="A601" s="411"/>
      <c r="B601" s="412"/>
      <c r="C601" s="412"/>
      <c r="D601" s="412"/>
      <c r="E601" s="412"/>
      <c r="F601" s="412"/>
      <c r="G601" s="412"/>
      <c r="H601" s="412"/>
      <c r="I601" s="412"/>
      <c r="J601" s="412"/>
      <c r="K601" s="412"/>
      <c r="L601" s="412"/>
      <c r="M601" s="412"/>
      <c r="N601" s="412"/>
      <c r="O601" s="412"/>
      <c r="P601" s="412"/>
      <c r="Q601" s="412"/>
      <c r="R601" s="412"/>
      <c r="S601" s="412"/>
      <c r="T601" s="412"/>
      <c r="U601" s="412"/>
      <c r="V601" s="412"/>
      <c r="W601" s="412"/>
      <c r="X601" s="412"/>
      <c r="Y601" s="412"/>
    </row>
    <row r="602">
      <c r="A602" s="411"/>
      <c r="B602" s="236"/>
      <c r="C602" s="236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</row>
    <row r="603">
      <c r="A603" s="411"/>
      <c r="B603" s="236"/>
      <c r="C603" s="236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</row>
    <row r="604">
      <c r="A604" s="411"/>
      <c r="B604" s="236"/>
      <c r="C604" s="236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</row>
    <row r="605">
      <c r="A605" s="411"/>
      <c r="B605" s="236"/>
      <c r="C605" s="236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</row>
    <row r="606">
      <c r="A606" s="411"/>
      <c r="B606" s="412"/>
      <c r="C606" s="412"/>
      <c r="D606" s="412"/>
      <c r="E606" s="412"/>
      <c r="F606" s="412"/>
      <c r="G606" s="412"/>
      <c r="H606" s="412"/>
      <c r="I606" s="412"/>
      <c r="J606" s="412"/>
      <c r="K606" s="412"/>
      <c r="L606" s="412"/>
      <c r="M606" s="412"/>
      <c r="N606" s="412"/>
      <c r="O606" s="412"/>
      <c r="P606" s="412"/>
      <c r="Q606" s="412"/>
      <c r="R606" s="412"/>
      <c r="S606" s="412"/>
      <c r="T606" s="412"/>
      <c r="U606" s="412"/>
      <c r="V606" s="412"/>
      <c r="W606" s="412"/>
      <c r="X606" s="412"/>
      <c r="Y606" s="412"/>
    </row>
    <row r="607">
      <c r="A607" s="411"/>
      <c r="B607" s="236"/>
      <c r="C607" s="236"/>
      <c r="D607" s="236"/>
      <c r="E607" s="236"/>
      <c r="F607" s="236"/>
      <c r="G607" s="236"/>
      <c r="H607" s="236"/>
      <c r="I607" s="236"/>
      <c r="J607" s="236"/>
      <c r="K607" s="236"/>
      <c r="L607" s="236"/>
      <c r="M607" s="236"/>
      <c r="N607" s="236"/>
      <c r="O607" s="236"/>
      <c r="P607" s="236"/>
      <c r="Q607" s="236"/>
      <c r="R607" s="236"/>
      <c r="S607" s="236"/>
      <c r="T607" s="236"/>
      <c r="U607" s="236"/>
      <c r="V607" s="236"/>
      <c r="W607" s="236"/>
      <c r="X607" s="236"/>
      <c r="Y607" s="236"/>
    </row>
    <row r="608">
      <c r="A608" s="411"/>
      <c r="B608" s="236"/>
      <c r="C608" s="236"/>
      <c r="D608" s="236"/>
      <c r="E608" s="236"/>
      <c r="F608" s="236"/>
      <c r="G608" s="236"/>
      <c r="H608" s="236"/>
      <c r="I608" s="236"/>
      <c r="J608" s="236"/>
      <c r="K608" s="236"/>
      <c r="L608" s="236"/>
      <c r="M608" s="236"/>
      <c r="N608" s="236"/>
      <c r="O608" s="236"/>
      <c r="P608" s="236"/>
      <c r="Q608" s="236"/>
      <c r="R608" s="236"/>
      <c r="S608" s="236"/>
      <c r="T608" s="236"/>
      <c r="U608" s="236"/>
      <c r="V608" s="236"/>
      <c r="W608" s="236"/>
      <c r="X608" s="236"/>
      <c r="Y608" s="236"/>
    </row>
    <row r="609">
      <c r="A609" s="411"/>
      <c r="B609" s="236"/>
      <c r="C609" s="236"/>
      <c r="D609" s="236"/>
      <c r="E609" s="236"/>
      <c r="F609" s="236"/>
      <c r="G609" s="236"/>
      <c r="H609" s="236"/>
      <c r="I609" s="236"/>
      <c r="J609" s="236"/>
      <c r="K609" s="236"/>
      <c r="L609" s="236"/>
      <c r="M609" s="236"/>
      <c r="N609" s="236"/>
      <c r="O609" s="236"/>
      <c r="P609" s="236"/>
      <c r="Q609" s="236"/>
      <c r="R609" s="236"/>
      <c r="S609" s="236"/>
      <c r="T609" s="236"/>
      <c r="U609" s="236"/>
      <c r="V609" s="236"/>
      <c r="W609" s="236"/>
      <c r="X609" s="236"/>
      <c r="Y609" s="236"/>
    </row>
    <row r="610">
      <c r="A610" s="411"/>
      <c r="B610" s="236"/>
      <c r="C610" s="236"/>
      <c r="D610" s="236"/>
      <c r="E610" s="236"/>
      <c r="F610" s="236"/>
      <c r="G610" s="236"/>
      <c r="H610" s="236"/>
      <c r="I610" s="236"/>
      <c r="J610" s="236"/>
      <c r="K610" s="236"/>
      <c r="L610" s="236"/>
      <c r="M610" s="236"/>
      <c r="N610" s="236"/>
      <c r="O610" s="236"/>
      <c r="P610" s="236"/>
      <c r="Q610" s="236"/>
      <c r="R610" s="236"/>
      <c r="S610" s="236"/>
      <c r="T610" s="236"/>
      <c r="U610" s="236"/>
      <c r="V610" s="236"/>
      <c r="W610" s="236"/>
      <c r="X610" s="236"/>
      <c r="Y610" s="236"/>
    </row>
    <row r="611">
      <c r="A611" s="411"/>
      <c r="B611" s="236"/>
      <c r="C611" s="236"/>
      <c r="D611" s="236"/>
      <c r="E611" s="236"/>
      <c r="F611" s="236"/>
      <c r="G611" s="236"/>
      <c r="H611" s="236"/>
      <c r="I611" s="236"/>
      <c r="J611" s="236"/>
      <c r="K611" s="236"/>
      <c r="L611" s="236"/>
      <c r="M611" s="236"/>
      <c r="N611" s="236"/>
      <c r="O611" s="236"/>
      <c r="P611" s="236"/>
      <c r="Q611" s="236"/>
      <c r="R611" s="236"/>
      <c r="S611" s="236"/>
      <c r="T611" s="236"/>
      <c r="U611" s="236"/>
      <c r="V611" s="236"/>
      <c r="W611" s="236"/>
      <c r="X611" s="236"/>
      <c r="Y611" s="236"/>
    </row>
    <row r="612">
      <c r="A612" s="411"/>
      <c r="B612" s="236"/>
      <c r="C612" s="236"/>
      <c r="D612" s="236"/>
      <c r="E612" s="236"/>
      <c r="F612" s="236"/>
      <c r="G612" s="236"/>
      <c r="H612" s="236"/>
      <c r="I612" s="236"/>
      <c r="J612" s="236"/>
      <c r="K612" s="236"/>
      <c r="L612" s="236"/>
      <c r="M612" s="236"/>
      <c r="N612" s="236"/>
      <c r="O612" s="236"/>
      <c r="P612" s="236"/>
      <c r="Q612" s="236"/>
      <c r="R612" s="236"/>
      <c r="S612" s="236"/>
      <c r="T612" s="236"/>
      <c r="U612" s="236"/>
      <c r="V612" s="236"/>
      <c r="W612" s="236"/>
      <c r="X612" s="236"/>
      <c r="Y612" s="236"/>
    </row>
    <row r="613">
      <c r="A613" s="411"/>
      <c r="B613" s="412"/>
      <c r="C613" s="412"/>
      <c r="D613" s="412"/>
      <c r="E613" s="412"/>
      <c r="F613" s="412"/>
      <c r="G613" s="412"/>
      <c r="H613" s="412"/>
      <c r="I613" s="412"/>
      <c r="J613" s="412"/>
      <c r="K613" s="412"/>
      <c r="L613" s="412"/>
      <c r="M613" s="412"/>
      <c r="N613" s="412"/>
      <c r="O613" s="412"/>
      <c r="P613" s="412"/>
      <c r="Q613" s="412"/>
      <c r="R613" s="412"/>
      <c r="S613" s="412"/>
      <c r="T613" s="412"/>
      <c r="U613" s="412"/>
      <c r="V613" s="412"/>
      <c r="W613" s="412"/>
      <c r="X613" s="412"/>
      <c r="Y613" s="412"/>
    </row>
    <row r="614">
      <c r="A614" s="417"/>
      <c r="B614" s="236"/>
      <c r="C614" s="236"/>
      <c r="D614" s="236"/>
      <c r="E614" s="236"/>
      <c r="F614" s="236"/>
      <c r="G614" s="236"/>
      <c r="H614" s="236"/>
      <c r="I614" s="236"/>
      <c r="J614" s="236"/>
      <c r="K614" s="236"/>
      <c r="L614" s="236"/>
      <c r="M614" s="236"/>
      <c r="N614" s="236"/>
      <c r="O614" s="236"/>
      <c r="P614" s="236"/>
      <c r="Q614" s="236"/>
      <c r="R614" s="236"/>
      <c r="S614" s="236"/>
      <c r="T614" s="236"/>
      <c r="U614" s="236"/>
      <c r="V614" s="236"/>
      <c r="W614" s="236"/>
      <c r="X614" s="236"/>
      <c r="Y614" s="236"/>
    </row>
    <row r="615">
      <c r="A615" s="417"/>
      <c r="B615" s="236"/>
      <c r="C615" s="236"/>
      <c r="D615" s="236"/>
      <c r="E615" s="236"/>
      <c r="F615" s="236"/>
      <c r="G615" s="236"/>
      <c r="H615" s="236"/>
      <c r="I615" s="236"/>
      <c r="J615" s="236"/>
      <c r="K615" s="236"/>
      <c r="L615" s="236"/>
      <c r="M615" s="236"/>
      <c r="N615" s="236"/>
      <c r="O615" s="236"/>
      <c r="P615" s="236"/>
      <c r="Q615" s="236"/>
      <c r="R615" s="236"/>
      <c r="S615" s="236"/>
      <c r="T615" s="236"/>
      <c r="U615" s="236"/>
      <c r="V615" s="236"/>
      <c r="W615" s="236"/>
      <c r="X615" s="236"/>
      <c r="Y615" s="236"/>
    </row>
    <row r="616">
      <c r="A616" s="417"/>
      <c r="B616" s="236"/>
      <c r="C616" s="236"/>
      <c r="D616" s="236"/>
      <c r="E616" s="236"/>
      <c r="F616" s="236"/>
      <c r="G616" s="236"/>
      <c r="H616" s="236"/>
      <c r="I616" s="236"/>
      <c r="J616" s="236"/>
      <c r="K616" s="236"/>
      <c r="L616" s="236"/>
      <c r="M616" s="236"/>
      <c r="N616" s="236"/>
      <c r="O616" s="236"/>
      <c r="P616" s="236"/>
      <c r="Q616" s="236"/>
      <c r="R616" s="236"/>
      <c r="S616" s="236"/>
      <c r="T616" s="236"/>
      <c r="U616" s="236"/>
      <c r="V616" s="236"/>
      <c r="W616" s="236"/>
      <c r="X616" s="236"/>
      <c r="Y616" s="236"/>
    </row>
    <row r="617">
      <c r="A617" s="417"/>
      <c r="B617" s="236"/>
      <c r="C617" s="236"/>
      <c r="D617" s="236"/>
      <c r="E617" s="236"/>
      <c r="F617" s="236"/>
      <c r="G617" s="236"/>
      <c r="H617" s="236"/>
      <c r="I617" s="236"/>
      <c r="J617" s="236"/>
      <c r="K617" s="236"/>
      <c r="L617" s="236"/>
      <c r="M617" s="236"/>
      <c r="N617" s="236"/>
      <c r="O617" s="236"/>
      <c r="P617" s="236"/>
      <c r="Q617" s="236"/>
      <c r="R617" s="236"/>
      <c r="S617" s="236"/>
      <c r="T617" s="236"/>
      <c r="U617" s="236"/>
      <c r="V617" s="236"/>
      <c r="W617" s="236"/>
      <c r="X617" s="236"/>
      <c r="Y617" s="236"/>
    </row>
    <row r="618">
      <c r="A618" s="417"/>
      <c r="B618" s="412"/>
      <c r="C618" s="412"/>
      <c r="D618" s="412"/>
      <c r="E618" s="412"/>
      <c r="F618" s="412"/>
      <c r="G618" s="412"/>
      <c r="H618" s="412"/>
      <c r="I618" s="412"/>
      <c r="J618" s="412"/>
      <c r="K618" s="412"/>
      <c r="L618" s="412"/>
      <c r="M618" s="412"/>
      <c r="N618" s="412"/>
      <c r="O618" s="412"/>
      <c r="P618" s="412"/>
      <c r="Q618" s="412"/>
      <c r="R618" s="412"/>
      <c r="S618" s="412"/>
      <c r="T618" s="412"/>
      <c r="U618" s="412"/>
      <c r="V618" s="412"/>
      <c r="W618" s="412"/>
      <c r="X618" s="412"/>
      <c r="Y618" s="412"/>
    </row>
    <row r="619">
      <c r="A619" s="417"/>
      <c r="B619" s="236"/>
      <c r="C619" s="236"/>
      <c r="D619" s="236"/>
      <c r="E619" s="236"/>
      <c r="F619" s="236"/>
      <c r="G619" s="236"/>
      <c r="H619" s="236"/>
      <c r="I619" s="236"/>
      <c r="J619" s="236"/>
      <c r="K619" s="236"/>
      <c r="L619" s="236"/>
      <c r="M619" s="236"/>
      <c r="N619" s="236"/>
      <c r="O619" s="236"/>
      <c r="P619" s="236"/>
      <c r="Q619" s="236"/>
      <c r="R619" s="236"/>
      <c r="S619" s="236"/>
      <c r="T619" s="236"/>
      <c r="U619" s="236"/>
      <c r="V619" s="236"/>
      <c r="W619" s="236"/>
      <c r="X619" s="236"/>
      <c r="Y619" s="236"/>
    </row>
    <row r="620">
      <c r="A620" s="417"/>
      <c r="B620" s="236"/>
      <c r="C620" s="236"/>
      <c r="D620" s="236"/>
      <c r="E620" s="236"/>
      <c r="F620" s="236"/>
      <c r="G620" s="236"/>
      <c r="H620" s="236"/>
      <c r="I620" s="236"/>
      <c r="J620" s="236"/>
      <c r="K620" s="236"/>
      <c r="L620" s="236"/>
      <c r="M620" s="236"/>
      <c r="N620" s="236"/>
      <c r="O620" s="236"/>
      <c r="P620" s="236"/>
      <c r="Q620" s="236"/>
      <c r="R620" s="236"/>
      <c r="S620" s="236"/>
      <c r="T620" s="236"/>
      <c r="U620" s="236"/>
      <c r="V620" s="236"/>
      <c r="W620" s="236"/>
      <c r="X620" s="236"/>
      <c r="Y620" s="236"/>
    </row>
    <row r="621">
      <c r="A621" s="417"/>
      <c r="B621" s="236"/>
      <c r="C621" s="236"/>
      <c r="D621" s="236"/>
      <c r="E621" s="236"/>
      <c r="F621" s="236"/>
      <c r="G621" s="236"/>
      <c r="H621" s="236"/>
      <c r="I621" s="236"/>
      <c r="J621" s="236"/>
      <c r="K621" s="236"/>
      <c r="L621" s="236"/>
      <c r="M621" s="236"/>
      <c r="N621" s="236"/>
      <c r="O621" s="236"/>
      <c r="P621" s="236"/>
      <c r="Q621" s="236"/>
      <c r="R621" s="236"/>
      <c r="S621" s="236"/>
      <c r="T621" s="236"/>
      <c r="U621" s="236"/>
      <c r="V621" s="236"/>
      <c r="W621" s="236"/>
      <c r="X621" s="236"/>
      <c r="Y621" s="236"/>
    </row>
    <row r="622">
      <c r="A622" s="417"/>
      <c r="B622" s="236"/>
      <c r="C622" s="236"/>
      <c r="D622" s="236"/>
      <c r="E622" s="236"/>
      <c r="F622" s="236"/>
      <c r="G622" s="236"/>
      <c r="H622" s="236"/>
      <c r="I622" s="236"/>
      <c r="J622" s="236"/>
      <c r="K622" s="236"/>
      <c r="L622" s="236"/>
      <c r="M622" s="236"/>
      <c r="N622" s="236"/>
      <c r="O622" s="236"/>
      <c r="P622" s="236"/>
      <c r="Q622" s="236"/>
      <c r="R622" s="236"/>
      <c r="S622" s="236"/>
      <c r="T622" s="236"/>
      <c r="U622" s="236"/>
      <c r="V622" s="236"/>
      <c r="W622" s="236"/>
      <c r="X622" s="236"/>
      <c r="Y622" s="236"/>
    </row>
    <row r="623">
      <c r="A623" s="417"/>
      <c r="B623" s="412"/>
      <c r="C623" s="412"/>
      <c r="D623" s="412"/>
      <c r="E623" s="412"/>
      <c r="F623" s="412"/>
      <c r="G623" s="412"/>
      <c r="H623" s="412"/>
      <c r="I623" s="412"/>
      <c r="J623" s="412"/>
      <c r="K623" s="412"/>
      <c r="L623" s="412"/>
      <c r="M623" s="412"/>
      <c r="N623" s="412"/>
      <c r="O623" s="412"/>
      <c r="P623" s="412"/>
      <c r="Q623" s="412"/>
      <c r="R623" s="412"/>
      <c r="S623" s="412"/>
      <c r="T623" s="412"/>
      <c r="U623" s="412"/>
      <c r="V623" s="412"/>
      <c r="W623" s="412"/>
      <c r="X623" s="412"/>
      <c r="Y623" s="412"/>
    </row>
    <row r="624">
      <c r="A624" s="417"/>
      <c r="B624" s="412"/>
      <c r="C624" s="412"/>
      <c r="D624" s="412"/>
      <c r="E624" s="412"/>
      <c r="F624" s="412"/>
      <c r="G624" s="412"/>
      <c r="H624" s="412"/>
      <c r="I624" s="412"/>
      <c r="J624" s="412"/>
      <c r="K624" s="412"/>
      <c r="L624" s="412"/>
      <c r="M624" s="412"/>
      <c r="N624" s="412"/>
      <c r="O624" s="412"/>
      <c r="P624" s="412"/>
      <c r="Q624" s="412"/>
      <c r="R624" s="412"/>
      <c r="S624" s="412"/>
      <c r="T624" s="412"/>
      <c r="U624" s="412"/>
      <c r="V624" s="412"/>
      <c r="W624" s="412"/>
      <c r="X624" s="412"/>
      <c r="Y624" s="412"/>
    </row>
    <row r="625">
      <c r="A625" s="417"/>
      <c r="B625" s="412"/>
      <c r="C625" s="412"/>
      <c r="D625" s="412"/>
      <c r="E625" s="412"/>
      <c r="F625" s="412"/>
      <c r="G625" s="412"/>
      <c r="H625" s="412"/>
      <c r="I625" s="412"/>
      <c r="J625" s="412"/>
      <c r="K625" s="412"/>
      <c r="L625" s="412"/>
      <c r="M625" s="412"/>
      <c r="N625" s="412"/>
      <c r="O625" s="412"/>
      <c r="P625" s="412"/>
      <c r="Q625" s="412"/>
      <c r="R625" s="412"/>
      <c r="S625" s="412"/>
      <c r="T625" s="412"/>
      <c r="U625" s="412"/>
      <c r="V625" s="412"/>
      <c r="W625" s="412"/>
      <c r="X625" s="412"/>
      <c r="Y625" s="412"/>
    </row>
    <row r="626">
      <c r="A626" s="417"/>
      <c r="B626" s="412"/>
      <c r="C626" s="412"/>
      <c r="D626" s="412"/>
      <c r="E626" s="412"/>
      <c r="F626" s="412"/>
      <c r="G626" s="412"/>
      <c r="H626" s="412"/>
      <c r="I626" s="412"/>
      <c r="J626" s="412"/>
      <c r="K626" s="412"/>
      <c r="L626" s="412"/>
      <c r="M626" s="412"/>
      <c r="N626" s="412"/>
      <c r="O626" s="412"/>
      <c r="P626" s="412"/>
      <c r="Q626" s="412"/>
      <c r="R626" s="412"/>
      <c r="S626" s="412"/>
      <c r="T626" s="412"/>
      <c r="U626" s="412"/>
      <c r="V626" s="412"/>
      <c r="W626" s="412"/>
      <c r="X626" s="412"/>
      <c r="Y626" s="412"/>
    </row>
    <row r="627">
      <c r="A627" s="417"/>
      <c r="B627" s="412"/>
      <c r="C627" s="412"/>
      <c r="D627" s="412"/>
      <c r="E627" s="412"/>
      <c r="F627" s="412"/>
      <c r="G627" s="412"/>
      <c r="H627" s="412"/>
      <c r="I627" s="412"/>
      <c r="J627" s="412"/>
      <c r="K627" s="412"/>
      <c r="L627" s="412"/>
      <c r="M627" s="412"/>
      <c r="N627" s="412"/>
      <c r="O627" s="412"/>
      <c r="P627" s="412"/>
      <c r="Q627" s="412"/>
      <c r="R627" s="412"/>
      <c r="S627" s="412"/>
      <c r="T627" s="412"/>
      <c r="U627" s="412"/>
      <c r="V627" s="412"/>
      <c r="W627" s="412"/>
      <c r="X627" s="412"/>
      <c r="Y627" s="412"/>
    </row>
    <row r="628">
      <c r="A628" s="417"/>
      <c r="B628" s="412"/>
      <c r="C628" s="412"/>
      <c r="D628" s="412"/>
      <c r="E628" s="412"/>
      <c r="F628" s="412"/>
      <c r="G628" s="412"/>
      <c r="H628" s="412"/>
      <c r="I628" s="412"/>
      <c r="J628" s="412"/>
      <c r="K628" s="412"/>
      <c r="L628" s="412"/>
      <c r="M628" s="412"/>
      <c r="N628" s="412"/>
      <c r="O628" s="412"/>
      <c r="P628" s="412"/>
      <c r="Q628" s="412"/>
      <c r="R628" s="412"/>
      <c r="S628" s="412"/>
      <c r="T628" s="412"/>
      <c r="U628" s="412"/>
      <c r="V628" s="412"/>
      <c r="W628" s="412"/>
      <c r="X628" s="412"/>
      <c r="Y628" s="412"/>
    </row>
    <row r="629">
      <c r="A629" s="417"/>
      <c r="B629" s="412"/>
      <c r="C629" s="412"/>
      <c r="D629" s="412"/>
      <c r="E629" s="412"/>
      <c r="F629" s="412"/>
      <c r="G629" s="412"/>
      <c r="H629" s="412"/>
      <c r="I629" s="412"/>
      <c r="J629" s="412"/>
      <c r="K629" s="412"/>
      <c r="L629" s="412"/>
      <c r="M629" s="412"/>
      <c r="N629" s="412"/>
      <c r="O629" s="412"/>
      <c r="P629" s="412"/>
      <c r="Q629" s="412"/>
      <c r="R629" s="412"/>
      <c r="S629" s="412"/>
      <c r="T629" s="412"/>
      <c r="U629" s="412"/>
      <c r="V629" s="412"/>
      <c r="W629" s="412"/>
      <c r="X629" s="412"/>
      <c r="Y629" s="412"/>
    </row>
    <row r="630">
      <c r="A630" s="417"/>
      <c r="B630" s="412"/>
      <c r="C630" s="412"/>
      <c r="D630" s="412"/>
      <c r="E630" s="412"/>
      <c r="F630" s="412"/>
      <c r="G630" s="412"/>
      <c r="H630" s="412"/>
      <c r="I630" s="412"/>
      <c r="J630" s="412"/>
      <c r="K630" s="412"/>
      <c r="L630" s="412"/>
      <c r="M630" s="412"/>
      <c r="N630" s="412"/>
      <c r="O630" s="412"/>
      <c r="P630" s="412"/>
      <c r="Q630" s="412"/>
      <c r="R630" s="412"/>
      <c r="S630" s="412"/>
      <c r="T630" s="412"/>
      <c r="U630" s="412"/>
      <c r="V630" s="412"/>
      <c r="W630" s="412"/>
      <c r="X630" s="412"/>
      <c r="Y630" s="412"/>
    </row>
    <row r="631">
      <c r="A631" s="417"/>
      <c r="B631" s="412"/>
      <c r="C631" s="412"/>
      <c r="D631" s="412"/>
      <c r="E631" s="412"/>
      <c r="F631" s="412"/>
      <c r="G631" s="412"/>
      <c r="H631" s="412"/>
      <c r="I631" s="412"/>
      <c r="J631" s="412"/>
      <c r="K631" s="412"/>
      <c r="L631" s="412"/>
      <c r="M631" s="412"/>
      <c r="N631" s="412"/>
      <c r="O631" s="412"/>
      <c r="P631" s="412"/>
      <c r="Q631" s="412"/>
      <c r="R631" s="412"/>
      <c r="S631" s="412"/>
      <c r="T631" s="412"/>
      <c r="U631" s="412"/>
      <c r="V631" s="412"/>
      <c r="W631" s="412"/>
      <c r="X631" s="412"/>
      <c r="Y631" s="412"/>
    </row>
    <row r="632">
      <c r="A632" s="417"/>
      <c r="B632" s="412"/>
      <c r="C632" s="412"/>
      <c r="D632" s="412"/>
      <c r="E632" s="412"/>
      <c r="F632" s="412"/>
      <c r="G632" s="412"/>
      <c r="H632" s="412"/>
      <c r="I632" s="412"/>
      <c r="J632" s="412"/>
      <c r="K632" s="412"/>
      <c r="L632" s="412"/>
      <c r="M632" s="412"/>
      <c r="N632" s="412"/>
      <c r="O632" s="412"/>
      <c r="P632" s="412"/>
      <c r="Q632" s="412"/>
      <c r="R632" s="412"/>
      <c r="S632" s="412"/>
      <c r="T632" s="412"/>
      <c r="U632" s="412"/>
      <c r="V632" s="412"/>
      <c r="W632" s="412"/>
      <c r="X632" s="412"/>
      <c r="Y632" s="412"/>
    </row>
    <row r="633">
      <c r="A633" s="417"/>
      <c r="B633" s="412"/>
      <c r="C633" s="412"/>
      <c r="D633" s="412"/>
      <c r="E633" s="412"/>
      <c r="F633" s="412"/>
      <c r="G633" s="412"/>
      <c r="H633" s="412"/>
      <c r="I633" s="412"/>
      <c r="J633" s="412"/>
      <c r="K633" s="412"/>
      <c r="L633" s="412"/>
      <c r="M633" s="412"/>
      <c r="N633" s="412"/>
      <c r="O633" s="412"/>
      <c r="P633" s="412"/>
      <c r="Q633" s="412"/>
      <c r="R633" s="412"/>
      <c r="S633" s="412"/>
      <c r="T633" s="412"/>
      <c r="U633" s="412"/>
      <c r="V633" s="412"/>
      <c r="W633" s="412"/>
      <c r="X633" s="412"/>
      <c r="Y633" s="412"/>
    </row>
    <row r="634">
      <c r="A634" s="417"/>
      <c r="B634" s="412"/>
      <c r="C634" s="412"/>
      <c r="D634" s="412"/>
      <c r="E634" s="412"/>
      <c r="F634" s="412"/>
      <c r="G634" s="412"/>
      <c r="H634" s="412"/>
      <c r="I634" s="412"/>
      <c r="J634" s="412"/>
      <c r="K634" s="412"/>
      <c r="L634" s="412"/>
      <c r="M634" s="412"/>
      <c r="N634" s="412"/>
      <c r="O634" s="412"/>
      <c r="P634" s="412"/>
      <c r="Q634" s="412"/>
      <c r="R634" s="412"/>
      <c r="S634" s="412"/>
      <c r="T634" s="412"/>
      <c r="U634" s="412"/>
      <c r="V634" s="412"/>
      <c r="W634" s="412"/>
      <c r="X634" s="412"/>
      <c r="Y634" s="412"/>
    </row>
    <row r="635">
      <c r="A635" s="417"/>
      <c r="B635" s="412"/>
      <c r="C635" s="412"/>
      <c r="D635" s="412"/>
      <c r="E635" s="412"/>
      <c r="F635" s="412"/>
      <c r="G635" s="412"/>
      <c r="H635" s="412"/>
      <c r="I635" s="412"/>
      <c r="J635" s="412"/>
      <c r="K635" s="412"/>
      <c r="L635" s="412"/>
      <c r="M635" s="412"/>
      <c r="N635" s="412"/>
      <c r="O635" s="412"/>
      <c r="P635" s="412"/>
      <c r="Q635" s="412"/>
      <c r="R635" s="412"/>
      <c r="S635" s="412"/>
      <c r="T635" s="412"/>
      <c r="U635" s="412"/>
      <c r="V635" s="412"/>
      <c r="W635" s="412"/>
      <c r="X635" s="412"/>
      <c r="Y635" s="412"/>
    </row>
    <row r="636">
      <c r="A636" s="417"/>
      <c r="B636" s="412"/>
      <c r="C636" s="412"/>
      <c r="D636" s="412"/>
      <c r="E636" s="412"/>
      <c r="F636" s="412"/>
      <c r="G636" s="412"/>
      <c r="H636" s="412"/>
      <c r="I636" s="412"/>
      <c r="J636" s="412"/>
      <c r="K636" s="412"/>
      <c r="L636" s="412"/>
      <c r="M636" s="412"/>
      <c r="N636" s="412"/>
      <c r="O636" s="412"/>
      <c r="P636" s="412"/>
      <c r="Q636" s="412"/>
      <c r="R636" s="412"/>
      <c r="S636" s="412"/>
      <c r="T636" s="412"/>
      <c r="U636" s="412"/>
      <c r="V636" s="412"/>
      <c r="W636" s="412"/>
      <c r="X636" s="412"/>
      <c r="Y636" s="412"/>
    </row>
    <row r="637">
      <c r="A637" s="417"/>
      <c r="B637" s="412"/>
      <c r="C637" s="412"/>
      <c r="D637" s="412"/>
      <c r="E637" s="412"/>
      <c r="F637" s="412"/>
      <c r="G637" s="412"/>
      <c r="H637" s="412"/>
      <c r="I637" s="412"/>
      <c r="J637" s="412"/>
      <c r="K637" s="412"/>
      <c r="L637" s="412"/>
      <c r="M637" s="412"/>
      <c r="N637" s="412"/>
      <c r="O637" s="412"/>
      <c r="P637" s="412"/>
      <c r="Q637" s="412"/>
      <c r="R637" s="412"/>
      <c r="S637" s="412"/>
      <c r="T637" s="412"/>
      <c r="U637" s="412"/>
      <c r="V637" s="412"/>
      <c r="W637" s="412"/>
      <c r="X637" s="412"/>
      <c r="Y637" s="412"/>
    </row>
    <row r="638">
      <c r="A638" s="417"/>
      <c r="B638" s="412"/>
      <c r="C638" s="412"/>
      <c r="D638" s="412"/>
      <c r="E638" s="412"/>
      <c r="F638" s="412"/>
      <c r="G638" s="412"/>
      <c r="H638" s="412"/>
      <c r="I638" s="412"/>
      <c r="J638" s="412"/>
      <c r="K638" s="412"/>
      <c r="L638" s="412"/>
      <c r="M638" s="412"/>
      <c r="N638" s="412"/>
      <c r="O638" s="412"/>
      <c r="P638" s="412"/>
      <c r="Q638" s="412"/>
      <c r="R638" s="412"/>
      <c r="S638" s="412"/>
      <c r="T638" s="412"/>
      <c r="U638" s="412"/>
      <c r="V638" s="412"/>
      <c r="W638" s="412"/>
      <c r="X638" s="412"/>
      <c r="Y638" s="412"/>
    </row>
    <row r="639">
      <c r="A639" s="411"/>
      <c r="B639" s="412"/>
      <c r="C639" s="412"/>
      <c r="D639" s="412"/>
      <c r="E639" s="412"/>
      <c r="F639" s="412"/>
      <c r="G639" s="412"/>
      <c r="H639" s="412"/>
      <c r="I639" s="412"/>
      <c r="J639" s="412"/>
      <c r="K639" s="412"/>
      <c r="L639" s="412"/>
      <c r="M639" s="412"/>
      <c r="N639" s="412"/>
      <c r="O639" s="412"/>
      <c r="P639" s="412"/>
      <c r="Q639" s="412"/>
      <c r="R639" s="412"/>
      <c r="S639" s="412"/>
      <c r="T639" s="412"/>
      <c r="U639" s="412"/>
      <c r="V639" s="412"/>
      <c r="W639" s="412"/>
      <c r="X639" s="412"/>
      <c r="Y639" s="412"/>
    </row>
    <row r="640">
      <c r="A640" s="411"/>
      <c r="B640" s="412"/>
      <c r="C640" s="412"/>
      <c r="D640" s="412"/>
      <c r="E640" s="412"/>
      <c r="F640" s="412"/>
      <c r="G640" s="412"/>
      <c r="H640" s="412"/>
      <c r="I640" s="412"/>
      <c r="J640" s="412"/>
      <c r="K640" s="412"/>
      <c r="L640" s="412"/>
      <c r="M640" s="412"/>
      <c r="N640" s="412"/>
      <c r="O640" s="412"/>
      <c r="P640" s="412"/>
      <c r="Q640" s="412"/>
      <c r="R640" s="412"/>
      <c r="S640" s="412"/>
      <c r="T640" s="412"/>
      <c r="U640" s="412"/>
      <c r="V640" s="412"/>
      <c r="W640" s="412"/>
      <c r="X640" s="412"/>
      <c r="Y640" s="412"/>
    </row>
    <row r="641">
      <c r="A641" s="411"/>
      <c r="B641" s="412"/>
      <c r="C641" s="412"/>
      <c r="D641" s="412"/>
      <c r="E641" s="412"/>
      <c r="F641" s="412"/>
      <c r="G641" s="412"/>
      <c r="H641" s="412"/>
      <c r="I641" s="412"/>
      <c r="J641" s="412"/>
      <c r="K641" s="412"/>
      <c r="L641" s="412"/>
      <c r="M641" s="412"/>
      <c r="N641" s="412"/>
      <c r="O641" s="412"/>
      <c r="P641" s="412"/>
      <c r="Q641" s="412"/>
      <c r="R641" s="412"/>
      <c r="S641" s="412"/>
      <c r="T641" s="412"/>
      <c r="U641" s="412"/>
      <c r="V641" s="412"/>
      <c r="W641" s="412"/>
      <c r="X641" s="412"/>
      <c r="Y641" s="412"/>
    </row>
    <row r="642">
      <c r="A642" s="411"/>
      <c r="B642" s="412"/>
      <c r="C642" s="412"/>
      <c r="D642" s="412"/>
      <c r="E642" s="412"/>
      <c r="F642" s="412"/>
      <c r="G642" s="412"/>
      <c r="H642" s="412"/>
      <c r="I642" s="412"/>
      <c r="J642" s="412"/>
      <c r="K642" s="412"/>
      <c r="L642" s="412"/>
      <c r="M642" s="412"/>
      <c r="N642" s="412"/>
      <c r="O642" s="412"/>
      <c r="P642" s="412"/>
      <c r="Q642" s="412"/>
      <c r="R642" s="412"/>
      <c r="S642" s="412"/>
      <c r="T642" s="412"/>
      <c r="U642" s="412"/>
      <c r="V642" s="412"/>
      <c r="W642" s="412"/>
      <c r="X642" s="412"/>
      <c r="Y642" s="412"/>
    </row>
    <row r="643">
      <c r="A643" s="411"/>
      <c r="B643" s="412"/>
      <c r="C643" s="412"/>
      <c r="D643" s="412"/>
      <c r="E643" s="412"/>
      <c r="F643" s="412"/>
      <c r="G643" s="412"/>
      <c r="H643" s="412"/>
      <c r="I643" s="412"/>
      <c r="J643" s="412"/>
      <c r="K643" s="412"/>
      <c r="L643" s="412"/>
      <c r="M643" s="412"/>
      <c r="N643" s="412"/>
      <c r="O643" s="412"/>
      <c r="P643" s="412"/>
      <c r="Q643" s="412"/>
      <c r="R643" s="412"/>
      <c r="S643" s="412"/>
      <c r="T643" s="412"/>
      <c r="U643" s="412"/>
      <c r="V643" s="412"/>
      <c r="W643" s="412"/>
      <c r="X643" s="412"/>
      <c r="Y643" s="412"/>
    </row>
    <row r="644">
      <c r="A644" s="411"/>
      <c r="B644" s="412"/>
      <c r="C644" s="412"/>
      <c r="D644" s="412"/>
      <c r="E644" s="412"/>
      <c r="F644" s="412"/>
      <c r="G644" s="412"/>
      <c r="H644" s="412"/>
      <c r="I644" s="412"/>
      <c r="J644" s="412"/>
      <c r="K644" s="412"/>
      <c r="L644" s="412"/>
      <c r="M644" s="412"/>
      <c r="N644" s="412"/>
      <c r="O644" s="412"/>
      <c r="P644" s="412"/>
      <c r="Q644" s="412"/>
      <c r="R644" s="412"/>
      <c r="S644" s="412"/>
      <c r="T644" s="412"/>
      <c r="U644" s="412"/>
      <c r="V644" s="412"/>
      <c r="W644" s="412"/>
      <c r="X644" s="412"/>
      <c r="Y644" s="412"/>
    </row>
    <row r="645">
      <c r="A645" s="411"/>
      <c r="B645" s="412"/>
      <c r="C645" s="412"/>
      <c r="D645" s="412"/>
      <c r="E645" s="412"/>
      <c r="F645" s="412"/>
      <c r="G645" s="412"/>
      <c r="H645" s="412"/>
      <c r="I645" s="412"/>
      <c r="J645" s="412"/>
      <c r="K645" s="412"/>
      <c r="L645" s="412"/>
      <c r="M645" s="412"/>
      <c r="N645" s="412"/>
      <c r="O645" s="412"/>
      <c r="P645" s="412"/>
      <c r="Q645" s="412"/>
      <c r="R645" s="412"/>
      <c r="S645" s="412"/>
      <c r="T645" s="412"/>
      <c r="U645" s="412"/>
      <c r="V645" s="412"/>
      <c r="W645" s="412"/>
      <c r="X645" s="412"/>
      <c r="Y645" s="412"/>
    </row>
    <row r="646">
      <c r="A646" s="411"/>
      <c r="B646" s="412"/>
      <c r="C646" s="412"/>
      <c r="D646" s="412"/>
      <c r="E646" s="412"/>
      <c r="F646" s="412"/>
      <c r="G646" s="412"/>
      <c r="H646" s="412"/>
      <c r="I646" s="412"/>
      <c r="J646" s="412"/>
      <c r="K646" s="412"/>
      <c r="L646" s="412"/>
      <c r="M646" s="412"/>
      <c r="N646" s="412"/>
      <c r="O646" s="412"/>
      <c r="P646" s="412"/>
      <c r="Q646" s="412"/>
      <c r="R646" s="412"/>
      <c r="S646" s="412"/>
      <c r="T646" s="412"/>
      <c r="U646" s="412"/>
      <c r="V646" s="412"/>
      <c r="W646" s="412"/>
      <c r="X646" s="412"/>
      <c r="Y646" s="412"/>
    </row>
    <row r="647">
      <c r="A647" s="411"/>
      <c r="B647" s="412"/>
      <c r="C647" s="412"/>
      <c r="D647" s="412"/>
      <c r="E647" s="412"/>
      <c r="F647" s="412"/>
      <c r="G647" s="412"/>
      <c r="H647" s="412"/>
      <c r="I647" s="412"/>
      <c r="J647" s="412"/>
      <c r="K647" s="412"/>
      <c r="L647" s="412"/>
      <c r="M647" s="412"/>
      <c r="N647" s="412"/>
      <c r="O647" s="412"/>
      <c r="P647" s="412"/>
      <c r="Q647" s="412"/>
      <c r="R647" s="412"/>
      <c r="S647" s="412"/>
      <c r="T647" s="412"/>
      <c r="U647" s="412"/>
      <c r="V647" s="412"/>
      <c r="W647" s="412"/>
      <c r="X647" s="412"/>
      <c r="Y647" s="412"/>
    </row>
    <row r="648">
      <c r="A648" s="411"/>
      <c r="B648" s="412"/>
      <c r="C648" s="412"/>
      <c r="D648" s="412"/>
      <c r="E648" s="412"/>
      <c r="F648" s="412"/>
      <c r="G648" s="412"/>
      <c r="H648" s="412"/>
      <c r="I648" s="412"/>
      <c r="J648" s="412"/>
      <c r="K648" s="412"/>
      <c r="L648" s="412"/>
      <c r="M648" s="412"/>
      <c r="N648" s="412"/>
      <c r="O648" s="412"/>
      <c r="P648" s="412"/>
      <c r="Q648" s="412"/>
      <c r="R648" s="412"/>
      <c r="S648" s="412"/>
      <c r="T648" s="412"/>
      <c r="U648" s="412"/>
      <c r="V648" s="412"/>
      <c r="W648" s="412"/>
      <c r="X648" s="412"/>
      <c r="Y648" s="412"/>
    </row>
    <row r="649">
      <c r="A649" s="411"/>
      <c r="B649" s="412"/>
      <c r="C649" s="412"/>
      <c r="D649" s="412"/>
      <c r="E649" s="412"/>
      <c r="F649" s="412"/>
      <c r="G649" s="412"/>
      <c r="H649" s="412"/>
      <c r="I649" s="412"/>
      <c r="J649" s="412"/>
      <c r="K649" s="412"/>
      <c r="L649" s="412"/>
      <c r="M649" s="412"/>
      <c r="N649" s="412"/>
      <c r="O649" s="412"/>
      <c r="P649" s="412"/>
      <c r="Q649" s="412"/>
      <c r="R649" s="412"/>
      <c r="S649" s="412"/>
      <c r="T649" s="412"/>
      <c r="U649" s="412"/>
      <c r="V649" s="412"/>
      <c r="W649" s="412"/>
      <c r="X649" s="412"/>
      <c r="Y649" s="412"/>
    </row>
    <row r="650">
      <c r="A650" s="411"/>
      <c r="B650" s="412"/>
      <c r="C650" s="412"/>
      <c r="D650" s="412"/>
      <c r="E650" s="412"/>
      <c r="F650" s="412"/>
      <c r="G650" s="412"/>
      <c r="H650" s="412"/>
      <c r="I650" s="412"/>
      <c r="J650" s="412"/>
      <c r="K650" s="412"/>
      <c r="L650" s="412"/>
      <c r="M650" s="412"/>
      <c r="N650" s="412"/>
      <c r="O650" s="412"/>
      <c r="P650" s="412"/>
      <c r="Q650" s="412"/>
      <c r="R650" s="412"/>
      <c r="S650" s="412"/>
      <c r="T650" s="412"/>
      <c r="U650" s="412"/>
      <c r="V650" s="412"/>
      <c r="W650" s="412"/>
      <c r="X650" s="412"/>
      <c r="Y650" s="412"/>
    </row>
    <row r="651">
      <c r="A651" s="411"/>
      <c r="B651" s="412"/>
      <c r="C651" s="412"/>
      <c r="D651" s="412"/>
      <c r="E651" s="412"/>
      <c r="F651" s="412"/>
      <c r="G651" s="412"/>
      <c r="H651" s="412"/>
      <c r="I651" s="412"/>
      <c r="J651" s="412"/>
      <c r="K651" s="412"/>
      <c r="L651" s="412"/>
      <c r="M651" s="412"/>
      <c r="N651" s="412"/>
      <c r="O651" s="412"/>
      <c r="P651" s="412"/>
      <c r="Q651" s="412"/>
      <c r="R651" s="412"/>
      <c r="S651" s="412"/>
      <c r="T651" s="412"/>
      <c r="U651" s="412"/>
      <c r="V651" s="412"/>
      <c r="W651" s="412"/>
      <c r="X651" s="412"/>
      <c r="Y651" s="412"/>
    </row>
    <row r="652">
      <c r="A652" s="411"/>
      <c r="B652" s="412"/>
      <c r="C652" s="412"/>
      <c r="D652" s="412"/>
      <c r="E652" s="412"/>
      <c r="F652" s="412"/>
      <c r="G652" s="412"/>
      <c r="H652" s="412"/>
      <c r="I652" s="412"/>
      <c r="J652" s="412"/>
      <c r="K652" s="412"/>
      <c r="L652" s="412"/>
      <c r="M652" s="412"/>
      <c r="N652" s="412"/>
      <c r="O652" s="412"/>
      <c r="P652" s="412"/>
      <c r="Q652" s="412"/>
      <c r="R652" s="412"/>
      <c r="S652" s="412"/>
      <c r="T652" s="412"/>
      <c r="U652" s="412"/>
      <c r="V652" s="412"/>
      <c r="W652" s="412"/>
      <c r="X652" s="412"/>
      <c r="Y652" s="412"/>
    </row>
    <row r="653">
      <c r="A653" s="411"/>
      <c r="B653" s="412"/>
      <c r="C653" s="412"/>
      <c r="D653" s="412"/>
      <c r="E653" s="412"/>
      <c r="F653" s="412"/>
      <c r="G653" s="412"/>
      <c r="H653" s="412"/>
      <c r="I653" s="412"/>
      <c r="J653" s="412"/>
      <c r="K653" s="412"/>
      <c r="L653" s="412"/>
      <c r="M653" s="412"/>
      <c r="N653" s="412"/>
      <c r="O653" s="412"/>
      <c r="P653" s="412"/>
      <c r="Q653" s="412"/>
      <c r="R653" s="412"/>
      <c r="S653" s="412"/>
      <c r="T653" s="412"/>
      <c r="U653" s="412"/>
      <c r="V653" s="412"/>
      <c r="W653" s="412"/>
      <c r="X653" s="412"/>
      <c r="Y653" s="412"/>
    </row>
    <row r="654">
      <c r="A654" s="411"/>
      <c r="B654" s="412"/>
      <c r="C654" s="412"/>
      <c r="D654" s="412"/>
      <c r="E654" s="412"/>
      <c r="F654" s="412"/>
      <c r="G654" s="412"/>
      <c r="H654" s="412"/>
      <c r="I654" s="412"/>
      <c r="J654" s="412"/>
      <c r="K654" s="412"/>
      <c r="L654" s="412"/>
      <c r="M654" s="412"/>
      <c r="N654" s="412"/>
      <c r="O654" s="412"/>
      <c r="P654" s="412"/>
      <c r="Q654" s="412"/>
      <c r="R654" s="412"/>
      <c r="S654" s="412"/>
      <c r="T654" s="412"/>
      <c r="U654" s="412"/>
      <c r="V654" s="412"/>
      <c r="W654" s="412"/>
      <c r="X654" s="412"/>
      <c r="Y654" s="412"/>
    </row>
    <row r="655">
      <c r="A655" s="411"/>
      <c r="B655" s="412"/>
      <c r="C655" s="412"/>
      <c r="D655" s="412"/>
      <c r="E655" s="412"/>
      <c r="F655" s="412"/>
      <c r="G655" s="412"/>
      <c r="H655" s="412"/>
      <c r="I655" s="412"/>
      <c r="J655" s="412"/>
      <c r="K655" s="412"/>
      <c r="L655" s="412"/>
      <c r="M655" s="412"/>
      <c r="N655" s="412"/>
      <c r="O655" s="412"/>
      <c r="P655" s="412"/>
      <c r="Q655" s="412"/>
      <c r="R655" s="412"/>
      <c r="S655" s="412"/>
      <c r="T655" s="412"/>
      <c r="U655" s="412"/>
      <c r="V655" s="412"/>
      <c r="W655" s="412"/>
      <c r="X655" s="412"/>
      <c r="Y655" s="412"/>
    </row>
    <row r="656">
      <c r="A656" s="411"/>
      <c r="B656" s="412"/>
      <c r="C656" s="412"/>
      <c r="D656" s="412"/>
      <c r="E656" s="412"/>
      <c r="F656" s="412"/>
      <c r="G656" s="412"/>
      <c r="H656" s="412"/>
      <c r="I656" s="412"/>
      <c r="J656" s="412"/>
      <c r="K656" s="412"/>
      <c r="L656" s="412"/>
      <c r="M656" s="412"/>
      <c r="N656" s="412"/>
      <c r="O656" s="412"/>
      <c r="P656" s="412"/>
      <c r="Q656" s="412"/>
      <c r="R656" s="412"/>
      <c r="S656" s="412"/>
      <c r="T656" s="412"/>
      <c r="U656" s="412"/>
      <c r="V656" s="412"/>
      <c r="W656" s="412"/>
      <c r="X656" s="412"/>
      <c r="Y656" s="412"/>
    </row>
    <row r="657">
      <c r="A657" s="411"/>
      <c r="B657" s="412"/>
      <c r="C657" s="412"/>
      <c r="D657" s="412"/>
      <c r="E657" s="412"/>
      <c r="F657" s="412"/>
      <c r="G657" s="412"/>
      <c r="H657" s="412"/>
      <c r="I657" s="412"/>
      <c r="J657" s="412"/>
      <c r="K657" s="412"/>
      <c r="L657" s="412"/>
      <c r="M657" s="412"/>
      <c r="N657" s="412"/>
      <c r="O657" s="412"/>
      <c r="P657" s="412"/>
      <c r="Q657" s="412"/>
      <c r="R657" s="412"/>
      <c r="S657" s="412"/>
      <c r="T657" s="412"/>
      <c r="U657" s="412"/>
      <c r="V657" s="412"/>
      <c r="W657" s="412"/>
      <c r="X657" s="412"/>
      <c r="Y657" s="412"/>
    </row>
    <row r="658">
      <c r="A658" s="411"/>
      <c r="B658" s="412"/>
      <c r="C658" s="412"/>
      <c r="D658" s="412"/>
      <c r="E658" s="412"/>
      <c r="F658" s="412"/>
      <c r="G658" s="412"/>
      <c r="H658" s="412"/>
      <c r="I658" s="412"/>
      <c r="J658" s="412"/>
      <c r="K658" s="412"/>
      <c r="L658" s="412"/>
      <c r="M658" s="412"/>
      <c r="N658" s="412"/>
      <c r="O658" s="412"/>
      <c r="P658" s="412"/>
      <c r="Q658" s="412"/>
      <c r="R658" s="412"/>
      <c r="S658" s="412"/>
      <c r="T658" s="412"/>
      <c r="U658" s="412"/>
      <c r="V658" s="412"/>
      <c r="W658" s="412"/>
      <c r="X658" s="412"/>
      <c r="Y658" s="412"/>
    </row>
    <row r="659">
      <c r="A659" s="411"/>
      <c r="B659" s="412"/>
      <c r="C659" s="412"/>
      <c r="D659" s="412"/>
      <c r="E659" s="412"/>
      <c r="F659" s="412"/>
      <c r="G659" s="412"/>
      <c r="H659" s="412"/>
      <c r="I659" s="412"/>
      <c r="J659" s="412"/>
      <c r="K659" s="412"/>
      <c r="L659" s="412"/>
      <c r="M659" s="412"/>
      <c r="N659" s="412"/>
      <c r="O659" s="412"/>
      <c r="P659" s="412"/>
      <c r="Q659" s="412"/>
      <c r="R659" s="412"/>
      <c r="S659" s="412"/>
      <c r="T659" s="412"/>
      <c r="U659" s="412"/>
      <c r="V659" s="412"/>
      <c r="W659" s="412"/>
      <c r="X659" s="412"/>
      <c r="Y659" s="412"/>
    </row>
    <row r="660">
      <c r="A660" s="411"/>
      <c r="B660" s="412"/>
      <c r="C660" s="412"/>
      <c r="D660" s="412"/>
      <c r="E660" s="412"/>
      <c r="F660" s="412"/>
      <c r="G660" s="412"/>
      <c r="H660" s="412"/>
      <c r="I660" s="412"/>
      <c r="J660" s="412"/>
      <c r="K660" s="412"/>
      <c r="L660" s="412"/>
      <c r="M660" s="412"/>
      <c r="N660" s="412"/>
      <c r="O660" s="412"/>
      <c r="P660" s="412"/>
      <c r="Q660" s="412"/>
      <c r="R660" s="412"/>
      <c r="S660" s="412"/>
      <c r="T660" s="412"/>
      <c r="U660" s="412"/>
      <c r="V660" s="412"/>
      <c r="W660" s="412"/>
      <c r="X660" s="412"/>
      <c r="Y660" s="412"/>
    </row>
    <row r="661">
      <c r="A661" s="411"/>
      <c r="B661" s="412"/>
      <c r="C661" s="412"/>
      <c r="D661" s="412"/>
      <c r="E661" s="412"/>
      <c r="F661" s="412"/>
      <c r="G661" s="412"/>
      <c r="H661" s="412"/>
      <c r="I661" s="412"/>
      <c r="J661" s="412"/>
      <c r="K661" s="412"/>
      <c r="L661" s="412"/>
      <c r="M661" s="412"/>
      <c r="N661" s="412"/>
      <c r="O661" s="412"/>
      <c r="P661" s="412"/>
      <c r="Q661" s="412"/>
      <c r="R661" s="412"/>
      <c r="S661" s="412"/>
      <c r="T661" s="412"/>
      <c r="U661" s="412"/>
      <c r="V661" s="412"/>
      <c r="W661" s="412"/>
      <c r="X661" s="412"/>
      <c r="Y661" s="412"/>
    </row>
    <row r="662">
      <c r="A662" s="411"/>
      <c r="B662" s="412"/>
      <c r="C662" s="412"/>
      <c r="D662" s="412"/>
      <c r="E662" s="412"/>
      <c r="F662" s="412"/>
      <c r="G662" s="412"/>
      <c r="H662" s="412"/>
      <c r="I662" s="412"/>
      <c r="J662" s="412"/>
      <c r="K662" s="412"/>
      <c r="L662" s="412"/>
      <c r="M662" s="412"/>
      <c r="N662" s="412"/>
      <c r="O662" s="412"/>
      <c r="P662" s="412"/>
      <c r="Q662" s="412"/>
      <c r="R662" s="412"/>
      <c r="S662" s="412"/>
      <c r="T662" s="412"/>
      <c r="U662" s="412"/>
      <c r="V662" s="412"/>
      <c r="W662" s="412"/>
      <c r="X662" s="412"/>
      <c r="Y662" s="412"/>
    </row>
    <row r="663">
      <c r="A663" s="411"/>
      <c r="B663" s="412"/>
      <c r="C663" s="412"/>
      <c r="D663" s="412"/>
      <c r="E663" s="412"/>
      <c r="F663" s="412"/>
      <c r="G663" s="412"/>
      <c r="H663" s="412"/>
      <c r="I663" s="412"/>
      <c r="J663" s="412"/>
      <c r="K663" s="412"/>
      <c r="L663" s="412"/>
      <c r="M663" s="412"/>
      <c r="N663" s="412"/>
      <c r="O663" s="412"/>
      <c r="P663" s="412"/>
      <c r="Q663" s="412"/>
      <c r="R663" s="412"/>
      <c r="S663" s="412"/>
      <c r="T663" s="412"/>
      <c r="U663" s="412"/>
      <c r="V663" s="412"/>
      <c r="W663" s="412"/>
      <c r="X663" s="412"/>
      <c r="Y663" s="412"/>
    </row>
    <row r="664">
      <c r="A664" s="411"/>
      <c r="B664" s="412"/>
      <c r="C664" s="412"/>
      <c r="D664" s="412"/>
      <c r="E664" s="412"/>
      <c r="F664" s="412"/>
      <c r="G664" s="412"/>
      <c r="H664" s="412"/>
      <c r="I664" s="412"/>
      <c r="J664" s="412"/>
      <c r="K664" s="412"/>
      <c r="L664" s="412"/>
      <c r="M664" s="412"/>
      <c r="N664" s="412"/>
      <c r="O664" s="412"/>
      <c r="P664" s="412"/>
      <c r="Q664" s="412"/>
      <c r="R664" s="412"/>
      <c r="S664" s="412"/>
      <c r="T664" s="412"/>
      <c r="U664" s="412"/>
      <c r="V664" s="412"/>
      <c r="W664" s="412"/>
      <c r="X664" s="412"/>
      <c r="Y664" s="412"/>
    </row>
    <row r="665">
      <c r="A665" s="417"/>
      <c r="B665" s="412"/>
      <c r="C665" s="412"/>
      <c r="D665" s="412"/>
      <c r="E665" s="412"/>
      <c r="F665" s="412"/>
      <c r="G665" s="412"/>
      <c r="H665" s="412"/>
      <c r="I665" s="412"/>
      <c r="J665" s="412"/>
      <c r="K665" s="412"/>
      <c r="L665" s="412"/>
      <c r="M665" s="412"/>
      <c r="N665" s="412"/>
      <c r="O665" s="412"/>
      <c r="P665" s="412"/>
      <c r="Q665" s="412"/>
      <c r="R665" s="412"/>
      <c r="S665" s="412"/>
      <c r="T665" s="412"/>
      <c r="U665" s="412"/>
      <c r="V665" s="412"/>
      <c r="W665" s="412"/>
      <c r="X665" s="412"/>
      <c r="Y665" s="412"/>
    </row>
    <row r="666">
      <c r="A666" s="417"/>
      <c r="B666" s="412"/>
      <c r="C666" s="412"/>
      <c r="D666" s="412"/>
      <c r="E666" s="412"/>
      <c r="F666" s="412"/>
      <c r="G666" s="412"/>
      <c r="H666" s="412"/>
      <c r="I666" s="412"/>
      <c r="J666" s="412"/>
      <c r="K666" s="412"/>
      <c r="L666" s="412"/>
      <c r="M666" s="412"/>
      <c r="N666" s="412"/>
      <c r="O666" s="412"/>
      <c r="P666" s="412"/>
      <c r="Q666" s="412"/>
      <c r="R666" s="412"/>
      <c r="S666" s="412"/>
      <c r="T666" s="412"/>
      <c r="U666" s="412"/>
      <c r="V666" s="412"/>
      <c r="W666" s="412"/>
      <c r="X666" s="412"/>
      <c r="Y666" s="412"/>
    </row>
    <row r="667">
      <c r="A667" s="417"/>
      <c r="B667" s="412"/>
      <c r="C667" s="412"/>
      <c r="D667" s="412"/>
      <c r="E667" s="412"/>
      <c r="F667" s="412"/>
      <c r="G667" s="412"/>
      <c r="H667" s="412"/>
      <c r="I667" s="412"/>
      <c r="J667" s="412"/>
      <c r="K667" s="412"/>
      <c r="L667" s="412"/>
      <c r="M667" s="412"/>
      <c r="N667" s="412"/>
      <c r="O667" s="412"/>
      <c r="P667" s="412"/>
      <c r="Q667" s="412"/>
      <c r="R667" s="412"/>
      <c r="S667" s="412"/>
      <c r="T667" s="412"/>
      <c r="U667" s="412"/>
      <c r="V667" s="412"/>
      <c r="W667" s="412"/>
      <c r="X667" s="412"/>
      <c r="Y667" s="412"/>
    </row>
    <row r="668">
      <c r="A668" s="417"/>
      <c r="B668" s="412"/>
      <c r="C668" s="412"/>
      <c r="D668" s="412"/>
      <c r="E668" s="412"/>
      <c r="F668" s="412"/>
      <c r="G668" s="412"/>
      <c r="H668" s="412"/>
      <c r="I668" s="412"/>
      <c r="J668" s="412"/>
      <c r="K668" s="412"/>
      <c r="L668" s="412"/>
      <c r="M668" s="412"/>
      <c r="N668" s="412"/>
      <c r="O668" s="412"/>
      <c r="P668" s="412"/>
      <c r="Q668" s="412"/>
      <c r="R668" s="412"/>
      <c r="S668" s="412"/>
      <c r="T668" s="412"/>
      <c r="U668" s="412"/>
      <c r="V668" s="412"/>
      <c r="W668" s="412"/>
      <c r="X668" s="412"/>
      <c r="Y668" s="412"/>
    </row>
    <row r="669">
      <c r="A669" s="417"/>
      <c r="B669" s="412"/>
      <c r="C669" s="412"/>
      <c r="D669" s="412"/>
      <c r="E669" s="412"/>
      <c r="F669" s="412"/>
      <c r="G669" s="412"/>
      <c r="H669" s="412"/>
      <c r="I669" s="412"/>
      <c r="J669" s="412"/>
      <c r="K669" s="412"/>
      <c r="L669" s="412"/>
      <c r="M669" s="412"/>
      <c r="N669" s="412"/>
      <c r="O669" s="412"/>
      <c r="P669" s="412"/>
      <c r="Q669" s="412"/>
      <c r="R669" s="412"/>
      <c r="S669" s="412"/>
      <c r="T669" s="412"/>
      <c r="U669" s="412"/>
      <c r="V669" s="412"/>
      <c r="W669" s="412"/>
      <c r="X669" s="412"/>
      <c r="Y669" s="412"/>
    </row>
    <row r="670">
      <c r="A670" s="417"/>
      <c r="B670" s="412"/>
      <c r="C670" s="412"/>
      <c r="D670" s="412"/>
      <c r="E670" s="412"/>
      <c r="F670" s="412"/>
      <c r="G670" s="412"/>
      <c r="H670" s="412"/>
      <c r="I670" s="412"/>
      <c r="J670" s="412"/>
      <c r="K670" s="412"/>
      <c r="L670" s="412"/>
      <c r="M670" s="412"/>
      <c r="N670" s="412"/>
      <c r="O670" s="412"/>
      <c r="P670" s="412"/>
      <c r="Q670" s="412"/>
      <c r="R670" s="412"/>
      <c r="S670" s="412"/>
      <c r="T670" s="412"/>
      <c r="U670" s="412"/>
      <c r="V670" s="412"/>
      <c r="W670" s="412"/>
      <c r="X670" s="412"/>
      <c r="Y670" s="412"/>
    </row>
    <row r="671">
      <c r="A671" s="417"/>
      <c r="B671" s="412"/>
      <c r="C671" s="412"/>
      <c r="D671" s="412"/>
      <c r="E671" s="412"/>
      <c r="F671" s="412"/>
      <c r="G671" s="412"/>
      <c r="H671" s="412"/>
      <c r="I671" s="412"/>
      <c r="J671" s="412"/>
      <c r="K671" s="412"/>
      <c r="L671" s="412"/>
      <c r="M671" s="412"/>
      <c r="N671" s="412"/>
      <c r="O671" s="412"/>
      <c r="P671" s="412"/>
      <c r="Q671" s="412"/>
      <c r="R671" s="412"/>
      <c r="S671" s="412"/>
      <c r="T671" s="412"/>
      <c r="U671" s="412"/>
      <c r="V671" s="412"/>
      <c r="W671" s="412"/>
      <c r="X671" s="412"/>
      <c r="Y671" s="412"/>
    </row>
    <row r="672">
      <c r="A672" s="417"/>
      <c r="B672" s="412"/>
      <c r="C672" s="412"/>
      <c r="D672" s="412"/>
      <c r="E672" s="412"/>
      <c r="F672" s="412"/>
      <c r="G672" s="412"/>
      <c r="H672" s="412"/>
      <c r="I672" s="412"/>
      <c r="J672" s="412"/>
      <c r="K672" s="412"/>
      <c r="L672" s="412"/>
      <c r="M672" s="412"/>
      <c r="N672" s="412"/>
      <c r="O672" s="412"/>
      <c r="P672" s="412"/>
      <c r="Q672" s="412"/>
      <c r="R672" s="412"/>
      <c r="S672" s="412"/>
      <c r="T672" s="412"/>
      <c r="U672" s="412"/>
      <c r="V672" s="412"/>
      <c r="W672" s="412"/>
      <c r="X672" s="412"/>
      <c r="Y672" s="412"/>
    </row>
    <row r="673">
      <c r="A673" s="417"/>
      <c r="B673" s="412"/>
      <c r="C673" s="412"/>
      <c r="D673" s="412"/>
      <c r="E673" s="412"/>
      <c r="F673" s="412"/>
      <c r="G673" s="412"/>
      <c r="H673" s="412"/>
      <c r="I673" s="412"/>
      <c r="J673" s="412"/>
      <c r="K673" s="412"/>
      <c r="L673" s="412"/>
      <c r="M673" s="412"/>
      <c r="N673" s="412"/>
      <c r="O673" s="412"/>
      <c r="P673" s="412"/>
      <c r="Q673" s="412"/>
      <c r="R673" s="412"/>
      <c r="S673" s="412"/>
      <c r="T673" s="412"/>
      <c r="U673" s="412"/>
      <c r="V673" s="412"/>
      <c r="W673" s="412"/>
      <c r="X673" s="412"/>
      <c r="Y673" s="412"/>
    </row>
    <row r="674">
      <c r="A674" s="417"/>
      <c r="B674" s="412"/>
      <c r="C674" s="412"/>
      <c r="D674" s="412"/>
      <c r="E674" s="412"/>
      <c r="F674" s="412"/>
      <c r="G674" s="412"/>
      <c r="H674" s="412"/>
      <c r="I674" s="412"/>
      <c r="J674" s="412"/>
      <c r="K674" s="412"/>
      <c r="L674" s="412"/>
      <c r="M674" s="412"/>
      <c r="N674" s="412"/>
      <c r="O674" s="412"/>
      <c r="P674" s="412"/>
      <c r="Q674" s="412"/>
      <c r="R674" s="412"/>
      <c r="S674" s="412"/>
      <c r="T674" s="412"/>
      <c r="U674" s="412"/>
      <c r="V674" s="412"/>
      <c r="W674" s="412"/>
      <c r="X674" s="412"/>
      <c r="Y674" s="412"/>
    </row>
    <row r="675">
      <c r="A675" s="417"/>
      <c r="B675" s="412"/>
      <c r="C675" s="412"/>
      <c r="D675" s="412"/>
      <c r="E675" s="412"/>
      <c r="F675" s="412"/>
      <c r="G675" s="412"/>
      <c r="H675" s="412"/>
      <c r="I675" s="412"/>
      <c r="J675" s="412"/>
      <c r="K675" s="412"/>
      <c r="L675" s="412"/>
      <c r="M675" s="412"/>
      <c r="N675" s="412"/>
      <c r="O675" s="412"/>
      <c r="P675" s="412"/>
      <c r="Q675" s="412"/>
      <c r="R675" s="412"/>
      <c r="S675" s="412"/>
      <c r="T675" s="412"/>
      <c r="U675" s="412"/>
      <c r="V675" s="412"/>
      <c r="W675" s="412"/>
      <c r="X675" s="412"/>
      <c r="Y675" s="412"/>
    </row>
    <row r="676">
      <c r="A676" s="417"/>
      <c r="B676" s="412"/>
      <c r="C676" s="412"/>
      <c r="D676" s="412"/>
      <c r="E676" s="412"/>
      <c r="F676" s="412"/>
      <c r="G676" s="412"/>
      <c r="H676" s="412"/>
      <c r="I676" s="412"/>
      <c r="J676" s="412"/>
      <c r="K676" s="412"/>
      <c r="L676" s="412"/>
      <c r="M676" s="412"/>
      <c r="N676" s="412"/>
      <c r="O676" s="412"/>
      <c r="P676" s="412"/>
      <c r="Q676" s="412"/>
      <c r="R676" s="412"/>
      <c r="S676" s="412"/>
      <c r="T676" s="412"/>
      <c r="U676" s="412"/>
      <c r="V676" s="412"/>
      <c r="W676" s="412"/>
      <c r="X676" s="412"/>
      <c r="Y676" s="412"/>
    </row>
    <row r="677">
      <c r="A677" s="417"/>
      <c r="B677" s="412"/>
      <c r="C677" s="412"/>
      <c r="D677" s="412"/>
      <c r="E677" s="412"/>
      <c r="F677" s="412"/>
      <c r="G677" s="412"/>
      <c r="H677" s="412"/>
      <c r="I677" s="412"/>
      <c r="J677" s="412"/>
      <c r="K677" s="412"/>
      <c r="L677" s="412"/>
      <c r="M677" s="412"/>
      <c r="N677" s="412"/>
      <c r="O677" s="412"/>
      <c r="P677" s="412"/>
      <c r="Q677" s="412"/>
      <c r="R677" s="412"/>
      <c r="S677" s="412"/>
      <c r="T677" s="412"/>
      <c r="U677" s="412"/>
      <c r="V677" s="412"/>
      <c r="W677" s="412"/>
      <c r="X677" s="412"/>
      <c r="Y677" s="412"/>
    </row>
    <row r="678">
      <c r="A678" s="417"/>
      <c r="B678" s="412"/>
      <c r="C678" s="412"/>
      <c r="D678" s="412"/>
      <c r="E678" s="412"/>
      <c r="F678" s="412"/>
      <c r="G678" s="412"/>
      <c r="H678" s="412"/>
      <c r="I678" s="412"/>
      <c r="J678" s="412"/>
      <c r="K678" s="412"/>
      <c r="L678" s="412"/>
      <c r="M678" s="412"/>
      <c r="N678" s="412"/>
      <c r="O678" s="412"/>
      <c r="P678" s="412"/>
      <c r="Q678" s="412"/>
      <c r="R678" s="412"/>
      <c r="S678" s="412"/>
      <c r="T678" s="412"/>
      <c r="U678" s="412"/>
      <c r="V678" s="412"/>
      <c r="W678" s="412"/>
      <c r="X678" s="412"/>
      <c r="Y678" s="412"/>
    </row>
    <row r="679">
      <c r="A679" s="417"/>
      <c r="B679" s="412"/>
      <c r="C679" s="412"/>
      <c r="D679" s="412"/>
      <c r="E679" s="412"/>
      <c r="F679" s="412"/>
      <c r="G679" s="412"/>
      <c r="H679" s="412"/>
      <c r="I679" s="412"/>
      <c r="J679" s="412"/>
      <c r="K679" s="412"/>
      <c r="L679" s="412"/>
      <c r="M679" s="412"/>
      <c r="N679" s="412"/>
      <c r="O679" s="412"/>
      <c r="P679" s="412"/>
      <c r="Q679" s="412"/>
      <c r="R679" s="412"/>
      <c r="S679" s="412"/>
      <c r="T679" s="412"/>
      <c r="U679" s="412"/>
      <c r="V679" s="412"/>
      <c r="W679" s="412"/>
      <c r="X679" s="412"/>
      <c r="Y679" s="412"/>
    </row>
    <row r="680">
      <c r="A680" s="417"/>
      <c r="B680" s="412"/>
      <c r="C680" s="412"/>
      <c r="D680" s="412"/>
      <c r="E680" s="412"/>
      <c r="F680" s="412"/>
      <c r="G680" s="412"/>
      <c r="H680" s="412"/>
      <c r="I680" s="412"/>
      <c r="J680" s="412"/>
      <c r="K680" s="412"/>
      <c r="L680" s="412"/>
      <c r="M680" s="412"/>
      <c r="N680" s="412"/>
      <c r="O680" s="412"/>
      <c r="P680" s="412"/>
      <c r="Q680" s="412"/>
      <c r="R680" s="412"/>
      <c r="S680" s="412"/>
      <c r="T680" s="412"/>
      <c r="U680" s="412"/>
      <c r="V680" s="412"/>
      <c r="W680" s="412"/>
      <c r="X680" s="412"/>
      <c r="Y680" s="412"/>
    </row>
    <row r="681">
      <c r="A681" s="417"/>
      <c r="B681" s="412"/>
      <c r="C681" s="412"/>
      <c r="D681" s="412"/>
      <c r="E681" s="412"/>
      <c r="F681" s="412"/>
      <c r="G681" s="412"/>
      <c r="H681" s="412"/>
      <c r="I681" s="412"/>
      <c r="J681" s="412"/>
      <c r="K681" s="412"/>
      <c r="L681" s="412"/>
      <c r="M681" s="412"/>
      <c r="N681" s="412"/>
      <c r="O681" s="412"/>
      <c r="P681" s="412"/>
      <c r="Q681" s="412"/>
      <c r="R681" s="412"/>
      <c r="S681" s="412"/>
      <c r="T681" s="412"/>
      <c r="U681" s="412"/>
      <c r="V681" s="412"/>
      <c r="W681" s="412"/>
      <c r="X681" s="412"/>
      <c r="Y681" s="412"/>
    </row>
    <row r="682">
      <c r="A682" s="417"/>
      <c r="B682" s="412"/>
      <c r="C682" s="412"/>
      <c r="D682" s="412"/>
      <c r="E682" s="412"/>
      <c r="F682" s="412"/>
      <c r="G682" s="412"/>
      <c r="H682" s="412"/>
      <c r="I682" s="412"/>
      <c r="J682" s="412"/>
      <c r="K682" s="412"/>
      <c r="L682" s="412"/>
      <c r="M682" s="412"/>
      <c r="N682" s="412"/>
      <c r="O682" s="412"/>
      <c r="P682" s="412"/>
      <c r="Q682" s="412"/>
      <c r="R682" s="412"/>
      <c r="S682" s="412"/>
      <c r="T682" s="412"/>
      <c r="U682" s="412"/>
      <c r="V682" s="412"/>
      <c r="W682" s="412"/>
      <c r="X682" s="412"/>
      <c r="Y682" s="412"/>
    </row>
    <row r="683">
      <c r="A683" s="417"/>
      <c r="B683" s="412"/>
      <c r="C683" s="412"/>
      <c r="D683" s="412"/>
      <c r="E683" s="412"/>
      <c r="F683" s="412"/>
      <c r="G683" s="412"/>
      <c r="H683" s="412"/>
      <c r="I683" s="412"/>
      <c r="J683" s="412"/>
      <c r="K683" s="412"/>
      <c r="L683" s="412"/>
      <c r="M683" s="412"/>
      <c r="N683" s="412"/>
      <c r="O683" s="412"/>
      <c r="P683" s="412"/>
      <c r="Q683" s="412"/>
      <c r="R683" s="412"/>
      <c r="S683" s="412"/>
      <c r="T683" s="412"/>
      <c r="U683" s="412"/>
      <c r="V683" s="412"/>
      <c r="W683" s="412"/>
      <c r="X683" s="412"/>
      <c r="Y683" s="412"/>
    </row>
    <row r="684">
      <c r="A684" s="417"/>
      <c r="B684" s="412"/>
      <c r="C684" s="412"/>
      <c r="D684" s="412"/>
      <c r="E684" s="412"/>
      <c r="F684" s="412"/>
      <c r="G684" s="412"/>
      <c r="H684" s="412"/>
      <c r="I684" s="412"/>
      <c r="J684" s="412"/>
      <c r="K684" s="412"/>
      <c r="L684" s="412"/>
      <c r="M684" s="412"/>
      <c r="N684" s="412"/>
      <c r="O684" s="412"/>
      <c r="P684" s="412"/>
      <c r="Q684" s="412"/>
      <c r="R684" s="412"/>
      <c r="S684" s="412"/>
      <c r="T684" s="412"/>
      <c r="U684" s="412"/>
      <c r="V684" s="412"/>
      <c r="W684" s="412"/>
      <c r="X684" s="412"/>
      <c r="Y684" s="412"/>
    </row>
    <row r="685">
      <c r="A685" s="417"/>
      <c r="B685" s="412"/>
      <c r="C685" s="412"/>
      <c r="D685" s="412"/>
      <c r="E685" s="412"/>
      <c r="F685" s="412"/>
      <c r="G685" s="412"/>
      <c r="H685" s="412"/>
      <c r="I685" s="412"/>
      <c r="J685" s="412"/>
      <c r="K685" s="412"/>
      <c r="L685" s="412"/>
      <c r="M685" s="412"/>
      <c r="N685" s="412"/>
      <c r="O685" s="412"/>
      <c r="P685" s="412"/>
      <c r="Q685" s="412"/>
      <c r="R685" s="412"/>
      <c r="S685" s="412"/>
      <c r="T685" s="412"/>
      <c r="U685" s="412"/>
      <c r="V685" s="412"/>
      <c r="W685" s="412"/>
      <c r="X685" s="412"/>
      <c r="Y685" s="412"/>
    </row>
    <row r="686">
      <c r="A686" s="417"/>
      <c r="B686" s="412"/>
      <c r="C686" s="412"/>
      <c r="D686" s="412"/>
      <c r="E686" s="412"/>
      <c r="F686" s="412"/>
      <c r="G686" s="412"/>
      <c r="H686" s="412"/>
      <c r="I686" s="412"/>
      <c r="J686" s="412"/>
      <c r="K686" s="412"/>
      <c r="L686" s="412"/>
      <c r="M686" s="412"/>
      <c r="N686" s="412"/>
      <c r="O686" s="412"/>
      <c r="P686" s="412"/>
      <c r="Q686" s="412"/>
      <c r="R686" s="412"/>
      <c r="S686" s="412"/>
      <c r="T686" s="412"/>
      <c r="U686" s="412"/>
      <c r="V686" s="412"/>
      <c r="W686" s="412"/>
      <c r="X686" s="412"/>
      <c r="Y686" s="412"/>
    </row>
    <row r="687">
      <c r="A687" s="417"/>
      <c r="B687" s="412"/>
      <c r="C687" s="412"/>
      <c r="D687" s="412"/>
      <c r="E687" s="412"/>
      <c r="F687" s="412"/>
      <c r="G687" s="412"/>
      <c r="H687" s="412"/>
      <c r="I687" s="412"/>
      <c r="J687" s="412"/>
      <c r="K687" s="412"/>
      <c r="L687" s="412"/>
      <c r="M687" s="412"/>
      <c r="N687" s="412"/>
      <c r="O687" s="412"/>
      <c r="P687" s="412"/>
      <c r="Q687" s="412"/>
      <c r="R687" s="412"/>
      <c r="S687" s="412"/>
      <c r="T687" s="412"/>
      <c r="U687" s="412"/>
      <c r="V687" s="412"/>
      <c r="W687" s="412"/>
      <c r="X687" s="412"/>
      <c r="Y687" s="412"/>
    </row>
    <row r="688">
      <c r="A688" s="417"/>
      <c r="B688" s="412"/>
      <c r="C688" s="412"/>
      <c r="D688" s="412"/>
      <c r="E688" s="412"/>
      <c r="F688" s="412"/>
      <c r="G688" s="412"/>
      <c r="H688" s="412"/>
      <c r="I688" s="412"/>
      <c r="J688" s="412"/>
      <c r="K688" s="412"/>
      <c r="L688" s="412"/>
      <c r="M688" s="412"/>
      <c r="N688" s="412"/>
      <c r="O688" s="412"/>
      <c r="P688" s="412"/>
      <c r="Q688" s="412"/>
      <c r="R688" s="412"/>
      <c r="S688" s="412"/>
      <c r="T688" s="412"/>
      <c r="U688" s="412"/>
      <c r="V688" s="412"/>
      <c r="W688" s="412"/>
      <c r="X688" s="412"/>
      <c r="Y688" s="412"/>
    </row>
    <row r="689">
      <c r="A689" s="417"/>
      <c r="B689" s="412"/>
      <c r="C689" s="412"/>
      <c r="D689" s="412"/>
      <c r="E689" s="412"/>
      <c r="F689" s="412"/>
      <c r="G689" s="412"/>
      <c r="H689" s="412"/>
      <c r="I689" s="412"/>
      <c r="J689" s="412"/>
      <c r="K689" s="412"/>
      <c r="L689" s="412"/>
      <c r="M689" s="412"/>
      <c r="N689" s="412"/>
      <c r="O689" s="412"/>
      <c r="P689" s="412"/>
      <c r="Q689" s="412"/>
      <c r="R689" s="412"/>
      <c r="S689" s="412"/>
      <c r="T689" s="412"/>
      <c r="U689" s="412"/>
      <c r="V689" s="412"/>
      <c r="W689" s="412"/>
      <c r="X689" s="412"/>
      <c r="Y689" s="412"/>
    </row>
    <row r="690">
      <c r="A690" s="417"/>
      <c r="B690" s="412"/>
      <c r="C690" s="412"/>
      <c r="D690" s="412"/>
      <c r="E690" s="412"/>
      <c r="F690" s="412"/>
      <c r="G690" s="412"/>
      <c r="H690" s="412"/>
      <c r="I690" s="412"/>
      <c r="J690" s="412"/>
      <c r="K690" s="412"/>
      <c r="L690" s="412"/>
      <c r="M690" s="412"/>
      <c r="N690" s="412"/>
      <c r="O690" s="412"/>
      <c r="P690" s="412"/>
      <c r="Q690" s="412"/>
      <c r="R690" s="412"/>
      <c r="S690" s="412"/>
      <c r="T690" s="412"/>
      <c r="U690" s="412"/>
      <c r="V690" s="412"/>
      <c r="W690" s="412"/>
      <c r="X690" s="412"/>
      <c r="Y690" s="412"/>
    </row>
    <row r="691">
      <c r="A691" s="417"/>
      <c r="B691" s="412"/>
      <c r="C691" s="412"/>
      <c r="D691" s="412"/>
      <c r="E691" s="412"/>
      <c r="F691" s="412"/>
      <c r="G691" s="412"/>
      <c r="H691" s="412"/>
      <c r="I691" s="412"/>
      <c r="J691" s="412"/>
      <c r="K691" s="412"/>
      <c r="L691" s="412"/>
      <c r="M691" s="412"/>
      <c r="N691" s="412"/>
      <c r="O691" s="412"/>
      <c r="P691" s="412"/>
      <c r="Q691" s="412"/>
      <c r="R691" s="412"/>
      <c r="S691" s="412"/>
      <c r="T691" s="412"/>
      <c r="U691" s="412"/>
      <c r="V691" s="412"/>
      <c r="W691" s="412"/>
      <c r="X691" s="412"/>
      <c r="Y691" s="412"/>
    </row>
    <row r="692">
      <c r="A692" s="417"/>
      <c r="B692" s="412"/>
      <c r="C692" s="412"/>
      <c r="D692" s="412"/>
      <c r="E692" s="412"/>
      <c r="F692" s="412"/>
      <c r="G692" s="412"/>
      <c r="H692" s="412"/>
      <c r="I692" s="412"/>
      <c r="J692" s="412"/>
      <c r="K692" s="412"/>
      <c r="L692" s="412"/>
      <c r="M692" s="412"/>
      <c r="N692" s="412"/>
      <c r="O692" s="412"/>
      <c r="P692" s="412"/>
      <c r="Q692" s="412"/>
      <c r="R692" s="412"/>
      <c r="S692" s="412"/>
      <c r="T692" s="412"/>
      <c r="U692" s="412"/>
      <c r="V692" s="412"/>
      <c r="W692" s="412"/>
      <c r="X692" s="412"/>
      <c r="Y692" s="412"/>
    </row>
    <row r="693">
      <c r="A693" s="411"/>
      <c r="B693" s="412"/>
      <c r="C693" s="412"/>
      <c r="D693" s="412"/>
      <c r="E693" s="412"/>
      <c r="F693" s="412"/>
      <c r="G693" s="412"/>
      <c r="H693" s="412"/>
      <c r="I693" s="412"/>
      <c r="J693" s="412"/>
      <c r="K693" s="412"/>
      <c r="L693" s="412"/>
      <c r="M693" s="412"/>
      <c r="N693" s="412"/>
      <c r="O693" s="412"/>
      <c r="P693" s="412"/>
      <c r="Q693" s="412"/>
      <c r="R693" s="412"/>
      <c r="S693" s="412"/>
      <c r="T693" s="412"/>
      <c r="U693" s="412"/>
      <c r="V693" s="412"/>
      <c r="W693" s="412"/>
      <c r="X693" s="412"/>
      <c r="Y693" s="412"/>
    </row>
    <row r="694">
      <c r="A694" s="411"/>
      <c r="B694" s="412"/>
      <c r="C694" s="412"/>
      <c r="D694" s="412"/>
      <c r="E694" s="412"/>
      <c r="F694" s="412"/>
      <c r="G694" s="412"/>
      <c r="H694" s="412"/>
      <c r="I694" s="412"/>
      <c r="J694" s="412"/>
      <c r="K694" s="412"/>
      <c r="L694" s="412"/>
      <c r="M694" s="412"/>
      <c r="N694" s="412"/>
      <c r="O694" s="412"/>
      <c r="P694" s="412"/>
      <c r="Q694" s="412"/>
      <c r="R694" s="412"/>
      <c r="S694" s="412"/>
      <c r="T694" s="412"/>
      <c r="U694" s="412"/>
      <c r="V694" s="412"/>
      <c r="W694" s="412"/>
      <c r="X694" s="412"/>
      <c r="Y694" s="412"/>
    </row>
    <row r="695">
      <c r="A695" s="411"/>
      <c r="B695" s="412"/>
      <c r="C695" s="412"/>
      <c r="D695" s="412"/>
      <c r="E695" s="412"/>
      <c r="F695" s="412"/>
      <c r="G695" s="412"/>
      <c r="H695" s="412"/>
      <c r="I695" s="412"/>
      <c r="J695" s="412"/>
      <c r="K695" s="412"/>
      <c r="L695" s="412"/>
      <c r="M695" s="412"/>
      <c r="N695" s="412"/>
      <c r="O695" s="412"/>
      <c r="P695" s="412"/>
      <c r="Q695" s="412"/>
      <c r="R695" s="412"/>
      <c r="S695" s="412"/>
      <c r="T695" s="412"/>
      <c r="U695" s="412"/>
      <c r="V695" s="412"/>
      <c r="W695" s="412"/>
      <c r="X695" s="412"/>
      <c r="Y695" s="412"/>
    </row>
    <row r="696">
      <c r="A696" s="411"/>
      <c r="B696" s="412"/>
      <c r="C696" s="412"/>
      <c r="D696" s="412"/>
      <c r="E696" s="412"/>
      <c r="F696" s="412"/>
      <c r="G696" s="412"/>
      <c r="H696" s="412"/>
      <c r="I696" s="412"/>
      <c r="J696" s="412"/>
      <c r="K696" s="412"/>
      <c r="L696" s="412"/>
      <c r="M696" s="412"/>
      <c r="N696" s="412"/>
      <c r="O696" s="412"/>
      <c r="P696" s="412"/>
      <c r="Q696" s="412"/>
      <c r="R696" s="412"/>
      <c r="S696" s="412"/>
      <c r="T696" s="412"/>
      <c r="U696" s="412"/>
      <c r="V696" s="412"/>
      <c r="W696" s="412"/>
      <c r="X696" s="412"/>
      <c r="Y696" s="412"/>
    </row>
    <row r="697">
      <c r="A697" s="411"/>
      <c r="B697" s="412"/>
      <c r="C697" s="412"/>
      <c r="D697" s="412"/>
      <c r="E697" s="412"/>
      <c r="F697" s="412"/>
      <c r="G697" s="412"/>
      <c r="H697" s="412"/>
      <c r="I697" s="412"/>
      <c r="J697" s="412"/>
      <c r="K697" s="412"/>
      <c r="L697" s="412"/>
      <c r="M697" s="412"/>
      <c r="N697" s="412"/>
      <c r="O697" s="412"/>
      <c r="P697" s="412"/>
      <c r="Q697" s="412"/>
      <c r="R697" s="412"/>
      <c r="S697" s="412"/>
      <c r="T697" s="412"/>
      <c r="U697" s="412"/>
      <c r="V697" s="412"/>
      <c r="W697" s="412"/>
      <c r="X697" s="412"/>
      <c r="Y697" s="412"/>
    </row>
    <row r="698">
      <c r="A698" s="411"/>
      <c r="B698" s="412"/>
      <c r="C698" s="412"/>
      <c r="D698" s="412"/>
      <c r="E698" s="412"/>
      <c r="F698" s="412"/>
      <c r="G698" s="412"/>
      <c r="H698" s="412"/>
      <c r="I698" s="412"/>
      <c r="J698" s="412"/>
      <c r="K698" s="412"/>
      <c r="L698" s="412"/>
      <c r="M698" s="412"/>
      <c r="N698" s="412"/>
      <c r="O698" s="412"/>
      <c r="P698" s="412"/>
      <c r="Q698" s="412"/>
      <c r="R698" s="412"/>
      <c r="S698" s="412"/>
      <c r="T698" s="412"/>
      <c r="U698" s="412"/>
      <c r="V698" s="412"/>
      <c r="W698" s="412"/>
      <c r="X698" s="412"/>
      <c r="Y698" s="412"/>
    </row>
    <row r="699">
      <c r="A699" s="411"/>
      <c r="B699" s="412"/>
      <c r="C699" s="412"/>
      <c r="D699" s="412"/>
      <c r="E699" s="412"/>
      <c r="F699" s="412"/>
      <c r="G699" s="412"/>
      <c r="H699" s="412"/>
      <c r="I699" s="412"/>
      <c r="J699" s="412"/>
      <c r="K699" s="412"/>
      <c r="L699" s="412"/>
      <c r="M699" s="412"/>
      <c r="N699" s="412"/>
      <c r="O699" s="412"/>
      <c r="P699" s="412"/>
      <c r="Q699" s="412"/>
      <c r="R699" s="412"/>
      <c r="S699" s="412"/>
      <c r="T699" s="412"/>
      <c r="U699" s="412"/>
      <c r="V699" s="412"/>
      <c r="W699" s="412"/>
      <c r="X699" s="412"/>
      <c r="Y699" s="412"/>
    </row>
    <row r="700">
      <c r="A700" s="411"/>
      <c r="B700" s="412"/>
      <c r="C700" s="412"/>
      <c r="D700" s="412"/>
      <c r="E700" s="412"/>
      <c r="F700" s="412"/>
      <c r="G700" s="412"/>
      <c r="H700" s="412"/>
      <c r="I700" s="412"/>
      <c r="J700" s="412"/>
      <c r="K700" s="412"/>
      <c r="L700" s="412"/>
      <c r="M700" s="412"/>
      <c r="N700" s="412"/>
      <c r="O700" s="412"/>
      <c r="P700" s="412"/>
      <c r="Q700" s="412"/>
      <c r="R700" s="412"/>
      <c r="S700" s="412"/>
      <c r="T700" s="412"/>
      <c r="U700" s="412"/>
      <c r="V700" s="412"/>
      <c r="W700" s="412"/>
      <c r="X700" s="412"/>
      <c r="Y700" s="412"/>
    </row>
    <row r="701">
      <c r="A701" s="411"/>
      <c r="B701" s="412"/>
      <c r="C701" s="412"/>
      <c r="D701" s="412"/>
      <c r="E701" s="412"/>
      <c r="F701" s="412"/>
      <c r="G701" s="412"/>
      <c r="H701" s="412"/>
      <c r="I701" s="412"/>
      <c r="J701" s="412"/>
      <c r="K701" s="412"/>
      <c r="L701" s="412"/>
      <c r="M701" s="412"/>
      <c r="N701" s="412"/>
      <c r="O701" s="412"/>
      <c r="P701" s="412"/>
      <c r="Q701" s="412"/>
      <c r="R701" s="412"/>
      <c r="S701" s="412"/>
      <c r="T701" s="412"/>
      <c r="U701" s="412"/>
      <c r="V701" s="412"/>
      <c r="W701" s="412"/>
      <c r="X701" s="412"/>
      <c r="Y701" s="412"/>
    </row>
    <row r="702">
      <c r="A702" s="411"/>
      <c r="B702" s="412"/>
      <c r="C702" s="412"/>
      <c r="D702" s="412"/>
      <c r="E702" s="412"/>
      <c r="F702" s="412"/>
      <c r="G702" s="412"/>
      <c r="H702" s="412"/>
      <c r="I702" s="412"/>
      <c r="J702" s="412"/>
      <c r="K702" s="412"/>
      <c r="L702" s="412"/>
      <c r="M702" s="412"/>
      <c r="N702" s="412"/>
      <c r="O702" s="412"/>
      <c r="P702" s="412"/>
      <c r="Q702" s="412"/>
      <c r="R702" s="412"/>
      <c r="S702" s="412"/>
      <c r="T702" s="412"/>
      <c r="U702" s="412"/>
      <c r="V702" s="412"/>
      <c r="W702" s="412"/>
      <c r="X702" s="412"/>
      <c r="Y702" s="412"/>
    </row>
    <row r="703">
      <c r="A703" s="411"/>
      <c r="B703" s="412"/>
      <c r="C703" s="412"/>
      <c r="D703" s="412"/>
      <c r="E703" s="412"/>
      <c r="F703" s="412"/>
      <c r="G703" s="412"/>
      <c r="H703" s="412"/>
      <c r="I703" s="412"/>
      <c r="J703" s="412"/>
      <c r="K703" s="412"/>
      <c r="L703" s="412"/>
      <c r="M703" s="412"/>
      <c r="N703" s="412"/>
      <c r="O703" s="412"/>
      <c r="P703" s="412"/>
      <c r="Q703" s="412"/>
      <c r="R703" s="412"/>
      <c r="S703" s="412"/>
      <c r="T703" s="412"/>
      <c r="U703" s="412"/>
      <c r="V703" s="412"/>
      <c r="W703" s="412"/>
      <c r="X703" s="412"/>
      <c r="Y703" s="412"/>
    </row>
    <row r="704">
      <c r="A704" s="411"/>
      <c r="B704" s="412"/>
      <c r="C704" s="412"/>
      <c r="D704" s="412"/>
      <c r="E704" s="412"/>
      <c r="F704" s="412"/>
      <c r="G704" s="412"/>
      <c r="H704" s="412"/>
      <c r="I704" s="412"/>
      <c r="J704" s="412"/>
      <c r="K704" s="412"/>
      <c r="L704" s="412"/>
      <c r="M704" s="412"/>
      <c r="N704" s="412"/>
      <c r="O704" s="412"/>
      <c r="P704" s="412"/>
      <c r="Q704" s="412"/>
      <c r="R704" s="412"/>
      <c r="S704" s="412"/>
      <c r="T704" s="412"/>
      <c r="U704" s="412"/>
      <c r="V704" s="412"/>
      <c r="W704" s="412"/>
      <c r="X704" s="412"/>
      <c r="Y704" s="412"/>
    </row>
    <row r="705">
      <c r="A705" s="411"/>
      <c r="B705" s="412"/>
      <c r="C705" s="412"/>
      <c r="D705" s="412"/>
      <c r="E705" s="412"/>
      <c r="F705" s="412"/>
      <c r="G705" s="412"/>
      <c r="H705" s="412"/>
      <c r="I705" s="412"/>
      <c r="J705" s="412"/>
      <c r="K705" s="412"/>
      <c r="L705" s="412"/>
      <c r="M705" s="412"/>
      <c r="N705" s="412"/>
      <c r="O705" s="412"/>
      <c r="P705" s="412"/>
      <c r="Q705" s="412"/>
      <c r="R705" s="412"/>
      <c r="S705" s="412"/>
      <c r="T705" s="412"/>
      <c r="U705" s="412"/>
      <c r="V705" s="412"/>
      <c r="W705" s="412"/>
      <c r="X705" s="412"/>
      <c r="Y705" s="412"/>
    </row>
    <row r="706">
      <c r="A706" s="411"/>
      <c r="B706" s="412"/>
      <c r="C706" s="412"/>
      <c r="D706" s="412"/>
      <c r="E706" s="412"/>
      <c r="F706" s="412"/>
      <c r="G706" s="412"/>
      <c r="H706" s="412"/>
      <c r="I706" s="412"/>
      <c r="J706" s="412"/>
      <c r="K706" s="412"/>
      <c r="L706" s="412"/>
      <c r="M706" s="412"/>
      <c r="N706" s="412"/>
      <c r="O706" s="412"/>
      <c r="P706" s="412"/>
      <c r="Q706" s="412"/>
      <c r="R706" s="412"/>
      <c r="S706" s="412"/>
      <c r="T706" s="412"/>
      <c r="U706" s="412"/>
      <c r="V706" s="412"/>
      <c r="W706" s="412"/>
      <c r="X706" s="412"/>
      <c r="Y706" s="412"/>
    </row>
    <row r="707">
      <c r="A707" s="411"/>
      <c r="B707" s="412"/>
      <c r="C707" s="412"/>
      <c r="D707" s="412"/>
      <c r="E707" s="412"/>
      <c r="F707" s="412"/>
      <c r="G707" s="412"/>
      <c r="H707" s="412"/>
      <c r="I707" s="412"/>
      <c r="J707" s="412"/>
      <c r="K707" s="412"/>
      <c r="L707" s="412"/>
      <c r="M707" s="412"/>
      <c r="N707" s="412"/>
      <c r="O707" s="412"/>
      <c r="P707" s="412"/>
      <c r="Q707" s="412"/>
      <c r="R707" s="412"/>
      <c r="S707" s="412"/>
      <c r="T707" s="412"/>
      <c r="U707" s="412"/>
      <c r="V707" s="412"/>
      <c r="W707" s="412"/>
      <c r="X707" s="412"/>
      <c r="Y707" s="412"/>
    </row>
    <row r="708">
      <c r="A708" s="411"/>
      <c r="B708" s="412"/>
      <c r="C708" s="412"/>
      <c r="D708" s="412"/>
      <c r="E708" s="412"/>
      <c r="F708" s="412"/>
      <c r="G708" s="412"/>
      <c r="H708" s="412"/>
      <c r="I708" s="412"/>
      <c r="J708" s="412"/>
      <c r="K708" s="412"/>
      <c r="L708" s="412"/>
      <c r="M708" s="412"/>
      <c r="N708" s="412"/>
      <c r="O708" s="412"/>
      <c r="P708" s="412"/>
      <c r="Q708" s="412"/>
      <c r="R708" s="412"/>
      <c r="S708" s="412"/>
      <c r="T708" s="412"/>
      <c r="U708" s="412"/>
      <c r="V708" s="412"/>
      <c r="W708" s="412"/>
      <c r="X708" s="412"/>
      <c r="Y708" s="412"/>
    </row>
    <row r="709">
      <c r="A709" s="411"/>
      <c r="B709" s="412"/>
      <c r="C709" s="412"/>
      <c r="D709" s="412"/>
      <c r="E709" s="412"/>
      <c r="F709" s="412"/>
      <c r="G709" s="412"/>
      <c r="H709" s="412"/>
      <c r="I709" s="412"/>
      <c r="J709" s="412"/>
      <c r="K709" s="412"/>
      <c r="L709" s="412"/>
      <c r="M709" s="412"/>
      <c r="N709" s="412"/>
      <c r="O709" s="412"/>
      <c r="P709" s="412"/>
      <c r="Q709" s="412"/>
      <c r="R709" s="412"/>
      <c r="S709" s="412"/>
      <c r="T709" s="412"/>
      <c r="U709" s="412"/>
      <c r="V709" s="412"/>
      <c r="W709" s="412"/>
      <c r="X709" s="412"/>
      <c r="Y709" s="412"/>
    </row>
    <row r="710">
      <c r="A710" s="411"/>
      <c r="B710" s="412"/>
      <c r="C710" s="412"/>
      <c r="D710" s="412"/>
      <c r="E710" s="412"/>
      <c r="F710" s="412"/>
      <c r="G710" s="412"/>
      <c r="H710" s="412"/>
      <c r="I710" s="412"/>
      <c r="J710" s="412"/>
      <c r="K710" s="412"/>
      <c r="L710" s="412"/>
      <c r="M710" s="412"/>
      <c r="N710" s="412"/>
      <c r="O710" s="412"/>
      <c r="P710" s="412"/>
      <c r="Q710" s="412"/>
      <c r="R710" s="412"/>
      <c r="S710" s="412"/>
      <c r="T710" s="412"/>
      <c r="U710" s="412"/>
      <c r="V710" s="412"/>
      <c r="W710" s="412"/>
      <c r="X710" s="412"/>
      <c r="Y710" s="412"/>
    </row>
    <row r="711">
      <c r="A711" s="411"/>
      <c r="B711" s="412"/>
      <c r="C711" s="412"/>
      <c r="D711" s="412"/>
      <c r="E711" s="412"/>
      <c r="F711" s="412"/>
      <c r="G711" s="412"/>
      <c r="H711" s="412"/>
      <c r="I711" s="412"/>
      <c r="J711" s="412"/>
      <c r="K711" s="412"/>
      <c r="L711" s="412"/>
      <c r="M711" s="412"/>
      <c r="N711" s="412"/>
      <c r="O711" s="412"/>
      <c r="P711" s="412"/>
      <c r="Q711" s="412"/>
      <c r="R711" s="412"/>
      <c r="S711" s="412"/>
      <c r="T711" s="412"/>
      <c r="U711" s="412"/>
      <c r="V711" s="412"/>
      <c r="W711" s="412"/>
      <c r="X711" s="412"/>
      <c r="Y711" s="412"/>
    </row>
    <row r="712">
      <c r="A712" s="411"/>
      <c r="B712" s="412"/>
      <c r="C712" s="412"/>
      <c r="D712" s="412"/>
      <c r="E712" s="412"/>
      <c r="F712" s="412"/>
      <c r="G712" s="412"/>
      <c r="H712" s="412"/>
      <c r="I712" s="412"/>
      <c r="J712" s="412"/>
      <c r="K712" s="412"/>
      <c r="L712" s="412"/>
      <c r="M712" s="412"/>
      <c r="N712" s="412"/>
      <c r="O712" s="412"/>
      <c r="P712" s="412"/>
      <c r="Q712" s="412"/>
      <c r="R712" s="412"/>
      <c r="S712" s="412"/>
      <c r="T712" s="412"/>
      <c r="U712" s="412"/>
      <c r="V712" s="412"/>
      <c r="W712" s="412"/>
      <c r="X712" s="412"/>
      <c r="Y712" s="412"/>
    </row>
    <row r="713">
      <c r="A713" s="411"/>
      <c r="B713" s="412"/>
      <c r="C713" s="412"/>
      <c r="D713" s="412"/>
      <c r="E713" s="412"/>
      <c r="F713" s="412"/>
      <c r="G713" s="412"/>
      <c r="H713" s="412"/>
      <c r="I713" s="412"/>
      <c r="J713" s="412"/>
      <c r="K713" s="412"/>
      <c r="L713" s="412"/>
      <c r="M713" s="412"/>
      <c r="N713" s="412"/>
      <c r="O713" s="412"/>
      <c r="P713" s="412"/>
      <c r="Q713" s="412"/>
      <c r="R713" s="412"/>
      <c r="S713" s="412"/>
      <c r="T713" s="412"/>
      <c r="U713" s="412"/>
      <c r="V713" s="412"/>
      <c r="W713" s="412"/>
      <c r="X713" s="412"/>
      <c r="Y713" s="412"/>
    </row>
    <row r="714">
      <c r="A714" s="411"/>
      <c r="B714" s="412"/>
      <c r="C714" s="412"/>
      <c r="D714" s="412"/>
      <c r="E714" s="412"/>
      <c r="F714" s="412"/>
      <c r="G714" s="412"/>
      <c r="H714" s="412"/>
      <c r="I714" s="412"/>
      <c r="J714" s="412"/>
      <c r="K714" s="412"/>
      <c r="L714" s="412"/>
      <c r="M714" s="412"/>
      <c r="N714" s="412"/>
      <c r="O714" s="412"/>
      <c r="P714" s="412"/>
      <c r="Q714" s="412"/>
      <c r="R714" s="412"/>
      <c r="S714" s="412"/>
      <c r="T714" s="412"/>
      <c r="U714" s="412"/>
      <c r="V714" s="412"/>
      <c r="W714" s="412"/>
      <c r="X714" s="412"/>
      <c r="Y714" s="412"/>
    </row>
    <row r="715">
      <c r="A715" s="411"/>
      <c r="B715" s="412"/>
      <c r="C715" s="412"/>
      <c r="D715" s="412"/>
      <c r="E715" s="412"/>
      <c r="F715" s="412"/>
      <c r="G715" s="412"/>
      <c r="H715" s="412"/>
      <c r="I715" s="412"/>
      <c r="J715" s="412"/>
      <c r="K715" s="412"/>
      <c r="L715" s="412"/>
      <c r="M715" s="412"/>
      <c r="N715" s="412"/>
      <c r="O715" s="412"/>
      <c r="P715" s="412"/>
      <c r="Q715" s="412"/>
      <c r="R715" s="412"/>
      <c r="S715" s="412"/>
      <c r="T715" s="412"/>
      <c r="U715" s="412"/>
      <c r="V715" s="412"/>
      <c r="W715" s="412"/>
      <c r="X715" s="412"/>
      <c r="Y715" s="412"/>
    </row>
    <row r="716">
      <c r="A716" s="411"/>
      <c r="B716" s="412"/>
      <c r="C716" s="412"/>
      <c r="D716" s="412"/>
      <c r="E716" s="412"/>
      <c r="F716" s="412"/>
      <c r="G716" s="412"/>
      <c r="H716" s="412"/>
      <c r="I716" s="412"/>
      <c r="J716" s="412"/>
      <c r="K716" s="412"/>
      <c r="L716" s="412"/>
      <c r="M716" s="412"/>
      <c r="N716" s="412"/>
      <c r="O716" s="412"/>
      <c r="P716" s="412"/>
      <c r="Q716" s="412"/>
      <c r="R716" s="412"/>
      <c r="S716" s="412"/>
      <c r="T716" s="412"/>
      <c r="U716" s="412"/>
      <c r="V716" s="412"/>
      <c r="W716" s="412"/>
      <c r="X716" s="412"/>
      <c r="Y716" s="412"/>
    </row>
    <row r="717">
      <c r="A717" s="411"/>
      <c r="B717" s="412"/>
      <c r="C717" s="412"/>
      <c r="D717" s="412"/>
      <c r="E717" s="412"/>
      <c r="F717" s="412"/>
      <c r="G717" s="412"/>
      <c r="H717" s="412"/>
      <c r="I717" s="412"/>
      <c r="J717" s="412"/>
      <c r="K717" s="412"/>
      <c r="L717" s="412"/>
      <c r="M717" s="412"/>
      <c r="N717" s="412"/>
      <c r="O717" s="412"/>
      <c r="P717" s="412"/>
      <c r="Q717" s="412"/>
      <c r="R717" s="412"/>
      <c r="S717" s="412"/>
      <c r="T717" s="412"/>
      <c r="U717" s="412"/>
      <c r="V717" s="412"/>
      <c r="W717" s="412"/>
      <c r="X717" s="412"/>
      <c r="Y717" s="412"/>
    </row>
    <row r="718">
      <c r="A718" s="411"/>
      <c r="B718" s="412"/>
      <c r="C718" s="412"/>
      <c r="D718" s="412"/>
      <c r="E718" s="412"/>
      <c r="F718" s="412"/>
      <c r="G718" s="412"/>
      <c r="H718" s="412"/>
      <c r="I718" s="412"/>
      <c r="J718" s="412"/>
      <c r="K718" s="412"/>
      <c r="L718" s="412"/>
      <c r="M718" s="412"/>
      <c r="N718" s="412"/>
      <c r="O718" s="412"/>
      <c r="P718" s="412"/>
      <c r="Q718" s="412"/>
      <c r="R718" s="412"/>
      <c r="S718" s="412"/>
      <c r="T718" s="412"/>
      <c r="U718" s="412"/>
      <c r="V718" s="412"/>
      <c r="W718" s="412"/>
      <c r="X718" s="412"/>
      <c r="Y718" s="412"/>
    </row>
    <row r="719">
      <c r="A719" s="411"/>
      <c r="B719" s="412"/>
      <c r="C719" s="412"/>
      <c r="D719" s="412"/>
      <c r="E719" s="412"/>
      <c r="F719" s="412"/>
      <c r="G719" s="412"/>
      <c r="H719" s="412"/>
      <c r="I719" s="412"/>
      <c r="J719" s="412"/>
      <c r="K719" s="412"/>
      <c r="L719" s="412"/>
      <c r="M719" s="412"/>
      <c r="N719" s="412"/>
      <c r="O719" s="412"/>
      <c r="P719" s="412"/>
      <c r="Q719" s="412"/>
      <c r="R719" s="412"/>
      <c r="S719" s="412"/>
      <c r="T719" s="412"/>
      <c r="U719" s="412"/>
      <c r="V719" s="412"/>
      <c r="W719" s="412"/>
      <c r="X719" s="412"/>
      <c r="Y719" s="412"/>
    </row>
    <row r="720">
      <c r="A720" s="411"/>
      <c r="B720" s="412"/>
      <c r="C720" s="412"/>
      <c r="D720" s="412"/>
      <c r="E720" s="412"/>
      <c r="F720" s="412"/>
      <c r="G720" s="412"/>
      <c r="H720" s="412"/>
      <c r="I720" s="412"/>
      <c r="J720" s="412"/>
      <c r="K720" s="412"/>
      <c r="L720" s="412"/>
      <c r="M720" s="412"/>
      <c r="N720" s="412"/>
      <c r="O720" s="412"/>
      <c r="P720" s="412"/>
      <c r="Q720" s="412"/>
      <c r="R720" s="412"/>
      <c r="S720" s="412"/>
      <c r="T720" s="412"/>
      <c r="U720" s="412"/>
      <c r="V720" s="412"/>
      <c r="W720" s="412"/>
      <c r="X720" s="412"/>
      <c r="Y720" s="412"/>
    </row>
    <row r="721">
      <c r="A721" s="411"/>
      <c r="B721" s="412"/>
      <c r="C721" s="412"/>
      <c r="D721" s="412"/>
      <c r="E721" s="412"/>
      <c r="F721" s="412"/>
      <c r="G721" s="412"/>
      <c r="H721" s="412"/>
      <c r="I721" s="412"/>
      <c r="J721" s="412"/>
      <c r="K721" s="412"/>
      <c r="L721" s="412"/>
      <c r="M721" s="412"/>
      <c r="N721" s="412"/>
      <c r="O721" s="412"/>
      <c r="P721" s="412"/>
      <c r="Q721" s="412"/>
      <c r="R721" s="412"/>
      <c r="S721" s="412"/>
      <c r="T721" s="412"/>
      <c r="U721" s="412"/>
      <c r="V721" s="412"/>
      <c r="W721" s="412"/>
      <c r="X721" s="412"/>
      <c r="Y721" s="412"/>
    </row>
    <row r="722">
      <c r="A722" s="411"/>
      <c r="B722" s="412"/>
      <c r="C722" s="412"/>
      <c r="D722" s="412"/>
      <c r="E722" s="412"/>
      <c r="F722" s="412"/>
      <c r="G722" s="412"/>
      <c r="H722" s="412"/>
      <c r="I722" s="412"/>
      <c r="J722" s="412"/>
      <c r="K722" s="412"/>
      <c r="L722" s="412"/>
      <c r="M722" s="412"/>
      <c r="N722" s="412"/>
      <c r="O722" s="412"/>
      <c r="P722" s="412"/>
      <c r="Q722" s="412"/>
      <c r="R722" s="412"/>
      <c r="S722" s="412"/>
      <c r="T722" s="412"/>
      <c r="U722" s="412"/>
      <c r="V722" s="412"/>
      <c r="W722" s="412"/>
      <c r="X722" s="412"/>
      <c r="Y722" s="412"/>
    </row>
    <row r="723">
      <c r="A723" s="411"/>
      <c r="B723" s="412"/>
      <c r="C723" s="412"/>
      <c r="D723" s="412"/>
      <c r="E723" s="412"/>
      <c r="F723" s="412"/>
      <c r="G723" s="412"/>
      <c r="H723" s="412"/>
      <c r="I723" s="412"/>
      <c r="J723" s="412"/>
      <c r="K723" s="412"/>
      <c r="L723" s="412"/>
      <c r="M723" s="412"/>
      <c r="N723" s="412"/>
      <c r="O723" s="412"/>
      <c r="P723" s="412"/>
      <c r="Q723" s="412"/>
      <c r="R723" s="412"/>
      <c r="S723" s="412"/>
      <c r="T723" s="412"/>
      <c r="U723" s="412"/>
      <c r="V723" s="412"/>
      <c r="W723" s="412"/>
      <c r="X723" s="412"/>
      <c r="Y723" s="412"/>
    </row>
    <row r="724">
      <c r="A724" s="411"/>
      <c r="B724" s="412"/>
      <c r="C724" s="412"/>
      <c r="D724" s="412"/>
      <c r="E724" s="412"/>
      <c r="F724" s="412"/>
      <c r="G724" s="412"/>
      <c r="H724" s="412"/>
      <c r="I724" s="412"/>
      <c r="J724" s="412"/>
      <c r="K724" s="412"/>
      <c r="L724" s="412"/>
      <c r="M724" s="412"/>
      <c r="N724" s="412"/>
      <c r="O724" s="412"/>
      <c r="P724" s="412"/>
      <c r="Q724" s="412"/>
      <c r="R724" s="412"/>
      <c r="S724" s="412"/>
      <c r="T724" s="412"/>
      <c r="U724" s="412"/>
      <c r="V724" s="412"/>
      <c r="W724" s="412"/>
      <c r="X724" s="412"/>
      <c r="Y724" s="412"/>
    </row>
    <row r="725">
      <c r="A725" s="411"/>
      <c r="B725" s="412"/>
      <c r="C725" s="412"/>
      <c r="D725" s="412"/>
      <c r="E725" s="412"/>
      <c r="F725" s="412"/>
      <c r="G725" s="412"/>
      <c r="H725" s="412"/>
      <c r="I725" s="412"/>
      <c r="J725" s="412"/>
      <c r="K725" s="412"/>
      <c r="L725" s="412"/>
      <c r="M725" s="412"/>
      <c r="N725" s="412"/>
      <c r="O725" s="412"/>
      <c r="P725" s="412"/>
      <c r="Q725" s="412"/>
      <c r="R725" s="412"/>
      <c r="S725" s="412"/>
      <c r="T725" s="412"/>
      <c r="U725" s="412"/>
      <c r="V725" s="412"/>
      <c r="W725" s="412"/>
      <c r="X725" s="412"/>
      <c r="Y725" s="412"/>
    </row>
    <row r="726">
      <c r="A726" s="411"/>
      <c r="B726" s="412"/>
      <c r="C726" s="412"/>
      <c r="D726" s="412"/>
      <c r="E726" s="412"/>
      <c r="F726" s="412"/>
      <c r="G726" s="412"/>
      <c r="H726" s="412"/>
      <c r="I726" s="412"/>
      <c r="J726" s="412"/>
      <c r="K726" s="412"/>
      <c r="L726" s="412"/>
      <c r="M726" s="412"/>
      <c r="N726" s="412"/>
      <c r="O726" s="412"/>
      <c r="P726" s="412"/>
      <c r="Q726" s="412"/>
      <c r="R726" s="412"/>
      <c r="S726" s="412"/>
      <c r="T726" s="412"/>
      <c r="U726" s="412"/>
      <c r="V726" s="412"/>
      <c r="W726" s="412"/>
      <c r="X726" s="412"/>
      <c r="Y726" s="412"/>
    </row>
    <row r="727">
      <c r="A727" s="411"/>
      <c r="B727" s="412"/>
      <c r="C727" s="412"/>
      <c r="D727" s="412"/>
      <c r="E727" s="412"/>
      <c r="F727" s="412"/>
      <c r="G727" s="412"/>
      <c r="H727" s="412"/>
      <c r="I727" s="412"/>
      <c r="J727" s="412"/>
      <c r="K727" s="412"/>
      <c r="L727" s="412"/>
      <c r="M727" s="412"/>
      <c r="N727" s="412"/>
      <c r="O727" s="412"/>
      <c r="P727" s="412"/>
      <c r="Q727" s="412"/>
      <c r="R727" s="412"/>
      <c r="S727" s="412"/>
      <c r="T727" s="412"/>
      <c r="U727" s="412"/>
      <c r="V727" s="412"/>
      <c r="W727" s="412"/>
      <c r="X727" s="412"/>
      <c r="Y727" s="412"/>
    </row>
    <row r="728">
      <c r="A728" s="411"/>
      <c r="B728" s="412"/>
      <c r="C728" s="412"/>
      <c r="D728" s="412"/>
      <c r="E728" s="412"/>
      <c r="F728" s="412"/>
      <c r="G728" s="412"/>
      <c r="H728" s="412"/>
      <c r="I728" s="412"/>
      <c r="J728" s="412"/>
      <c r="K728" s="412"/>
      <c r="L728" s="412"/>
      <c r="M728" s="412"/>
      <c r="N728" s="412"/>
      <c r="O728" s="412"/>
      <c r="P728" s="412"/>
      <c r="Q728" s="412"/>
      <c r="R728" s="412"/>
      <c r="S728" s="412"/>
      <c r="T728" s="412"/>
      <c r="U728" s="412"/>
      <c r="V728" s="412"/>
      <c r="W728" s="412"/>
      <c r="X728" s="412"/>
      <c r="Y728" s="412"/>
    </row>
    <row r="729">
      <c r="A729" s="411"/>
      <c r="B729" s="412"/>
      <c r="C729" s="412"/>
      <c r="D729" s="412"/>
      <c r="E729" s="412"/>
      <c r="F729" s="412"/>
      <c r="G729" s="412"/>
      <c r="H729" s="412"/>
      <c r="I729" s="412"/>
      <c r="J729" s="412"/>
      <c r="K729" s="412"/>
      <c r="L729" s="412"/>
      <c r="M729" s="412"/>
      <c r="N729" s="412"/>
      <c r="O729" s="412"/>
      <c r="P729" s="412"/>
      <c r="Q729" s="412"/>
      <c r="R729" s="412"/>
      <c r="S729" s="412"/>
      <c r="T729" s="412"/>
      <c r="U729" s="412"/>
      <c r="V729" s="412"/>
      <c r="W729" s="412"/>
      <c r="X729" s="412"/>
      <c r="Y729" s="412"/>
    </row>
    <row r="730">
      <c r="A730" s="411"/>
      <c r="B730" s="412"/>
      <c r="C730" s="412"/>
      <c r="D730" s="412"/>
      <c r="E730" s="412"/>
      <c r="F730" s="412"/>
      <c r="G730" s="412"/>
      <c r="H730" s="412"/>
      <c r="I730" s="412"/>
      <c r="J730" s="412"/>
      <c r="K730" s="412"/>
      <c r="L730" s="412"/>
      <c r="M730" s="412"/>
      <c r="N730" s="412"/>
      <c r="O730" s="412"/>
      <c r="P730" s="412"/>
      <c r="Q730" s="412"/>
      <c r="R730" s="412"/>
      <c r="S730" s="412"/>
      <c r="T730" s="412"/>
      <c r="U730" s="412"/>
      <c r="V730" s="412"/>
      <c r="W730" s="412"/>
      <c r="X730" s="412"/>
      <c r="Y730" s="412"/>
    </row>
    <row r="731">
      <c r="A731" s="411"/>
      <c r="B731" s="412"/>
      <c r="C731" s="412"/>
      <c r="D731" s="412"/>
      <c r="E731" s="412"/>
      <c r="F731" s="412"/>
      <c r="G731" s="412"/>
      <c r="H731" s="412"/>
      <c r="I731" s="412"/>
      <c r="J731" s="412"/>
      <c r="K731" s="412"/>
      <c r="L731" s="412"/>
      <c r="M731" s="412"/>
      <c r="N731" s="412"/>
      <c r="O731" s="412"/>
      <c r="P731" s="412"/>
      <c r="Q731" s="412"/>
      <c r="R731" s="412"/>
      <c r="S731" s="412"/>
      <c r="T731" s="412"/>
      <c r="U731" s="412"/>
      <c r="V731" s="412"/>
      <c r="W731" s="412"/>
      <c r="X731" s="412"/>
      <c r="Y731" s="412"/>
    </row>
    <row r="732">
      <c r="A732" s="411"/>
      <c r="B732" s="412"/>
      <c r="C732" s="412"/>
      <c r="D732" s="412"/>
      <c r="E732" s="412"/>
      <c r="F732" s="412"/>
      <c r="G732" s="412"/>
      <c r="H732" s="412"/>
      <c r="I732" s="412"/>
      <c r="J732" s="412"/>
      <c r="K732" s="412"/>
      <c r="L732" s="412"/>
      <c r="M732" s="412"/>
      <c r="N732" s="412"/>
      <c r="O732" s="412"/>
      <c r="P732" s="412"/>
      <c r="Q732" s="412"/>
      <c r="R732" s="412"/>
      <c r="S732" s="412"/>
      <c r="T732" s="412"/>
      <c r="U732" s="412"/>
      <c r="V732" s="412"/>
      <c r="W732" s="412"/>
      <c r="X732" s="412"/>
      <c r="Y732" s="412"/>
    </row>
    <row r="733">
      <c r="A733" s="411"/>
      <c r="B733" s="412"/>
      <c r="C733" s="412"/>
      <c r="D733" s="412"/>
      <c r="E733" s="412"/>
      <c r="F733" s="412"/>
      <c r="G733" s="412"/>
      <c r="H733" s="412"/>
      <c r="I733" s="412"/>
      <c r="J733" s="412"/>
      <c r="K733" s="412"/>
      <c r="L733" s="412"/>
      <c r="M733" s="412"/>
      <c r="N733" s="412"/>
      <c r="O733" s="412"/>
      <c r="P733" s="412"/>
      <c r="Q733" s="412"/>
      <c r="R733" s="412"/>
      <c r="S733" s="412"/>
      <c r="T733" s="412"/>
      <c r="U733" s="412"/>
      <c r="V733" s="412"/>
      <c r="W733" s="412"/>
      <c r="X733" s="412"/>
      <c r="Y733" s="412"/>
    </row>
    <row r="734">
      <c r="A734" s="411"/>
      <c r="B734" s="412"/>
      <c r="C734" s="412"/>
      <c r="D734" s="412"/>
      <c r="E734" s="412"/>
      <c r="F734" s="412"/>
      <c r="G734" s="412"/>
      <c r="H734" s="412"/>
      <c r="I734" s="412"/>
      <c r="J734" s="412"/>
      <c r="K734" s="412"/>
      <c r="L734" s="412"/>
      <c r="M734" s="412"/>
      <c r="N734" s="412"/>
      <c r="O734" s="412"/>
      <c r="P734" s="412"/>
      <c r="Q734" s="412"/>
      <c r="R734" s="412"/>
      <c r="S734" s="412"/>
      <c r="T734" s="412"/>
      <c r="U734" s="412"/>
      <c r="V734" s="412"/>
      <c r="W734" s="412"/>
      <c r="X734" s="412"/>
      <c r="Y734" s="412"/>
    </row>
    <row r="735">
      <c r="A735" s="411"/>
      <c r="B735" s="412"/>
      <c r="C735" s="412"/>
      <c r="D735" s="412"/>
      <c r="E735" s="412"/>
      <c r="F735" s="412"/>
      <c r="G735" s="412"/>
      <c r="H735" s="412"/>
      <c r="I735" s="412"/>
      <c r="J735" s="412"/>
      <c r="K735" s="412"/>
      <c r="L735" s="412"/>
      <c r="M735" s="412"/>
      <c r="N735" s="412"/>
      <c r="O735" s="412"/>
      <c r="P735" s="412"/>
      <c r="Q735" s="412"/>
      <c r="R735" s="412"/>
      <c r="S735" s="412"/>
      <c r="T735" s="412"/>
      <c r="U735" s="412"/>
      <c r="V735" s="412"/>
      <c r="W735" s="412"/>
      <c r="X735" s="412"/>
      <c r="Y735" s="412"/>
    </row>
    <row r="736">
      <c r="A736" s="411"/>
      <c r="B736" s="412"/>
      <c r="C736" s="412"/>
      <c r="D736" s="412"/>
      <c r="E736" s="412"/>
      <c r="F736" s="412"/>
      <c r="G736" s="412"/>
      <c r="H736" s="412"/>
      <c r="I736" s="412"/>
      <c r="J736" s="412"/>
      <c r="K736" s="412"/>
      <c r="L736" s="412"/>
      <c r="M736" s="412"/>
      <c r="N736" s="412"/>
      <c r="O736" s="412"/>
      <c r="P736" s="412"/>
      <c r="Q736" s="412"/>
      <c r="R736" s="412"/>
      <c r="S736" s="412"/>
      <c r="T736" s="412"/>
      <c r="U736" s="412"/>
      <c r="V736" s="412"/>
      <c r="W736" s="412"/>
      <c r="X736" s="412"/>
      <c r="Y736" s="412"/>
    </row>
    <row r="737">
      <c r="A737" s="411"/>
      <c r="B737" s="412"/>
      <c r="C737" s="412"/>
      <c r="D737" s="412"/>
      <c r="E737" s="412"/>
      <c r="F737" s="412"/>
      <c r="G737" s="412"/>
      <c r="H737" s="412"/>
      <c r="I737" s="412"/>
      <c r="J737" s="412"/>
      <c r="K737" s="412"/>
      <c r="L737" s="412"/>
      <c r="M737" s="412"/>
      <c r="N737" s="412"/>
      <c r="O737" s="412"/>
      <c r="P737" s="412"/>
      <c r="Q737" s="412"/>
      <c r="R737" s="412"/>
      <c r="S737" s="412"/>
      <c r="T737" s="412"/>
      <c r="U737" s="412"/>
      <c r="V737" s="412"/>
      <c r="W737" s="412"/>
      <c r="X737" s="412"/>
      <c r="Y737" s="412"/>
    </row>
    <row r="738">
      <c r="A738" s="411"/>
      <c r="B738" s="412"/>
      <c r="C738" s="412"/>
      <c r="D738" s="412"/>
      <c r="E738" s="412"/>
      <c r="F738" s="412"/>
      <c r="G738" s="412"/>
      <c r="H738" s="412"/>
      <c r="I738" s="412"/>
      <c r="J738" s="412"/>
      <c r="K738" s="412"/>
      <c r="L738" s="412"/>
      <c r="M738" s="412"/>
      <c r="N738" s="412"/>
      <c r="O738" s="412"/>
      <c r="P738" s="412"/>
      <c r="Q738" s="412"/>
      <c r="R738" s="412"/>
      <c r="S738" s="412"/>
      <c r="T738" s="412"/>
      <c r="U738" s="412"/>
      <c r="V738" s="412"/>
      <c r="W738" s="412"/>
      <c r="X738" s="412"/>
      <c r="Y738" s="412"/>
    </row>
    <row r="739">
      <c r="A739" s="411"/>
      <c r="B739" s="412"/>
      <c r="C739" s="412"/>
      <c r="D739" s="412"/>
      <c r="E739" s="412"/>
      <c r="F739" s="412"/>
      <c r="G739" s="412"/>
      <c r="H739" s="412"/>
      <c r="I739" s="412"/>
      <c r="J739" s="412"/>
      <c r="K739" s="412"/>
      <c r="L739" s="412"/>
      <c r="M739" s="412"/>
      <c r="N739" s="412"/>
      <c r="O739" s="412"/>
      <c r="P739" s="412"/>
      <c r="Q739" s="412"/>
      <c r="R739" s="412"/>
      <c r="S739" s="412"/>
      <c r="T739" s="412"/>
      <c r="U739" s="412"/>
      <c r="V739" s="412"/>
      <c r="W739" s="412"/>
      <c r="X739" s="412"/>
      <c r="Y739" s="412"/>
    </row>
    <row r="740">
      <c r="A740" s="411"/>
      <c r="B740" s="412"/>
      <c r="C740" s="412"/>
      <c r="D740" s="412"/>
      <c r="E740" s="412"/>
      <c r="F740" s="412"/>
      <c r="G740" s="412"/>
      <c r="H740" s="412"/>
      <c r="I740" s="412"/>
      <c r="J740" s="412"/>
      <c r="K740" s="412"/>
      <c r="L740" s="412"/>
      <c r="M740" s="412"/>
      <c r="N740" s="412"/>
      <c r="O740" s="412"/>
      <c r="P740" s="412"/>
      <c r="Q740" s="412"/>
      <c r="R740" s="412"/>
      <c r="S740" s="412"/>
      <c r="T740" s="412"/>
      <c r="U740" s="412"/>
      <c r="V740" s="412"/>
      <c r="W740" s="412"/>
      <c r="X740" s="412"/>
      <c r="Y740" s="412"/>
    </row>
    <row r="741">
      <c r="A741" s="411"/>
      <c r="B741" s="412"/>
      <c r="C741" s="412"/>
      <c r="D741" s="412"/>
      <c r="E741" s="412"/>
      <c r="F741" s="412"/>
      <c r="G741" s="412"/>
      <c r="H741" s="412"/>
      <c r="I741" s="412"/>
      <c r="J741" s="412"/>
      <c r="K741" s="412"/>
      <c r="L741" s="412"/>
      <c r="M741" s="412"/>
      <c r="N741" s="412"/>
      <c r="O741" s="412"/>
      <c r="P741" s="412"/>
      <c r="Q741" s="412"/>
      <c r="R741" s="412"/>
      <c r="S741" s="412"/>
      <c r="T741" s="412"/>
      <c r="U741" s="412"/>
      <c r="V741" s="412"/>
      <c r="W741" s="412"/>
      <c r="X741" s="412"/>
      <c r="Y741" s="412"/>
    </row>
    <row r="742">
      <c r="A742" s="411"/>
      <c r="B742" s="412"/>
      <c r="C742" s="412"/>
      <c r="D742" s="412"/>
      <c r="E742" s="412"/>
      <c r="F742" s="412"/>
      <c r="G742" s="412"/>
      <c r="H742" s="412"/>
      <c r="I742" s="412"/>
      <c r="J742" s="412"/>
      <c r="K742" s="412"/>
      <c r="L742" s="412"/>
      <c r="M742" s="412"/>
      <c r="N742" s="412"/>
      <c r="O742" s="412"/>
      <c r="P742" s="412"/>
      <c r="Q742" s="412"/>
      <c r="R742" s="412"/>
      <c r="S742" s="412"/>
      <c r="T742" s="412"/>
      <c r="U742" s="412"/>
      <c r="V742" s="412"/>
      <c r="W742" s="412"/>
      <c r="X742" s="412"/>
      <c r="Y742" s="412"/>
    </row>
    <row r="743">
      <c r="A743" s="411"/>
      <c r="B743" s="412"/>
      <c r="C743" s="412"/>
      <c r="D743" s="412"/>
      <c r="E743" s="412"/>
      <c r="F743" s="412"/>
      <c r="G743" s="412"/>
      <c r="H743" s="412"/>
      <c r="I743" s="412"/>
      <c r="J743" s="412"/>
      <c r="K743" s="412"/>
      <c r="L743" s="412"/>
      <c r="M743" s="412"/>
      <c r="N743" s="412"/>
      <c r="O743" s="412"/>
      <c r="P743" s="412"/>
      <c r="Q743" s="412"/>
      <c r="R743" s="412"/>
      <c r="S743" s="412"/>
      <c r="T743" s="412"/>
      <c r="U743" s="412"/>
      <c r="V743" s="412"/>
      <c r="W743" s="412"/>
      <c r="X743" s="412"/>
      <c r="Y743" s="412"/>
    </row>
    <row r="744">
      <c r="A744" s="411"/>
      <c r="B744" s="412"/>
      <c r="C744" s="412"/>
      <c r="D744" s="412"/>
      <c r="E744" s="412"/>
      <c r="F744" s="412"/>
      <c r="G744" s="412"/>
      <c r="H744" s="412"/>
      <c r="I744" s="412"/>
      <c r="J744" s="412"/>
      <c r="K744" s="412"/>
      <c r="L744" s="412"/>
      <c r="M744" s="412"/>
      <c r="N744" s="412"/>
      <c r="O744" s="412"/>
      <c r="P744" s="412"/>
      <c r="Q744" s="412"/>
      <c r="R744" s="412"/>
      <c r="S744" s="412"/>
      <c r="T744" s="412"/>
      <c r="U744" s="412"/>
      <c r="V744" s="412"/>
      <c r="W744" s="412"/>
      <c r="X744" s="412"/>
      <c r="Y744" s="412"/>
    </row>
    <row r="745">
      <c r="A745" s="411"/>
      <c r="B745" s="412"/>
      <c r="C745" s="412"/>
      <c r="D745" s="412"/>
      <c r="E745" s="412"/>
      <c r="F745" s="412"/>
      <c r="G745" s="412"/>
      <c r="H745" s="412"/>
      <c r="I745" s="412"/>
      <c r="J745" s="412"/>
      <c r="K745" s="412"/>
      <c r="L745" s="412"/>
      <c r="M745" s="412"/>
      <c r="N745" s="412"/>
      <c r="O745" s="412"/>
      <c r="P745" s="412"/>
      <c r="Q745" s="412"/>
      <c r="R745" s="412"/>
      <c r="S745" s="412"/>
      <c r="T745" s="412"/>
      <c r="U745" s="412"/>
      <c r="V745" s="412"/>
      <c r="W745" s="412"/>
      <c r="X745" s="412"/>
      <c r="Y745" s="412"/>
    </row>
    <row r="746">
      <c r="A746" s="411"/>
      <c r="B746" s="412"/>
      <c r="C746" s="412"/>
      <c r="D746" s="412"/>
      <c r="E746" s="412"/>
      <c r="F746" s="412"/>
      <c r="G746" s="412"/>
      <c r="H746" s="412"/>
      <c r="I746" s="412"/>
      <c r="J746" s="412"/>
      <c r="K746" s="412"/>
      <c r="L746" s="412"/>
      <c r="M746" s="412"/>
      <c r="N746" s="412"/>
      <c r="O746" s="412"/>
      <c r="P746" s="412"/>
      <c r="Q746" s="412"/>
      <c r="R746" s="412"/>
      <c r="S746" s="412"/>
      <c r="T746" s="412"/>
      <c r="U746" s="412"/>
      <c r="V746" s="412"/>
      <c r="W746" s="412"/>
      <c r="X746" s="412"/>
      <c r="Y746" s="412"/>
    </row>
    <row r="747">
      <c r="A747" s="411"/>
      <c r="B747" s="412"/>
      <c r="C747" s="412"/>
      <c r="D747" s="412"/>
      <c r="E747" s="412"/>
      <c r="F747" s="412"/>
      <c r="G747" s="412"/>
      <c r="H747" s="412"/>
      <c r="I747" s="412"/>
      <c r="J747" s="412"/>
      <c r="K747" s="412"/>
      <c r="L747" s="412"/>
      <c r="M747" s="412"/>
      <c r="N747" s="412"/>
      <c r="O747" s="412"/>
      <c r="P747" s="412"/>
      <c r="Q747" s="412"/>
      <c r="R747" s="412"/>
      <c r="S747" s="412"/>
      <c r="T747" s="412"/>
      <c r="U747" s="412"/>
      <c r="V747" s="412"/>
      <c r="W747" s="412"/>
      <c r="X747" s="412"/>
      <c r="Y747" s="412"/>
    </row>
    <row r="748">
      <c r="A748" s="411"/>
      <c r="B748" s="412"/>
      <c r="C748" s="412"/>
      <c r="D748" s="412"/>
      <c r="E748" s="412"/>
      <c r="F748" s="412"/>
      <c r="G748" s="412"/>
      <c r="H748" s="412"/>
      <c r="I748" s="412"/>
      <c r="J748" s="412"/>
      <c r="K748" s="412"/>
      <c r="L748" s="412"/>
      <c r="M748" s="412"/>
      <c r="N748" s="412"/>
      <c r="O748" s="412"/>
      <c r="P748" s="412"/>
      <c r="Q748" s="412"/>
      <c r="R748" s="412"/>
      <c r="S748" s="412"/>
      <c r="T748" s="412"/>
      <c r="U748" s="412"/>
      <c r="V748" s="412"/>
      <c r="W748" s="412"/>
      <c r="X748" s="412"/>
      <c r="Y748" s="412"/>
    </row>
    <row r="749">
      <c r="A749" s="411"/>
      <c r="B749" s="412"/>
      <c r="C749" s="412"/>
      <c r="D749" s="412"/>
      <c r="E749" s="412"/>
      <c r="F749" s="412"/>
      <c r="G749" s="412"/>
      <c r="H749" s="412"/>
      <c r="I749" s="412"/>
      <c r="J749" s="412"/>
      <c r="K749" s="412"/>
      <c r="L749" s="412"/>
      <c r="M749" s="412"/>
      <c r="N749" s="412"/>
      <c r="O749" s="412"/>
      <c r="P749" s="412"/>
      <c r="Q749" s="412"/>
      <c r="R749" s="412"/>
      <c r="S749" s="412"/>
      <c r="T749" s="412"/>
      <c r="U749" s="412"/>
      <c r="V749" s="412"/>
      <c r="W749" s="412"/>
      <c r="X749" s="412"/>
      <c r="Y749" s="412"/>
    </row>
    <row r="750">
      <c r="A750" s="411"/>
      <c r="B750" s="412"/>
      <c r="C750" s="412"/>
      <c r="D750" s="412"/>
      <c r="E750" s="412"/>
      <c r="F750" s="412"/>
      <c r="G750" s="412"/>
      <c r="H750" s="412"/>
      <c r="I750" s="412"/>
      <c r="J750" s="412"/>
      <c r="K750" s="412"/>
      <c r="L750" s="412"/>
      <c r="M750" s="412"/>
      <c r="N750" s="412"/>
      <c r="O750" s="412"/>
      <c r="P750" s="412"/>
      <c r="Q750" s="412"/>
      <c r="R750" s="412"/>
      <c r="S750" s="412"/>
      <c r="T750" s="412"/>
      <c r="U750" s="412"/>
      <c r="V750" s="412"/>
      <c r="W750" s="412"/>
      <c r="X750" s="412"/>
      <c r="Y750" s="412"/>
    </row>
    <row r="751">
      <c r="A751" s="411"/>
      <c r="B751" s="412"/>
      <c r="C751" s="412"/>
      <c r="D751" s="412"/>
      <c r="E751" s="412"/>
      <c r="F751" s="412"/>
      <c r="G751" s="412"/>
      <c r="H751" s="412"/>
      <c r="I751" s="412"/>
      <c r="J751" s="412"/>
      <c r="K751" s="412"/>
      <c r="L751" s="412"/>
      <c r="M751" s="412"/>
      <c r="N751" s="412"/>
      <c r="O751" s="412"/>
      <c r="P751" s="412"/>
      <c r="Q751" s="412"/>
      <c r="R751" s="412"/>
      <c r="S751" s="412"/>
      <c r="T751" s="412"/>
      <c r="U751" s="412"/>
      <c r="V751" s="412"/>
      <c r="W751" s="412"/>
      <c r="X751" s="412"/>
      <c r="Y751" s="412"/>
    </row>
    <row r="752">
      <c r="A752" s="411"/>
      <c r="B752" s="412"/>
      <c r="C752" s="412"/>
      <c r="D752" s="412"/>
      <c r="E752" s="412"/>
      <c r="F752" s="412"/>
      <c r="G752" s="412"/>
      <c r="H752" s="412"/>
      <c r="I752" s="412"/>
      <c r="J752" s="412"/>
      <c r="K752" s="412"/>
      <c r="L752" s="412"/>
      <c r="M752" s="412"/>
      <c r="N752" s="412"/>
      <c r="O752" s="412"/>
      <c r="P752" s="412"/>
      <c r="Q752" s="412"/>
      <c r="R752" s="412"/>
      <c r="S752" s="412"/>
      <c r="T752" s="412"/>
      <c r="U752" s="412"/>
      <c r="V752" s="412"/>
      <c r="W752" s="412"/>
      <c r="X752" s="412"/>
      <c r="Y752" s="412"/>
    </row>
    <row r="753">
      <c r="A753" s="411"/>
      <c r="B753" s="412"/>
      <c r="C753" s="412"/>
      <c r="D753" s="412"/>
      <c r="E753" s="412"/>
      <c r="F753" s="412"/>
      <c r="G753" s="412"/>
      <c r="H753" s="412"/>
      <c r="I753" s="412"/>
      <c r="J753" s="412"/>
      <c r="K753" s="412"/>
      <c r="L753" s="412"/>
      <c r="M753" s="412"/>
      <c r="N753" s="412"/>
      <c r="O753" s="412"/>
      <c r="P753" s="412"/>
      <c r="Q753" s="412"/>
      <c r="R753" s="412"/>
      <c r="S753" s="412"/>
      <c r="T753" s="412"/>
      <c r="U753" s="412"/>
      <c r="V753" s="412"/>
      <c r="W753" s="412"/>
      <c r="X753" s="412"/>
      <c r="Y753" s="412"/>
    </row>
    <row r="754">
      <c r="A754" s="411"/>
      <c r="B754" s="412"/>
      <c r="C754" s="412"/>
      <c r="D754" s="412"/>
      <c r="E754" s="412"/>
      <c r="F754" s="412"/>
      <c r="G754" s="412"/>
      <c r="H754" s="412"/>
      <c r="I754" s="412"/>
      <c r="J754" s="412"/>
      <c r="K754" s="412"/>
      <c r="L754" s="412"/>
      <c r="M754" s="412"/>
      <c r="N754" s="412"/>
      <c r="O754" s="412"/>
      <c r="P754" s="412"/>
      <c r="Q754" s="412"/>
      <c r="R754" s="412"/>
      <c r="S754" s="412"/>
      <c r="T754" s="412"/>
      <c r="U754" s="412"/>
      <c r="V754" s="412"/>
      <c r="W754" s="412"/>
      <c r="X754" s="412"/>
      <c r="Y754" s="412"/>
    </row>
    <row r="755">
      <c r="A755" s="411"/>
      <c r="B755" s="412"/>
      <c r="C755" s="412"/>
      <c r="D755" s="412"/>
      <c r="E755" s="412"/>
      <c r="F755" s="412"/>
      <c r="G755" s="412"/>
      <c r="H755" s="412"/>
      <c r="I755" s="412"/>
      <c r="J755" s="412"/>
      <c r="K755" s="412"/>
      <c r="L755" s="412"/>
      <c r="M755" s="412"/>
      <c r="N755" s="412"/>
      <c r="O755" s="412"/>
      <c r="P755" s="412"/>
      <c r="Q755" s="412"/>
      <c r="R755" s="412"/>
      <c r="S755" s="412"/>
      <c r="T755" s="412"/>
      <c r="U755" s="412"/>
      <c r="V755" s="412"/>
      <c r="W755" s="412"/>
      <c r="X755" s="412"/>
      <c r="Y755" s="412"/>
    </row>
    <row r="756">
      <c r="A756" s="411"/>
      <c r="B756" s="412"/>
      <c r="C756" s="412"/>
      <c r="D756" s="412"/>
      <c r="E756" s="412"/>
      <c r="F756" s="412"/>
      <c r="G756" s="412"/>
      <c r="H756" s="412"/>
      <c r="I756" s="412"/>
      <c r="J756" s="412"/>
      <c r="K756" s="412"/>
      <c r="L756" s="412"/>
      <c r="M756" s="412"/>
      <c r="N756" s="412"/>
      <c r="O756" s="412"/>
      <c r="P756" s="412"/>
      <c r="Q756" s="412"/>
      <c r="R756" s="412"/>
      <c r="S756" s="412"/>
      <c r="T756" s="412"/>
      <c r="U756" s="412"/>
      <c r="V756" s="412"/>
      <c r="W756" s="412"/>
      <c r="X756" s="412"/>
      <c r="Y756" s="412"/>
    </row>
    <row r="757">
      <c r="A757" s="411"/>
      <c r="B757" s="412"/>
      <c r="C757" s="412"/>
      <c r="D757" s="412"/>
      <c r="E757" s="412"/>
      <c r="F757" s="412"/>
      <c r="G757" s="412"/>
      <c r="H757" s="412"/>
      <c r="I757" s="412"/>
      <c r="J757" s="412"/>
      <c r="K757" s="412"/>
      <c r="L757" s="412"/>
      <c r="M757" s="412"/>
      <c r="N757" s="412"/>
      <c r="O757" s="412"/>
      <c r="P757" s="412"/>
      <c r="Q757" s="412"/>
      <c r="R757" s="412"/>
      <c r="S757" s="412"/>
      <c r="T757" s="412"/>
      <c r="U757" s="412"/>
      <c r="V757" s="412"/>
      <c r="W757" s="412"/>
      <c r="X757" s="412"/>
      <c r="Y757" s="412"/>
    </row>
    <row r="758">
      <c r="A758" s="411"/>
      <c r="B758" s="412"/>
      <c r="C758" s="412"/>
      <c r="D758" s="412"/>
      <c r="E758" s="412"/>
      <c r="F758" s="412"/>
      <c r="G758" s="412"/>
      <c r="H758" s="412"/>
      <c r="I758" s="412"/>
      <c r="J758" s="412"/>
      <c r="K758" s="412"/>
      <c r="L758" s="412"/>
      <c r="M758" s="412"/>
      <c r="N758" s="412"/>
      <c r="O758" s="412"/>
      <c r="P758" s="412"/>
      <c r="Q758" s="412"/>
      <c r="R758" s="412"/>
      <c r="S758" s="412"/>
      <c r="T758" s="412"/>
      <c r="U758" s="412"/>
      <c r="V758" s="412"/>
      <c r="W758" s="412"/>
      <c r="X758" s="412"/>
      <c r="Y758" s="412"/>
    </row>
    <row r="759">
      <c r="A759" s="411"/>
      <c r="B759" s="412"/>
      <c r="C759" s="412"/>
      <c r="D759" s="412"/>
      <c r="E759" s="412"/>
      <c r="F759" s="412"/>
      <c r="G759" s="412"/>
      <c r="H759" s="412"/>
      <c r="I759" s="412"/>
      <c r="J759" s="412"/>
      <c r="K759" s="412"/>
      <c r="L759" s="412"/>
      <c r="M759" s="412"/>
      <c r="N759" s="412"/>
      <c r="O759" s="412"/>
      <c r="P759" s="412"/>
      <c r="Q759" s="412"/>
      <c r="R759" s="412"/>
      <c r="S759" s="412"/>
      <c r="T759" s="412"/>
      <c r="U759" s="412"/>
      <c r="V759" s="412"/>
      <c r="W759" s="412"/>
      <c r="X759" s="412"/>
      <c r="Y759" s="412"/>
    </row>
    <row r="760">
      <c r="A760" s="411"/>
      <c r="B760" s="412"/>
      <c r="C760" s="412"/>
      <c r="D760" s="412"/>
      <c r="E760" s="412"/>
      <c r="F760" s="412"/>
      <c r="G760" s="412"/>
      <c r="H760" s="412"/>
      <c r="I760" s="412"/>
      <c r="J760" s="412"/>
      <c r="K760" s="412"/>
      <c r="L760" s="412"/>
      <c r="M760" s="412"/>
      <c r="N760" s="412"/>
      <c r="O760" s="412"/>
      <c r="P760" s="412"/>
      <c r="Q760" s="412"/>
      <c r="R760" s="412"/>
      <c r="S760" s="412"/>
      <c r="T760" s="412"/>
      <c r="U760" s="412"/>
      <c r="V760" s="412"/>
      <c r="W760" s="412"/>
      <c r="X760" s="412"/>
      <c r="Y760" s="412"/>
    </row>
    <row r="761">
      <c r="A761" s="411"/>
      <c r="B761" s="412"/>
      <c r="C761" s="412"/>
      <c r="D761" s="412"/>
      <c r="E761" s="412"/>
      <c r="F761" s="412"/>
      <c r="G761" s="412"/>
      <c r="H761" s="412"/>
      <c r="I761" s="412"/>
      <c r="J761" s="412"/>
      <c r="K761" s="412"/>
      <c r="L761" s="412"/>
      <c r="M761" s="412"/>
      <c r="N761" s="412"/>
      <c r="O761" s="412"/>
      <c r="P761" s="412"/>
      <c r="Q761" s="412"/>
      <c r="R761" s="412"/>
      <c r="S761" s="412"/>
      <c r="T761" s="412"/>
      <c r="U761" s="412"/>
      <c r="V761" s="412"/>
      <c r="W761" s="412"/>
      <c r="X761" s="412"/>
      <c r="Y761" s="412"/>
    </row>
    <row r="762">
      <c r="A762" s="411"/>
      <c r="B762" s="412"/>
      <c r="C762" s="412"/>
      <c r="D762" s="412"/>
      <c r="E762" s="412"/>
      <c r="F762" s="412"/>
      <c r="G762" s="412"/>
      <c r="H762" s="412"/>
      <c r="I762" s="412"/>
      <c r="J762" s="412"/>
      <c r="K762" s="412"/>
      <c r="L762" s="412"/>
      <c r="M762" s="412"/>
      <c r="N762" s="412"/>
      <c r="O762" s="412"/>
      <c r="P762" s="412"/>
      <c r="Q762" s="412"/>
      <c r="R762" s="412"/>
      <c r="S762" s="412"/>
      <c r="T762" s="412"/>
      <c r="U762" s="412"/>
      <c r="V762" s="412"/>
      <c r="W762" s="412"/>
      <c r="X762" s="412"/>
      <c r="Y762" s="412"/>
    </row>
    <row r="763">
      <c r="A763" s="411"/>
      <c r="B763" s="412"/>
      <c r="C763" s="412"/>
      <c r="D763" s="412"/>
      <c r="E763" s="412"/>
      <c r="F763" s="412"/>
      <c r="G763" s="412"/>
      <c r="H763" s="412"/>
      <c r="I763" s="412"/>
      <c r="J763" s="412"/>
      <c r="K763" s="412"/>
      <c r="L763" s="412"/>
      <c r="M763" s="412"/>
      <c r="N763" s="412"/>
      <c r="O763" s="412"/>
      <c r="P763" s="412"/>
      <c r="Q763" s="412"/>
      <c r="R763" s="412"/>
      <c r="S763" s="412"/>
      <c r="T763" s="412"/>
      <c r="U763" s="412"/>
      <c r="V763" s="412"/>
      <c r="W763" s="412"/>
      <c r="X763" s="412"/>
      <c r="Y763" s="412"/>
    </row>
    <row r="764">
      <c r="A764" s="411"/>
      <c r="B764" s="412"/>
      <c r="C764" s="412"/>
      <c r="D764" s="412"/>
      <c r="E764" s="412"/>
      <c r="F764" s="412"/>
      <c r="G764" s="412"/>
      <c r="H764" s="412"/>
      <c r="I764" s="412"/>
      <c r="J764" s="412"/>
      <c r="K764" s="412"/>
      <c r="L764" s="412"/>
      <c r="M764" s="412"/>
      <c r="N764" s="412"/>
      <c r="O764" s="412"/>
      <c r="P764" s="412"/>
      <c r="Q764" s="412"/>
      <c r="R764" s="412"/>
      <c r="S764" s="412"/>
      <c r="T764" s="412"/>
      <c r="U764" s="412"/>
      <c r="V764" s="412"/>
      <c r="W764" s="412"/>
      <c r="X764" s="412"/>
      <c r="Y764" s="412"/>
    </row>
    <row r="765">
      <c r="A765" s="411"/>
      <c r="B765" s="412"/>
      <c r="C765" s="412"/>
      <c r="D765" s="412"/>
      <c r="E765" s="412"/>
      <c r="F765" s="412"/>
      <c r="G765" s="412"/>
      <c r="H765" s="412"/>
      <c r="I765" s="412"/>
      <c r="J765" s="412"/>
      <c r="K765" s="412"/>
      <c r="L765" s="412"/>
      <c r="M765" s="412"/>
      <c r="N765" s="412"/>
      <c r="O765" s="412"/>
      <c r="P765" s="412"/>
      <c r="Q765" s="412"/>
      <c r="R765" s="412"/>
      <c r="S765" s="412"/>
      <c r="T765" s="412"/>
      <c r="U765" s="412"/>
      <c r="V765" s="412"/>
      <c r="W765" s="412"/>
      <c r="X765" s="412"/>
      <c r="Y765" s="412"/>
    </row>
    <row r="766">
      <c r="A766" s="411"/>
      <c r="B766" s="412"/>
      <c r="C766" s="412"/>
      <c r="D766" s="412"/>
      <c r="E766" s="412"/>
      <c r="F766" s="412"/>
      <c r="G766" s="412"/>
      <c r="H766" s="412"/>
      <c r="I766" s="412"/>
      <c r="J766" s="412"/>
      <c r="K766" s="412"/>
      <c r="L766" s="412"/>
      <c r="M766" s="412"/>
      <c r="N766" s="412"/>
      <c r="O766" s="412"/>
      <c r="P766" s="412"/>
      <c r="Q766" s="412"/>
      <c r="R766" s="412"/>
      <c r="S766" s="412"/>
      <c r="T766" s="412"/>
      <c r="U766" s="412"/>
      <c r="V766" s="412"/>
      <c r="W766" s="412"/>
      <c r="X766" s="412"/>
      <c r="Y766" s="412"/>
    </row>
    <row r="767">
      <c r="A767" s="411"/>
      <c r="B767" s="412"/>
      <c r="C767" s="412"/>
      <c r="D767" s="412"/>
      <c r="E767" s="412"/>
      <c r="F767" s="412"/>
      <c r="G767" s="412"/>
      <c r="H767" s="412"/>
      <c r="I767" s="412"/>
      <c r="J767" s="412"/>
      <c r="K767" s="412"/>
      <c r="L767" s="412"/>
      <c r="M767" s="412"/>
      <c r="N767" s="412"/>
      <c r="O767" s="412"/>
      <c r="P767" s="412"/>
      <c r="Q767" s="412"/>
      <c r="R767" s="412"/>
      <c r="S767" s="412"/>
      <c r="T767" s="412"/>
      <c r="U767" s="412"/>
      <c r="V767" s="412"/>
      <c r="W767" s="412"/>
      <c r="X767" s="412"/>
      <c r="Y767" s="412"/>
    </row>
    <row r="768">
      <c r="A768" s="411"/>
      <c r="B768" s="412"/>
      <c r="C768" s="412"/>
      <c r="D768" s="412"/>
      <c r="E768" s="412"/>
      <c r="F768" s="412"/>
      <c r="G768" s="412"/>
      <c r="H768" s="412"/>
      <c r="I768" s="412"/>
      <c r="J768" s="412"/>
      <c r="K768" s="412"/>
      <c r="L768" s="412"/>
      <c r="M768" s="412"/>
      <c r="N768" s="412"/>
      <c r="O768" s="412"/>
      <c r="P768" s="412"/>
      <c r="Q768" s="412"/>
      <c r="R768" s="412"/>
      <c r="S768" s="412"/>
      <c r="T768" s="412"/>
      <c r="U768" s="412"/>
      <c r="V768" s="412"/>
      <c r="W768" s="412"/>
      <c r="X768" s="412"/>
      <c r="Y768" s="412"/>
    </row>
    <row r="769">
      <c r="A769" s="411"/>
      <c r="B769" s="412"/>
      <c r="C769" s="412"/>
      <c r="D769" s="412"/>
      <c r="E769" s="412"/>
      <c r="F769" s="412"/>
      <c r="G769" s="412"/>
      <c r="H769" s="412"/>
      <c r="I769" s="412"/>
      <c r="J769" s="412"/>
      <c r="K769" s="412"/>
      <c r="L769" s="412"/>
      <c r="M769" s="412"/>
      <c r="N769" s="412"/>
      <c r="O769" s="412"/>
      <c r="P769" s="412"/>
      <c r="Q769" s="412"/>
      <c r="R769" s="412"/>
      <c r="S769" s="412"/>
      <c r="T769" s="412"/>
      <c r="U769" s="412"/>
      <c r="V769" s="412"/>
      <c r="W769" s="412"/>
      <c r="X769" s="412"/>
      <c r="Y769" s="412"/>
    </row>
    <row r="770">
      <c r="A770" s="411"/>
      <c r="B770" s="412"/>
      <c r="C770" s="412"/>
      <c r="D770" s="412"/>
      <c r="E770" s="412"/>
      <c r="F770" s="412"/>
      <c r="G770" s="412"/>
      <c r="H770" s="412"/>
      <c r="I770" s="412"/>
      <c r="J770" s="412"/>
      <c r="K770" s="412"/>
      <c r="L770" s="412"/>
      <c r="M770" s="412"/>
      <c r="N770" s="412"/>
      <c r="O770" s="412"/>
      <c r="P770" s="412"/>
      <c r="Q770" s="412"/>
      <c r="R770" s="412"/>
      <c r="S770" s="412"/>
      <c r="T770" s="412"/>
      <c r="U770" s="412"/>
      <c r="V770" s="412"/>
      <c r="W770" s="412"/>
      <c r="X770" s="412"/>
      <c r="Y770" s="412"/>
    </row>
    <row r="771">
      <c r="A771" s="411"/>
      <c r="B771" s="412"/>
      <c r="C771" s="412"/>
      <c r="D771" s="412"/>
      <c r="E771" s="412"/>
      <c r="F771" s="412"/>
      <c r="G771" s="412"/>
      <c r="H771" s="412"/>
      <c r="I771" s="412"/>
      <c r="J771" s="412"/>
      <c r="K771" s="412"/>
      <c r="L771" s="412"/>
      <c r="M771" s="412"/>
      <c r="N771" s="412"/>
      <c r="O771" s="412"/>
      <c r="P771" s="412"/>
      <c r="Q771" s="412"/>
      <c r="R771" s="412"/>
      <c r="S771" s="412"/>
      <c r="T771" s="412"/>
      <c r="U771" s="412"/>
      <c r="V771" s="412"/>
      <c r="W771" s="412"/>
      <c r="X771" s="412"/>
      <c r="Y771" s="412"/>
    </row>
    <row r="772">
      <c r="A772" s="411"/>
      <c r="B772" s="412"/>
      <c r="C772" s="412"/>
      <c r="D772" s="412"/>
      <c r="E772" s="412"/>
      <c r="F772" s="412"/>
      <c r="G772" s="412"/>
      <c r="H772" s="412"/>
      <c r="I772" s="412"/>
      <c r="J772" s="412"/>
      <c r="K772" s="412"/>
      <c r="L772" s="412"/>
      <c r="M772" s="412"/>
      <c r="N772" s="412"/>
      <c r="O772" s="412"/>
      <c r="P772" s="412"/>
      <c r="Q772" s="412"/>
      <c r="R772" s="412"/>
      <c r="S772" s="412"/>
      <c r="T772" s="412"/>
      <c r="U772" s="412"/>
      <c r="V772" s="412"/>
      <c r="W772" s="412"/>
      <c r="X772" s="412"/>
      <c r="Y772" s="412"/>
    </row>
    <row r="773">
      <c r="A773" s="411"/>
      <c r="B773" s="412"/>
      <c r="C773" s="412"/>
      <c r="D773" s="412"/>
      <c r="E773" s="412"/>
      <c r="F773" s="412"/>
      <c r="G773" s="412"/>
      <c r="H773" s="412"/>
      <c r="I773" s="412"/>
      <c r="J773" s="412"/>
      <c r="K773" s="412"/>
      <c r="L773" s="412"/>
      <c r="M773" s="412"/>
      <c r="N773" s="412"/>
      <c r="O773" s="412"/>
      <c r="P773" s="412"/>
      <c r="Q773" s="412"/>
      <c r="R773" s="412"/>
      <c r="S773" s="412"/>
      <c r="T773" s="412"/>
      <c r="U773" s="412"/>
      <c r="V773" s="412"/>
      <c r="W773" s="412"/>
      <c r="X773" s="412"/>
      <c r="Y773" s="412"/>
    </row>
    <row r="774">
      <c r="A774" s="411"/>
      <c r="B774" s="412"/>
      <c r="C774" s="412"/>
      <c r="D774" s="412"/>
      <c r="E774" s="412"/>
      <c r="F774" s="412"/>
      <c r="G774" s="412"/>
      <c r="H774" s="412"/>
      <c r="I774" s="412"/>
      <c r="J774" s="412"/>
      <c r="K774" s="412"/>
      <c r="L774" s="412"/>
      <c r="M774" s="412"/>
      <c r="N774" s="412"/>
      <c r="O774" s="412"/>
      <c r="P774" s="412"/>
      <c r="Q774" s="412"/>
      <c r="R774" s="412"/>
      <c r="S774" s="412"/>
      <c r="T774" s="412"/>
      <c r="U774" s="412"/>
      <c r="V774" s="412"/>
      <c r="W774" s="412"/>
      <c r="X774" s="412"/>
      <c r="Y774" s="412"/>
    </row>
    <row r="775">
      <c r="A775" s="411"/>
      <c r="B775" s="412"/>
      <c r="C775" s="412"/>
      <c r="D775" s="412"/>
      <c r="E775" s="412"/>
      <c r="F775" s="412"/>
      <c r="G775" s="412"/>
      <c r="H775" s="412"/>
      <c r="I775" s="412"/>
      <c r="J775" s="412"/>
      <c r="K775" s="412"/>
      <c r="L775" s="412"/>
      <c r="M775" s="412"/>
      <c r="N775" s="412"/>
      <c r="O775" s="412"/>
      <c r="P775" s="412"/>
      <c r="Q775" s="412"/>
      <c r="R775" s="412"/>
      <c r="S775" s="412"/>
      <c r="T775" s="412"/>
      <c r="U775" s="412"/>
      <c r="V775" s="412"/>
      <c r="W775" s="412"/>
      <c r="X775" s="412"/>
      <c r="Y775" s="412"/>
    </row>
    <row r="776">
      <c r="A776" s="411"/>
      <c r="B776" s="412"/>
      <c r="C776" s="412"/>
      <c r="D776" s="412"/>
      <c r="E776" s="412"/>
      <c r="F776" s="412"/>
      <c r="G776" s="412"/>
      <c r="H776" s="412"/>
      <c r="I776" s="412"/>
      <c r="J776" s="412"/>
      <c r="K776" s="412"/>
      <c r="L776" s="412"/>
      <c r="M776" s="412"/>
      <c r="N776" s="412"/>
      <c r="O776" s="412"/>
      <c r="P776" s="412"/>
      <c r="Q776" s="412"/>
      <c r="R776" s="412"/>
      <c r="S776" s="412"/>
      <c r="T776" s="412"/>
      <c r="U776" s="412"/>
      <c r="V776" s="412"/>
      <c r="W776" s="412"/>
      <c r="X776" s="412"/>
      <c r="Y776" s="412"/>
    </row>
    <row r="777">
      <c r="A777" s="411"/>
      <c r="B777" s="412"/>
      <c r="C777" s="412"/>
      <c r="D777" s="412"/>
      <c r="E777" s="412"/>
      <c r="F777" s="412"/>
      <c r="G777" s="412"/>
      <c r="H777" s="412"/>
      <c r="I777" s="412"/>
      <c r="J777" s="412"/>
      <c r="K777" s="412"/>
      <c r="L777" s="412"/>
      <c r="M777" s="412"/>
      <c r="N777" s="412"/>
      <c r="O777" s="412"/>
      <c r="P777" s="412"/>
      <c r="Q777" s="412"/>
      <c r="R777" s="412"/>
      <c r="S777" s="412"/>
      <c r="T777" s="412"/>
      <c r="U777" s="412"/>
      <c r="V777" s="412"/>
      <c r="W777" s="412"/>
      <c r="X777" s="412"/>
      <c r="Y777" s="412"/>
    </row>
    <row r="778">
      <c r="A778" s="411"/>
      <c r="B778" s="412"/>
      <c r="C778" s="412"/>
      <c r="D778" s="412"/>
      <c r="E778" s="412"/>
      <c r="F778" s="412"/>
      <c r="G778" s="412"/>
      <c r="H778" s="412"/>
      <c r="I778" s="412"/>
      <c r="J778" s="412"/>
      <c r="K778" s="412"/>
      <c r="L778" s="412"/>
      <c r="M778" s="412"/>
      <c r="N778" s="412"/>
      <c r="O778" s="412"/>
      <c r="P778" s="412"/>
      <c r="Q778" s="412"/>
      <c r="R778" s="412"/>
      <c r="S778" s="412"/>
      <c r="T778" s="412"/>
      <c r="U778" s="412"/>
      <c r="V778" s="412"/>
      <c r="W778" s="412"/>
      <c r="X778" s="412"/>
      <c r="Y778" s="412"/>
    </row>
    <row r="779">
      <c r="A779" s="411"/>
      <c r="B779" s="412"/>
      <c r="C779" s="412"/>
      <c r="D779" s="412"/>
      <c r="E779" s="412"/>
      <c r="F779" s="412"/>
      <c r="G779" s="412"/>
      <c r="H779" s="412"/>
      <c r="I779" s="412"/>
      <c r="J779" s="412"/>
      <c r="K779" s="412"/>
      <c r="L779" s="412"/>
      <c r="M779" s="412"/>
      <c r="N779" s="412"/>
      <c r="O779" s="412"/>
      <c r="P779" s="412"/>
      <c r="Q779" s="412"/>
      <c r="R779" s="412"/>
      <c r="S779" s="412"/>
      <c r="T779" s="412"/>
      <c r="U779" s="412"/>
      <c r="V779" s="412"/>
      <c r="W779" s="412"/>
      <c r="X779" s="412"/>
      <c r="Y779" s="412"/>
    </row>
    <row r="780">
      <c r="A780" s="411"/>
      <c r="B780" s="412"/>
      <c r="C780" s="412"/>
      <c r="D780" s="412"/>
      <c r="E780" s="412"/>
      <c r="F780" s="412"/>
      <c r="G780" s="412"/>
      <c r="H780" s="412"/>
      <c r="I780" s="412"/>
      <c r="J780" s="412"/>
      <c r="K780" s="412"/>
      <c r="L780" s="412"/>
      <c r="M780" s="412"/>
      <c r="N780" s="412"/>
      <c r="O780" s="412"/>
      <c r="P780" s="412"/>
      <c r="Q780" s="412"/>
      <c r="R780" s="412"/>
      <c r="S780" s="412"/>
      <c r="T780" s="412"/>
      <c r="U780" s="412"/>
      <c r="V780" s="412"/>
      <c r="W780" s="412"/>
      <c r="X780" s="412"/>
      <c r="Y780" s="412"/>
    </row>
    <row r="781">
      <c r="A781" s="411"/>
      <c r="B781" s="412"/>
      <c r="C781" s="412"/>
      <c r="D781" s="412"/>
      <c r="E781" s="412"/>
      <c r="F781" s="412"/>
      <c r="G781" s="412"/>
      <c r="H781" s="412"/>
      <c r="I781" s="412"/>
      <c r="J781" s="412"/>
      <c r="K781" s="412"/>
      <c r="L781" s="412"/>
      <c r="M781" s="412"/>
      <c r="N781" s="412"/>
      <c r="O781" s="412"/>
      <c r="P781" s="412"/>
      <c r="Q781" s="412"/>
      <c r="R781" s="412"/>
      <c r="S781" s="412"/>
      <c r="T781" s="412"/>
      <c r="U781" s="412"/>
      <c r="V781" s="412"/>
      <c r="W781" s="412"/>
      <c r="X781" s="412"/>
      <c r="Y781" s="412"/>
    </row>
    <row r="782">
      <c r="A782" s="411"/>
      <c r="B782" s="412"/>
      <c r="C782" s="412"/>
      <c r="D782" s="412"/>
      <c r="E782" s="412"/>
      <c r="F782" s="412"/>
      <c r="G782" s="412"/>
      <c r="H782" s="412"/>
      <c r="I782" s="412"/>
      <c r="J782" s="412"/>
      <c r="K782" s="412"/>
      <c r="L782" s="412"/>
      <c r="M782" s="412"/>
      <c r="N782" s="412"/>
      <c r="O782" s="412"/>
      <c r="P782" s="412"/>
      <c r="Q782" s="412"/>
      <c r="R782" s="412"/>
      <c r="S782" s="412"/>
      <c r="T782" s="412"/>
      <c r="U782" s="412"/>
      <c r="V782" s="412"/>
      <c r="W782" s="412"/>
      <c r="X782" s="412"/>
      <c r="Y782" s="412"/>
    </row>
    <row r="783">
      <c r="A783" s="411"/>
      <c r="B783" s="412"/>
      <c r="C783" s="412"/>
      <c r="D783" s="412"/>
      <c r="E783" s="412"/>
      <c r="F783" s="412"/>
      <c r="G783" s="412"/>
      <c r="H783" s="412"/>
      <c r="I783" s="412"/>
      <c r="J783" s="412"/>
      <c r="K783" s="412"/>
      <c r="L783" s="412"/>
      <c r="M783" s="412"/>
      <c r="N783" s="412"/>
      <c r="O783" s="412"/>
      <c r="P783" s="412"/>
      <c r="Q783" s="412"/>
      <c r="R783" s="412"/>
      <c r="S783" s="412"/>
      <c r="T783" s="412"/>
      <c r="U783" s="412"/>
      <c r="V783" s="412"/>
      <c r="W783" s="412"/>
      <c r="X783" s="412"/>
      <c r="Y783" s="412"/>
    </row>
    <row r="784">
      <c r="A784" s="411"/>
      <c r="B784" s="412"/>
      <c r="C784" s="412"/>
      <c r="D784" s="412"/>
      <c r="E784" s="412"/>
      <c r="F784" s="412"/>
      <c r="G784" s="412"/>
      <c r="H784" s="412"/>
      <c r="I784" s="412"/>
      <c r="J784" s="412"/>
      <c r="K784" s="412"/>
      <c r="L784" s="412"/>
      <c r="M784" s="412"/>
      <c r="N784" s="412"/>
      <c r="O784" s="412"/>
      <c r="P784" s="412"/>
      <c r="Q784" s="412"/>
      <c r="R784" s="412"/>
      <c r="S784" s="412"/>
      <c r="T784" s="412"/>
      <c r="U784" s="412"/>
      <c r="V784" s="412"/>
      <c r="W784" s="412"/>
      <c r="X784" s="412"/>
      <c r="Y784" s="412"/>
    </row>
    <row r="785">
      <c r="A785" s="411"/>
      <c r="B785" s="412"/>
      <c r="C785" s="412"/>
      <c r="D785" s="412"/>
      <c r="E785" s="412"/>
      <c r="F785" s="412"/>
      <c r="G785" s="412"/>
      <c r="H785" s="412"/>
      <c r="I785" s="412"/>
      <c r="J785" s="412"/>
      <c r="K785" s="412"/>
      <c r="L785" s="412"/>
      <c r="M785" s="412"/>
      <c r="N785" s="412"/>
      <c r="O785" s="412"/>
      <c r="P785" s="412"/>
      <c r="Q785" s="412"/>
      <c r="R785" s="412"/>
      <c r="S785" s="412"/>
      <c r="T785" s="412"/>
      <c r="U785" s="412"/>
      <c r="V785" s="412"/>
      <c r="W785" s="412"/>
      <c r="X785" s="412"/>
      <c r="Y785" s="412"/>
    </row>
    <row r="786">
      <c r="A786" s="411"/>
      <c r="B786" s="412"/>
      <c r="C786" s="412"/>
      <c r="D786" s="412"/>
      <c r="E786" s="412"/>
      <c r="F786" s="412"/>
      <c r="G786" s="412"/>
      <c r="H786" s="412"/>
      <c r="I786" s="412"/>
      <c r="J786" s="412"/>
      <c r="K786" s="412"/>
      <c r="L786" s="412"/>
      <c r="M786" s="412"/>
      <c r="N786" s="412"/>
      <c r="O786" s="412"/>
      <c r="P786" s="412"/>
      <c r="Q786" s="412"/>
      <c r="R786" s="412"/>
      <c r="S786" s="412"/>
      <c r="T786" s="412"/>
      <c r="U786" s="412"/>
      <c r="V786" s="412"/>
      <c r="W786" s="412"/>
      <c r="X786" s="412"/>
      <c r="Y786" s="412"/>
    </row>
    <row r="787">
      <c r="A787" s="411"/>
      <c r="B787" s="412"/>
      <c r="C787" s="412"/>
      <c r="D787" s="412"/>
      <c r="E787" s="412"/>
      <c r="F787" s="412"/>
      <c r="G787" s="412"/>
      <c r="H787" s="412"/>
      <c r="I787" s="412"/>
      <c r="J787" s="412"/>
      <c r="K787" s="412"/>
      <c r="L787" s="412"/>
      <c r="M787" s="412"/>
      <c r="N787" s="412"/>
      <c r="O787" s="412"/>
      <c r="P787" s="412"/>
      <c r="Q787" s="412"/>
      <c r="R787" s="412"/>
      <c r="S787" s="412"/>
      <c r="T787" s="412"/>
      <c r="U787" s="412"/>
      <c r="V787" s="412"/>
      <c r="W787" s="412"/>
      <c r="X787" s="412"/>
      <c r="Y787" s="412"/>
    </row>
    <row r="788">
      <c r="A788" s="411"/>
      <c r="B788" s="412"/>
      <c r="C788" s="412"/>
      <c r="D788" s="412"/>
      <c r="E788" s="412"/>
      <c r="F788" s="412"/>
      <c r="G788" s="412"/>
      <c r="H788" s="412"/>
      <c r="I788" s="412"/>
      <c r="J788" s="412"/>
      <c r="K788" s="412"/>
      <c r="L788" s="412"/>
      <c r="M788" s="412"/>
      <c r="N788" s="412"/>
      <c r="O788" s="412"/>
      <c r="P788" s="412"/>
      <c r="Q788" s="412"/>
      <c r="R788" s="412"/>
      <c r="S788" s="412"/>
      <c r="T788" s="412"/>
      <c r="U788" s="412"/>
      <c r="V788" s="412"/>
      <c r="W788" s="412"/>
      <c r="X788" s="412"/>
      <c r="Y788" s="412"/>
    </row>
    <row r="789">
      <c r="A789" s="411"/>
      <c r="B789" s="412"/>
      <c r="C789" s="412"/>
      <c r="D789" s="412"/>
      <c r="E789" s="412"/>
      <c r="F789" s="412"/>
      <c r="G789" s="412"/>
      <c r="H789" s="412"/>
      <c r="I789" s="412"/>
      <c r="J789" s="412"/>
      <c r="K789" s="412"/>
      <c r="L789" s="412"/>
      <c r="M789" s="412"/>
      <c r="N789" s="412"/>
      <c r="O789" s="412"/>
      <c r="P789" s="412"/>
      <c r="Q789" s="412"/>
      <c r="R789" s="412"/>
      <c r="S789" s="412"/>
      <c r="T789" s="412"/>
      <c r="U789" s="412"/>
      <c r="V789" s="412"/>
      <c r="W789" s="412"/>
      <c r="X789" s="412"/>
      <c r="Y789" s="412"/>
    </row>
    <row r="790">
      <c r="A790" s="411"/>
      <c r="B790" s="412"/>
      <c r="C790" s="412"/>
      <c r="D790" s="412"/>
      <c r="E790" s="412"/>
      <c r="F790" s="412"/>
      <c r="G790" s="412"/>
      <c r="H790" s="412"/>
      <c r="I790" s="412"/>
      <c r="J790" s="412"/>
      <c r="K790" s="412"/>
      <c r="L790" s="412"/>
      <c r="M790" s="412"/>
      <c r="N790" s="412"/>
      <c r="O790" s="412"/>
      <c r="P790" s="412"/>
      <c r="Q790" s="412"/>
      <c r="R790" s="412"/>
      <c r="S790" s="412"/>
      <c r="T790" s="412"/>
      <c r="U790" s="412"/>
      <c r="V790" s="412"/>
      <c r="W790" s="412"/>
      <c r="X790" s="412"/>
      <c r="Y790" s="412"/>
    </row>
    <row r="791">
      <c r="A791" s="411"/>
      <c r="B791" s="412"/>
      <c r="C791" s="412"/>
      <c r="D791" s="412"/>
      <c r="E791" s="412"/>
      <c r="F791" s="412"/>
      <c r="G791" s="412"/>
      <c r="H791" s="412"/>
      <c r="I791" s="412"/>
      <c r="J791" s="412"/>
      <c r="K791" s="412"/>
      <c r="L791" s="412"/>
      <c r="M791" s="412"/>
      <c r="N791" s="412"/>
      <c r="O791" s="412"/>
      <c r="P791" s="412"/>
      <c r="Q791" s="412"/>
      <c r="R791" s="412"/>
      <c r="S791" s="412"/>
      <c r="T791" s="412"/>
      <c r="U791" s="412"/>
      <c r="V791" s="412"/>
      <c r="W791" s="412"/>
      <c r="X791" s="412"/>
      <c r="Y791" s="412"/>
    </row>
    <row r="792">
      <c r="A792" s="411"/>
      <c r="B792" s="412"/>
      <c r="C792" s="412"/>
      <c r="D792" s="412"/>
      <c r="E792" s="412"/>
      <c r="F792" s="412"/>
      <c r="G792" s="412"/>
      <c r="H792" s="412"/>
      <c r="I792" s="412"/>
      <c r="J792" s="412"/>
      <c r="K792" s="412"/>
      <c r="L792" s="412"/>
      <c r="M792" s="412"/>
      <c r="N792" s="412"/>
      <c r="O792" s="412"/>
      <c r="P792" s="412"/>
      <c r="Q792" s="412"/>
      <c r="R792" s="412"/>
      <c r="S792" s="412"/>
      <c r="T792" s="412"/>
      <c r="U792" s="412"/>
      <c r="V792" s="412"/>
      <c r="W792" s="412"/>
      <c r="X792" s="412"/>
      <c r="Y792" s="412"/>
    </row>
  </sheetData>
  <drawing r:id="rId1"/>
</worksheet>
</file>